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4.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N:\html\competencies\Dosimetry\"/>
    </mc:Choice>
  </mc:AlternateContent>
  <bookViews>
    <workbookView xWindow="0" yWindow="0" windowWidth="15360" windowHeight="4320" tabRatio="1000"/>
  </bookViews>
  <sheets>
    <sheet name="Summary" sheetId="3" r:id="rId1"/>
    <sheet name="Mapping" sheetId="6" r:id="rId2"/>
    <sheet name="SQL Builder" sheetId="7" r:id="rId3"/>
    <sheet name="PDF Record" sheetId="9" r:id="rId4"/>
    <sheet name="Pad" sheetId="8" r:id="rId5"/>
    <sheet name="Add Staff" sheetId="2" r:id="rId6"/>
    <sheet name="Sheet1" sheetId="1" state="hidden" r:id="rId7"/>
    <sheet name="Sheet2" sheetId="4" state="hidden" r:id="rId8"/>
  </sheets>
  <definedNames>
    <definedName name="_xlnm._FilterDatabase" localSheetId="2" hidden="1">'SQL Builder'!$K$4:$O$4</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5" i="9" l="1"/>
  <c r="D5" i="7"/>
  <c r="H14" i="6" s="1"/>
  <c r="E14" i="6"/>
  <c r="C13" i="9"/>
  <c r="J282" i="9"/>
  <c r="J283" i="9"/>
  <c r="J284" i="9"/>
  <c r="J285" i="9"/>
  <c r="J286" i="9"/>
  <c r="J287" i="9"/>
  <c r="J288" i="9"/>
  <c r="J289" i="9"/>
  <c r="J290" i="9"/>
  <c r="J291" i="9"/>
  <c r="J292" i="9"/>
  <c r="J293" i="9"/>
  <c r="J294" i="9"/>
  <c r="J295" i="9"/>
  <c r="J296" i="9"/>
  <c r="J297" i="9"/>
  <c r="J298" i="9"/>
  <c r="J299" i="9"/>
  <c r="J300" i="9"/>
  <c r="J301" i="9"/>
  <c r="J302" i="9"/>
  <c r="J303" i="9"/>
  <c r="J304" i="9"/>
  <c r="J305" i="9"/>
  <c r="J306" i="9"/>
  <c r="J307" i="9"/>
  <c r="J308" i="9"/>
  <c r="J309" i="9"/>
  <c r="J310" i="9"/>
  <c r="J311" i="9"/>
  <c r="J312" i="9"/>
  <c r="J313" i="9"/>
  <c r="J314" i="9"/>
  <c r="J315" i="9"/>
  <c r="J316" i="9"/>
  <c r="J317" i="9"/>
  <c r="J318" i="9"/>
  <c r="J319" i="9"/>
  <c r="J320" i="9"/>
  <c r="J321" i="9"/>
  <c r="J322" i="9"/>
  <c r="J323" i="9"/>
  <c r="J324" i="9"/>
  <c r="J325" i="9"/>
  <c r="J326" i="9"/>
  <c r="J327" i="9"/>
  <c r="J328" i="9"/>
  <c r="J329" i="9"/>
  <c r="J330" i="9"/>
  <c r="J331" i="9"/>
  <c r="J332" i="9"/>
  <c r="J333" i="9"/>
  <c r="J334" i="9"/>
  <c r="J335" i="9"/>
  <c r="J336" i="9"/>
  <c r="J337" i="9"/>
  <c r="J338" i="9"/>
  <c r="J339" i="9"/>
  <c r="J340" i="9"/>
  <c r="J341" i="9"/>
  <c r="J342" i="9"/>
  <c r="J343" i="9"/>
  <c r="J344" i="9"/>
  <c r="J345" i="9"/>
  <c r="J346" i="9"/>
  <c r="J347" i="9"/>
  <c r="J348" i="9"/>
  <c r="J349" i="9"/>
  <c r="J350" i="9"/>
  <c r="J351" i="9"/>
  <c r="J352" i="9"/>
  <c r="J353" i="9"/>
  <c r="J354" i="9"/>
  <c r="J355" i="9"/>
  <c r="J356" i="9"/>
  <c r="J357" i="9"/>
  <c r="J358" i="9"/>
  <c r="J359" i="9"/>
  <c r="J360" i="9"/>
  <c r="J361" i="9"/>
  <c r="J362" i="9"/>
  <c r="J363" i="9"/>
  <c r="J364" i="9"/>
  <c r="J365" i="9"/>
  <c r="J366" i="9"/>
  <c r="J367" i="9"/>
  <c r="J368" i="9"/>
  <c r="J369" i="9"/>
  <c r="J370" i="9"/>
  <c r="J371" i="9"/>
  <c r="J372" i="9"/>
  <c r="J373" i="9"/>
  <c r="J374" i="9"/>
  <c r="J375" i="9"/>
  <c r="J376" i="9"/>
  <c r="J377" i="9"/>
  <c r="J378" i="9"/>
  <c r="J379" i="9"/>
  <c r="J380" i="9"/>
  <c r="J381" i="9"/>
  <c r="J382" i="9"/>
  <c r="J383" i="9"/>
  <c r="J384" i="9"/>
  <c r="J385" i="9"/>
  <c r="J386" i="9"/>
  <c r="J387" i="9"/>
  <c r="J388" i="9"/>
  <c r="J389" i="9"/>
  <c r="J390" i="9"/>
  <c r="J391" i="9"/>
  <c r="J392" i="9"/>
  <c r="J393" i="9"/>
  <c r="J394" i="9"/>
  <c r="J395" i="9"/>
  <c r="J396" i="9"/>
  <c r="J397" i="9"/>
  <c r="J398" i="9"/>
  <c r="J399" i="9"/>
  <c r="J400" i="9"/>
  <c r="J401" i="9"/>
  <c r="J402" i="9"/>
  <c r="J403" i="9"/>
  <c r="J404" i="9"/>
  <c r="J405" i="9"/>
  <c r="J406" i="9"/>
  <c r="J407" i="9"/>
  <c r="J408" i="9"/>
  <c r="J409" i="9"/>
  <c r="J410" i="9"/>
  <c r="J411" i="9"/>
  <c r="J412" i="9"/>
  <c r="J413" i="9"/>
  <c r="J414" i="9"/>
  <c r="J415" i="9"/>
  <c r="J416" i="9"/>
  <c r="J417" i="9"/>
  <c r="J418" i="9"/>
  <c r="J419" i="9"/>
  <c r="J420" i="9"/>
  <c r="J421" i="9"/>
  <c r="J422" i="9"/>
  <c r="J423" i="9"/>
  <c r="J424" i="9"/>
  <c r="J425" i="9"/>
  <c r="J426" i="9"/>
  <c r="J427" i="9"/>
  <c r="J428" i="9"/>
  <c r="J429" i="9"/>
  <c r="J430" i="9"/>
  <c r="J431" i="9"/>
  <c r="J432" i="9"/>
  <c r="J433" i="9"/>
  <c r="J434" i="9"/>
  <c r="J435" i="9"/>
  <c r="J436" i="9"/>
  <c r="J437" i="9"/>
  <c r="J438" i="9"/>
  <c r="J439" i="9"/>
  <c r="J440" i="9"/>
  <c r="J441" i="9"/>
  <c r="J442" i="9"/>
  <c r="J443" i="9"/>
  <c r="J444" i="9"/>
  <c r="J445" i="9"/>
  <c r="J446" i="9"/>
  <c r="J447" i="9"/>
  <c r="J448" i="9"/>
  <c r="J449" i="9"/>
  <c r="J450" i="9"/>
  <c r="J451" i="9"/>
  <c r="J452" i="9"/>
  <c r="J453" i="9"/>
  <c r="J454" i="9"/>
  <c r="J455" i="9"/>
  <c r="J456" i="9"/>
  <c r="J457" i="9"/>
  <c r="J458" i="9"/>
  <c r="J459" i="9"/>
  <c r="J460" i="9"/>
  <c r="J461" i="9"/>
  <c r="J462" i="9"/>
  <c r="J463" i="9"/>
  <c r="J464" i="9"/>
  <c r="J465" i="9"/>
  <c r="J466" i="9"/>
  <c r="J467" i="9"/>
  <c r="J468" i="9"/>
  <c r="J469" i="9"/>
  <c r="J470" i="9"/>
  <c r="J471" i="9"/>
  <c r="J472" i="9"/>
  <c r="J473" i="9"/>
  <c r="J474" i="9"/>
  <c r="J475" i="9"/>
  <c r="J476" i="9"/>
  <c r="J477" i="9"/>
  <c r="J478" i="9"/>
  <c r="J479" i="9"/>
  <c r="J480" i="9"/>
  <c r="J481" i="9"/>
  <c r="J482" i="9"/>
  <c r="J483" i="9"/>
  <c r="J484" i="9"/>
  <c r="J485" i="9"/>
  <c r="J486" i="9"/>
  <c r="J487" i="9"/>
  <c r="J488" i="9"/>
  <c r="J489" i="9"/>
  <c r="J490" i="9"/>
  <c r="J491" i="9"/>
  <c r="J492" i="9"/>
  <c r="J493" i="9"/>
  <c r="J494" i="9"/>
  <c r="J495" i="9"/>
  <c r="J496" i="9"/>
  <c r="J497" i="9"/>
  <c r="J498" i="9"/>
  <c r="J499" i="9"/>
  <c r="J500" i="9"/>
  <c r="J501" i="9"/>
  <c r="J502" i="9"/>
  <c r="J503" i="9"/>
  <c r="J504" i="9"/>
  <c r="J505" i="9"/>
  <c r="J506" i="9"/>
  <c r="J507" i="9"/>
  <c r="J508" i="9"/>
  <c r="J509" i="9"/>
  <c r="J510" i="9"/>
  <c r="J511" i="9"/>
  <c r="J512" i="9"/>
  <c r="J513" i="9"/>
  <c r="J514" i="9"/>
  <c r="J515" i="9"/>
  <c r="J516" i="9"/>
  <c r="J517" i="9"/>
  <c r="J518" i="9"/>
  <c r="J519" i="9"/>
  <c r="J520" i="9"/>
  <c r="J521" i="9"/>
  <c r="J522" i="9"/>
  <c r="J523" i="9"/>
  <c r="J524" i="9"/>
  <c r="J525" i="9"/>
  <c r="J526" i="9"/>
  <c r="J527" i="9"/>
  <c r="J528" i="9"/>
  <c r="J529" i="9"/>
  <c r="J530" i="9"/>
  <c r="J531" i="9"/>
  <c r="J532" i="9"/>
  <c r="J533" i="9"/>
  <c r="J534" i="9"/>
  <c r="J535" i="9"/>
  <c r="J536" i="9"/>
  <c r="J537" i="9"/>
  <c r="J538" i="9"/>
  <c r="J539" i="9"/>
  <c r="J540" i="9"/>
  <c r="J541" i="9"/>
  <c r="J542" i="9"/>
  <c r="J543" i="9"/>
  <c r="J544" i="9"/>
  <c r="J545" i="9"/>
  <c r="J546" i="9"/>
  <c r="J547" i="9"/>
  <c r="J548" i="9"/>
  <c r="J549" i="9"/>
  <c r="J550" i="9"/>
  <c r="J551" i="9"/>
  <c r="J552" i="9"/>
  <c r="J553" i="9"/>
  <c r="J554" i="9"/>
  <c r="J555" i="9"/>
  <c r="J556" i="9"/>
  <c r="J557" i="9"/>
  <c r="J558" i="9"/>
  <c r="J559" i="9"/>
  <c r="J560" i="9"/>
  <c r="J561" i="9"/>
  <c r="J562" i="9"/>
  <c r="J563" i="9"/>
  <c r="J564" i="9"/>
  <c r="J565" i="9"/>
  <c r="J566" i="9"/>
  <c r="J567" i="9"/>
  <c r="J568" i="9"/>
  <c r="J569" i="9"/>
  <c r="J570" i="9"/>
  <c r="J571" i="9"/>
  <c r="J572" i="9"/>
  <c r="J573" i="9"/>
  <c r="J574" i="9"/>
  <c r="J575" i="9"/>
  <c r="J576" i="9"/>
  <c r="J577" i="9"/>
  <c r="J578" i="9"/>
  <c r="J579" i="9"/>
  <c r="J580" i="9"/>
  <c r="J581" i="9"/>
  <c r="J582" i="9"/>
  <c r="J583" i="9"/>
  <c r="J584" i="9"/>
  <c r="J585" i="9"/>
  <c r="J586" i="9"/>
  <c r="J587" i="9"/>
  <c r="J588" i="9"/>
  <c r="J589" i="9"/>
  <c r="J590" i="9"/>
  <c r="J591" i="9"/>
  <c r="J592" i="9"/>
  <c r="J593" i="9"/>
  <c r="J594" i="9"/>
  <c r="J595" i="9"/>
  <c r="J596" i="9"/>
  <c r="J597" i="9"/>
  <c r="J598" i="9"/>
  <c r="J599" i="9"/>
  <c r="J600" i="9"/>
  <c r="J601" i="9"/>
  <c r="J602" i="9"/>
  <c r="J603" i="9"/>
  <c r="J604" i="9"/>
  <c r="J605" i="9"/>
  <c r="J606" i="9"/>
  <c r="J607" i="9"/>
  <c r="J608" i="9"/>
  <c r="J609" i="9"/>
  <c r="J610" i="9"/>
  <c r="J611" i="9"/>
  <c r="J612" i="9"/>
  <c r="J613" i="9"/>
  <c r="J614" i="9"/>
  <c r="J615" i="9"/>
  <c r="J616" i="9"/>
  <c r="J617" i="9"/>
  <c r="J618" i="9"/>
  <c r="J619" i="9"/>
  <c r="J620" i="9"/>
  <c r="J621" i="9"/>
  <c r="J622" i="9"/>
  <c r="J623" i="9"/>
  <c r="J624" i="9"/>
  <c r="J625" i="9"/>
  <c r="J626" i="9"/>
  <c r="J627" i="9"/>
  <c r="J628" i="9"/>
  <c r="J629" i="9"/>
  <c r="J630" i="9"/>
  <c r="J631" i="9"/>
  <c r="J632" i="9"/>
  <c r="J633" i="9"/>
  <c r="J634" i="9"/>
  <c r="J635" i="9"/>
  <c r="J636" i="9"/>
  <c r="J637" i="9"/>
  <c r="J638" i="9"/>
  <c r="J639" i="9"/>
  <c r="J640" i="9"/>
  <c r="J641" i="9"/>
  <c r="J642" i="9"/>
  <c r="J643" i="9"/>
  <c r="J644" i="9"/>
  <c r="J645" i="9"/>
  <c r="J646" i="9"/>
  <c r="J647" i="9"/>
  <c r="J648" i="9"/>
  <c r="J649" i="9"/>
  <c r="J650" i="9"/>
  <c r="J651" i="9"/>
  <c r="J652" i="9"/>
  <c r="J653" i="9"/>
  <c r="J654" i="9"/>
  <c r="J655" i="9"/>
  <c r="J656" i="9"/>
  <c r="J657" i="9"/>
  <c r="J658" i="9"/>
  <c r="J659" i="9"/>
  <c r="J660" i="9"/>
  <c r="J661" i="9"/>
  <c r="J662" i="9"/>
  <c r="J663" i="9"/>
  <c r="J664" i="9"/>
  <c r="J665" i="9"/>
  <c r="J666" i="9"/>
  <c r="J667" i="9"/>
  <c r="J668" i="9"/>
  <c r="J669" i="9"/>
  <c r="J670" i="9"/>
  <c r="J671" i="9"/>
  <c r="J672" i="9"/>
  <c r="J673" i="9"/>
  <c r="J674" i="9"/>
  <c r="J675" i="9"/>
  <c r="J676" i="9"/>
  <c r="J677" i="9"/>
  <c r="J678" i="9"/>
  <c r="J679" i="9"/>
  <c r="J680" i="9"/>
  <c r="J681" i="9"/>
  <c r="J682" i="9"/>
  <c r="J683" i="9"/>
  <c r="J684" i="9"/>
  <c r="J685" i="9"/>
  <c r="J686" i="9"/>
  <c r="J687" i="9"/>
  <c r="J688" i="9"/>
  <c r="J689" i="9"/>
  <c r="J690" i="9"/>
  <c r="J691" i="9"/>
  <c r="J692" i="9"/>
  <c r="J693" i="9"/>
  <c r="J694" i="9"/>
  <c r="J695" i="9"/>
  <c r="J696" i="9"/>
  <c r="J697" i="9"/>
  <c r="J698" i="9"/>
  <c r="J699" i="9"/>
  <c r="J700" i="9"/>
  <c r="J701" i="9"/>
  <c r="J702" i="9"/>
  <c r="J703" i="9"/>
  <c r="J704" i="9"/>
  <c r="J705" i="9"/>
  <c r="J706" i="9"/>
  <c r="J707" i="9"/>
  <c r="J708" i="9"/>
  <c r="J709" i="9"/>
  <c r="J710" i="9"/>
  <c r="J711" i="9"/>
  <c r="J712" i="9"/>
  <c r="J713" i="9"/>
  <c r="J714" i="9"/>
  <c r="J715" i="9"/>
  <c r="J716" i="9"/>
  <c r="J717" i="9"/>
  <c r="J718" i="9"/>
  <c r="J719" i="9"/>
  <c r="J720" i="9"/>
  <c r="J721" i="9"/>
  <c r="J722" i="9"/>
  <c r="J723" i="9"/>
  <c r="J724" i="9"/>
  <c r="J725" i="9"/>
  <c r="J726" i="9"/>
  <c r="J727" i="9"/>
  <c r="J728" i="9"/>
  <c r="J729" i="9"/>
  <c r="J730" i="9"/>
  <c r="J731" i="9"/>
  <c r="J732" i="9"/>
  <c r="J733" i="9"/>
  <c r="J734" i="9"/>
  <c r="J735" i="9"/>
  <c r="J736" i="9"/>
  <c r="J737" i="9"/>
  <c r="J738" i="9"/>
  <c r="J739" i="9"/>
  <c r="J740" i="9"/>
  <c r="J741" i="9"/>
  <c r="J742" i="9"/>
  <c r="J743" i="9"/>
  <c r="J744" i="9"/>
  <c r="J745" i="9"/>
  <c r="J746" i="9"/>
  <c r="J747" i="9"/>
  <c r="J748" i="9"/>
  <c r="J749" i="9"/>
  <c r="J750" i="9"/>
  <c r="J751" i="9"/>
  <c r="J752" i="9"/>
  <c r="J753" i="9"/>
  <c r="J754" i="9"/>
  <c r="J755" i="9"/>
  <c r="J756" i="9"/>
  <c r="J757" i="9"/>
  <c r="J758" i="9"/>
  <c r="J759" i="9"/>
  <c r="J760" i="9"/>
  <c r="J761" i="9"/>
  <c r="J762" i="9"/>
  <c r="J763" i="9"/>
  <c r="J764" i="9"/>
  <c r="J765" i="9"/>
  <c r="J766" i="9"/>
  <c r="J767" i="9"/>
  <c r="J768" i="9"/>
  <c r="J769" i="9"/>
  <c r="J770" i="9"/>
  <c r="J771" i="9"/>
  <c r="J772" i="9"/>
  <c r="J773" i="9"/>
  <c r="J774" i="9"/>
  <c r="J775" i="9"/>
  <c r="J776" i="9"/>
  <c r="J777" i="9"/>
  <c r="J778" i="9"/>
  <c r="J779" i="9"/>
  <c r="J780" i="9"/>
  <c r="J781" i="9"/>
  <c r="J782" i="9"/>
  <c r="J783" i="9"/>
  <c r="J784" i="9"/>
  <c r="J785" i="9"/>
  <c r="J786" i="9"/>
  <c r="J787" i="9"/>
  <c r="J788" i="9"/>
  <c r="J789" i="9"/>
  <c r="J790" i="9"/>
  <c r="J791" i="9"/>
  <c r="J792" i="9"/>
  <c r="J793" i="9"/>
  <c r="J794" i="9"/>
  <c r="J795" i="9"/>
  <c r="J796" i="9"/>
  <c r="J797" i="9"/>
  <c r="J798" i="9"/>
  <c r="J799" i="9"/>
  <c r="J800" i="9"/>
  <c r="J801" i="9"/>
  <c r="J802" i="9"/>
  <c r="J803" i="9"/>
  <c r="J804" i="9"/>
  <c r="J805" i="9"/>
  <c r="J806" i="9"/>
  <c r="J807" i="9"/>
  <c r="J808" i="9"/>
  <c r="J809" i="9"/>
  <c r="J810" i="9"/>
  <c r="J811" i="9"/>
  <c r="J812" i="9"/>
  <c r="J813" i="9"/>
  <c r="J814" i="9"/>
  <c r="J815" i="9"/>
  <c r="J816" i="9"/>
  <c r="J817" i="9"/>
  <c r="J818" i="9"/>
  <c r="J819" i="9"/>
  <c r="J820" i="9"/>
  <c r="J821" i="9"/>
  <c r="J822" i="9"/>
  <c r="J823" i="9"/>
  <c r="J824" i="9"/>
  <c r="J825" i="9"/>
  <c r="J826" i="9"/>
  <c r="J827" i="9"/>
  <c r="J828" i="9"/>
  <c r="J829" i="9"/>
  <c r="J830" i="9"/>
  <c r="J831" i="9"/>
  <c r="J832" i="9"/>
  <c r="J833" i="9"/>
  <c r="J834" i="9"/>
  <c r="J835" i="9"/>
  <c r="J836" i="9"/>
  <c r="J837" i="9"/>
  <c r="J838" i="9"/>
  <c r="J839" i="9"/>
  <c r="J840" i="9"/>
  <c r="J841" i="9"/>
  <c r="J842" i="9"/>
  <c r="J843" i="9"/>
  <c r="J844" i="9"/>
  <c r="J845" i="9"/>
  <c r="J846" i="9"/>
  <c r="J847" i="9"/>
  <c r="J848" i="9"/>
  <c r="J849" i="9"/>
  <c r="J850" i="9"/>
  <c r="J851" i="9"/>
  <c r="J852" i="9"/>
  <c r="J853" i="9"/>
  <c r="J854" i="9"/>
  <c r="J855" i="9"/>
  <c r="J856" i="9"/>
  <c r="J857" i="9"/>
  <c r="J858" i="9"/>
  <c r="J859" i="9"/>
  <c r="J860" i="9"/>
  <c r="J861" i="9"/>
  <c r="J862" i="9"/>
  <c r="J863" i="9"/>
  <c r="J864" i="9"/>
  <c r="J865" i="9"/>
  <c r="J866" i="9"/>
  <c r="J867" i="9"/>
  <c r="J868" i="9"/>
  <c r="J869" i="9"/>
  <c r="J870" i="9"/>
  <c r="J871" i="9"/>
  <c r="J872" i="9"/>
  <c r="J873" i="9"/>
  <c r="J874" i="9"/>
  <c r="J875" i="9"/>
  <c r="J876" i="9"/>
  <c r="J877" i="9"/>
  <c r="J878" i="9"/>
  <c r="J879" i="9"/>
  <c r="J880" i="9"/>
  <c r="J881" i="9"/>
  <c r="J882" i="9"/>
  <c r="J883" i="9"/>
  <c r="J884" i="9"/>
  <c r="J885" i="9"/>
  <c r="J886" i="9"/>
  <c r="J887" i="9"/>
  <c r="J888" i="9"/>
  <c r="J889" i="9"/>
  <c r="J890" i="9"/>
  <c r="J891" i="9"/>
  <c r="J892" i="9"/>
  <c r="J893" i="9"/>
  <c r="J894" i="9"/>
  <c r="J895" i="9"/>
  <c r="J896" i="9"/>
  <c r="J897" i="9"/>
  <c r="J898" i="9"/>
  <c r="J899" i="9"/>
  <c r="J900" i="9"/>
  <c r="J901" i="9"/>
  <c r="J902" i="9"/>
  <c r="J903" i="9"/>
  <c r="J904" i="9"/>
  <c r="J905" i="9"/>
  <c r="J906" i="9"/>
  <c r="J907" i="9"/>
  <c r="J908" i="9"/>
  <c r="J909" i="9"/>
  <c r="J910" i="9"/>
  <c r="J911" i="9"/>
  <c r="J912" i="9"/>
  <c r="J913" i="9"/>
  <c r="J914" i="9"/>
  <c r="J915" i="9"/>
  <c r="J916" i="9"/>
  <c r="J917" i="9"/>
  <c r="J918" i="9"/>
  <c r="J919" i="9"/>
  <c r="J920" i="9"/>
  <c r="J921" i="9"/>
  <c r="J922" i="9"/>
  <c r="J923" i="9"/>
  <c r="J924" i="9"/>
  <c r="J925" i="9"/>
  <c r="J926" i="9"/>
  <c r="J927" i="9"/>
  <c r="J928" i="9"/>
  <c r="J929" i="9"/>
  <c r="J930" i="9"/>
  <c r="J931" i="9"/>
  <c r="J932" i="9"/>
  <c r="J933" i="9"/>
  <c r="J934" i="9"/>
  <c r="J935" i="9"/>
  <c r="J936" i="9"/>
  <c r="J937" i="9"/>
  <c r="J938" i="9"/>
  <c r="J939" i="9"/>
  <c r="J940" i="9"/>
  <c r="J941" i="9"/>
  <c r="J942" i="9"/>
  <c r="J943" i="9"/>
  <c r="J944" i="9"/>
  <c r="J945" i="9"/>
  <c r="J946" i="9"/>
  <c r="J947" i="9"/>
  <c r="J948" i="9"/>
  <c r="J949" i="9"/>
  <c r="J950" i="9"/>
  <c r="J951" i="9"/>
  <c r="J952" i="9"/>
  <c r="J953" i="9"/>
  <c r="J954" i="9"/>
  <c r="J955" i="9"/>
  <c r="J956" i="9"/>
  <c r="J957" i="9"/>
  <c r="J958" i="9"/>
  <c r="J959" i="9"/>
  <c r="J960" i="9"/>
  <c r="J961" i="9"/>
  <c r="J962" i="9"/>
  <c r="J963" i="9"/>
  <c r="J964" i="9"/>
  <c r="J965" i="9"/>
  <c r="J966" i="9"/>
  <c r="J967" i="9"/>
  <c r="J968" i="9"/>
  <c r="J969" i="9"/>
  <c r="J970" i="9"/>
  <c r="J971" i="9"/>
  <c r="J972" i="9"/>
  <c r="J973" i="9"/>
  <c r="J974" i="9"/>
  <c r="J975" i="9"/>
  <c r="J976" i="9"/>
  <c r="J977" i="9"/>
  <c r="J978" i="9"/>
  <c r="J979" i="9"/>
  <c r="J980" i="9"/>
  <c r="J981" i="9"/>
  <c r="J982" i="9"/>
  <c r="J983" i="9"/>
  <c r="J984" i="9"/>
  <c r="J985" i="9"/>
  <c r="J986" i="9"/>
  <c r="J987" i="9"/>
  <c r="J988" i="9"/>
  <c r="J989" i="9"/>
  <c r="J990" i="9"/>
  <c r="J991" i="9"/>
  <c r="J992" i="9"/>
  <c r="J993" i="9"/>
  <c r="J994" i="9"/>
  <c r="J995" i="9"/>
  <c r="J996" i="9"/>
  <c r="J997" i="9"/>
  <c r="J998" i="9"/>
  <c r="J999" i="9"/>
  <c r="J1000" i="9"/>
  <c r="J1001" i="9"/>
  <c r="J1002" i="9"/>
  <c r="J1003" i="9"/>
  <c r="J1004" i="9"/>
  <c r="J1005" i="9"/>
  <c r="J1006" i="9"/>
  <c r="J1007" i="9"/>
  <c r="J1008" i="9"/>
  <c r="J1009" i="9"/>
  <c r="J1010" i="9"/>
  <c r="J1011" i="9"/>
  <c r="J1012" i="9"/>
  <c r="J1013" i="9"/>
  <c r="J1014" i="9"/>
  <c r="J1015" i="9"/>
  <c r="J1016" i="9"/>
  <c r="J1017" i="9"/>
  <c r="J1018" i="9"/>
  <c r="J1019" i="9"/>
  <c r="J1020" i="9"/>
  <c r="J1021" i="9"/>
  <c r="J1022" i="9"/>
  <c r="J1023" i="9"/>
  <c r="J1024" i="9"/>
  <c r="J1025" i="9"/>
  <c r="J1026" i="9"/>
  <c r="J1027" i="9"/>
  <c r="J1028" i="9"/>
  <c r="J1029" i="9"/>
  <c r="J1030" i="9"/>
  <c r="J1031" i="9"/>
  <c r="J1032" i="9"/>
  <c r="J1033" i="9"/>
  <c r="J1034" i="9"/>
  <c r="J1035" i="9"/>
  <c r="J1036" i="9"/>
  <c r="J1037" i="9"/>
  <c r="J1038" i="9"/>
  <c r="J1039" i="9"/>
  <c r="J1040" i="9"/>
  <c r="J1041" i="9"/>
  <c r="J1042" i="9"/>
  <c r="J1043" i="9"/>
  <c r="J1044" i="9"/>
  <c r="J1045" i="9"/>
  <c r="J1046" i="9"/>
  <c r="J1047" i="9"/>
  <c r="J1048" i="9"/>
  <c r="J1049" i="9"/>
  <c r="J1050" i="9"/>
  <c r="J1051" i="9"/>
  <c r="J1052" i="9"/>
  <c r="J1053" i="9"/>
  <c r="J1054" i="9"/>
  <c r="J1055" i="9"/>
  <c r="J1056" i="9"/>
  <c r="J1057" i="9"/>
  <c r="J1058" i="9"/>
  <c r="J1059" i="9"/>
  <c r="J1060" i="9"/>
  <c r="J1061" i="9"/>
  <c r="J1062" i="9"/>
  <c r="J1063" i="9"/>
  <c r="J1064" i="9"/>
  <c r="J1065" i="9"/>
  <c r="J1066" i="9"/>
  <c r="J1067" i="9"/>
  <c r="J1068" i="9"/>
  <c r="J1069" i="9"/>
  <c r="J1070" i="9"/>
  <c r="J1071" i="9"/>
  <c r="J1072" i="9"/>
  <c r="J1073" i="9"/>
  <c r="J1074" i="9"/>
  <c r="J1075" i="9"/>
  <c r="J1076" i="9"/>
  <c r="J1077" i="9"/>
  <c r="J1078" i="9"/>
  <c r="J1079" i="9"/>
  <c r="J1080" i="9"/>
  <c r="J1081" i="9"/>
  <c r="J1082" i="9"/>
  <c r="J1083" i="9"/>
  <c r="J1084" i="9"/>
  <c r="J1085" i="9"/>
  <c r="J1086" i="9"/>
  <c r="J1087" i="9"/>
  <c r="J1088" i="9"/>
  <c r="J1089" i="9"/>
  <c r="J1090" i="9"/>
  <c r="J1091" i="9"/>
  <c r="J1092" i="9"/>
  <c r="J1093" i="9"/>
  <c r="J1094" i="9"/>
  <c r="J1095" i="9"/>
  <c r="J1096" i="9"/>
  <c r="J1097" i="9"/>
  <c r="J1098" i="9"/>
  <c r="J1099" i="9"/>
  <c r="J1100" i="9"/>
  <c r="J1101" i="9"/>
  <c r="J1102" i="9"/>
  <c r="J1103" i="9"/>
  <c r="J1104" i="9"/>
  <c r="J1105" i="9"/>
  <c r="J1106" i="9"/>
  <c r="J1107" i="9"/>
  <c r="J1108" i="9"/>
  <c r="J1109" i="9"/>
  <c r="J1110" i="9"/>
  <c r="J1111" i="9"/>
  <c r="J1112" i="9"/>
  <c r="J1113" i="9"/>
  <c r="J1114" i="9"/>
  <c r="J1115" i="9"/>
  <c r="J1116" i="9"/>
  <c r="J1117" i="9"/>
  <c r="J1118" i="9"/>
  <c r="J1119" i="9"/>
  <c r="J1120" i="9"/>
  <c r="J1121" i="9"/>
  <c r="J1122" i="9"/>
  <c r="J1123" i="9"/>
  <c r="J1124" i="9"/>
  <c r="J1125" i="9"/>
  <c r="J1126" i="9"/>
  <c r="J1127" i="9"/>
  <c r="J1128" i="9"/>
  <c r="J1129" i="9"/>
  <c r="J1130" i="9"/>
  <c r="J1131" i="9"/>
  <c r="J1132" i="9"/>
  <c r="J1133" i="9"/>
  <c r="J1134" i="9"/>
  <c r="J1135" i="9"/>
  <c r="J1136" i="9"/>
  <c r="J1137" i="9"/>
  <c r="J1138" i="9"/>
  <c r="J1139" i="9"/>
  <c r="J1140" i="9"/>
  <c r="J1141" i="9"/>
  <c r="J1142" i="9"/>
  <c r="J1143" i="9"/>
  <c r="J1144" i="9"/>
  <c r="J1145" i="9"/>
  <c r="J1146" i="9"/>
  <c r="J1147" i="9"/>
  <c r="J1148" i="9"/>
  <c r="J1149" i="9"/>
  <c r="J1150" i="9"/>
  <c r="J1151" i="9"/>
  <c r="J1152" i="9"/>
  <c r="J1153" i="9"/>
  <c r="J1154" i="9"/>
  <c r="J1155" i="9"/>
  <c r="J1156" i="9"/>
  <c r="J1157" i="9"/>
  <c r="J1158" i="9"/>
  <c r="J1159" i="9"/>
  <c r="J1160" i="9"/>
  <c r="J1161" i="9"/>
  <c r="J1162" i="9"/>
  <c r="J1163" i="9"/>
  <c r="J1164" i="9"/>
  <c r="J1165" i="9"/>
  <c r="J1166" i="9"/>
  <c r="J1167" i="9"/>
  <c r="J1168" i="9"/>
  <c r="J1169" i="9"/>
  <c r="J1170" i="9"/>
  <c r="J1171" i="9"/>
  <c r="J1172" i="9"/>
  <c r="J1173" i="9"/>
  <c r="J1174" i="9"/>
  <c r="J1175" i="9"/>
  <c r="J1176" i="9"/>
  <c r="J1177" i="9"/>
  <c r="J1178" i="9"/>
  <c r="J1179" i="9"/>
  <c r="J1180" i="9"/>
  <c r="J1181" i="9"/>
  <c r="J1182" i="9"/>
  <c r="J1183" i="9"/>
  <c r="J1184" i="9"/>
  <c r="J1185" i="9"/>
  <c r="J1186" i="9"/>
  <c r="J1187" i="9"/>
  <c r="J1188" i="9"/>
  <c r="J1189" i="9"/>
  <c r="J1190" i="9"/>
  <c r="J1191" i="9"/>
  <c r="J1192" i="9"/>
  <c r="J1193" i="9"/>
  <c r="J1194" i="9"/>
  <c r="J1195" i="9"/>
  <c r="J1196" i="9"/>
  <c r="J1197" i="9"/>
  <c r="J1198" i="9"/>
  <c r="J1199" i="9"/>
  <c r="J1200" i="9"/>
  <c r="J1201" i="9"/>
  <c r="J1202" i="9"/>
  <c r="J1203" i="9"/>
  <c r="J1204" i="9"/>
  <c r="J1205" i="9"/>
  <c r="J1206" i="9"/>
  <c r="J1207" i="9"/>
  <c r="J1208" i="9"/>
  <c r="J1209" i="9"/>
  <c r="J1210" i="9"/>
  <c r="J1211" i="9"/>
  <c r="J1212" i="9"/>
  <c r="J1213" i="9"/>
  <c r="J1214" i="9"/>
  <c r="J1215" i="9"/>
  <c r="J1216" i="9"/>
  <c r="J1217" i="9"/>
  <c r="J1218" i="9"/>
  <c r="J1219" i="9"/>
  <c r="J1220" i="9"/>
  <c r="J1221" i="9"/>
  <c r="J1222" i="9"/>
  <c r="J1223" i="9"/>
  <c r="J1224" i="9"/>
  <c r="J1225" i="9"/>
  <c r="J1226" i="9"/>
  <c r="J1227" i="9"/>
  <c r="J1228" i="9"/>
  <c r="J1229" i="9"/>
  <c r="J1230" i="9"/>
  <c r="J1231" i="9"/>
  <c r="J1232" i="9"/>
  <c r="J1233" i="9"/>
  <c r="J1234" i="9"/>
  <c r="J1235" i="9"/>
  <c r="J1236" i="9"/>
  <c r="J1237" i="9"/>
  <c r="J1238" i="9"/>
  <c r="J1239" i="9"/>
  <c r="J1240" i="9"/>
  <c r="J1241" i="9"/>
  <c r="J1242" i="9"/>
  <c r="J1243" i="9"/>
  <c r="J1244" i="9"/>
  <c r="J1245" i="9"/>
  <c r="J1246" i="9"/>
  <c r="J1247" i="9"/>
  <c r="J1248" i="9"/>
  <c r="J1249" i="9"/>
  <c r="J1250" i="9"/>
  <c r="J1251" i="9"/>
  <c r="J1252" i="9"/>
  <c r="J1253" i="9"/>
  <c r="J1254" i="9"/>
  <c r="J1255" i="9"/>
  <c r="J1256" i="9"/>
  <c r="J1257" i="9"/>
  <c r="J1258" i="9"/>
  <c r="J1259" i="9"/>
  <c r="J1260" i="9"/>
  <c r="J1261" i="9"/>
  <c r="J1262" i="9"/>
  <c r="J1263" i="9"/>
  <c r="J1264" i="9"/>
  <c r="J1265" i="9"/>
  <c r="J1266" i="9"/>
  <c r="J1267" i="9"/>
  <c r="J1268" i="9"/>
  <c r="J1269" i="9"/>
  <c r="J1270" i="9"/>
  <c r="J1271" i="9"/>
  <c r="J1272" i="9"/>
  <c r="J1273" i="9"/>
  <c r="J1274" i="9"/>
  <c r="J1275" i="9"/>
  <c r="J1276" i="9"/>
  <c r="J1277" i="9"/>
  <c r="J1278" i="9"/>
  <c r="J1279" i="9"/>
  <c r="J1280" i="9"/>
  <c r="J1281" i="9"/>
  <c r="J1282" i="9"/>
  <c r="J1283" i="9"/>
  <c r="J1284" i="9"/>
  <c r="J1285" i="9"/>
  <c r="J1286" i="9"/>
  <c r="J1287" i="9"/>
  <c r="J1288" i="9"/>
  <c r="J1289" i="9"/>
  <c r="J1290" i="9"/>
  <c r="J1291" i="9"/>
  <c r="J1292" i="9"/>
  <c r="J1293" i="9"/>
  <c r="J1294" i="9"/>
  <c r="J1295" i="9"/>
  <c r="J1296" i="9"/>
  <c r="J1297" i="9"/>
  <c r="J1298" i="9"/>
  <c r="J1299" i="9"/>
  <c r="J1300" i="9"/>
  <c r="J1301" i="9"/>
  <c r="J1302" i="9"/>
  <c r="J1303" i="9"/>
  <c r="J1304" i="9"/>
  <c r="J1305" i="9"/>
  <c r="J1306" i="9"/>
  <c r="J1307" i="9"/>
  <c r="J1308" i="9"/>
  <c r="J1309" i="9"/>
  <c r="J1310" i="9"/>
  <c r="J1311" i="9"/>
  <c r="J1312" i="9"/>
  <c r="J1313" i="9"/>
  <c r="J1314" i="9"/>
  <c r="J1315" i="9"/>
  <c r="J1316" i="9"/>
  <c r="J1317" i="9"/>
  <c r="J1318" i="9"/>
  <c r="J1319" i="9"/>
  <c r="J1320" i="9"/>
  <c r="J1321" i="9"/>
  <c r="J1322" i="9"/>
  <c r="J1323" i="9"/>
  <c r="J1324" i="9"/>
  <c r="J1325" i="9"/>
  <c r="J1326" i="9"/>
  <c r="J1327" i="9"/>
  <c r="J1328" i="9"/>
  <c r="J1329" i="9"/>
  <c r="J1330" i="9"/>
  <c r="J1331" i="9"/>
  <c r="J1332" i="9"/>
  <c r="J1333" i="9"/>
  <c r="J1334" i="9"/>
  <c r="J1335" i="9"/>
  <c r="J1336" i="9"/>
  <c r="J1337" i="9"/>
  <c r="J1338" i="9"/>
  <c r="J1339" i="9"/>
  <c r="J1340" i="9"/>
  <c r="J1341" i="9"/>
  <c r="J1342" i="9"/>
  <c r="J1343" i="9"/>
  <c r="J1344" i="9"/>
  <c r="J1345" i="9"/>
  <c r="J1346" i="9"/>
  <c r="J1347" i="9"/>
  <c r="J1348" i="9"/>
  <c r="J1349" i="9"/>
  <c r="J1350" i="9"/>
  <c r="J1351" i="9"/>
  <c r="J1352" i="9"/>
  <c r="J1353" i="9"/>
  <c r="J1354" i="9"/>
  <c r="J1355" i="9"/>
  <c r="J1356" i="9"/>
  <c r="J1357" i="9"/>
  <c r="J1358" i="9"/>
  <c r="J1359" i="9"/>
  <c r="J1360" i="9"/>
  <c r="J1361" i="9"/>
  <c r="J1362" i="9"/>
  <c r="J1363" i="9"/>
  <c r="J1364" i="9"/>
  <c r="J1365" i="9"/>
  <c r="J1366" i="9"/>
  <c r="J1367" i="9"/>
  <c r="J1368" i="9"/>
  <c r="J1369" i="9"/>
  <c r="J1370" i="9"/>
  <c r="J1371" i="9"/>
  <c r="J1372" i="9"/>
  <c r="J1373" i="9"/>
  <c r="J1374" i="9"/>
  <c r="J1375" i="9"/>
  <c r="J1376" i="9"/>
  <c r="J1377" i="9"/>
  <c r="J1378" i="9"/>
  <c r="J1379" i="9"/>
  <c r="J1380" i="9"/>
  <c r="J1381" i="9"/>
  <c r="J1382" i="9"/>
  <c r="J1383" i="9"/>
  <c r="J1384" i="9"/>
  <c r="J1385" i="9"/>
  <c r="J1386" i="9"/>
  <c r="J1387" i="9"/>
  <c r="J1388" i="9"/>
  <c r="J1389" i="9"/>
  <c r="J1390" i="9"/>
  <c r="J1391" i="9"/>
  <c r="J1392" i="9"/>
  <c r="J1393" i="9"/>
  <c r="J1394" i="9"/>
  <c r="J1395" i="9"/>
  <c r="J1396" i="9"/>
  <c r="J1397" i="9"/>
  <c r="J1398" i="9"/>
  <c r="J1399" i="9"/>
  <c r="J1400" i="9"/>
  <c r="J1401" i="9"/>
  <c r="J1402" i="9"/>
  <c r="J1403" i="9"/>
  <c r="J1404" i="9"/>
  <c r="J1405" i="9"/>
  <c r="J1406" i="9"/>
  <c r="J1407" i="9"/>
  <c r="J1408" i="9"/>
  <c r="J1409" i="9"/>
  <c r="J1410" i="9"/>
  <c r="J1411" i="9"/>
  <c r="J1412" i="9"/>
  <c r="J1413" i="9"/>
  <c r="J1414" i="9"/>
  <c r="J1415" i="9"/>
  <c r="J1416" i="9"/>
  <c r="J1417" i="9"/>
  <c r="J1418" i="9"/>
  <c r="J1419" i="9"/>
  <c r="J1420" i="9"/>
  <c r="J1421" i="9"/>
  <c r="J1422" i="9"/>
  <c r="J1423" i="9"/>
  <c r="J1424" i="9"/>
  <c r="J1425" i="9"/>
  <c r="J1426" i="9"/>
  <c r="J1427" i="9"/>
  <c r="J1428" i="9"/>
  <c r="J1429" i="9"/>
  <c r="J1430" i="9"/>
  <c r="J1431" i="9"/>
  <c r="J1432" i="9"/>
  <c r="J1433" i="9"/>
  <c r="J1434" i="9"/>
  <c r="J1435" i="9"/>
  <c r="J1436" i="9"/>
  <c r="J1437" i="9"/>
  <c r="J1438" i="9"/>
  <c r="J1439" i="9"/>
  <c r="J1440" i="9"/>
  <c r="J1441" i="9"/>
  <c r="J1442" i="9"/>
  <c r="J1443" i="9"/>
  <c r="J1444" i="9"/>
  <c r="J1445" i="9"/>
  <c r="J1446" i="9"/>
  <c r="J1447" i="9"/>
  <c r="J1448" i="9"/>
  <c r="J1449" i="9"/>
  <c r="J1450" i="9"/>
  <c r="J1451" i="9"/>
  <c r="J1452" i="9"/>
  <c r="J1453" i="9"/>
  <c r="J1454" i="9"/>
  <c r="J1455" i="9"/>
  <c r="J1456" i="9"/>
  <c r="J1457" i="9"/>
  <c r="J1458" i="9"/>
  <c r="J1459" i="9"/>
  <c r="J1460" i="9"/>
  <c r="J1461" i="9"/>
  <c r="J1462" i="9"/>
  <c r="J1463" i="9"/>
  <c r="J1464" i="9"/>
  <c r="J1465" i="9"/>
  <c r="J1466" i="9"/>
  <c r="J1467" i="9"/>
  <c r="J1468" i="9"/>
  <c r="J1469" i="9"/>
  <c r="J1470" i="9"/>
  <c r="J1471" i="9"/>
  <c r="J1472" i="9"/>
  <c r="J1473" i="9"/>
  <c r="J1474" i="9"/>
  <c r="J1475" i="9"/>
  <c r="J1476" i="9"/>
  <c r="J1477" i="9"/>
  <c r="J1478" i="9"/>
  <c r="J1479" i="9"/>
  <c r="J1480" i="9"/>
  <c r="J1481" i="9"/>
  <c r="J1482" i="9"/>
  <c r="J1483" i="9"/>
  <c r="J1484" i="9"/>
  <c r="J1485" i="9"/>
  <c r="J1486" i="9"/>
  <c r="J1487" i="9"/>
  <c r="J1488" i="9"/>
  <c r="J1489" i="9"/>
  <c r="J1490" i="9"/>
  <c r="J1491" i="9"/>
  <c r="J1492" i="9"/>
  <c r="J1493" i="9"/>
  <c r="J1494" i="9"/>
  <c r="J1495" i="9"/>
  <c r="J1496" i="9"/>
  <c r="J1497" i="9"/>
  <c r="J1498" i="9"/>
  <c r="J1499" i="9"/>
  <c r="J1500" i="9"/>
  <c r="J1501" i="9"/>
  <c r="J1502" i="9"/>
  <c r="J1503" i="9"/>
  <c r="J1504" i="9"/>
  <c r="J1505" i="9"/>
  <c r="J1506" i="9"/>
  <c r="J1507" i="9"/>
  <c r="J1508" i="9"/>
  <c r="J1509" i="9"/>
  <c r="J1510" i="9"/>
  <c r="J1511" i="9"/>
  <c r="J1512" i="9"/>
  <c r="J1513" i="9"/>
  <c r="J1514" i="9"/>
  <c r="J1515" i="9"/>
  <c r="J1516" i="9"/>
  <c r="J1517" i="9"/>
  <c r="J1518" i="9"/>
  <c r="J1519" i="9"/>
  <c r="J1520" i="9"/>
  <c r="J1521" i="9"/>
  <c r="J1522" i="9"/>
  <c r="J1523" i="9"/>
  <c r="J1524" i="9"/>
  <c r="J1525" i="9"/>
  <c r="J1526" i="9"/>
  <c r="J1527" i="9"/>
  <c r="J1528" i="9"/>
  <c r="J1529" i="9"/>
  <c r="J1530" i="9"/>
  <c r="J1531" i="9"/>
  <c r="J1532" i="9"/>
  <c r="J1533" i="9"/>
  <c r="J1534" i="9"/>
  <c r="J1535" i="9"/>
  <c r="J1536" i="9"/>
  <c r="J1537" i="9"/>
  <c r="J1538" i="9"/>
  <c r="J1539" i="9"/>
  <c r="J1540" i="9"/>
  <c r="J1541" i="9"/>
  <c r="J1542" i="9"/>
  <c r="J1543" i="9"/>
  <c r="J1544" i="9"/>
  <c r="J1545" i="9"/>
  <c r="J1546" i="9"/>
  <c r="J1547" i="9"/>
  <c r="J1548" i="9"/>
  <c r="J1549" i="9"/>
  <c r="J1550" i="9"/>
  <c r="J1551" i="9"/>
  <c r="J1552" i="9"/>
  <c r="J1553" i="9"/>
  <c r="J1554" i="9"/>
  <c r="J1555" i="9"/>
  <c r="J1556" i="9"/>
  <c r="J1557" i="9"/>
  <c r="J1558" i="9"/>
  <c r="J1559" i="9"/>
  <c r="J1560" i="9"/>
  <c r="J1561" i="9"/>
  <c r="J1562" i="9"/>
  <c r="J1563" i="9"/>
  <c r="J1564" i="9"/>
  <c r="J1565" i="9"/>
  <c r="J1566" i="9"/>
  <c r="J1567" i="9"/>
  <c r="J1568" i="9"/>
  <c r="J1569" i="9"/>
  <c r="J1570" i="9"/>
  <c r="J1571" i="9"/>
  <c r="J1572" i="9"/>
  <c r="J1573" i="9"/>
  <c r="J1574" i="9"/>
  <c r="J1575" i="9"/>
  <c r="J1576" i="9"/>
  <c r="J1577" i="9"/>
  <c r="J1578" i="9"/>
  <c r="J1579" i="9"/>
  <c r="J1580" i="9"/>
  <c r="J1581" i="9"/>
  <c r="J1582" i="9"/>
  <c r="J1583" i="9"/>
  <c r="J1584" i="9"/>
  <c r="J1585" i="9"/>
  <c r="J1586" i="9"/>
  <c r="J1587" i="9"/>
  <c r="J1588" i="9"/>
  <c r="J1589" i="9"/>
  <c r="J1590" i="9"/>
  <c r="J1591" i="9"/>
  <c r="J1592" i="9"/>
  <c r="J1593" i="9"/>
  <c r="J1594" i="9"/>
  <c r="J1595" i="9"/>
  <c r="J1596" i="9"/>
  <c r="J1597" i="9"/>
  <c r="J1598" i="9"/>
  <c r="J1599" i="9"/>
  <c r="J1600" i="9"/>
  <c r="J1601" i="9"/>
  <c r="J1602" i="9"/>
  <c r="J1603" i="9"/>
  <c r="J1604" i="9"/>
  <c r="J1605" i="9"/>
  <c r="J1606" i="9"/>
  <c r="J1607" i="9"/>
  <c r="J1608" i="9"/>
  <c r="J1609" i="9"/>
  <c r="J1610" i="9"/>
  <c r="J1611" i="9"/>
  <c r="J1612" i="9"/>
  <c r="J1613" i="9"/>
  <c r="J1614" i="9"/>
  <c r="J1615" i="9"/>
  <c r="J1616" i="9"/>
  <c r="J1617" i="9"/>
  <c r="J1618" i="9"/>
  <c r="J1619" i="9"/>
  <c r="J1620" i="9"/>
  <c r="J1621" i="9"/>
  <c r="J1622" i="9"/>
  <c r="J1623" i="9"/>
  <c r="J1624" i="9"/>
  <c r="J1625" i="9"/>
  <c r="J1626" i="9"/>
  <c r="J1627" i="9"/>
  <c r="J1628" i="9"/>
  <c r="J1629" i="9"/>
  <c r="J1630" i="9"/>
  <c r="J1631" i="9"/>
  <c r="J1632" i="9"/>
  <c r="J1633" i="9"/>
  <c r="J1634" i="9"/>
  <c r="J1635" i="9"/>
  <c r="J1636" i="9"/>
  <c r="J1637" i="9"/>
  <c r="J1638" i="9"/>
  <c r="J1639" i="9"/>
  <c r="J1640" i="9"/>
  <c r="J1641" i="9"/>
  <c r="J1642" i="9"/>
  <c r="J1643" i="9"/>
  <c r="J1644" i="9"/>
  <c r="J1645" i="9"/>
  <c r="J1646" i="9"/>
  <c r="J1647" i="9"/>
  <c r="J1648" i="9"/>
  <c r="J1649" i="9"/>
  <c r="J1650" i="9"/>
  <c r="J1651" i="9"/>
  <c r="J1652" i="9"/>
  <c r="J1653" i="9"/>
  <c r="J1654" i="9"/>
  <c r="J1655" i="9"/>
  <c r="J1656" i="9"/>
  <c r="J1657" i="9"/>
  <c r="J1658" i="9"/>
  <c r="J1659" i="9"/>
  <c r="J1660" i="9"/>
  <c r="J1661" i="9"/>
  <c r="J1662" i="9"/>
  <c r="J1663" i="9"/>
  <c r="J1664" i="9"/>
  <c r="J1665" i="9"/>
  <c r="J1666" i="9"/>
  <c r="J1667" i="9"/>
  <c r="J1668" i="9"/>
  <c r="J1669" i="9"/>
  <c r="J1670" i="9"/>
  <c r="J1671" i="9"/>
  <c r="J1672" i="9"/>
  <c r="J1673" i="9"/>
  <c r="J1674" i="9"/>
  <c r="J1675" i="9"/>
  <c r="J1676" i="9"/>
  <c r="J1677" i="9"/>
  <c r="J1678" i="9"/>
  <c r="J1679" i="9"/>
  <c r="J1680" i="9"/>
  <c r="J1681" i="9"/>
  <c r="J1682" i="9"/>
  <c r="J1683" i="9"/>
  <c r="J1684" i="9"/>
  <c r="J1685" i="9"/>
  <c r="J1686" i="9"/>
  <c r="J1687" i="9"/>
  <c r="J1688" i="9"/>
  <c r="J1689" i="9"/>
  <c r="J1690" i="9"/>
  <c r="J1691" i="9"/>
  <c r="J1692" i="9"/>
  <c r="J1693" i="9"/>
  <c r="J1694" i="9"/>
  <c r="J1695" i="9"/>
  <c r="J1696" i="9"/>
  <c r="J1697" i="9"/>
  <c r="J1698" i="9"/>
  <c r="J1699" i="9"/>
  <c r="J1700" i="9"/>
  <c r="J1701" i="9"/>
  <c r="J1702" i="9"/>
  <c r="J1703" i="9"/>
  <c r="J1704" i="9"/>
  <c r="J1705" i="9"/>
  <c r="J1706" i="9"/>
  <c r="J1707" i="9"/>
  <c r="J1708" i="9"/>
  <c r="J1709" i="9"/>
  <c r="J1710" i="9"/>
  <c r="J1711" i="9"/>
  <c r="J1712" i="9"/>
  <c r="J1713" i="9"/>
  <c r="J1714" i="9"/>
  <c r="J1715" i="9"/>
  <c r="J1716" i="9"/>
  <c r="J1717" i="9"/>
  <c r="J1718" i="9"/>
  <c r="J1719" i="9"/>
  <c r="J1720" i="9"/>
  <c r="J1721" i="9"/>
  <c r="J1722" i="9"/>
  <c r="J1723" i="9"/>
  <c r="J1724" i="9"/>
  <c r="J1725" i="9"/>
  <c r="J1726" i="9"/>
  <c r="J1727" i="9"/>
  <c r="J1728" i="9"/>
  <c r="J1729" i="9"/>
  <c r="J1730" i="9"/>
  <c r="J1731" i="9"/>
  <c r="J1732" i="9"/>
  <c r="J1733" i="9"/>
  <c r="J1734" i="9"/>
  <c r="J1735" i="9"/>
  <c r="J1736" i="9"/>
  <c r="J1737" i="9"/>
  <c r="J1738" i="9"/>
  <c r="J1739" i="9"/>
  <c r="J1740" i="9"/>
  <c r="J1741" i="9"/>
  <c r="J1742" i="9"/>
  <c r="J1743" i="9"/>
  <c r="J1744" i="9"/>
  <c r="J1745" i="9"/>
  <c r="J1746" i="9"/>
  <c r="J1747" i="9"/>
  <c r="J1748" i="9"/>
  <c r="J1749" i="9"/>
  <c r="J1750" i="9"/>
  <c r="J1751" i="9"/>
  <c r="J1752" i="9"/>
  <c r="J1753" i="9"/>
  <c r="J1754" i="9"/>
  <c r="J1755" i="9"/>
  <c r="J1756" i="9"/>
  <c r="J1757" i="9"/>
  <c r="J1758" i="9"/>
  <c r="J1759" i="9"/>
  <c r="J1760" i="9"/>
  <c r="J1761" i="9"/>
  <c r="J1762" i="9"/>
  <c r="J1763" i="9"/>
  <c r="J1764" i="9"/>
  <c r="J1765" i="9"/>
  <c r="J1766" i="9"/>
  <c r="J1767" i="9"/>
  <c r="J1768" i="9"/>
  <c r="J1769" i="9"/>
  <c r="J1770" i="9"/>
  <c r="J1771" i="9"/>
  <c r="J1772" i="9"/>
  <c r="J1773" i="9"/>
  <c r="J1774" i="9"/>
  <c r="J1775" i="9"/>
  <c r="J1776" i="9"/>
  <c r="J1777" i="9"/>
  <c r="J1778" i="9"/>
  <c r="J1779" i="9"/>
  <c r="J1780" i="9"/>
  <c r="J1781" i="9"/>
  <c r="J1782" i="9"/>
  <c r="J1783" i="9"/>
  <c r="J1784" i="9"/>
  <c r="J1785" i="9"/>
  <c r="J1786" i="9"/>
  <c r="J1787" i="9"/>
  <c r="J1788" i="9"/>
  <c r="J1789" i="9"/>
  <c r="J1790" i="9"/>
  <c r="J1791" i="9"/>
  <c r="J1792" i="9"/>
  <c r="J1793" i="9"/>
  <c r="J1794" i="9"/>
  <c r="J1795" i="9"/>
  <c r="J1796" i="9"/>
  <c r="J1797" i="9"/>
  <c r="J1798" i="9"/>
  <c r="J1799" i="9"/>
  <c r="J1800" i="9"/>
  <c r="J1801" i="9"/>
  <c r="J1802" i="9"/>
  <c r="J1803" i="9"/>
  <c r="J1804" i="9"/>
  <c r="J1805" i="9"/>
  <c r="J1806" i="9"/>
  <c r="J1807" i="9"/>
  <c r="J1808" i="9"/>
  <c r="J1809" i="9"/>
  <c r="J1810" i="9"/>
  <c r="J1811" i="9"/>
  <c r="J1812" i="9"/>
  <c r="J1813" i="9"/>
  <c r="J1814" i="9"/>
  <c r="J1815" i="9"/>
  <c r="J1816" i="9"/>
  <c r="J1817" i="9"/>
  <c r="J1818" i="9"/>
  <c r="J1819" i="9"/>
  <c r="J1820" i="9"/>
  <c r="J1821" i="9"/>
  <c r="J1822" i="9"/>
  <c r="J1823" i="9"/>
  <c r="J1824" i="9"/>
  <c r="J1825" i="9"/>
  <c r="J1826" i="9"/>
  <c r="J1827" i="9"/>
  <c r="J1828" i="9"/>
  <c r="J1829" i="9"/>
  <c r="J1830" i="9"/>
  <c r="J1831" i="9"/>
  <c r="J1832" i="9"/>
  <c r="J1833" i="9"/>
  <c r="J1834" i="9"/>
  <c r="J1835" i="9"/>
  <c r="J1836" i="9"/>
  <c r="J1837" i="9"/>
  <c r="J1838" i="9"/>
  <c r="J1839" i="9"/>
  <c r="J1840" i="9"/>
  <c r="J1841" i="9"/>
  <c r="J1842" i="9"/>
  <c r="J1843" i="9"/>
  <c r="J1844" i="9"/>
  <c r="J1845" i="9"/>
  <c r="J1846" i="9"/>
  <c r="J1847" i="9"/>
  <c r="J1848" i="9"/>
  <c r="J1849" i="9"/>
  <c r="J1850" i="9"/>
  <c r="J1851" i="9"/>
  <c r="J1852" i="9"/>
  <c r="J1853" i="9"/>
  <c r="J1854" i="9"/>
  <c r="J1855" i="9"/>
  <c r="J1856" i="9"/>
  <c r="J1857" i="9"/>
  <c r="J1858" i="9"/>
  <c r="J1859" i="9"/>
  <c r="J1860" i="9"/>
  <c r="J1861" i="9"/>
  <c r="J1862" i="9"/>
  <c r="J1863" i="9"/>
  <c r="J1864" i="9"/>
  <c r="J1865" i="9"/>
  <c r="J1866" i="9"/>
  <c r="J1867" i="9"/>
  <c r="J1868" i="9"/>
  <c r="J1869" i="9"/>
  <c r="J1870" i="9"/>
  <c r="J1871" i="9"/>
  <c r="J1872" i="9"/>
  <c r="J1873" i="9"/>
  <c r="J1874" i="9"/>
  <c r="J1875" i="9"/>
  <c r="J1876" i="9"/>
  <c r="J1877" i="9"/>
  <c r="J1878" i="9"/>
  <c r="J1879" i="9"/>
  <c r="J1880" i="9"/>
  <c r="J1881" i="9"/>
  <c r="J1882" i="9"/>
  <c r="J1883" i="9"/>
  <c r="J1884" i="9"/>
  <c r="J1885" i="9"/>
  <c r="J1886" i="9"/>
  <c r="J1887" i="9"/>
  <c r="J1888" i="9"/>
  <c r="J1889" i="9"/>
  <c r="J1890" i="9"/>
  <c r="J1891" i="9"/>
  <c r="J1892" i="9"/>
  <c r="J1893" i="9"/>
  <c r="J1894" i="9"/>
  <c r="J1895" i="9"/>
  <c r="J1896" i="9"/>
  <c r="J1897" i="9"/>
  <c r="J1898" i="9"/>
  <c r="J1899" i="9"/>
  <c r="J1900" i="9"/>
  <c r="J1901" i="9"/>
  <c r="J1902" i="9"/>
  <c r="J1903" i="9"/>
  <c r="J1904" i="9"/>
  <c r="J1905" i="9"/>
  <c r="J1906" i="9"/>
  <c r="J1907" i="9"/>
  <c r="J1908" i="9"/>
  <c r="J1909" i="9"/>
  <c r="J1910" i="9"/>
  <c r="J1911" i="9"/>
  <c r="J1912" i="9"/>
  <c r="J1913" i="9"/>
  <c r="J1914" i="9"/>
  <c r="J1915" i="9"/>
  <c r="J1916" i="9"/>
  <c r="J1917" i="9"/>
  <c r="J1918" i="9"/>
  <c r="J1919" i="9"/>
  <c r="J1920" i="9"/>
  <c r="J1921" i="9"/>
  <c r="J1922" i="9"/>
  <c r="J1923" i="9"/>
  <c r="J1924" i="9"/>
  <c r="J1925" i="9"/>
  <c r="J1926" i="9"/>
  <c r="J1927" i="9"/>
  <c r="J1928" i="9"/>
  <c r="J1929" i="9"/>
  <c r="J1930" i="9"/>
  <c r="J1931" i="9"/>
  <c r="J1932" i="9"/>
  <c r="J1933" i="9"/>
  <c r="J1934" i="9"/>
  <c r="J1935" i="9"/>
  <c r="J1936" i="9"/>
  <c r="J1937" i="9"/>
  <c r="J1938" i="9"/>
  <c r="J1939" i="9"/>
  <c r="J1940" i="9"/>
  <c r="J1941" i="9"/>
  <c r="J1942" i="9"/>
  <c r="J1943" i="9"/>
  <c r="J1944" i="9"/>
  <c r="J1945" i="9"/>
  <c r="J1946" i="9"/>
  <c r="J1947" i="9"/>
  <c r="J1948" i="9"/>
  <c r="J1949" i="9"/>
  <c r="J1950" i="9"/>
  <c r="J1951" i="9"/>
  <c r="J1952" i="9"/>
  <c r="J1953" i="9"/>
  <c r="J1954" i="9"/>
  <c r="J1955" i="9"/>
  <c r="J1956" i="9"/>
  <c r="J1957" i="9"/>
  <c r="J1958" i="9"/>
  <c r="J1959" i="9"/>
  <c r="J1960" i="9"/>
  <c r="J1961" i="9"/>
  <c r="J1962" i="9"/>
  <c r="J1963" i="9"/>
  <c r="J1964" i="9"/>
  <c r="J1965" i="9"/>
  <c r="J1966" i="9"/>
  <c r="J1967" i="9"/>
  <c r="J1968" i="9"/>
  <c r="J1969" i="9"/>
  <c r="J1970" i="9"/>
  <c r="J1971" i="9"/>
  <c r="J1972" i="9"/>
  <c r="J1973" i="9"/>
  <c r="J1974" i="9"/>
  <c r="J1975" i="9"/>
  <c r="J1976" i="9"/>
  <c r="J1977" i="9"/>
  <c r="J1978" i="9"/>
  <c r="J1979" i="9"/>
  <c r="J1980" i="9"/>
  <c r="J1981" i="9"/>
  <c r="J1982" i="9"/>
  <c r="J1983" i="9"/>
  <c r="J1984" i="9"/>
  <c r="J1985" i="9"/>
  <c r="J1986" i="9"/>
  <c r="J1987" i="9"/>
  <c r="J1988" i="9"/>
  <c r="J1989" i="9"/>
  <c r="J1990" i="9"/>
  <c r="J1991" i="9"/>
  <c r="J1992" i="9"/>
  <c r="J1993" i="9"/>
  <c r="J1994" i="9"/>
  <c r="J1995" i="9"/>
  <c r="J1996" i="9"/>
  <c r="J1997" i="9"/>
  <c r="J1998" i="9"/>
  <c r="J1999" i="9"/>
  <c r="J2000" i="9"/>
  <c r="J2001" i="9"/>
  <c r="J2002" i="9"/>
  <c r="J2003" i="9"/>
  <c r="J2004" i="9"/>
  <c r="J2005" i="9"/>
  <c r="J2006" i="9"/>
  <c r="J2007" i="9"/>
  <c r="J2008" i="9"/>
  <c r="J2009" i="9"/>
  <c r="J2010" i="9"/>
  <c r="J2011" i="9"/>
  <c r="J2012" i="9"/>
  <c r="J2013" i="9"/>
  <c r="J2014" i="9"/>
  <c r="J2015" i="9"/>
  <c r="I283" i="9"/>
  <c r="I282" i="9"/>
  <c r="I30" i="9"/>
  <c r="I36" i="9"/>
  <c r="J36" i="9" s="1"/>
  <c r="I31" i="9" l="1"/>
  <c r="I32" i="9"/>
  <c r="I33" i="9"/>
  <c r="I34" i="9"/>
  <c r="J34" i="9" s="1"/>
  <c r="I35" i="9"/>
  <c r="J35" i="9" s="1"/>
  <c r="I37" i="9"/>
  <c r="J37" i="9" s="1"/>
  <c r="I38" i="9"/>
  <c r="J38" i="9" s="1"/>
  <c r="I39" i="9"/>
  <c r="J39" i="9" s="1"/>
  <c r="I40" i="9"/>
  <c r="J40" i="9" s="1"/>
  <c r="I41" i="9"/>
  <c r="J41" i="9" s="1"/>
  <c r="I42" i="9"/>
  <c r="J42" i="9" s="1"/>
  <c r="I43" i="9"/>
  <c r="J43" i="9" s="1"/>
  <c r="I44" i="9"/>
  <c r="J44" i="9" s="1"/>
  <c r="I45" i="9"/>
  <c r="J45" i="9" s="1"/>
  <c r="I46" i="9"/>
  <c r="J46" i="9" s="1"/>
  <c r="I47" i="9"/>
  <c r="J47" i="9" s="1"/>
  <c r="I48" i="9"/>
  <c r="J48" i="9" s="1"/>
  <c r="I49" i="9"/>
  <c r="J49" i="9" s="1"/>
  <c r="I50" i="9"/>
  <c r="J50" i="9" s="1"/>
  <c r="I51" i="9"/>
  <c r="J51" i="9" s="1"/>
  <c r="I52" i="9"/>
  <c r="J52" i="9" s="1"/>
  <c r="I53" i="9"/>
  <c r="J53" i="9" s="1"/>
  <c r="I54" i="9"/>
  <c r="J54" i="9" s="1"/>
  <c r="I55" i="9"/>
  <c r="J55" i="9" s="1"/>
  <c r="I56" i="9"/>
  <c r="J56" i="9" s="1"/>
  <c r="I57" i="9"/>
  <c r="J57" i="9" s="1"/>
  <c r="I58" i="9"/>
  <c r="J58" i="9" s="1"/>
  <c r="I59" i="9"/>
  <c r="J59" i="9" s="1"/>
  <c r="I60" i="9"/>
  <c r="J60" i="9" s="1"/>
  <c r="I61" i="9"/>
  <c r="J61" i="9" s="1"/>
  <c r="I62" i="9"/>
  <c r="J62" i="9" s="1"/>
  <c r="I63" i="9"/>
  <c r="J63" i="9" s="1"/>
  <c r="I64" i="9"/>
  <c r="J64" i="9" s="1"/>
  <c r="I65" i="9"/>
  <c r="J65" i="9" s="1"/>
  <c r="I66" i="9"/>
  <c r="J66" i="9" s="1"/>
  <c r="I67" i="9"/>
  <c r="J67" i="9" s="1"/>
  <c r="I68" i="9"/>
  <c r="J68" i="9" s="1"/>
  <c r="I69" i="9"/>
  <c r="J69" i="9" s="1"/>
  <c r="I70" i="9"/>
  <c r="J70" i="9" s="1"/>
  <c r="I71" i="9"/>
  <c r="J71" i="9" s="1"/>
  <c r="I72" i="9"/>
  <c r="J72" i="9" s="1"/>
  <c r="I73" i="9"/>
  <c r="J73" i="9" s="1"/>
  <c r="I74" i="9"/>
  <c r="J74" i="9" s="1"/>
  <c r="I75" i="9"/>
  <c r="J75" i="9" s="1"/>
  <c r="I76" i="9"/>
  <c r="J76" i="9" s="1"/>
  <c r="I77" i="9"/>
  <c r="J77" i="9" s="1"/>
  <c r="I78" i="9"/>
  <c r="J78" i="9" s="1"/>
  <c r="I79" i="9"/>
  <c r="J79" i="9" s="1"/>
  <c r="I80" i="9"/>
  <c r="J80" i="9" s="1"/>
  <c r="I81" i="9"/>
  <c r="J81" i="9" s="1"/>
  <c r="I82" i="9"/>
  <c r="J82" i="9" s="1"/>
  <c r="I83" i="9"/>
  <c r="J83" i="9" s="1"/>
  <c r="I84" i="9"/>
  <c r="J84" i="9" s="1"/>
  <c r="I85" i="9"/>
  <c r="J85" i="9" s="1"/>
  <c r="I86" i="9"/>
  <c r="J86" i="9" s="1"/>
  <c r="I87" i="9"/>
  <c r="J87" i="9" s="1"/>
  <c r="I88" i="9"/>
  <c r="J88" i="9" s="1"/>
  <c r="I89" i="9"/>
  <c r="J89" i="9" s="1"/>
  <c r="I90" i="9"/>
  <c r="J90" i="9" s="1"/>
  <c r="I91" i="9"/>
  <c r="J91" i="9" s="1"/>
  <c r="I92" i="9"/>
  <c r="J92" i="9" s="1"/>
  <c r="I93" i="9"/>
  <c r="J93" i="9" s="1"/>
  <c r="I94" i="9"/>
  <c r="J94" i="9" s="1"/>
  <c r="I95" i="9"/>
  <c r="J95" i="9" s="1"/>
  <c r="I96" i="9"/>
  <c r="J96" i="9" s="1"/>
  <c r="I97" i="9"/>
  <c r="J97" i="9" s="1"/>
  <c r="I98" i="9"/>
  <c r="J98" i="9" s="1"/>
  <c r="I99" i="9"/>
  <c r="J99" i="9" s="1"/>
  <c r="I100" i="9"/>
  <c r="J100" i="9" s="1"/>
  <c r="I101" i="9"/>
  <c r="J101" i="9" s="1"/>
  <c r="I102" i="9"/>
  <c r="J102" i="9" s="1"/>
  <c r="I103" i="9"/>
  <c r="J103" i="9" s="1"/>
  <c r="I104" i="9"/>
  <c r="J104" i="9" s="1"/>
  <c r="I105" i="9"/>
  <c r="J105" i="9" s="1"/>
  <c r="I106" i="9"/>
  <c r="J106" i="9" s="1"/>
  <c r="I107" i="9"/>
  <c r="J107" i="9" s="1"/>
  <c r="I108" i="9"/>
  <c r="J108" i="9" s="1"/>
  <c r="I109" i="9"/>
  <c r="J109" i="9" s="1"/>
  <c r="I110" i="9"/>
  <c r="J110" i="9" s="1"/>
  <c r="I111" i="9"/>
  <c r="J111" i="9" s="1"/>
  <c r="I112" i="9"/>
  <c r="J112" i="9" s="1"/>
  <c r="I113" i="9"/>
  <c r="J113" i="9" s="1"/>
  <c r="I114" i="9"/>
  <c r="J114" i="9" s="1"/>
  <c r="I115" i="9"/>
  <c r="J115" i="9" s="1"/>
  <c r="I116" i="9"/>
  <c r="J116" i="9" s="1"/>
  <c r="I117" i="9"/>
  <c r="J117" i="9" s="1"/>
  <c r="I118" i="9"/>
  <c r="J118" i="9" s="1"/>
  <c r="I119" i="9"/>
  <c r="J119" i="9" s="1"/>
  <c r="I120" i="9"/>
  <c r="J120" i="9" s="1"/>
  <c r="I121" i="9"/>
  <c r="J121" i="9" s="1"/>
  <c r="I122" i="9"/>
  <c r="J122" i="9" s="1"/>
  <c r="I123" i="9"/>
  <c r="J123" i="9" s="1"/>
  <c r="I124" i="9"/>
  <c r="J124" i="9" s="1"/>
  <c r="I125" i="9"/>
  <c r="J125" i="9" s="1"/>
  <c r="I126" i="9"/>
  <c r="J126" i="9" s="1"/>
  <c r="I127" i="9"/>
  <c r="J127" i="9" s="1"/>
  <c r="I128" i="9"/>
  <c r="J128" i="9" s="1"/>
  <c r="I129" i="9"/>
  <c r="J129" i="9" s="1"/>
  <c r="I130" i="9"/>
  <c r="J130" i="9" s="1"/>
  <c r="I131" i="9"/>
  <c r="J131" i="9" s="1"/>
  <c r="I132" i="9"/>
  <c r="J132" i="9" s="1"/>
  <c r="I133" i="9"/>
  <c r="J133" i="9" s="1"/>
  <c r="I134" i="9"/>
  <c r="J134" i="9" s="1"/>
  <c r="I135" i="9"/>
  <c r="J135" i="9" s="1"/>
  <c r="I136" i="9"/>
  <c r="J136" i="9" s="1"/>
  <c r="I137" i="9"/>
  <c r="J137" i="9" s="1"/>
  <c r="I138" i="9"/>
  <c r="J138" i="9" s="1"/>
  <c r="I139" i="9"/>
  <c r="J139" i="9" s="1"/>
  <c r="I140" i="9"/>
  <c r="J140" i="9" s="1"/>
  <c r="I141" i="9"/>
  <c r="J141" i="9" s="1"/>
  <c r="I142" i="9"/>
  <c r="J142" i="9" s="1"/>
  <c r="I143" i="9"/>
  <c r="J143" i="9" s="1"/>
  <c r="I144" i="9"/>
  <c r="J144" i="9" s="1"/>
  <c r="I145" i="9"/>
  <c r="J145" i="9" s="1"/>
  <c r="I146" i="9"/>
  <c r="J146" i="9" s="1"/>
  <c r="I147" i="9"/>
  <c r="J147" i="9" s="1"/>
  <c r="I148" i="9"/>
  <c r="J148" i="9" s="1"/>
  <c r="I149" i="9"/>
  <c r="J149" i="9" s="1"/>
  <c r="I150" i="9"/>
  <c r="J150" i="9" s="1"/>
  <c r="I151" i="9"/>
  <c r="J151" i="9" s="1"/>
  <c r="I152" i="9"/>
  <c r="J152" i="9" s="1"/>
  <c r="I153" i="9"/>
  <c r="J153" i="9" s="1"/>
  <c r="I154" i="9"/>
  <c r="J154" i="9" s="1"/>
  <c r="I155" i="9"/>
  <c r="J155" i="9" s="1"/>
  <c r="I156" i="9"/>
  <c r="J156" i="9" s="1"/>
  <c r="I157" i="9"/>
  <c r="J157" i="9" s="1"/>
  <c r="I158" i="9"/>
  <c r="J158" i="9" s="1"/>
  <c r="I159" i="9"/>
  <c r="J159" i="9" s="1"/>
  <c r="I160" i="9"/>
  <c r="J160" i="9" s="1"/>
  <c r="I161" i="9"/>
  <c r="J161" i="9" s="1"/>
  <c r="I162" i="9"/>
  <c r="J162" i="9" s="1"/>
  <c r="I163" i="9"/>
  <c r="J163" i="9" s="1"/>
  <c r="I164" i="9"/>
  <c r="J164" i="9" s="1"/>
  <c r="I165" i="9"/>
  <c r="J165" i="9" s="1"/>
  <c r="I166" i="9"/>
  <c r="J166" i="9" s="1"/>
  <c r="I167" i="9"/>
  <c r="J167" i="9" s="1"/>
  <c r="I168" i="9"/>
  <c r="J168" i="9" s="1"/>
  <c r="I169" i="9"/>
  <c r="J169" i="9" s="1"/>
  <c r="I170" i="9"/>
  <c r="J170" i="9" s="1"/>
  <c r="I171" i="9"/>
  <c r="J171" i="9" s="1"/>
  <c r="I172" i="9"/>
  <c r="J172" i="9" s="1"/>
  <c r="I173" i="9"/>
  <c r="J173" i="9" s="1"/>
  <c r="I174" i="9"/>
  <c r="J174" i="9" s="1"/>
  <c r="I175" i="9"/>
  <c r="J175" i="9" s="1"/>
  <c r="I176" i="9"/>
  <c r="J176" i="9" s="1"/>
  <c r="I177" i="9"/>
  <c r="J177" i="9" s="1"/>
  <c r="I178" i="9"/>
  <c r="J178" i="9" s="1"/>
  <c r="I179" i="9"/>
  <c r="J179" i="9" s="1"/>
  <c r="I180" i="9"/>
  <c r="J180" i="9" s="1"/>
  <c r="I181" i="9"/>
  <c r="J181" i="9" s="1"/>
  <c r="I182" i="9"/>
  <c r="J182" i="9" s="1"/>
  <c r="I183" i="9"/>
  <c r="J183" i="9" s="1"/>
  <c r="I184" i="9"/>
  <c r="J184" i="9" s="1"/>
  <c r="I185" i="9"/>
  <c r="J185" i="9" s="1"/>
  <c r="I186" i="9"/>
  <c r="J186" i="9" s="1"/>
  <c r="I187" i="9"/>
  <c r="J187" i="9" s="1"/>
  <c r="I188" i="9"/>
  <c r="J188" i="9" s="1"/>
  <c r="I189" i="9"/>
  <c r="J189" i="9" s="1"/>
  <c r="I190" i="9"/>
  <c r="J190" i="9" s="1"/>
  <c r="I191" i="9"/>
  <c r="J191" i="9" s="1"/>
  <c r="I192" i="9"/>
  <c r="J192" i="9" s="1"/>
  <c r="I193" i="9"/>
  <c r="J193" i="9" s="1"/>
  <c r="I194" i="9"/>
  <c r="J194" i="9" s="1"/>
  <c r="I195" i="9"/>
  <c r="J195" i="9" s="1"/>
  <c r="I196" i="9"/>
  <c r="J196" i="9" s="1"/>
  <c r="I197" i="9"/>
  <c r="J197" i="9" s="1"/>
  <c r="I198" i="9"/>
  <c r="J198" i="9" s="1"/>
  <c r="I199" i="9"/>
  <c r="J199" i="9" s="1"/>
  <c r="I200" i="9"/>
  <c r="J200" i="9" s="1"/>
  <c r="I201" i="9"/>
  <c r="J201" i="9" s="1"/>
  <c r="I202" i="9"/>
  <c r="J202" i="9" s="1"/>
  <c r="I203" i="9"/>
  <c r="J203" i="9" s="1"/>
  <c r="I204" i="9"/>
  <c r="J204" i="9" s="1"/>
  <c r="I205" i="9"/>
  <c r="J205" i="9" s="1"/>
  <c r="I206" i="9"/>
  <c r="J206" i="9" s="1"/>
  <c r="I207" i="9"/>
  <c r="J207" i="9" s="1"/>
  <c r="I208" i="9"/>
  <c r="J208" i="9" s="1"/>
  <c r="I209" i="9"/>
  <c r="J209" i="9" s="1"/>
  <c r="I210" i="9"/>
  <c r="J210" i="9" s="1"/>
  <c r="I211" i="9"/>
  <c r="J211" i="9" s="1"/>
  <c r="I212" i="9"/>
  <c r="J212" i="9" s="1"/>
  <c r="I213" i="9"/>
  <c r="J213" i="9" s="1"/>
  <c r="I214" i="9"/>
  <c r="J214" i="9" s="1"/>
  <c r="I215" i="9"/>
  <c r="J215" i="9" s="1"/>
  <c r="I216" i="9"/>
  <c r="J216" i="9" s="1"/>
  <c r="I217" i="9"/>
  <c r="J217" i="9" s="1"/>
  <c r="I218" i="9"/>
  <c r="J218" i="9" s="1"/>
  <c r="I219" i="9"/>
  <c r="J219" i="9" s="1"/>
  <c r="I220" i="9"/>
  <c r="J220" i="9" s="1"/>
  <c r="I221" i="9"/>
  <c r="J221" i="9" s="1"/>
  <c r="I222" i="9"/>
  <c r="J222" i="9" s="1"/>
  <c r="I223" i="9"/>
  <c r="J223" i="9" s="1"/>
  <c r="I224" i="9"/>
  <c r="J224" i="9" s="1"/>
  <c r="I225" i="9"/>
  <c r="J225" i="9" s="1"/>
  <c r="I226" i="9"/>
  <c r="J226" i="9" s="1"/>
  <c r="I227" i="9"/>
  <c r="J227" i="9" s="1"/>
  <c r="I228" i="9"/>
  <c r="J228" i="9" s="1"/>
  <c r="I229" i="9"/>
  <c r="J229" i="9" s="1"/>
  <c r="I230" i="9"/>
  <c r="J230" i="9" s="1"/>
  <c r="I231" i="9"/>
  <c r="J231" i="9" s="1"/>
  <c r="I232" i="9"/>
  <c r="J232" i="9" s="1"/>
  <c r="I233" i="9"/>
  <c r="J233" i="9" s="1"/>
  <c r="I234" i="9"/>
  <c r="J234" i="9" s="1"/>
  <c r="I235" i="9"/>
  <c r="J235" i="9" s="1"/>
  <c r="I236" i="9"/>
  <c r="J236" i="9" s="1"/>
  <c r="I237" i="9"/>
  <c r="J237" i="9" s="1"/>
  <c r="I238" i="9"/>
  <c r="J238" i="9" s="1"/>
  <c r="I239" i="9"/>
  <c r="J239" i="9" s="1"/>
  <c r="I240" i="9"/>
  <c r="J240" i="9" s="1"/>
  <c r="I241" i="9"/>
  <c r="J241" i="9" s="1"/>
  <c r="I242" i="9"/>
  <c r="J242" i="9" s="1"/>
  <c r="I243" i="9"/>
  <c r="J243" i="9" s="1"/>
  <c r="I244" i="9"/>
  <c r="J244" i="9" s="1"/>
  <c r="I245" i="9"/>
  <c r="J245" i="9" s="1"/>
  <c r="I246" i="9"/>
  <c r="J246" i="9" s="1"/>
  <c r="I247" i="9"/>
  <c r="J247" i="9" s="1"/>
  <c r="I248" i="9"/>
  <c r="J248" i="9" s="1"/>
  <c r="I249" i="9"/>
  <c r="J249" i="9" s="1"/>
  <c r="I250" i="9"/>
  <c r="J250" i="9" s="1"/>
  <c r="I251" i="9"/>
  <c r="J251" i="9" s="1"/>
  <c r="I252" i="9"/>
  <c r="J252" i="9" s="1"/>
  <c r="I253" i="9"/>
  <c r="J253" i="9" s="1"/>
  <c r="I254" i="9"/>
  <c r="J254" i="9" s="1"/>
  <c r="I255" i="9"/>
  <c r="J255" i="9" s="1"/>
  <c r="I256" i="9"/>
  <c r="J256" i="9" s="1"/>
  <c r="I257" i="9"/>
  <c r="J257" i="9" s="1"/>
  <c r="I258" i="9"/>
  <c r="J258" i="9" s="1"/>
  <c r="I259" i="9"/>
  <c r="J259" i="9" s="1"/>
  <c r="I260" i="9"/>
  <c r="J260" i="9" s="1"/>
  <c r="I261" i="9"/>
  <c r="J261" i="9" s="1"/>
  <c r="I262" i="9"/>
  <c r="J262" i="9" s="1"/>
  <c r="I263" i="9"/>
  <c r="J263" i="9" s="1"/>
  <c r="I264" i="9"/>
  <c r="J264" i="9" s="1"/>
  <c r="I265" i="9"/>
  <c r="J265" i="9" s="1"/>
  <c r="I266" i="9"/>
  <c r="J266" i="9" s="1"/>
  <c r="I267" i="9"/>
  <c r="J267" i="9" s="1"/>
  <c r="I268" i="9"/>
  <c r="J268" i="9" s="1"/>
  <c r="I269" i="9"/>
  <c r="J269" i="9" s="1"/>
  <c r="I270" i="9"/>
  <c r="J270" i="9" s="1"/>
  <c r="I271" i="9"/>
  <c r="J271" i="9" s="1"/>
  <c r="I272" i="9"/>
  <c r="J272" i="9" s="1"/>
  <c r="I273" i="9"/>
  <c r="J273" i="9" s="1"/>
  <c r="I274" i="9"/>
  <c r="J274" i="9" s="1"/>
  <c r="I275" i="9"/>
  <c r="J275" i="9" s="1"/>
  <c r="I276" i="9"/>
  <c r="J276" i="9" s="1"/>
  <c r="I277" i="9"/>
  <c r="J277" i="9" s="1"/>
  <c r="I278" i="9"/>
  <c r="J278" i="9" s="1"/>
  <c r="I279" i="9"/>
  <c r="J279" i="9" s="1"/>
  <c r="I280" i="9"/>
  <c r="J280" i="9" s="1"/>
  <c r="I281" i="9"/>
  <c r="J281" i="9" s="1"/>
  <c r="I284" i="9"/>
  <c r="I285" i="9"/>
  <c r="I286" i="9"/>
  <c r="I287" i="9"/>
  <c r="I288" i="9"/>
  <c r="I289" i="9"/>
  <c r="I290" i="9"/>
  <c r="I291" i="9"/>
  <c r="I292" i="9"/>
  <c r="I293" i="9"/>
  <c r="I294" i="9"/>
  <c r="I295" i="9"/>
  <c r="I296" i="9"/>
  <c r="I297" i="9"/>
  <c r="I298" i="9"/>
  <c r="I299" i="9"/>
  <c r="I300" i="9"/>
  <c r="I301" i="9"/>
  <c r="I302" i="9"/>
  <c r="I303" i="9"/>
  <c r="I304" i="9"/>
  <c r="I305" i="9"/>
  <c r="I306" i="9"/>
  <c r="I307" i="9"/>
  <c r="I308" i="9"/>
  <c r="I309" i="9"/>
  <c r="I310" i="9"/>
  <c r="I311" i="9"/>
  <c r="I312" i="9"/>
  <c r="I313" i="9"/>
  <c r="I314" i="9"/>
  <c r="I315" i="9"/>
  <c r="I316" i="9"/>
  <c r="I317" i="9"/>
  <c r="I318" i="9"/>
  <c r="I319" i="9"/>
  <c r="I320" i="9"/>
  <c r="I321" i="9"/>
  <c r="I322" i="9"/>
  <c r="I323" i="9"/>
  <c r="I324" i="9"/>
  <c r="I325" i="9"/>
  <c r="I326" i="9"/>
  <c r="I327" i="9"/>
  <c r="I328" i="9"/>
  <c r="I329" i="9"/>
  <c r="I330" i="9"/>
  <c r="I331" i="9"/>
  <c r="I332" i="9"/>
  <c r="I333" i="9"/>
  <c r="I334" i="9"/>
  <c r="I335" i="9"/>
  <c r="I336" i="9"/>
  <c r="I337" i="9"/>
  <c r="I338" i="9"/>
  <c r="I339" i="9"/>
  <c r="I340" i="9"/>
  <c r="I341" i="9"/>
  <c r="I342" i="9"/>
  <c r="I343" i="9"/>
  <c r="I344" i="9"/>
  <c r="I345" i="9"/>
  <c r="I346" i="9"/>
  <c r="I347" i="9"/>
  <c r="I348" i="9"/>
  <c r="I349" i="9"/>
  <c r="I350" i="9"/>
  <c r="I351" i="9"/>
  <c r="I352" i="9"/>
  <c r="I353" i="9"/>
  <c r="I354" i="9"/>
  <c r="I355" i="9"/>
  <c r="I356" i="9"/>
  <c r="I357" i="9"/>
  <c r="I358" i="9"/>
  <c r="I359" i="9"/>
  <c r="I360" i="9"/>
  <c r="I361" i="9"/>
  <c r="I362" i="9"/>
  <c r="I363" i="9"/>
  <c r="I364" i="9"/>
  <c r="I365" i="9"/>
  <c r="I366" i="9"/>
  <c r="I367" i="9"/>
  <c r="I368" i="9"/>
  <c r="I369" i="9"/>
  <c r="I370" i="9"/>
  <c r="I371" i="9"/>
  <c r="I372" i="9"/>
  <c r="I373" i="9"/>
  <c r="I374" i="9"/>
  <c r="I375" i="9"/>
  <c r="I376" i="9"/>
  <c r="I377" i="9"/>
  <c r="I378" i="9"/>
  <c r="I379" i="9"/>
  <c r="I380" i="9"/>
  <c r="I381" i="9"/>
  <c r="I382" i="9"/>
  <c r="I383" i="9"/>
  <c r="I384" i="9"/>
  <c r="I385" i="9"/>
  <c r="I386" i="9"/>
  <c r="I387" i="9"/>
  <c r="I388" i="9"/>
  <c r="I389" i="9"/>
  <c r="I390" i="9"/>
  <c r="I391" i="9"/>
  <c r="I392" i="9"/>
  <c r="I393" i="9"/>
  <c r="I394" i="9"/>
  <c r="I395" i="9"/>
  <c r="I396" i="9"/>
  <c r="I397" i="9"/>
  <c r="I398" i="9"/>
  <c r="I399" i="9"/>
  <c r="I400" i="9"/>
  <c r="I401" i="9"/>
  <c r="I402" i="9"/>
  <c r="I403" i="9"/>
  <c r="I404" i="9"/>
  <c r="I405" i="9"/>
  <c r="I406" i="9"/>
  <c r="I407" i="9"/>
  <c r="I408" i="9"/>
  <c r="I409" i="9"/>
  <c r="I410" i="9"/>
  <c r="I411" i="9"/>
  <c r="I412" i="9"/>
  <c r="I413" i="9"/>
  <c r="I414" i="9"/>
  <c r="I415" i="9"/>
  <c r="I416" i="9"/>
  <c r="I417" i="9"/>
  <c r="I418" i="9"/>
  <c r="I419" i="9"/>
  <c r="I420" i="9"/>
  <c r="I421" i="9"/>
  <c r="I422" i="9"/>
  <c r="I423" i="9"/>
  <c r="I424" i="9"/>
  <c r="I425" i="9"/>
  <c r="I426" i="9"/>
  <c r="I427" i="9"/>
  <c r="I428" i="9"/>
  <c r="I429" i="9"/>
  <c r="I430" i="9"/>
  <c r="I431" i="9"/>
  <c r="I432" i="9"/>
  <c r="I433" i="9"/>
  <c r="I434" i="9"/>
  <c r="I435" i="9"/>
  <c r="I436" i="9"/>
  <c r="I437" i="9"/>
  <c r="I438" i="9"/>
  <c r="I439" i="9"/>
  <c r="I440" i="9"/>
  <c r="I441" i="9"/>
  <c r="I442" i="9"/>
  <c r="I443" i="9"/>
  <c r="I444" i="9"/>
  <c r="I445" i="9"/>
  <c r="I446" i="9"/>
  <c r="I447" i="9"/>
  <c r="I448" i="9"/>
  <c r="I449" i="9"/>
  <c r="I450" i="9"/>
  <c r="I451" i="9"/>
  <c r="I452" i="9"/>
  <c r="I453" i="9"/>
  <c r="I454" i="9"/>
  <c r="I455" i="9"/>
  <c r="I456" i="9"/>
  <c r="I457" i="9"/>
  <c r="I458" i="9"/>
  <c r="I459" i="9"/>
  <c r="I460" i="9"/>
  <c r="I461" i="9"/>
  <c r="I462" i="9"/>
  <c r="I463" i="9"/>
  <c r="I464" i="9"/>
  <c r="I465" i="9"/>
  <c r="I466" i="9"/>
  <c r="I467" i="9"/>
  <c r="I468" i="9"/>
  <c r="I469" i="9"/>
  <c r="I470" i="9"/>
  <c r="I471" i="9"/>
  <c r="I472" i="9"/>
  <c r="I473" i="9"/>
  <c r="I474" i="9"/>
  <c r="I475" i="9"/>
  <c r="I476" i="9"/>
  <c r="I477" i="9"/>
  <c r="I478" i="9"/>
  <c r="I479" i="9"/>
  <c r="I480" i="9"/>
  <c r="I481" i="9"/>
  <c r="I482" i="9"/>
  <c r="I483" i="9"/>
  <c r="I484" i="9"/>
  <c r="I485" i="9"/>
  <c r="I486" i="9"/>
  <c r="I487" i="9"/>
  <c r="I488" i="9"/>
  <c r="I489" i="9"/>
  <c r="I490" i="9"/>
  <c r="I491" i="9"/>
  <c r="I492" i="9"/>
  <c r="I493" i="9"/>
  <c r="I494" i="9"/>
  <c r="I495" i="9"/>
  <c r="I496" i="9"/>
  <c r="I497" i="9"/>
  <c r="I498" i="9"/>
  <c r="I499" i="9"/>
  <c r="I500" i="9"/>
  <c r="I501" i="9"/>
  <c r="I502" i="9"/>
  <c r="I503" i="9"/>
  <c r="I504" i="9"/>
  <c r="I505" i="9"/>
  <c r="I506" i="9"/>
  <c r="I507" i="9"/>
  <c r="I508" i="9"/>
  <c r="I509" i="9"/>
  <c r="I510" i="9"/>
  <c r="I511" i="9"/>
  <c r="I512" i="9"/>
  <c r="I513" i="9"/>
  <c r="I514" i="9"/>
  <c r="I515" i="9"/>
  <c r="I516" i="9"/>
  <c r="I517" i="9"/>
  <c r="I518" i="9"/>
  <c r="I519" i="9"/>
  <c r="I520" i="9"/>
  <c r="I521" i="9"/>
  <c r="I522" i="9"/>
  <c r="I523" i="9"/>
  <c r="I524" i="9"/>
  <c r="I525" i="9"/>
  <c r="I526" i="9"/>
  <c r="I527" i="9"/>
  <c r="I528" i="9"/>
  <c r="I529" i="9"/>
  <c r="I530" i="9"/>
  <c r="I531" i="9"/>
  <c r="I532" i="9"/>
  <c r="I533" i="9"/>
  <c r="I534" i="9"/>
  <c r="I535" i="9"/>
  <c r="I536" i="9"/>
  <c r="I537" i="9"/>
  <c r="I538" i="9"/>
  <c r="I539" i="9"/>
  <c r="I540" i="9"/>
  <c r="I541" i="9"/>
  <c r="I542" i="9"/>
  <c r="I543" i="9"/>
  <c r="I544" i="9"/>
  <c r="I545" i="9"/>
  <c r="I546" i="9"/>
  <c r="I547" i="9"/>
  <c r="I548" i="9"/>
  <c r="I549" i="9"/>
  <c r="I550" i="9"/>
  <c r="I551" i="9"/>
  <c r="I552" i="9"/>
  <c r="I553" i="9"/>
  <c r="I554" i="9"/>
  <c r="I555" i="9"/>
  <c r="I556" i="9"/>
  <c r="I557" i="9"/>
  <c r="I558" i="9"/>
  <c r="I559" i="9"/>
  <c r="I560" i="9"/>
  <c r="I561" i="9"/>
  <c r="I562" i="9"/>
  <c r="I563" i="9"/>
  <c r="I564" i="9"/>
  <c r="I565" i="9"/>
  <c r="I566" i="9"/>
  <c r="I567" i="9"/>
  <c r="I568" i="9"/>
  <c r="I569" i="9"/>
  <c r="I570" i="9"/>
  <c r="I571" i="9"/>
  <c r="I572" i="9"/>
  <c r="I573" i="9"/>
  <c r="I574" i="9"/>
  <c r="I575" i="9"/>
  <c r="I576" i="9"/>
  <c r="I577" i="9"/>
  <c r="I578" i="9"/>
  <c r="I579" i="9"/>
  <c r="I580" i="9"/>
  <c r="I581" i="9"/>
  <c r="I582" i="9"/>
  <c r="I583" i="9"/>
  <c r="I584" i="9"/>
  <c r="I585" i="9"/>
  <c r="I586" i="9"/>
  <c r="I587" i="9"/>
  <c r="I588" i="9"/>
  <c r="I589" i="9"/>
  <c r="I590" i="9"/>
  <c r="I591" i="9"/>
  <c r="I592" i="9"/>
  <c r="I593" i="9"/>
  <c r="I594" i="9"/>
  <c r="I595" i="9"/>
  <c r="I596" i="9"/>
  <c r="I597" i="9"/>
  <c r="I598" i="9"/>
  <c r="I599" i="9"/>
  <c r="I600" i="9"/>
  <c r="I601" i="9"/>
  <c r="I602" i="9"/>
  <c r="I603" i="9"/>
  <c r="I604" i="9"/>
  <c r="I605" i="9"/>
  <c r="I606" i="9"/>
  <c r="I607" i="9"/>
  <c r="I608" i="9"/>
  <c r="I609" i="9"/>
  <c r="I610" i="9"/>
  <c r="I611" i="9"/>
  <c r="I612" i="9"/>
  <c r="I613" i="9"/>
  <c r="I614" i="9"/>
  <c r="I615" i="9"/>
  <c r="I616" i="9"/>
  <c r="I617" i="9"/>
  <c r="I618" i="9"/>
  <c r="I619" i="9"/>
  <c r="I620" i="9"/>
  <c r="I621" i="9"/>
  <c r="I622" i="9"/>
  <c r="I623" i="9"/>
  <c r="I624" i="9"/>
  <c r="I625" i="9"/>
  <c r="I626" i="9"/>
  <c r="I627" i="9"/>
  <c r="I628" i="9"/>
  <c r="I629" i="9"/>
  <c r="I630" i="9"/>
  <c r="I631" i="9"/>
  <c r="I632" i="9"/>
  <c r="I633" i="9"/>
  <c r="I634" i="9"/>
  <c r="I635" i="9"/>
  <c r="I636" i="9"/>
  <c r="I637" i="9"/>
  <c r="I638" i="9"/>
  <c r="I639" i="9"/>
  <c r="I640" i="9"/>
  <c r="I641" i="9"/>
  <c r="I642" i="9"/>
  <c r="I643" i="9"/>
  <c r="I644" i="9"/>
  <c r="I645" i="9"/>
  <c r="I646" i="9"/>
  <c r="I647" i="9"/>
  <c r="I648" i="9"/>
  <c r="I649" i="9"/>
  <c r="I650" i="9"/>
  <c r="I651" i="9"/>
  <c r="I652" i="9"/>
  <c r="I653" i="9"/>
  <c r="I654" i="9"/>
  <c r="I655" i="9"/>
  <c r="I656" i="9"/>
  <c r="I657" i="9"/>
  <c r="I658" i="9"/>
  <c r="I659" i="9"/>
  <c r="I660" i="9"/>
  <c r="I661" i="9"/>
  <c r="I662" i="9"/>
  <c r="I663" i="9"/>
  <c r="I664" i="9"/>
  <c r="I665" i="9"/>
  <c r="I666" i="9"/>
  <c r="I667" i="9"/>
  <c r="I668" i="9"/>
  <c r="I669" i="9"/>
  <c r="I670" i="9"/>
  <c r="I671" i="9"/>
  <c r="I672" i="9"/>
  <c r="I673" i="9"/>
  <c r="I674" i="9"/>
  <c r="I675" i="9"/>
  <c r="I676" i="9"/>
  <c r="I677" i="9"/>
  <c r="I678" i="9"/>
  <c r="I679" i="9"/>
  <c r="I680" i="9"/>
  <c r="I681" i="9"/>
  <c r="I682" i="9"/>
  <c r="I683" i="9"/>
  <c r="I684" i="9"/>
  <c r="I685" i="9"/>
  <c r="I686" i="9"/>
  <c r="I687" i="9"/>
  <c r="I688" i="9"/>
  <c r="I689" i="9"/>
  <c r="I690" i="9"/>
  <c r="I691" i="9"/>
  <c r="I692" i="9"/>
  <c r="I693" i="9"/>
  <c r="I694" i="9"/>
  <c r="I695" i="9"/>
  <c r="I696" i="9"/>
  <c r="I697" i="9"/>
  <c r="I698" i="9"/>
  <c r="I699" i="9"/>
  <c r="I700" i="9"/>
  <c r="I701" i="9"/>
  <c r="I702" i="9"/>
  <c r="I703" i="9"/>
  <c r="I704" i="9"/>
  <c r="I705" i="9"/>
  <c r="I706" i="9"/>
  <c r="I707" i="9"/>
  <c r="I708" i="9"/>
  <c r="I709" i="9"/>
  <c r="I710" i="9"/>
  <c r="I711" i="9"/>
  <c r="I712" i="9"/>
  <c r="I713" i="9"/>
  <c r="I714" i="9"/>
  <c r="I715" i="9"/>
  <c r="I716" i="9"/>
  <c r="I717" i="9"/>
  <c r="I718" i="9"/>
  <c r="I719" i="9"/>
  <c r="I720" i="9"/>
  <c r="I721" i="9"/>
  <c r="I722" i="9"/>
  <c r="I723" i="9"/>
  <c r="I724" i="9"/>
  <c r="I725" i="9"/>
  <c r="I726" i="9"/>
  <c r="I727" i="9"/>
  <c r="I728" i="9"/>
  <c r="I729" i="9"/>
  <c r="I730" i="9"/>
  <c r="I731" i="9"/>
  <c r="I732" i="9"/>
  <c r="I733" i="9"/>
  <c r="I734" i="9"/>
  <c r="I735" i="9"/>
  <c r="I736" i="9"/>
  <c r="I737" i="9"/>
  <c r="I738" i="9"/>
  <c r="I739" i="9"/>
  <c r="I740" i="9"/>
  <c r="I741" i="9"/>
  <c r="I742" i="9"/>
  <c r="I743" i="9"/>
  <c r="I744" i="9"/>
  <c r="I745" i="9"/>
  <c r="I746" i="9"/>
  <c r="I747" i="9"/>
  <c r="I748" i="9"/>
  <c r="I749" i="9"/>
  <c r="I750" i="9"/>
  <c r="I751" i="9"/>
  <c r="I752" i="9"/>
  <c r="I753" i="9"/>
  <c r="I754" i="9"/>
  <c r="I755" i="9"/>
  <c r="I756" i="9"/>
  <c r="I757" i="9"/>
  <c r="I758" i="9"/>
  <c r="I759" i="9"/>
  <c r="I760" i="9"/>
  <c r="I761" i="9"/>
  <c r="I762" i="9"/>
  <c r="I763" i="9"/>
  <c r="I764" i="9"/>
  <c r="I765" i="9"/>
  <c r="I766" i="9"/>
  <c r="I767" i="9"/>
  <c r="I768" i="9"/>
  <c r="I769" i="9"/>
  <c r="I770" i="9"/>
  <c r="I771" i="9"/>
  <c r="I772" i="9"/>
  <c r="I773" i="9"/>
  <c r="I774" i="9"/>
  <c r="I775" i="9"/>
  <c r="I776" i="9"/>
  <c r="I777" i="9"/>
  <c r="I778" i="9"/>
  <c r="I779" i="9"/>
  <c r="I780" i="9"/>
  <c r="I781" i="9"/>
  <c r="I782" i="9"/>
  <c r="I783" i="9"/>
  <c r="I784" i="9"/>
  <c r="I785" i="9"/>
  <c r="I786" i="9"/>
  <c r="I787" i="9"/>
  <c r="I788" i="9"/>
  <c r="I789" i="9"/>
  <c r="I790" i="9"/>
  <c r="I791" i="9"/>
  <c r="I792" i="9"/>
  <c r="I793" i="9"/>
  <c r="I794" i="9"/>
  <c r="I795" i="9"/>
  <c r="I796" i="9"/>
  <c r="I797" i="9"/>
  <c r="I798" i="9"/>
  <c r="I799" i="9"/>
  <c r="I800" i="9"/>
  <c r="I801" i="9"/>
  <c r="I802" i="9"/>
  <c r="I803" i="9"/>
  <c r="I804" i="9"/>
  <c r="I805" i="9"/>
  <c r="I806" i="9"/>
  <c r="I807" i="9"/>
  <c r="I808" i="9"/>
  <c r="I809" i="9"/>
  <c r="I810" i="9"/>
  <c r="I811" i="9"/>
  <c r="I812" i="9"/>
  <c r="I813" i="9"/>
  <c r="I814" i="9"/>
  <c r="I815" i="9"/>
  <c r="I816" i="9"/>
  <c r="I817" i="9"/>
  <c r="I818" i="9"/>
  <c r="I819" i="9"/>
  <c r="I820" i="9"/>
  <c r="I821" i="9"/>
  <c r="I822" i="9"/>
  <c r="I823" i="9"/>
  <c r="I824" i="9"/>
  <c r="I825" i="9"/>
  <c r="I826" i="9"/>
  <c r="I827" i="9"/>
  <c r="I828" i="9"/>
  <c r="I829" i="9"/>
  <c r="I830" i="9"/>
  <c r="I831" i="9"/>
  <c r="I832" i="9"/>
  <c r="I833" i="9"/>
  <c r="I834" i="9"/>
  <c r="I835" i="9"/>
  <c r="I836" i="9"/>
  <c r="I837" i="9"/>
  <c r="I838" i="9"/>
  <c r="I839" i="9"/>
  <c r="I840" i="9"/>
  <c r="I841" i="9"/>
  <c r="I842" i="9"/>
  <c r="I843" i="9"/>
  <c r="I844" i="9"/>
  <c r="I845" i="9"/>
  <c r="I846" i="9"/>
  <c r="I847" i="9"/>
  <c r="I848" i="9"/>
  <c r="I849" i="9"/>
  <c r="I850" i="9"/>
  <c r="I851" i="9"/>
  <c r="I852" i="9"/>
  <c r="I853" i="9"/>
  <c r="I854" i="9"/>
  <c r="I855" i="9"/>
  <c r="I856" i="9"/>
  <c r="I857" i="9"/>
  <c r="I858" i="9"/>
  <c r="I859" i="9"/>
  <c r="I860" i="9"/>
  <c r="I861" i="9"/>
  <c r="I862" i="9"/>
  <c r="I863" i="9"/>
  <c r="I864" i="9"/>
  <c r="I865" i="9"/>
  <c r="I866" i="9"/>
  <c r="I867" i="9"/>
  <c r="I868" i="9"/>
  <c r="I869" i="9"/>
  <c r="I870" i="9"/>
  <c r="I871" i="9"/>
  <c r="I872" i="9"/>
  <c r="I873" i="9"/>
  <c r="I874" i="9"/>
  <c r="I875" i="9"/>
  <c r="I876" i="9"/>
  <c r="I877" i="9"/>
  <c r="I878" i="9"/>
  <c r="I879" i="9"/>
  <c r="I880" i="9"/>
  <c r="I881" i="9"/>
  <c r="I882" i="9"/>
  <c r="I883" i="9"/>
  <c r="I884" i="9"/>
  <c r="I885" i="9"/>
  <c r="I886" i="9"/>
  <c r="I887" i="9"/>
  <c r="I888" i="9"/>
  <c r="I889" i="9"/>
  <c r="I890" i="9"/>
  <c r="I891" i="9"/>
  <c r="I892" i="9"/>
  <c r="I893" i="9"/>
  <c r="I894" i="9"/>
  <c r="I895" i="9"/>
  <c r="I896" i="9"/>
  <c r="I897" i="9"/>
  <c r="I898" i="9"/>
  <c r="I899" i="9"/>
  <c r="I900" i="9"/>
  <c r="I901" i="9"/>
  <c r="I902" i="9"/>
  <c r="I903" i="9"/>
  <c r="I904" i="9"/>
  <c r="I905" i="9"/>
  <c r="I906" i="9"/>
  <c r="I907" i="9"/>
  <c r="I908" i="9"/>
  <c r="I909" i="9"/>
  <c r="I910" i="9"/>
  <c r="I911" i="9"/>
  <c r="I912" i="9"/>
  <c r="I913" i="9"/>
  <c r="I914" i="9"/>
  <c r="I915" i="9"/>
  <c r="I916" i="9"/>
  <c r="I917" i="9"/>
  <c r="I918" i="9"/>
  <c r="I919" i="9"/>
  <c r="I920" i="9"/>
  <c r="I921" i="9"/>
  <c r="I922" i="9"/>
  <c r="I923" i="9"/>
  <c r="I924" i="9"/>
  <c r="I925" i="9"/>
  <c r="I926" i="9"/>
  <c r="I927" i="9"/>
  <c r="I928" i="9"/>
  <c r="I929" i="9"/>
  <c r="I930" i="9"/>
  <c r="I931" i="9"/>
  <c r="I932" i="9"/>
  <c r="I933" i="9"/>
  <c r="I934" i="9"/>
  <c r="I935" i="9"/>
  <c r="I936" i="9"/>
  <c r="I937" i="9"/>
  <c r="I938" i="9"/>
  <c r="I939" i="9"/>
  <c r="I940" i="9"/>
  <c r="I941" i="9"/>
  <c r="I942" i="9"/>
  <c r="I943" i="9"/>
  <c r="I944" i="9"/>
  <c r="I945" i="9"/>
  <c r="I946" i="9"/>
  <c r="I947" i="9"/>
  <c r="I948" i="9"/>
  <c r="I949" i="9"/>
  <c r="I950" i="9"/>
  <c r="I951" i="9"/>
  <c r="I952" i="9"/>
  <c r="I953" i="9"/>
  <c r="I954" i="9"/>
  <c r="I955" i="9"/>
  <c r="I956" i="9"/>
  <c r="I957" i="9"/>
  <c r="I958" i="9"/>
  <c r="I959" i="9"/>
  <c r="I960" i="9"/>
  <c r="I961" i="9"/>
  <c r="I962" i="9"/>
  <c r="I963" i="9"/>
  <c r="I964" i="9"/>
  <c r="I965" i="9"/>
  <c r="I966" i="9"/>
  <c r="I967" i="9"/>
  <c r="I968" i="9"/>
  <c r="I969" i="9"/>
  <c r="I970" i="9"/>
  <c r="I971" i="9"/>
  <c r="I972" i="9"/>
  <c r="I973" i="9"/>
  <c r="I974" i="9"/>
  <c r="I975" i="9"/>
  <c r="I976" i="9"/>
  <c r="I977" i="9"/>
  <c r="I978" i="9"/>
  <c r="I979" i="9"/>
  <c r="I980" i="9"/>
  <c r="I981" i="9"/>
  <c r="I982" i="9"/>
  <c r="I983" i="9"/>
  <c r="I984" i="9"/>
  <c r="I985" i="9"/>
  <c r="I986" i="9"/>
  <c r="I987" i="9"/>
  <c r="I988" i="9"/>
  <c r="I989" i="9"/>
  <c r="I990" i="9"/>
  <c r="I991" i="9"/>
  <c r="I992" i="9"/>
  <c r="I993" i="9"/>
  <c r="I994" i="9"/>
  <c r="I995" i="9"/>
  <c r="I996" i="9"/>
  <c r="I997" i="9"/>
  <c r="I998" i="9"/>
  <c r="I999" i="9"/>
  <c r="I1000" i="9"/>
  <c r="I1001" i="9"/>
  <c r="I1002" i="9"/>
  <c r="I1003" i="9"/>
  <c r="I1004" i="9"/>
  <c r="I1005" i="9"/>
  <c r="I1006" i="9"/>
  <c r="I1007" i="9"/>
  <c r="I1008" i="9"/>
  <c r="I1009" i="9"/>
  <c r="I1010" i="9"/>
  <c r="I1011" i="9"/>
  <c r="I1012" i="9"/>
  <c r="I1013" i="9"/>
  <c r="I1014" i="9"/>
  <c r="I1015" i="9"/>
  <c r="I1016" i="9"/>
  <c r="I1017" i="9"/>
  <c r="I1018" i="9"/>
  <c r="I1019" i="9"/>
  <c r="I1020" i="9"/>
  <c r="I1021" i="9"/>
  <c r="I1022" i="9"/>
  <c r="I1023" i="9"/>
  <c r="I1024" i="9"/>
  <c r="I1025" i="9"/>
  <c r="I1026" i="9"/>
  <c r="I1027" i="9"/>
  <c r="I1028" i="9"/>
  <c r="I1029" i="9"/>
  <c r="I1030" i="9"/>
  <c r="I1031" i="9"/>
  <c r="I1032" i="9"/>
  <c r="I1033" i="9"/>
  <c r="I1034" i="9"/>
  <c r="I1035" i="9"/>
  <c r="I1036" i="9"/>
  <c r="I1037" i="9"/>
  <c r="I1038" i="9"/>
  <c r="I1039" i="9"/>
  <c r="I1040" i="9"/>
  <c r="I1041" i="9"/>
  <c r="I1042" i="9"/>
  <c r="I1043" i="9"/>
  <c r="I1044" i="9"/>
  <c r="I1045" i="9"/>
  <c r="I1046" i="9"/>
  <c r="I1047" i="9"/>
  <c r="I1048" i="9"/>
  <c r="I1049" i="9"/>
  <c r="I1050" i="9"/>
  <c r="I1051" i="9"/>
  <c r="I1052" i="9"/>
  <c r="I1053" i="9"/>
  <c r="I1054" i="9"/>
  <c r="I1055" i="9"/>
  <c r="I1056" i="9"/>
  <c r="I1057" i="9"/>
  <c r="I1058" i="9"/>
  <c r="I1059" i="9"/>
  <c r="I1060" i="9"/>
  <c r="I1061" i="9"/>
  <c r="I1062" i="9"/>
  <c r="I1063" i="9"/>
  <c r="I1064" i="9"/>
  <c r="I1065" i="9"/>
  <c r="I1066" i="9"/>
  <c r="I1067" i="9"/>
  <c r="I1068" i="9"/>
  <c r="I1069" i="9"/>
  <c r="I1070" i="9"/>
  <c r="I1071" i="9"/>
  <c r="I1072" i="9"/>
  <c r="I1073" i="9"/>
  <c r="I1074" i="9"/>
  <c r="I1075" i="9"/>
  <c r="I1076" i="9"/>
  <c r="I1077" i="9"/>
  <c r="I1078" i="9"/>
  <c r="I1079" i="9"/>
  <c r="I1080" i="9"/>
  <c r="I1081" i="9"/>
  <c r="I1082" i="9"/>
  <c r="I1083" i="9"/>
  <c r="I1084" i="9"/>
  <c r="I1085" i="9"/>
  <c r="I1086" i="9"/>
  <c r="I1087" i="9"/>
  <c r="I1088" i="9"/>
  <c r="I1089" i="9"/>
  <c r="I1090" i="9"/>
  <c r="I1091" i="9"/>
  <c r="I1092" i="9"/>
  <c r="I1093" i="9"/>
  <c r="I1094" i="9"/>
  <c r="I1095" i="9"/>
  <c r="I1096" i="9"/>
  <c r="I1097" i="9"/>
  <c r="I1098" i="9"/>
  <c r="I1099" i="9"/>
  <c r="I1100" i="9"/>
  <c r="I1101" i="9"/>
  <c r="I1102" i="9"/>
  <c r="I1103" i="9"/>
  <c r="I1104" i="9"/>
  <c r="I1105" i="9"/>
  <c r="I1106" i="9"/>
  <c r="I1107" i="9"/>
  <c r="I1108" i="9"/>
  <c r="I1109" i="9"/>
  <c r="I1110" i="9"/>
  <c r="I1111" i="9"/>
  <c r="I1112" i="9"/>
  <c r="I1113" i="9"/>
  <c r="I1114" i="9"/>
  <c r="I1115" i="9"/>
  <c r="I1116" i="9"/>
  <c r="I1117" i="9"/>
  <c r="I1118" i="9"/>
  <c r="I1119" i="9"/>
  <c r="I1120" i="9"/>
  <c r="I1121" i="9"/>
  <c r="I1122" i="9"/>
  <c r="I1123" i="9"/>
  <c r="I1124" i="9"/>
  <c r="I1125" i="9"/>
  <c r="I1126" i="9"/>
  <c r="I1127" i="9"/>
  <c r="I1128" i="9"/>
  <c r="I1129" i="9"/>
  <c r="I1130" i="9"/>
  <c r="I1131" i="9"/>
  <c r="I1132" i="9"/>
  <c r="I1133" i="9"/>
  <c r="I1134" i="9"/>
  <c r="I1135" i="9"/>
  <c r="I1136" i="9"/>
  <c r="I1137" i="9"/>
  <c r="I1138" i="9"/>
  <c r="I1139" i="9"/>
  <c r="I1140" i="9"/>
  <c r="I1141" i="9"/>
  <c r="I1142" i="9"/>
  <c r="I1143" i="9"/>
  <c r="I1144" i="9"/>
  <c r="I1145" i="9"/>
  <c r="I1146" i="9"/>
  <c r="I1147" i="9"/>
  <c r="I1148" i="9"/>
  <c r="I1149" i="9"/>
  <c r="I1150" i="9"/>
  <c r="I1151" i="9"/>
  <c r="I1152" i="9"/>
  <c r="I1153" i="9"/>
  <c r="I1154" i="9"/>
  <c r="I1155" i="9"/>
  <c r="I1156" i="9"/>
  <c r="I1157" i="9"/>
  <c r="I1158" i="9"/>
  <c r="I1159" i="9"/>
  <c r="I1160" i="9"/>
  <c r="I1161" i="9"/>
  <c r="I1162" i="9"/>
  <c r="I1163" i="9"/>
  <c r="I1164" i="9"/>
  <c r="I1165" i="9"/>
  <c r="I1166" i="9"/>
  <c r="I1167" i="9"/>
  <c r="I1168" i="9"/>
  <c r="I1169" i="9"/>
  <c r="I1170" i="9"/>
  <c r="I1171" i="9"/>
  <c r="I1172" i="9"/>
  <c r="I1173" i="9"/>
  <c r="I1174" i="9"/>
  <c r="I1175" i="9"/>
  <c r="I1176" i="9"/>
  <c r="I1177" i="9"/>
  <c r="I1178" i="9"/>
  <c r="I1179" i="9"/>
  <c r="I1180" i="9"/>
  <c r="I1181" i="9"/>
  <c r="I1182" i="9"/>
  <c r="I1183" i="9"/>
  <c r="I1184" i="9"/>
  <c r="I1185" i="9"/>
  <c r="I1186" i="9"/>
  <c r="I1187" i="9"/>
  <c r="I1188" i="9"/>
  <c r="I1189" i="9"/>
  <c r="I1190" i="9"/>
  <c r="I1191" i="9"/>
  <c r="I1192" i="9"/>
  <c r="I1193" i="9"/>
  <c r="I1194" i="9"/>
  <c r="I1195" i="9"/>
  <c r="I1196" i="9"/>
  <c r="I1197" i="9"/>
  <c r="I1198" i="9"/>
  <c r="I1199" i="9"/>
  <c r="I1200" i="9"/>
  <c r="I1201" i="9"/>
  <c r="I1202" i="9"/>
  <c r="I1203" i="9"/>
  <c r="I1204" i="9"/>
  <c r="I1205" i="9"/>
  <c r="I1206" i="9"/>
  <c r="I1207" i="9"/>
  <c r="I1208" i="9"/>
  <c r="I1209" i="9"/>
  <c r="I1210" i="9"/>
  <c r="I1211" i="9"/>
  <c r="I1212" i="9"/>
  <c r="I1213" i="9"/>
  <c r="I1214" i="9"/>
  <c r="I1215" i="9"/>
  <c r="I1216" i="9"/>
  <c r="I1217" i="9"/>
  <c r="I1218" i="9"/>
  <c r="I1219" i="9"/>
  <c r="I1220" i="9"/>
  <c r="I1221" i="9"/>
  <c r="I1222" i="9"/>
  <c r="I1223" i="9"/>
  <c r="I1224" i="9"/>
  <c r="I1225" i="9"/>
  <c r="I1226" i="9"/>
  <c r="I1227" i="9"/>
  <c r="I1228" i="9"/>
  <c r="I1229" i="9"/>
  <c r="I1230" i="9"/>
  <c r="I1231" i="9"/>
  <c r="I1232" i="9"/>
  <c r="I1233" i="9"/>
  <c r="I1234" i="9"/>
  <c r="I1235" i="9"/>
  <c r="I1236" i="9"/>
  <c r="I1237" i="9"/>
  <c r="I1238" i="9"/>
  <c r="I1239" i="9"/>
  <c r="I1240" i="9"/>
  <c r="I1241" i="9"/>
  <c r="I1242" i="9"/>
  <c r="I1243" i="9"/>
  <c r="I1244" i="9"/>
  <c r="I1245" i="9"/>
  <c r="I1246" i="9"/>
  <c r="I1247" i="9"/>
  <c r="I1248" i="9"/>
  <c r="I1249" i="9"/>
  <c r="I1250" i="9"/>
  <c r="I1251" i="9"/>
  <c r="I1252" i="9"/>
  <c r="I1253" i="9"/>
  <c r="I1254" i="9"/>
  <c r="I1255" i="9"/>
  <c r="I1256" i="9"/>
  <c r="I1257" i="9"/>
  <c r="I1258" i="9"/>
  <c r="I1259" i="9"/>
  <c r="I1260" i="9"/>
  <c r="I1261" i="9"/>
  <c r="I1262" i="9"/>
  <c r="I1263" i="9"/>
  <c r="I1264" i="9"/>
  <c r="I1265" i="9"/>
  <c r="I1266" i="9"/>
  <c r="I1267" i="9"/>
  <c r="I1268" i="9"/>
  <c r="I1269" i="9"/>
  <c r="I1270" i="9"/>
  <c r="I1271" i="9"/>
  <c r="I1272" i="9"/>
  <c r="I1273" i="9"/>
  <c r="I1274" i="9"/>
  <c r="I1275" i="9"/>
  <c r="I1276" i="9"/>
  <c r="I1277" i="9"/>
  <c r="I1278" i="9"/>
  <c r="I1279" i="9"/>
  <c r="I1280" i="9"/>
  <c r="I1281" i="9"/>
  <c r="I1282" i="9"/>
  <c r="I1283" i="9"/>
  <c r="I1284" i="9"/>
  <c r="I1285" i="9"/>
  <c r="I1286" i="9"/>
  <c r="I1287" i="9"/>
  <c r="I1288" i="9"/>
  <c r="I1289" i="9"/>
  <c r="I1290" i="9"/>
  <c r="I1291" i="9"/>
  <c r="I1292" i="9"/>
  <c r="I1293" i="9"/>
  <c r="I1294" i="9"/>
  <c r="I1295" i="9"/>
  <c r="I1296" i="9"/>
  <c r="I1297" i="9"/>
  <c r="I1298" i="9"/>
  <c r="I1299" i="9"/>
  <c r="I1300" i="9"/>
  <c r="I1301" i="9"/>
  <c r="I1302" i="9"/>
  <c r="I1303" i="9"/>
  <c r="I1304" i="9"/>
  <c r="I1305" i="9"/>
  <c r="I1306" i="9"/>
  <c r="I1307" i="9"/>
  <c r="I1308" i="9"/>
  <c r="I1309" i="9"/>
  <c r="I1310" i="9"/>
  <c r="I1311" i="9"/>
  <c r="I1312" i="9"/>
  <c r="I1313" i="9"/>
  <c r="I1314" i="9"/>
  <c r="I1315" i="9"/>
  <c r="I1316" i="9"/>
  <c r="I1317" i="9"/>
  <c r="I1318" i="9"/>
  <c r="I1319" i="9"/>
  <c r="I1320" i="9"/>
  <c r="I1321" i="9"/>
  <c r="I1322" i="9"/>
  <c r="I1323" i="9"/>
  <c r="I1324" i="9"/>
  <c r="I1325" i="9"/>
  <c r="I1326" i="9"/>
  <c r="I1327" i="9"/>
  <c r="I1328" i="9"/>
  <c r="I1329" i="9"/>
  <c r="I1330" i="9"/>
  <c r="I1331" i="9"/>
  <c r="I1332" i="9"/>
  <c r="I1333" i="9"/>
  <c r="I1334" i="9"/>
  <c r="I1335" i="9"/>
  <c r="I1336" i="9"/>
  <c r="I1337" i="9"/>
  <c r="I1338" i="9"/>
  <c r="I1339" i="9"/>
  <c r="I1340" i="9"/>
  <c r="I1341" i="9"/>
  <c r="I1342" i="9"/>
  <c r="I1343" i="9"/>
  <c r="I1344" i="9"/>
  <c r="I1345" i="9"/>
  <c r="I1346" i="9"/>
  <c r="I1347" i="9"/>
  <c r="I1348" i="9"/>
  <c r="I1349" i="9"/>
  <c r="I1350" i="9"/>
  <c r="I1351" i="9"/>
  <c r="I1352" i="9"/>
  <c r="I1353" i="9"/>
  <c r="I1354" i="9"/>
  <c r="I1355" i="9"/>
  <c r="I1356" i="9"/>
  <c r="I1357" i="9"/>
  <c r="I1358" i="9"/>
  <c r="I1359" i="9"/>
  <c r="I1360" i="9"/>
  <c r="I1361" i="9"/>
  <c r="I1362" i="9"/>
  <c r="I1363" i="9"/>
  <c r="I1364" i="9"/>
  <c r="I1365" i="9"/>
  <c r="I1366" i="9"/>
  <c r="I1367" i="9"/>
  <c r="I1368" i="9"/>
  <c r="I1369" i="9"/>
  <c r="I1370" i="9"/>
  <c r="I1371" i="9"/>
  <c r="I1372" i="9"/>
  <c r="I1373" i="9"/>
  <c r="I1374" i="9"/>
  <c r="I1375" i="9"/>
  <c r="I1376" i="9"/>
  <c r="I1377" i="9"/>
  <c r="I1378" i="9"/>
  <c r="I1379" i="9"/>
  <c r="I1380" i="9"/>
  <c r="I1381" i="9"/>
  <c r="I1382" i="9"/>
  <c r="I1383" i="9"/>
  <c r="I1384" i="9"/>
  <c r="I1385" i="9"/>
  <c r="I1386" i="9"/>
  <c r="I1387" i="9"/>
  <c r="I1388" i="9"/>
  <c r="I1389" i="9"/>
  <c r="I1390" i="9"/>
  <c r="I1391" i="9"/>
  <c r="I1392" i="9"/>
  <c r="I1393" i="9"/>
  <c r="I1394" i="9"/>
  <c r="I1395" i="9"/>
  <c r="I1396" i="9"/>
  <c r="I1397" i="9"/>
  <c r="I1398" i="9"/>
  <c r="I1399" i="9"/>
  <c r="I1400" i="9"/>
  <c r="I1401" i="9"/>
  <c r="I1402" i="9"/>
  <c r="I1403" i="9"/>
  <c r="I1404" i="9"/>
  <c r="I1405" i="9"/>
  <c r="I1406" i="9"/>
  <c r="I1407" i="9"/>
  <c r="I1408" i="9"/>
  <c r="I1409" i="9"/>
  <c r="I1410" i="9"/>
  <c r="I1411" i="9"/>
  <c r="I1412" i="9"/>
  <c r="I1413" i="9"/>
  <c r="I1414" i="9"/>
  <c r="I1415" i="9"/>
  <c r="I1416" i="9"/>
  <c r="I1417" i="9"/>
  <c r="I1418" i="9"/>
  <c r="I1419" i="9"/>
  <c r="I1420" i="9"/>
  <c r="I1421" i="9"/>
  <c r="I1422" i="9"/>
  <c r="I1423" i="9"/>
  <c r="I1424" i="9"/>
  <c r="I1425" i="9"/>
  <c r="I1426" i="9"/>
  <c r="I1427" i="9"/>
  <c r="I1428" i="9"/>
  <c r="I1429" i="9"/>
  <c r="I1430" i="9"/>
  <c r="I1431" i="9"/>
  <c r="I1432" i="9"/>
  <c r="I1433" i="9"/>
  <c r="I1434" i="9"/>
  <c r="I1435" i="9"/>
  <c r="I1436" i="9"/>
  <c r="I1437" i="9"/>
  <c r="I1438" i="9"/>
  <c r="I1439" i="9"/>
  <c r="I1440" i="9"/>
  <c r="I1441" i="9"/>
  <c r="I1442" i="9"/>
  <c r="I1443" i="9"/>
  <c r="I1444" i="9"/>
  <c r="I1445" i="9"/>
  <c r="I1446" i="9"/>
  <c r="I1447" i="9"/>
  <c r="I1448" i="9"/>
  <c r="I1449" i="9"/>
  <c r="I1450" i="9"/>
  <c r="I1451" i="9"/>
  <c r="I1452" i="9"/>
  <c r="I1453" i="9"/>
  <c r="I1454" i="9"/>
  <c r="I1455" i="9"/>
  <c r="I1456" i="9"/>
  <c r="I1457" i="9"/>
  <c r="I1458" i="9"/>
  <c r="I1459" i="9"/>
  <c r="I1460" i="9"/>
  <c r="I1461" i="9"/>
  <c r="I1462" i="9"/>
  <c r="I1463" i="9"/>
  <c r="I1464" i="9"/>
  <c r="I1465" i="9"/>
  <c r="I1466" i="9"/>
  <c r="I1467" i="9"/>
  <c r="I1468" i="9"/>
  <c r="I1469" i="9"/>
  <c r="I1470" i="9"/>
  <c r="I1471" i="9"/>
  <c r="I1472" i="9"/>
  <c r="I1473" i="9"/>
  <c r="I1474" i="9"/>
  <c r="I1475" i="9"/>
  <c r="I1476" i="9"/>
  <c r="I1477" i="9"/>
  <c r="I1478" i="9"/>
  <c r="I1479" i="9"/>
  <c r="I1480" i="9"/>
  <c r="I1481" i="9"/>
  <c r="I1482" i="9"/>
  <c r="I1483" i="9"/>
  <c r="I1484" i="9"/>
  <c r="I1485" i="9"/>
  <c r="I1486" i="9"/>
  <c r="I1487" i="9"/>
  <c r="I1488" i="9"/>
  <c r="I1489" i="9"/>
  <c r="I1490" i="9"/>
  <c r="I1491" i="9"/>
  <c r="I1492" i="9"/>
  <c r="I1493" i="9"/>
  <c r="I1494" i="9"/>
  <c r="I1495" i="9"/>
  <c r="I1496" i="9"/>
  <c r="I1497" i="9"/>
  <c r="I1498" i="9"/>
  <c r="I1499" i="9"/>
  <c r="I1500" i="9"/>
  <c r="I1501" i="9"/>
  <c r="I1502" i="9"/>
  <c r="I1503" i="9"/>
  <c r="I1504" i="9"/>
  <c r="I1505" i="9"/>
  <c r="I1506" i="9"/>
  <c r="I1507" i="9"/>
  <c r="I1508" i="9"/>
  <c r="I1509" i="9"/>
  <c r="I1510" i="9"/>
  <c r="I1511" i="9"/>
  <c r="I1512" i="9"/>
  <c r="I1513" i="9"/>
  <c r="I1514" i="9"/>
  <c r="I1515" i="9"/>
  <c r="I1516" i="9"/>
  <c r="I1517" i="9"/>
  <c r="I1518" i="9"/>
  <c r="I1519" i="9"/>
  <c r="I1520" i="9"/>
  <c r="I1521" i="9"/>
  <c r="I1522" i="9"/>
  <c r="I1523" i="9"/>
  <c r="I1524" i="9"/>
  <c r="I1525" i="9"/>
  <c r="I1526" i="9"/>
  <c r="I1527" i="9"/>
  <c r="I1528" i="9"/>
  <c r="I1529" i="9"/>
  <c r="I1530" i="9"/>
  <c r="I1531" i="9"/>
  <c r="I1532" i="9"/>
  <c r="I1533" i="9"/>
  <c r="I1534" i="9"/>
  <c r="I1535" i="9"/>
  <c r="I1536" i="9"/>
  <c r="I1537" i="9"/>
  <c r="I1538" i="9"/>
  <c r="I1539" i="9"/>
  <c r="I1540" i="9"/>
  <c r="I1541" i="9"/>
  <c r="I1542" i="9"/>
  <c r="I1543" i="9"/>
  <c r="I1544" i="9"/>
  <c r="I1545" i="9"/>
  <c r="I1546" i="9"/>
  <c r="I1547" i="9"/>
  <c r="I1548" i="9"/>
  <c r="I1549" i="9"/>
  <c r="I1550" i="9"/>
  <c r="I1551" i="9"/>
  <c r="I1552" i="9"/>
  <c r="I1553" i="9"/>
  <c r="I1554" i="9"/>
  <c r="I1555" i="9"/>
  <c r="I1556" i="9"/>
  <c r="I1557" i="9"/>
  <c r="I1558" i="9"/>
  <c r="I1559" i="9"/>
  <c r="I1560" i="9"/>
  <c r="I1561" i="9"/>
  <c r="I1562" i="9"/>
  <c r="I1563" i="9"/>
  <c r="I1564" i="9"/>
  <c r="I1565" i="9"/>
  <c r="I1566" i="9"/>
  <c r="I1567" i="9"/>
  <c r="I1568" i="9"/>
  <c r="I1569" i="9"/>
  <c r="I1570" i="9"/>
  <c r="I1571" i="9"/>
  <c r="I1572" i="9"/>
  <c r="I1573" i="9"/>
  <c r="I1574" i="9"/>
  <c r="I1575" i="9"/>
  <c r="I1576" i="9"/>
  <c r="I1577" i="9"/>
  <c r="I1578" i="9"/>
  <c r="I1579" i="9"/>
  <c r="I1580" i="9"/>
  <c r="I1581" i="9"/>
  <c r="I1582" i="9"/>
  <c r="I1583" i="9"/>
  <c r="I1584" i="9"/>
  <c r="I1585" i="9"/>
  <c r="I1586" i="9"/>
  <c r="I1587" i="9"/>
  <c r="I1588" i="9"/>
  <c r="I1589" i="9"/>
  <c r="I1590" i="9"/>
  <c r="I1591" i="9"/>
  <c r="I1592" i="9"/>
  <c r="I1593" i="9"/>
  <c r="I1594" i="9"/>
  <c r="I1595" i="9"/>
  <c r="I1596" i="9"/>
  <c r="I1597" i="9"/>
  <c r="I1598" i="9"/>
  <c r="I1599" i="9"/>
  <c r="I1600" i="9"/>
  <c r="I1601" i="9"/>
  <c r="I1602" i="9"/>
  <c r="I1603" i="9"/>
  <c r="I1604" i="9"/>
  <c r="I1605" i="9"/>
  <c r="I1606" i="9"/>
  <c r="I1607" i="9"/>
  <c r="I1608" i="9"/>
  <c r="I1609" i="9"/>
  <c r="I1610" i="9"/>
  <c r="I1611" i="9"/>
  <c r="I1612" i="9"/>
  <c r="I1613" i="9"/>
  <c r="I1614" i="9"/>
  <c r="I1615" i="9"/>
  <c r="I1616" i="9"/>
  <c r="I1617" i="9"/>
  <c r="I1618" i="9"/>
  <c r="I1619" i="9"/>
  <c r="I1620" i="9"/>
  <c r="I1621" i="9"/>
  <c r="I1622" i="9"/>
  <c r="I1623" i="9"/>
  <c r="I1624" i="9"/>
  <c r="I1625" i="9"/>
  <c r="I1626" i="9"/>
  <c r="I1627" i="9"/>
  <c r="I1628" i="9"/>
  <c r="I1629" i="9"/>
  <c r="I1630" i="9"/>
  <c r="I1631" i="9"/>
  <c r="I1632" i="9"/>
  <c r="I1633" i="9"/>
  <c r="I1634" i="9"/>
  <c r="I1635" i="9"/>
  <c r="I1636" i="9"/>
  <c r="I1637" i="9"/>
  <c r="I1638" i="9"/>
  <c r="I1639" i="9"/>
  <c r="I1640" i="9"/>
  <c r="I1641" i="9"/>
  <c r="I1642" i="9"/>
  <c r="I1643" i="9"/>
  <c r="I1644" i="9"/>
  <c r="I1645" i="9"/>
  <c r="I1646" i="9"/>
  <c r="I1647" i="9"/>
  <c r="I1648" i="9"/>
  <c r="I1649" i="9"/>
  <c r="I1650" i="9"/>
  <c r="I1651" i="9"/>
  <c r="I1652" i="9"/>
  <c r="I1653" i="9"/>
  <c r="I1654" i="9"/>
  <c r="I1655" i="9"/>
  <c r="I1656" i="9"/>
  <c r="I1657" i="9"/>
  <c r="I1658" i="9"/>
  <c r="I1659" i="9"/>
  <c r="I1660" i="9"/>
  <c r="I1661" i="9"/>
  <c r="I1662" i="9"/>
  <c r="I1663" i="9"/>
  <c r="I1664" i="9"/>
  <c r="I1665" i="9"/>
  <c r="I1666" i="9"/>
  <c r="I1667" i="9"/>
  <c r="I1668" i="9"/>
  <c r="I1669" i="9"/>
  <c r="I1670" i="9"/>
  <c r="I1671" i="9"/>
  <c r="I1672" i="9"/>
  <c r="I1673" i="9"/>
  <c r="I1674" i="9"/>
  <c r="I1675" i="9"/>
  <c r="I1676" i="9"/>
  <c r="I1677" i="9"/>
  <c r="I1678" i="9"/>
  <c r="I1679" i="9"/>
  <c r="I1680" i="9"/>
  <c r="I1681" i="9"/>
  <c r="I1682" i="9"/>
  <c r="I1683" i="9"/>
  <c r="I1684" i="9"/>
  <c r="I1685" i="9"/>
  <c r="I1686" i="9"/>
  <c r="I1687" i="9"/>
  <c r="I1688" i="9"/>
  <c r="I1689" i="9"/>
  <c r="I1690" i="9"/>
  <c r="I1691" i="9"/>
  <c r="I1692" i="9"/>
  <c r="I1693" i="9"/>
  <c r="I1694" i="9"/>
  <c r="I1695" i="9"/>
  <c r="I1696" i="9"/>
  <c r="I1697" i="9"/>
  <c r="I1698" i="9"/>
  <c r="I1699" i="9"/>
  <c r="I1700" i="9"/>
  <c r="I1701" i="9"/>
  <c r="I1702" i="9"/>
  <c r="I1703" i="9"/>
  <c r="I1704" i="9"/>
  <c r="I1705" i="9"/>
  <c r="I1706" i="9"/>
  <c r="I1707" i="9"/>
  <c r="I1708" i="9"/>
  <c r="I1709" i="9"/>
  <c r="I1710" i="9"/>
  <c r="I1711" i="9"/>
  <c r="I1712" i="9"/>
  <c r="I1713" i="9"/>
  <c r="I1714" i="9"/>
  <c r="I1715" i="9"/>
  <c r="I1716" i="9"/>
  <c r="I1717" i="9"/>
  <c r="I1718" i="9"/>
  <c r="I1719" i="9"/>
  <c r="I1720" i="9"/>
  <c r="I1721" i="9"/>
  <c r="I1722" i="9"/>
  <c r="I1723" i="9"/>
  <c r="I1724" i="9"/>
  <c r="I1725" i="9"/>
  <c r="I1726" i="9"/>
  <c r="I1727" i="9"/>
  <c r="I1728" i="9"/>
  <c r="I1729" i="9"/>
  <c r="I1730" i="9"/>
  <c r="I1731" i="9"/>
  <c r="I1732" i="9"/>
  <c r="I1733" i="9"/>
  <c r="I1734" i="9"/>
  <c r="I1735" i="9"/>
  <c r="I1736" i="9"/>
  <c r="I1737" i="9"/>
  <c r="I1738" i="9"/>
  <c r="I1739" i="9"/>
  <c r="I1740" i="9"/>
  <c r="I1741" i="9"/>
  <c r="I1742" i="9"/>
  <c r="I1743" i="9"/>
  <c r="I1744" i="9"/>
  <c r="I1745" i="9"/>
  <c r="I1746" i="9"/>
  <c r="I1747" i="9"/>
  <c r="I1748" i="9"/>
  <c r="I1749" i="9"/>
  <c r="I1750" i="9"/>
  <c r="I1751" i="9"/>
  <c r="I1752" i="9"/>
  <c r="I1753" i="9"/>
  <c r="I1754" i="9"/>
  <c r="I1755" i="9"/>
  <c r="I1756" i="9"/>
  <c r="I1757" i="9"/>
  <c r="I1758" i="9"/>
  <c r="I1759" i="9"/>
  <c r="I1760" i="9"/>
  <c r="I1761" i="9"/>
  <c r="I1762" i="9"/>
  <c r="I1763" i="9"/>
  <c r="I1764" i="9"/>
  <c r="I1765" i="9"/>
  <c r="I1766" i="9"/>
  <c r="I1767" i="9"/>
  <c r="I1768" i="9"/>
  <c r="I1769" i="9"/>
  <c r="I1770" i="9"/>
  <c r="I1771" i="9"/>
  <c r="I1772" i="9"/>
  <c r="I1773" i="9"/>
  <c r="I1774" i="9"/>
  <c r="I1775" i="9"/>
  <c r="I1776" i="9"/>
  <c r="I1777" i="9"/>
  <c r="I1778" i="9"/>
  <c r="I1779" i="9"/>
  <c r="I1780" i="9"/>
  <c r="I1781" i="9"/>
  <c r="I1782" i="9"/>
  <c r="I1783" i="9"/>
  <c r="I1784" i="9"/>
  <c r="I1785" i="9"/>
  <c r="I1786" i="9"/>
  <c r="I1787" i="9"/>
  <c r="I1788" i="9"/>
  <c r="I1789" i="9"/>
  <c r="I1790" i="9"/>
  <c r="I1791" i="9"/>
  <c r="I1792" i="9"/>
  <c r="I1793" i="9"/>
  <c r="I1794" i="9"/>
  <c r="I1795" i="9"/>
  <c r="I1796" i="9"/>
  <c r="I1797" i="9"/>
  <c r="I1798" i="9"/>
  <c r="I1799" i="9"/>
  <c r="I1800" i="9"/>
  <c r="I1801" i="9"/>
  <c r="I1802" i="9"/>
  <c r="I1803" i="9"/>
  <c r="I1804" i="9"/>
  <c r="I1805" i="9"/>
  <c r="I1806" i="9"/>
  <c r="I1807" i="9"/>
  <c r="I1808" i="9"/>
  <c r="I1809" i="9"/>
  <c r="I1810" i="9"/>
  <c r="I1811" i="9"/>
  <c r="I1812" i="9"/>
  <c r="I1813" i="9"/>
  <c r="I1814" i="9"/>
  <c r="I1815" i="9"/>
  <c r="I1816" i="9"/>
  <c r="I1817" i="9"/>
  <c r="I1818" i="9"/>
  <c r="I1819" i="9"/>
  <c r="I1820" i="9"/>
  <c r="I1821" i="9"/>
  <c r="I1822" i="9"/>
  <c r="I1823" i="9"/>
  <c r="I1824" i="9"/>
  <c r="I1825" i="9"/>
  <c r="I1826" i="9"/>
  <c r="I1827" i="9"/>
  <c r="I1828" i="9"/>
  <c r="I1829" i="9"/>
  <c r="I1830" i="9"/>
  <c r="I1831" i="9"/>
  <c r="I1832" i="9"/>
  <c r="I1833" i="9"/>
  <c r="I1834" i="9"/>
  <c r="I1835" i="9"/>
  <c r="I1836" i="9"/>
  <c r="I1837" i="9"/>
  <c r="I1838" i="9"/>
  <c r="I1839" i="9"/>
  <c r="I1840" i="9"/>
  <c r="I1841" i="9"/>
  <c r="I1842" i="9"/>
  <c r="I1843" i="9"/>
  <c r="I1844" i="9"/>
  <c r="I1845" i="9"/>
  <c r="I1846" i="9"/>
  <c r="I1847" i="9"/>
  <c r="I1848" i="9"/>
  <c r="I1849" i="9"/>
  <c r="I1850" i="9"/>
  <c r="I1851" i="9"/>
  <c r="I1852" i="9"/>
  <c r="I1853" i="9"/>
  <c r="I1854" i="9"/>
  <c r="I1855" i="9"/>
  <c r="I1856" i="9"/>
  <c r="I1857" i="9"/>
  <c r="I1858" i="9"/>
  <c r="I1859" i="9"/>
  <c r="I1860" i="9"/>
  <c r="I1861" i="9"/>
  <c r="I1862" i="9"/>
  <c r="I1863" i="9"/>
  <c r="I1864" i="9"/>
  <c r="I1865" i="9"/>
  <c r="I1866" i="9"/>
  <c r="I1867" i="9"/>
  <c r="I1868" i="9"/>
  <c r="I1869" i="9"/>
  <c r="I1870" i="9"/>
  <c r="I1871" i="9"/>
  <c r="I1872" i="9"/>
  <c r="I1873" i="9"/>
  <c r="I1874" i="9"/>
  <c r="I1875" i="9"/>
  <c r="I1876" i="9"/>
  <c r="I1877" i="9"/>
  <c r="I1878" i="9"/>
  <c r="I1879" i="9"/>
  <c r="I1880" i="9"/>
  <c r="I1881" i="9"/>
  <c r="I1882" i="9"/>
  <c r="I1883" i="9"/>
  <c r="I1884" i="9"/>
  <c r="I1885" i="9"/>
  <c r="I1886" i="9"/>
  <c r="I1887" i="9"/>
  <c r="I1888" i="9"/>
  <c r="I1889" i="9"/>
  <c r="I1890" i="9"/>
  <c r="I1891" i="9"/>
  <c r="I1892" i="9"/>
  <c r="I1893" i="9"/>
  <c r="I1894" i="9"/>
  <c r="I1895" i="9"/>
  <c r="I1896" i="9"/>
  <c r="I1897" i="9"/>
  <c r="I1898" i="9"/>
  <c r="I1899" i="9"/>
  <c r="I1900" i="9"/>
  <c r="I1901" i="9"/>
  <c r="I1902" i="9"/>
  <c r="I1903" i="9"/>
  <c r="I1904" i="9"/>
  <c r="I1905" i="9"/>
  <c r="I1906" i="9"/>
  <c r="I1907" i="9"/>
  <c r="I1908" i="9"/>
  <c r="I1909" i="9"/>
  <c r="I1910" i="9"/>
  <c r="I1911" i="9"/>
  <c r="I1912" i="9"/>
  <c r="I1913" i="9"/>
  <c r="I1914" i="9"/>
  <c r="I1915" i="9"/>
  <c r="I1916" i="9"/>
  <c r="I1917" i="9"/>
  <c r="I1918" i="9"/>
  <c r="I1919" i="9"/>
  <c r="I1920" i="9"/>
  <c r="I1921" i="9"/>
  <c r="I1922" i="9"/>
  <c r="I1923" i="9"/>
  <c r="I1924" i="9"/>
  <c r="I1925" i="9"/>
  <c r="I1926" i="9"/>
  <c r="I1927" i="9"/>
  <c r="I1928" i="9"/>
  <c r="I1929" i="9"/>
  <c r="I1930" i="9"/>
  <c r="I1931" i="9"/>
  <c r="I1932" i="9"/>
  <c r="I1933" i="9"/>
  <c r="I1934" i="9"/>
  <c r="I1935" i="9"/>
  <c r="I1936" i="9"/>
  <c r="I1937" i="9"/>
  <c r="I1938" i="9"/>
  <c r="I1939" i="9"/>
  <c r="I1940" i="9"/>
  <c r="I1941" i="9"/>
  <c r="I1942" i="9"/>
  <c r="I1943" i="9"/>
  <c r="I1944" i="9"/>
  <c r="I1945" i="9"/>
  <c r="I1946" i="9"/>
  <c r="I1947" i="9"/>
  <c r="I1948" i="9"/>
  <c r="I1949" i="9"/>
  <c r="I1950" i="9"/>
  <c r="I1951" i="9"/>
  <c r="I1952" i="9"/>
  <c r="I1953" i="9"/>
  <c r="I1954" i="9"/>
  <c r="I1955" i="9"/>
  <c r="I1956" i="9"/>
  <c r="I1957" i="9"/>
  <c r="I1958" i="9"/>
  <c r="I1959" i="9"/>
  <c r="I1960" i="9"/>
  <c r="I1961" i="9"/>
  <c r="I1962" i="9"/>
  <c r="I1963" i="9"/>
  <c r="I1964" i="9"/>
  <c r="I1965" i="9"/>
  <c r="I1966" i="9"/>
  <c r="I1967" i="9"/>
  <c r="I1968" i="9"/>
  <c r="I1969" i="9"/>
  <c r="I1970" i="9"/>
  <c r="I1971" i="9"/>
  <c r="I1972" i="9"/>
  <c r="I1973" i="9"/>
  <c r="I1974" i="9"/>
  <c r="I1975" i="9"/>
  <c r="I1976" i="9"/>
  <c r="I1977" i="9"/>
  <c r="I1978" i="9"/>
  <c r="I1979" i="9"/>
  <c r="I1980" i="9"/>
  <c r="I1981" i="9"/>
  <c r="I1982" i="9"/>
  <c r="I1983" i="9"/>
  <c r="I1984" i="9"/>
  <c r="I1985" i="9"/>
  <c r="I1986" i="9"/>
  <c r="I1987" i="9"/>
  <c r="I1988" i="9"/>
  <c r="I1989" i="9"/>
  <c r="I1990" i="9"/>
  <c r="I1991" i="9"/>
  <c r="I1992" i="9"/>
  <c r="I1993" i="9"/>
  <c r="I1994" i="9"/>
  <c r="I1995" i="9"/>
  <c r="I1996" i="9"/>
  <c r="I1997" i="9"/>
  <c r="I1998" i="9"/>
  <c r="I1999" i="9"/>
  <c r="I2000" i="9"/>
  <c r="I2001" i="9"/>
  <c r="I2002" i="9"/>
  <c r="I2003" i="9"/>
  <c r="I2004" i="9"/>
  <c r="I2005" i="9"/>
  <c r="I2006" i="9"/>
  <c r="I2007" i="9"/>
  <c r="I2008" i="9"/>
  <c r="I2009" i="9"/>
  <c r="I2010" i="9"/>
  <c r="I2011" i="9"/>
  <c r="I2012" i="9"/>
  <c r="I2013" i="9"/>
  <c r="I2014" i="9"/>
  <c r="I2015" i="9"/>
  <c r="D2001" i="9"/>
  <c r="D2002" i="9"/>
  <c r="D2003" i="9"/>
  <c r="D2004" i="9"/>
  <c r="D2005" i="9"/>
  <c r="D2006" i="9"/>
  <c r="D2007" i="9"/>
  <c r="D2008" i="9"/>
  <c r="D2009" i="9"/>
  <c r="D2010" i="9"/>
  <c r="D2011" i="9"/>
  <c r="D2012" i="9"/>
  <c r="D2013" i="9"/>
  <c r="D2014" i="9"/>
  <c r="D2015" i="9"/>
  <c r="D31" i="9"/>
  <c r="D32" i="9"/>
  <c r="D33" i="9"/>
  <c r="D34" i="9"/>
  <c r="D35" i="9"/>
  <c r="D36" i="9"/>
  <c r="D37" i="9"/>
  <c r="D38" i="9"/>
  <c r="D39" i="9"/>
  <c r="D40" i="9"/>
  <c r="D41" i="9"/>
  <c r="D42" i="9"/>
  <c r="D43" i="9"/>
  <c r="D44" i="9"/>
  <c r="D45" i="9"/>
  <c r="D46" i="9"/>
  <c r="D47" i="9"/>
  <c r="D48" i="9"/>
  <c r="D49" i="9"/>
  <c r="D50" i="9"/>
  <c r="D51" i="9"/>
  <c r="D52" i="9"/>
  <c r="D53" i="9"/>
  <c r="D54" i="9"/>
  <c r="D55" i="9"/>
  <c r="D56" i="9"/>
  <c r="D57" i="9"/>
  <c r="D58" i="9"/>
  <c r="D59" i="9"/>
  <c r="D60" i="9"/>
  <c r="D61" i="9"/>
  <c r="D62" i="9"/>
  <c r="D63" i="9"/>
  <c r="D64" i="9"/>
  <c r="D65" i="9"/>
  <c r="D66" i="9"/>
  <c r="D67" i="9"/>
  <c r="D68" i="9"/>
  <c r="D69" i="9"/>
  <c r="D70" i="9"/>
  <c r="D71" i="9"/>
  <c r="D72" i="9"/>
  <c r="D73" i="9"/>
  <c r="D74" i="9"/>
  <c r="D75" i="9"/>
  <c r="D76" i="9"/>
  <c r="D77" i="9"/>
  <c r="D78" i="9"/>
  <c r="D79" i="9"/>
  <c r="D80" i="9"/>
  <c r="D81" i="9"/>
  <c r="D82" i="9"/>
  <c r="D83" i="9"/>
  <c r="D84" i="9"/>
  <c r="D85" i="9"/>
  <c r="D86" i="9"/>
  <c r="D87" i="9"/>
  <c r="D88" i="9"/>
  <c r="D89" i="9"/>
  <c r="D90" i="9"/>
  <c r="D91" i="9"/>
  <c r="D92" i="9"/>
  <c r="D93" i="9"/>
  <c r="D94" i="9"/>
  <c r="D95" i="9"/>
  <c r="D96" i="9"/>
  <c r="D97" i="9"/>
  <c r="D98" i="9"/>
  <c r="D99" i="9"/>
  <c r="D100" i="9"/>
  <c r="D101" i="9"/>
  <c r="D102" i="9"/>
  <c r="D103" i="9"/>
  <c r="D104" i="9"/>
  <c r="D105" i="9"/>
  <c r="D106" i="9"/>
  <c r="D107" i="9"/>
  <c r="D108" i="9"/>
  <c r="D109" i="9"/>
  <c r="D110" i="9"/>
  <c r="D111" i="9"/>
  <c r="D112" i="9"/>
  <c r="D113" i="9"/>
  <c r="D114" i="9"/>
  <c r="D115" i="9"/>
  <c r="D116" i="9"/>
  <c r="D117" i="9"/>
  <c r="D118" i="9"/>
  <c r="D119" i="9"/>
  <c r="D120" i="9"/>
  <c r="D121" i="9"/>
  <c r="D122" i="9"/>
  <c r="D123" i="9"/>
  <c r="D124" i="9"/>
  <c r="D125" i="9"/>
  <c r="D126" i="9"/>
  <c r="D127" i="9"/>
  <c r="D128" i="9"/>
  <c r="D129" i="9"/>
  <c r="D130" i="9"/>
  <c r="D131" i="9"/>
  <c r="D132" i="9"/>
  <c r="D133" i="9"/>
  <c r="D134" i="9"/>
  <c r="D135" i="9"/>
  <c r="D136" i="9"/>
  <c r="D137" i="9"/>
  <c r="D138" i="9"/>
  <c r="D139" i="9"/>
  <c r="D140" i="9"/>
  <c r="D141" i="9"/>
  <c r="D142" i="9"/>
  <c r="D143" i="9"/>
  <c r="D144" i="9"/>
  <c r="D145" i="9"/>
  <c r="D146" i="9"/>
  <c r="D147" i="9"/>
  <c r="D148" i="9"/>
  <c r="D149" i="9"/>
  <c r="D150" i="9"/>
  <c r="D151" i="9"/>
  <c r="D152" i="9"/>
  <c r="D153" i="9"/>
  <c r="D154" i="9"/>
  <c r="D155" i="9"/>
  <c r="D156" i="9"/>
  <c r="D157" i="9"/>
  <c r="D158" i="9"/>
  <c r="D159" i="9"/>
  <c r="D160" i="9"/>
  <c r="D161" i="9"/>
  <c r="D162" i="9"/>
  <c r="D163" i="9"/>
  <c r="D164" i="9"/>
  <c r="D165" i="9"/>
  <c r="D166" i="9"/>
  <c r="D167" i="9"/>
  <c r="D168" i="9"/>
  <c r="D169" i="9"/>
  <c r="D170" i="9"/>
  <c r="D171" i="9"/>
  <c r="D172" i="9"/>
  <c r="D173" i="9"/>
  <c r="D174" i="9"/>
  <c r="D175" i="9"/>
  <c r="D176" i="9"/>
  <c r="D177" i="9"/>
  <c r="D178" i="9"/>
  <c r="D179" i="9"/>
  <c r="D180" i="9"/>
  <c r="D181" i="9"/>
  <c r="D182" i="9"/>
  <c r="D183" i="9"/>
  <c r="D184" i="9"/>
  <c r="D185" i="9"/>
  <c r="D186" i="9"/>
  <c r="D187" i="9"/>
  <c r="D188" i="9"/>
  <c r="D189" i="9"/>
  <c r="D190" i="9"/>
  <c r="D191" i="9"/>
  <c r="D192" i="9"/>
  <c r="D193" i="9"/>
  <c r="D194" i="9"/>
  <c r="D195" i="9"/>
  <c r="D196" i="9"/>
  <c r="D197" i="9"/>
  <c r="D198" i="9"/>
  <c r="D199" i="9"/>
  <c r="D200" i="9"/>
  <c r="D201" i="9"/>
  <c r="D202" i="9"/>
  <c r="D203" i="9"/>
  <c r="D204" i="9"/>
  <c r="D205" i="9"/>
  <c r="D206" i="9"/>
  <c r="D207" i="9"/>
  <c r="D208" i="9"/>
  <c r="D209" i="9"/>
  <c r="D210" i="9"/>
  <c r="D211" i="9"/>
  <c r="D212" i="9"/>
  <c r="D213" i="9"/>
  <c r="D214" i="9"/>
  <c r="D215" i="9"/>
  <c r="D216" i="9"/>
  <c r="D217" i="9"/>
  <c r="D218" i="9"/>
  <c r="D219" i="9"/>
  <c r="D220" i="9"/>
  <c r="D221" i="9"/>
  <c r="D222" i="9"/>
  <c r="D223" i="9"/>
  <c r="D224" i="9"/>
  <c r="D225" i="9"/>
  <c r="D226" i="9"/>
  <c r="D227" i="9"/>
  <c r="D228" i="9"/>
  <c r="D229" i="9"/>
  <c r="D230" i="9"/>
  <c r="D231" i="9"/>
  <c r="D232" i="9"/>
  <c r="D233" i="9"/>
  <c r="D234" i="9"/>
  <c r="D235" i="9"/>
  <c r="D236" i="9"/>
  <c r="D237" i="9"/>
  <c r="D238" i="9"/>
  <c r="D239" i="9"/>
  <c r="D240" i="9"/>
  <c r="D241" i="9"/>
  <c r="D242" i="9"/>
  <c r="D243" i="9"/>
  <c r="D244" i="9"/>
  <c r="D245" i="9"/>
  <c r="D246" i="9"/>
  <c r="D247" i="9"/>
  <c r="D248" i="9"/>
  <c r="D249" i="9"/>
  <c r="D250" i="9"/>
  <c r="D251" i="9"/>
  <c r="D252" i="9"/>
  <c r="D253" i="9"/>
  <c r="D254" i="9"/>
  <c r="D255" i="9"/>
  <c r="D256" i="9"/>
  <c r="D257" i="9"/>
  <c r="D258" i="9"/>
  <c r="D259" i="9"/>
  <c r="D260" i="9"/>
  <c r="D261" i="9"/>
  <c r="D262" i="9"/>
  <c r="D263" i="9"/>
  <c r="D264" i="9"/>
  <c r="D265" i="9"/>
  <c r="D266" i="9"/>
  <c r="D267" i="9"/>
  <c r="D268" i="9"/>
  <c r="D269" i="9"/>
  <c r="D270" i="9"/>
  <c r="D271" i="9"/>
  <c r="D272" i="9"/>
  <c r="D273" i="9"/>
  <c r="D274" i="9"/>
  <c r="D275" i="9"/>
  <c r="D276" i="9"/>
  <c r="D277" i="9"/>
  <c r="D278" i="9"/>
  <c r="D279" i="9"/>
  <c r="D280" i="9"/>
  <c r="D281" i="9"/>
  <c r="D282" i="9"/>
  <c r="D283" i="9"/>
  <c r="D284" i="9"/>
  <c r="D285" i="9"/>
  <c r="D286" i="9"/>
  <c r="D287" i="9"/>
  <c r="D288" i="9"/>
  <c r="D289" i="9"/>
  <c r="D290" i="9"/>
  <c r="D291" i="9"/>
  <c r="D292" i="9"/>
  <c r="D293" i="9"/>
  <c r="D294" i="9"/>
  <c r="D295" i="9"/>
  <c r="D296" i="9"/>
  <c r="D297" i="9"/>
  <c r="D298" i="9"/>
  <c r="D299" i="9"/>
  <c r="D300" i="9"/>
  <c r="D301" i="9"/>
  <c r="D302" i="9"/>
  <c r="D303" i="9"/>
  <c r="D304" i="9"/>
  <c r="D305" i="9"/>
  <c r="D306" i="9"/>
  <c r="D307" i="9"/>
  <c r="D308" i="9"/>
  <c r="D309" i="9"/>
  <c r="D310" i="9"/>
  <c r="D311" i="9"/>
  <c r="D312" i="9"/>
  <c r="D313" i="9"/>
  <c r="D314" i="9"/>
  <c r="D315" i="9"/>
  <c r="D316" i="9"/>
  <c r="D317" i="9"/>
  <c r="D318" i="9"/>
  <c r="D319" i="9"/>
  <c r="D320" i="9"/>
  <c r="D321" i="9"/>
  <c r="D322" i="9"/>
  <c r="D323" i="9"/>
  <c r="D324" i="9"/>
  <c r="D325" i="9"/>
  <c r="D326" i="9"/>
  <c r="D327" i="9"/>
  <c r="D328" i="9"/>
  <c r="D329" i="9"/>
  <c r="D330" i="9"/>
  <c r="D331" i="9"/>
  <c r="D332" i="9"/>
  <c r="D333" i="9"/>
  <c r="D334" i="9"/>
  <c r="D335" i="9"/>
  <c r="D336" i="9"/>
  <c r="D337" i="9"/>
  <c r="D338" i="9"/>
  <c r="D339" i="9"/>
  <c r="D340" i="9"/>
  <c r="D341" i="9"/>
  <c r="D342" i="9"/>
  <c r="D343" i="9"/>
  <c r="D344" i="9"/>
  <c r="D345" i="9"/>
  <c r="D346" i="9"/>
  <c r="D347" i="9"/>
  <c r="D348" i="9"/>
  <c r="D349" i="9"/>
  <c r="D350" i="9"/>
  <c r="D351" i="9"/>
  <c r="D352" i="9"/>
  <c r="D353" i="9"/>
  <c r="D354" i="9"/>
  <c r="D355" i="9"/>
  <c r="D356" i="9"/>
  <c r="D357" i="9"/>
  <c r="D358" i="9"/>
  <c r="D359" i="9"/>
  <c r="D360" i="9"/>
  <c r="D361" i="9"/>
  <c r="D362" i="9"/>
  <c r="D363" i="9"/>
  <c r="D364" i="9"/>
  <c r="D365" i="9"/>
  <c r="D366" i="9"/>
  <c r="D367" i="9"/>
  <c r="D368" i="9"/>
  <c r="D369" i="9"/>
  <c r="D370" i="9"/>
  <c r="D371" i="9"/>
  <c r="D372" i="9"/>
  <c r="D373" i="9"/>
  <c r="D374" i="9"/>
  <c r="D375" i="9"/>
  <c r="D376" i="9"/>
  <c r="D377" i="9"/>
  <c r="D378" i="9"/>
  <c r="D379" i="9"/>
  <c r="D380" i="9"/>
  <c r="D381" i="9"/>
  <c r="D382" i="9"/>
  <c r="D383" i="9"/>
  <c r="D384" i="9"/>
  <c r="D385" i="9"/>
  <c r="D386" i="9"/>
  <c r="D387" i="9"/>
  <c r="D388" i="9"/>
  <c r="D389" i="9"/>
  <c r="D390" i="9"/>
  <c r="D391" i="9"/>
  <c r="D392" i="9"/>
  <c r="D393" i="9"/>
  <c r="D394" i="9"/>
  <c r="D395" i="9"/>
  <c r="D396" i="9"/>
  <c r="D397" i="9"/>
  <c r="D398" i="9"/>
  <c r="D399" i="9"/>
  <c r="D400" i="9"/>
  <c r="D401" i="9"/>
  <c r="D402" i="9"/>
  <c r="D403" i="9"/>
  <c r="D404" i="9"/>
  <c r="D405" i="9"/>
  <c r="D406" i="9"/>
  <c r="D407" i="9"/>
  <c r="D408" i="9"/>
  <c r="D409" i="9"/>
  <c r="D410" i="9"/>
  <c r="D411" i="9"/>
  <c r="D412" i="9"/>
  <c r="D413" i="9"/>
  <c r="D414" i="9"/>
  <c r="D415" i="9"/>
  <c r="D416" i="9"/>
  <c r="D417" i="9"/>
  <c r="D418" i="9"/>
  <c r="D419" i="9"/>
  <c r="D420" i="9"/>
  <c r="D421" i="9"/>
  <c r="D422" i="9"/>
  <c r="D423" i="9"/>
  <c r="D424" i="9"/>
  <c r="D425" i="9"/>
  <c r="D426" i="9"/>
  <c r="D427" i="9"/>
  <c r="D428" i="9"/>
  <c r="D429" i="9"/>
  <c r="D430" i="9"/>
  <c r="D431" i="9"/>
  <c r="D432" i="9"/>
  <c r="D433" i="9"/>
  <c r="D434" i="9"/>
  <c r="D435" i="9"/>
  <c r="D436" i="9"/>
  <c r="D437" i="9"/>
  <c r="D438" i="9"/>
  <c r="D439" i="9"/>
  <c r="D440" i="9"/>
  <c r="D441" i="9"/>
  <c r="D442" i="9"/>
  <c r="D443" i="9"/>
  <c r="D444" i="9"/>
  <c r="D445" i="9"/>
  <c r="D446" i="9"/>
  <c r="D447" i="9"/>
  <c r="D448" i="9"/>
  <c r="D449" i="9"/>
  <c r="D450" i="9"/>
  <c r="D451" i="9"/>
  <c r="D452" i="9"/>
  <c r="D453" i="9"/>
  <c r="D454" i="9"/>
  <c r="D455" i="9"/>
  <c r="D456" i="9"/>
  <c r="D457" i="9"/>
  <c r="D458" i="9"/>
  <c r="D459" i="9"/>
  <c r="D460" i="9"/>
  <c r="D461" i="9"/>
  <c r="D462" i="9"/>
  <c r="D463" i="9"/>
  <c r="D464" i="9"/>
  <c r="D465" i="9"/>
  <c r="D466" i="9"/>
  <c r="D467" i="9"/>
  <c r="D468" i="9"/>
  <c r="D469" i="9"/>
  <c r="D470" i="9"/>
  <c r="D471" i="9"/>
  <c r="D472" i="9"/>
  <c r="D473" i="9"/>
  <c r="D474" i="9"/>
  <c r="D475" i="9"/>
  <c r="D476" i="9"/>
  <c r="D477" i="9"/>
  <c r="D478" i="9"/>
  <c r="D479" i="9"/>
  <c r="D480" i="9"/>
  <c r="D481" i="9"/>
  <c r="D482" i="9"/>
  <c r="D483" i="9"/>
  <c r="D484" i="9"/>
  <c r="D485" i="9"/>
  <c r="D486" i="9"/>
  <c r="D487" i="9"/>
  <c r="D488" i="9"/>
  <c r="D489" i="9"/>
  <c r="D490" i="9"/>
  <c r="D491" i="9"/>
  <c r="D492" i="9"/>
  <c r="D493" i="9"/>
  <c r="D494" i="9"/>
  <c r="D495" i="9"/>
  <c r="D496" i="9"/>
  <c r="D497" i="9"/>
  <c r="D498" i="9"/>
  <c r="D499" i="9"/>
  <c r="D500" i="9"/>
  <c r="D501" i="9"/>
  <c r="D502" i="9"/>
  <c r="D503" i="9"/>
  <c r="D504" i="9"/>
  <c r="D505" i="9"/>
  <c r="D506" i="9"/>
  <c r="D507" i="9"/>
  <c r="D508" i="9"/>
  <c r="D509" i="9"/>
  <c r="D510" i="9"/>
  <c r="D511" i="9"/>
  <c r="D512" i="9"/>
  <c r="D513" i="9"/>
  <c r="D514" i="9"/>
  <c r="D515" i="9"/>
  <c r="D516" i="9"/>
  <c r="D517" i="9"/>
  <c r="D518" i="9"/>
  <c r="D519" i="9"/>
  <c r="D520" i="9"/>
  <c r="D521" i="9"/>
  <c r="D522" i="9"/>
  <c r="D523" i="9"/>
  <c r="D524" i="9"/>
  <c r="D525" i="9"/>
  <c r="D526" i="9"/>
  <c r="D527" i="9"/>
  <c r="D528" i="9"/>
  <c r="D529" i="9"/>
  <c r="D530" i="9"/>
  <c r="D531" i="9"/>
  <c r="D532" i="9"/>
  <c r="D533" i="9"/>
  <c r="D534" i="9"/>
  <c r="D535" i="9"/>
  <c r="D536" i="9"/>
  <c r="D537" i="9"/>
  <c r="D538" i="9"/>
  <c r="D539" i="9"/>
  <c r="D540" i="9"/>
  <c r="D541" i="9"/>
  <c r="D542" i="9"/>
  <c r="D543" i="9"/>
  <c r="D544" i="9"/>
  <c r="D545" i="9"/>
  <c r="D546" i="9"/>
  <c r="D547" i="9"/>
  <c r="D548" i="9"/>
  <c r="D549" i="9"/>
  <c r="D550" i="9"/>
  <c r="D551" i="9"/>
  <c r="D552" i="9"/>
  <c r="D553" i="9"/>
  <c r="D554" i="9"/>
  <c r="D555" i="9"/>
  <c r="D556" i="9"/>
  <c r="D557" i="9"/>
  <c r="D558" i="9"/>
  <c r="D559" i="9"/>
  <c r="D560" i="9"/>
  <c r="D561" i="9"/>
  <c r="D562" i="9"/>
  <c r="D563" i="9"/>
  <c r="D564" i="9"/>
  <c r="D565" i="9"/>
  <c r="D566" i="9"/>
  <c r="D567" i="9"/>
  <c r="D568" i="9"/>
  <c r="D569" i="9"/>
  <c r="D570" i="9"/>
  <c r="D571" i="9"/>
  <c r="D572" i="9"/>
  <c r="D573" i="9"/>
  <c r="D574" i="9"/>
  <c r="D575" i="9"/>
  <c r="D576" i="9"/>
  <c r="D577" i="9"/>
  <c r="D578" i="9"/>
  <c r="D579" i="9"/>
  <c r="D580" i="9"/>
  <c r="D581" i="9"/>
  <c r="D582" i="9"/>
  <c r="D583" i="9"/>
  <c r="D584" i="9"/>
  <c r="D585" i="9"/>
  <c r="D586" i="9"/>
  <c r="D587" i="9"/>
  <c r="D588" i="9"/>
  <c r="D589" i="9"/>
  <c r="D590" i="9"/>
  <c r="D591" i="9"/>
  <c r="D592" i="9"/>
  <c r="D593" i="9"/>
  <c r="D594" i="9"/>
  <c r="D595" i="9"/>
  <c r="D596" i="9"/>
  <c r="D597" i="9"/>
  <c r="D598" i="9"/>
  <c r="D599" i="9"/>
  <c r="D600" i="9"/>
  <c r="D601" i="9"/>
  <c r="D602" i="9"/>
  <c r="D603" i="9"/>
  <c r="D604" i="9"/>
  <c r="D605" i="9"/>
  <c r="D606" i="9"/>
  <c r="D607" i="9"/>
  <c r="D608" i="9"/>
  <c r="D609" i="9"/>
  <c r="D610" i="9"/>
  <c r="D611" i="9"/>
  <c r="D612" i="9"/>
  <c r="D613" i="9"/>
  <c r="D614" i="9"/>
  <c r="D615" i="9"/>
  <c r="D616" i="9"/>
  <c r="D617" i="9"/>
  <c r="D618" i="9"/>
  <c r="D619" i="9"/>
  <c r="D620" i="9"/>
  <c r="D621" i="9"/>
  <c r="D622" i="9"/>
  <c r="D623" i="9"/>
  <c r="D624" i="9"/>
  <c r="D625" i="9"/>
  <c r="D626" i="9"/>
  <c r="D627" i="9"/>
  <c r="D628" i="9"/>
  <c r="D629" i="9"/>
  <c r="D630" i="9"/>
  <c r="D631" i="9"/>
  <c r="D632" i="9"/>
  <c r="D633" i="9"/>
  <c r="D634" i="9"/>
  <c r="D635" i="9"/>
  <c r="D636" i="9"/>
  <c r="D637" i="9"/>
  <c r="D638" i="9"/>
  <c r="D639" i="9"/>
  <c r="D640" i="9"/>
  <c r="D641" i="9"/>
  <c r="D642" i="9"/>
  <c r="D643" i="9"/>
  <c r="D644" i="9"/>
  <c r="D645" i="9"/>
  <c r="D646" i="9"/>
  <c r="D647" i="9"/>
  <c r="D648" i="9"/>
  <c r="D649" i="9"/>
  <c r="D650" i="9"/>
  <c r="D651" i="9"/>
  <c r="D652" i="9"/>
  <c r="D653" i="9"/>
  <c r="D654" i="9"/>
  <c r="D655" i="9"/>
  <c r="D656" i="9"/>
  <c r="D657" i="9"/>
  <c r="D658" i="9"/>
  <c r="D659" i="9"/>
  <c r="D660" i="9"/>
  <c r="D661" i="9"/>
  <c r="D662" i="9"/>
  <c r="D663" i="9"/>
  <c r="D664" i="9"/>
  <c r="D665" i="9"/>
  <c r="D666" i="9"/>
  <c r="D667" i="9"/>
  <c r="D668" i="9"/>
  <c r="D669" i="9"/>
  <c r="D670" i="9"/>
  <c r="D671" i="9"/>
  <c r="D672" i="9"/>
  <c r="D673" i="9"/>
  <c r="D674" i="9"/>
  <c r="D675" i="9"/>
  <c r="D676" i="9"/>
  <c r="D677" i="9"/>
  <c r="D678" i="9"/>
  <c r="D679" i="9"/>
  <c r="D680" i="9"/>
  <c r="D681" i="9"/>
  <c r="D682" i="9"/>
  <c r="D683" i="9"/>
  <c r="D684" i="9"/>
  <c r="D685" i="9"/>
  <c r="D686" i="9"/>
  <c r="D687" i="9"/>
  <c r="D688" i="9"/>
  <c r="D689" i="9"/>
  <c r="D690" i="9"/>
  <c r="D691" i="9"/>
  <c r="D692" i="9"/>
  <c r="D693" i="9"/>
  <c r="D694" i="9"/>
  <c r="D695" i="9"/>
  <c r="D696" i="9"/>
  <c r="D697" i="9"/>
  <c r="D698" i="9"/>
  <c r="D699" i="9"/>
  <c r="D700" i="9"/>
  <c r="D701" i="9"/>
  <c r="D702" i="9"/>
  <c r="D703" i="9"/>
  <c r="D704" i="9"/>
  <c r="D705" i="9"/>
  <c r="D706" i="9"/>
  <c r="D707" i="9"/>
  <c r="D708" i="9"/>
  <c r="D709" i="9"/>
  <c r="D710" i="9"/>
  <c r="D711" i="9"/>
  <c r="D712" i="9"/>
  <c r="D713" i="9"/>
  <c r="D714" i="9"/>
  <c r="D715" i="9"/>
  <c r="D716" i="9"/>
  <c r="D717" i="9"/>
  <c r="D718" i="9"/>
  <c r="D719" i="9"/>
  <c r="D720" i="9"/>
  <c r="D721" i="9"/>
  <c r="D722" i="9"/>
  <c r="D723" i="9"/>
  <c r="D724" i="9"/>
  <c r="D725" i="9"/>
  <c r="D726" i="9"/>
  <c r="D727" i="9"/>
  <c r="D728" i="9"/>
  <c r="D729" i="9"/>
  <c r="D730" i="9"/>
  <c r="D731" i="9"/>
  <c r="D732" i="9"/>
  <c r="D733" i="9"/>
  <c r="D734" i="9"/>
  <c r="D735" i="9"/>
  <c r="D736" i="9"/>
  <c r="D737" i="9"/>
  <c r="D738" i="9"/>
  <c r="D739" i="9"/>
  <c r="D740" i="9"/>
  <c r="D741" i="9"/>
  <c r="D742" i="9"/>
  <c r="D743" i="9"/>
  <c r="D744" i="9"/>
  <c r="D745" i="9"/>
  <c r="D746" i="9"/>
  <c r="D747" i="9"/>
  <c r="D748" i="9"/>
  <c r="D749" i="9"/>
  <c r="D750" i="9"/>
  <c r="D751" i="9"/>
  <c r="D752" i="9"/>
  <c r="D753" i="9"/>
  <c r="D754" i="9"/>
  <c r="D755" i="9"/>
  <c r="D756" i="9"/>
  <c r="D757" i="9"/>
  <c r="D758" i="9"/>
  <c r="D759" i="9"/>
  <c r="D760" i="9"/>
  <c r="D761" i="9"/>
  <c r="D762" i="9"/>
  <c r="D763" i="9"/>
  <c r="D764" i="9"/>
  <c r="D765" i="9"/>
  <c r="D766" i="9"/>
  <c r="D767" i="9"/>
  <c r="D768" i="9"/>
  <c r="D769" i="9"/>
  <c r="D770" i="9"/>
  <c r="D771" i="9"/>
  <c r="D772" i="9"/>
  <c r="D773" i="9"/>
  <c r="D774" i="9"/>
  <c r="D775" i="9"/>
  <c r="D776" i="9"/>
  <c r="D777" i="9"/>
  <c r="D778" i="9"/>
  <c r="D779" i="9"/>
  <c r="D780" i="9"/>
  <c r="D781" i="9"/>
  <c r="D782" i="9"/>
  <c r="D783" i="9"/>
  <c r="D784" i="9"/>
  <c r="D785" i="9"/>
  <c r="D786" i="9"/>
  <c r="D787" i="9"/>
  <c r="D788" i="9"/>
  <c r="D789" i="9"/>
  <c r="D790" i="9"/>
  <c r="D791" i="9"/>
  <c r="D792" i="9"/>
  <c r="D793" i="9"/>
  <c r="D794" i="9"/>
  <c r="D795" i="9"/>
  <c r="D796" i="9"/>
  <c r="D797" i="9"/>
  <c r="D798" i="9"/>
  <c r="D799" i="9"/>
  <c r="D800" i="9"/>
  <c r="D801" i="9"/>
  <c r="D802" i="9"/>
  <c r="D803" i="9"/>
  <c r="D804" i="9"/>
  <c r="D805" i="9"/>
  <c r="D806" i="9"/>
  <c r="D807" i="9"/>
  <c r="D808" i="9"/>
  <c r="D809" i="9"/>
  <c r="D810" i="9"/>
  <c r="D811" i="9"/>
  <c r="D812" i="9"/>
  <c r="D813" i="9"/>
  <c r="D814" i="9"/>
  <c r="D815" i="9"/>
  <c r="D816" i="9"/>
  <c r="D817" i="9"/>
  <c r="D818" i="9"/>
  <c r="D819" i="9"/>
  <c r="D820" i="9"/>
  <c r="D821" i="9"/>
  <c r="D822" i="9"/>
  <c r="D823" i="9"/>
  <c r="D824" i="9"/>
  <c r="D825" i="9"/>
  <c r="D826" i="9"/>
  <c r="D827" i="9"/>
  <c r="D828" i="9"/>
  <c r="D829" i="9"/>
  <c r="D830" i="9"/>
  <c r="D831" i="9"/>
  <c r="D832" i="9"/>
  <c r="D833" i="9"/>
  <c r="D834" i="9"/>
  <c r="D835" i="9"/>
  <c r="D836" i="9"/>
  <c r="D837" i="9"/>
  <c r="D838" i="9"/>
  <c r="D839" i="9"/>
  <c r="D840" i="9"/>
  <c r="D841" i="9"/>
  <c r="D842" i="9"/>
  <c r="D843" i="9"/>
  <c r="D844" i="9"/>
  <c r="D845" i="9"/>
  <c r="D846" i="9"/>
  <c r="D847" i="9"/>
  <c r="D848" i="9"/>
  <c r="D849" i="9"/>
  <c r="D850" i="9"/>
  <c r="D851" i="9"/>
  <c r="D852" i="9"/>
  <c r="D853" i="9"/>
  <c r="D854" i="9"/>
  <c r="D855" i="9"/>
  <c r="D856" i="9"/>
  <c r="D857" i="9"/>
  <c r="D858" i="9"/>
  <c r="D859" i="9"/>
  <c r="D860" i="9"/>
  <c r="D861" i="9"/>
  <c r="D862" i="9"/>
  <c r="D863" i="9"/>
  <c r="D864" i="9"/>
  <c r="D865" i="9"/>
  <c r="D866" i="9"/>
  <c r="D867" i="9"/>
  <c r="D868" i="9"/>
  <c r="D869" i="9"/>
  <c r="D870" i="9"/>
  <c r="D871" i="9"/>
  <c r="D872" i="9"/>
  <c r="D873" i="9"/>
  <c r="D874" i="9"/>
  <c r="D875" i="9"/>
  <c r="D876" i="9"/>
  <c r="D877" i="9"/>
  <c r="D878" i="9"/>
  <c r="D879" i="9"/>
  <c r="D880" i="9"/>
  <c r="D881" i="9"/>
  <c r="D882" i="9"/>
  <c r="D883" i="9"/>
  <c r="D884" i="9"/>
  <c r="D885" i="9"/>
  <c r="D886" i="9"/>
  <c r="D887" i="9"/>
  <c r="D888" i="9"/>
  <c r="D889" i="9"/>
  <c r="D890" i="9"/>
  <c r="D891" i="9"/>
  <c r="D892" i="9"/>
  <c r="D893" i="9"/>
  <c r="D894" i="9"/>
  <c r="D895" i="9"/>
  <c r="D896" i="9"/>
  <c r="D897" i="9"/>
  <c r="D898" i="9"/>
  <c r="D899" i="9"/>
  <c r="D900" i="9"/>
  <c r="D901" i="9"/>
  <c r="D902" i="9"/>
  <c r="D903" i="9"/>
  <c r="D904" i="9"/>
  <c r="D905" i="9"/>
  <c r="D906" i="9"/>
  <c r="D907" i="9"/>
  <c r="D908" i="9"/>
  <c r="D909" i="9"/>
  <c r="D910" i="9"/>
  <c r="D911" i="9"/>
  <c r="D912" i="9"/>
  <c r="D913" i="9"/>
  <c r="D914" i="9"/>
  <c r="D915" i="9"/>
  <c r="D916" i="9"/>
  <c r="D917" i="9"/>
  <c r="D918" i="9"/>
  <c r="D919" i="9"/>
  <c r="D920" i="9"/>
  <c r="D921" i="9"/>
  <c r="D922" i="9"/>
  <c r="D923" i="9"/>
  <c r="D924" i="9"/>
  <c r="D925" i="9"/>
  <c r="D926" i="9"/>
  <c r="D927" i="9"/>
  <c r="D928" i="9"/>
  <c r="D929" i="9"/>
  <c r="D930" i="9"/>
  <c r="D931" i="9"/>
  <c r="D932" i="9"/>
  <c r="D933" i="9"/>
  <c r="D934" i="9"/>
  <c r="D935" i="9"/>
  <c r="D936" i="9"/>
  <c r="D937" i="9"/>
  <c r="D938" i="9"/>
  <c r="D939" i="9"/>
  <c r="D940" i="9"/>
  <c r="D941" i="9"/>
  <c r="D942" i="9"/>
  <c r="D943" i="9"/>
  <c r="D944" i="9"/>
  <c r="D945" i="9"/>
  <c r="D946" i="9"/>
  <c r="D947" i="9"/>
  <c r="D948" i="9"/>
  <c r="D949" i="9"/>
  <c r="D950" i="9"/>
  <c r="D951" i="9"/>
  <c r="D952" i="9"/>
  <c r="D953" i="9"/>
  <c r="D954" i="9"/>
  <c r="D955" i="9"/>
  <c r="D956" i="9"/>
  <c r="D957" i="9"/>
  <c r="D958" i="9"/>
  <c r="D959" i="9"/>
  <c r="D960" i="9"/>
  <c r="D961" i="9"/>
  <c r="D962" i="9"/>
  <c r="D963" i="9"/>
  <c r="D964" i="9"/>
  <c r="D965" i="9"/>
  <c r="D966" i="9"/>
  <c r="D967" i="9"/>
  <c r="D968" i="9"/>
  <c r="D969" i="9"/>
  <c r="D970" i="9"/>
  <c r="D971" i="9"/>
  <c r="D972" i="9"/>
  <c r="D973" i="9"/>
  <c r="D974" i="9"/>
  <c r="D975" i="9"/>
  <c r="D976" i="9"/>
  <c r="D977" i="9"/>
  <c r="D978" i="9"/>
  <c r="D979" i="9"/>
  <c r="D980" i="9"/>
  <c r="D981" i="9"/>
  <c r="D982" i="9"/>
  <c r="D983" i="9"/>
  <c r="D984" i="9"/>
  <c r="D985" i="9"/>
  <c r="D986" i="9"/>
  <c r="D987" i="9"/>
  <c r="D988" i="9"/>
  <c r="D989" i="9"/>
  <c r="D990" i="9"/>
  <c r="D991" i="9"/>
  <c r="D992" i="9"/>
  <c r="D993" i="9"/>
  <c r="D994" i="9"/>
  <c r="D995" i="9"/>
  <c r="D996" i="9"/>
  <c r="D997" i="9"/>
  <c r="D998" i="9"/>
  <c r="D999" i="9"/>
  <c r="D1000" i="9"/>
  <c r="D1001" i="9"/>
  <c r="D1002" i="9"/>
  <c r="D1003" i="9"/>
  <c r="D1004" i="9"/>
  <c r="D1005" i="9"/>
  <c r="D1006" i="9"/>
  <c r="D1007" i="9"/>
  <c r="D1008" i="9"/>
  <c r="D1009" i="9"/>
  <c r="D1010" i="9"/>
  <c r="D1011" i="9"/>
  <c r="D1012" i="9"/>
  <c r="D1013" i="9"/>
  <c r="D1014" i="9"/>
  <c r="D1015" i="9"/>
  <c r="D1016" i="9"/>
  <c r="D1017" i="9"/>
  <c r="D1018" i="9"/>
  <c r="D1019" i="9"/>
  <c r="D1020" i="9"/>
  <c r="D1021" i="9"/>
  <c r="D1022" i="9"/>
  <c r="D1023" i="9"/>
  <c r="D1024" i="9"/>
  <c r="D1025" i="9"/>
  <c r="D1026" i="9"/>
  <c r="D1027" i="9"/>
  <c r="D1028" i="9"/>
  <c r="D1029" i="9"/>
  <c r="D1030" i="9"/>
  <c r="D1031" i="9"/>
  <c r="D1032" i="9"/>
  <c r="D1033" i="9"/>
  <c r="D1034" i="9"/>
  <c r="D1035" i="9"/>
  <c r="D1036" i="9"/>
  <c r="D1037" i="9"/>
  <c r="D1038" i="9"/>
  <c r="D1039" i="9"/>
  <c r="D1040" i="9"/>
  <c r="D1041" i="9"/>
  <c r="D1042" i="9"/>
  <c r="D1043" i="9"/>
  <c r="D1044" i="9"/>
  <c r="D1045" i="9"/>
  <c r="D1046" i="9"/>
  <c r="D1047" i="9"/>
  <c r="D1048" i="9"/>
  <c r="D1049" i="9"/>
  <c r="D1050" i="9"/>
  <c r="D1051" i="9"/>
  <c r="D1052" i="9"/>
  <c r="D1053" i="9"/>
  <c r="D1054" i="9"/>
  <c r="D1055" i="9"/>
  <c r="D1056" i="9"/>
  <c r="D1057" i="9"/>
  <c r="D1058" i="9"/>
  <c r="D1059" i="9"/>
  <c r="D1060" i="9"/>
  <c r="D1061" i="9"/>
  <c r="D1062" i="9"/>
  <c r="D1063" i="9"/>
  <c r="D1064" i="9"/>
  <c r="D1065" i="9"/>
  <c r="D1066" i="9"/>
  <c r="D1067" i="9"/>
  <c r="D1068" i="9"/>
  <c r="D1069" i="9"/>
  <c r="D1070" i="9"/>
  <c r="D1071" i="9"/>
  <c r="D1072" i="9"/>
  <c r="D1073" i="9"/>
  <c r="D1074" i="9"/>
  <c r="D1075" i="9"/>
  <c r="D1076" i="9"/>
  <c r="D1077" i="9"/>
  <c r="D1078" i="9"/>
  <c r="D1079" i="9"/>
  <c r="D1080" i="9"/>
  <c r="D1081" i="9"/>
  <c r="D1082" i="9"/>
  <c r="D1083" i="9"/>
  <c r="D1084" i="9"/>
  <c r="D1085" i="9"/>
  <c r="D1086" i="9"/>
  <c r="D1087" i="9"/>
  <c r="D1088" i="9"/>
  <c r="D1089" i="9"/>
  <c r="D1090" i="9"/>
  <c r="D1091" i="9"/>
  <c r="D1092" i="9"/>
  <c r="D1093" i="9"/>
  <c r="D1094" i="9"/>
  <c r="D1095" i="9"/>
  <c r="D1096" i="9"/>
  <c r="D1097" i="9"/>
  <c r="D1098" i="9"/>
  <c r="D1099" i="9"/>
  <c r="D1100" i="9"/>
  <c r="D1101" i="9"/>
  <c r="D1102" i="9"/>
  <c r="D1103" i="9"/>
  <c r="D1104" i="9"/>
  <c r="D1105" i="9"/>
  <c r="D1106" i="9"/>
  <c r="D1107" i="9"/>
  <c r="D1108" i="9"/>
  <c r="D1109" i="9"/>
  <c r="D1110" i="9"/>
  <c r="D1111" i="9"/>
  <c r="D1112" i="9"/>
  <c r="D1113" i="9"/>
  <c r="D1114" i="9"/>
  <c r="D1115" i="9"/>
  <c r="D1116" i="9"/>
  <c r="D1117" i="9"/>
  <c r="D1118" i="9"/>
  <c r="D1119" i="9"/>
  <c r="D1120" i="9"/>
  <c r="D1121" i="9"/>
  <c r="D1122" i="9"/>
  <c r="D1123" i="9"/>
  <c r="D1124" i="9"/>
  <c r="D1125" i="9"/>
  <c r="D1126" i="9"/>
  <c r="D1127" i="9"/>
  <c r="D1128" i="9"/>
  <c r="D1129" i="9"/>
  <c r="D1130" i="9"/>
  <c r="D1131" i="9"/>
  <c r="D1132" i="9"/>
  <c r="D1133" i="9"/>
  <c r="D1134" i="9"/>
  <c r="D1135" i="9"/>
  <c r="D1136" i="9"/>
  <c r="D1137" i="9"/>
  <c r="D1138" i="9"/>
  <c r="D1139" i="9"/>
  <c r="D1140" i="9"/>
  <c r="D1141" i="9"/>
  <c r="D1142" i="9"/>
  <c r="D1143" i="9"/>
  <c r="D1144" i="9"/>
  <c r="D1145" i="9"/>
  <c r="D1146" i="9"/>
  <c r="D1147" i="9"/>
  <c r="D1148" i="9"/>
  <c r="D1149" i="9"/>
  <c r="D1150" i="9"/>
  <c r="D1151" i="9"/>
  <c r="D1152" i="9"/>
  <c r="D1153" i="9"/>
  <c r="D1154" i="9"/>
  <c r="D1155" i="9"/>
  <c r="D1156" i="9"/>
  <c r="D1157" i="9"/>
  <c r="D1158" i="9"/>
  <c r="D1159" i="9"/>
  <c r="D1160" i="9"/>
  <c r="D1161" i="9"/>
  <c r="D1162" i="9"/>
  <c r="D1163" i="9"/>
  <c r="D1164" i="9"/>
  <c r="D1165" i="9"/>
  <c r="D1166" i="9"/>
  <c r="D1167" i="9"/>
  <c r="D1168" i="9"/>
  <c r="D1169" i="9"/>
  <c r="D1170" i="9"/>
  <c r="D1171" i="9"/>
  <c r="D1172" i="9"/>
  <c r="D1173" i="9"/>
  <c r="D1174" i="9"/>
  <c r="D1175" i="9"/>
  <c r="D1176" i="9"/>
  <c r="D1177" i="9"/>
  <c r="D1178" i="9"/>
  <c r="D1179" i="9"/>
  <c r="D1180" i="9"/>
  <c r="D1181" i="9"/>
  <c r="D1182" i="9"/>
  <c r="D1183" i="9"/>
  <c r="D1184" i="9"/>
  <c r="D1185" i="9"/>
  <c r="D1186" i="9"/>
  <c r="D1187" i="9"/>
  <c r="D1188" i="9"/>
  <c r="D1189" i="9"/>
  <c r="D1190" i="9"/>
  <c r="D1191" i="9"/>
  <c r="D1192" i="9"/>
  <c r="D1193" i="9"/>
  <c r="D1194" i="9"/>
  <c r="D1195" i="9"/>
  <c r="D1196" i="9"/>
  <c r="D1197" i="9"/>
  <c r="D1198" i="9"/>
  <c r="D1199" i="9"/>
  <c r="D1200" i="9"/>
  <c r="D1201" i="9"/>
  <c r="D1202" i="9"/>
  <c r="D1203" i="9"/>
  <c r="D1204" i="9"/>
  <c r="D1205" i="9"/>
  <c r="D1206" i="9"/>
  <c r="D1207" i="9"/>
  <c r="D1208" i="9"/>
  <c r="D1209" i="9"/>
  <c r="D1210" i="9"/>
  <c r="D1211" i="9"/>
  <c r="D1212" i="9"/>
  <c r="D1213" i="9"/>
  <c r="D1214" i="9"/>
  <c r="D1215" i="9"/>
  <c r="D1216" i="9"/>
  <c r="D1217" i="9"/>
  <c r="D1218" i="9"/>
  <c r="D1219" i="9"/>
  <c r="D1220" i="9"/>
  <c r="D1221" i="9"/>
  <c r="D1222" i="9"/>
  <c r="D1223" i="9"/>
  <c r="D1224" i="9"/>
  <c r="D1225" i="9"/>
  <c r="D1226" i="9"/>
  <c r="D1227" i="9"/>
  <c r="D1228" i="9"/>
  <c r="D1229" i="9"/>
  <c r="D1230" i="9"/>
  <c r="D1231" i="9"/>
  <c r="D1232" i="9"/>
  <c r="D1233" i="9"/>
  <c r="D1234" i="9"/>
  <c r="D1235" i="9"/>
  <c r="D1236" i="9"/>
  <c r="D1237" i="9"/>
  <c r="D1238" i="9"/>
  <c r="D1239" i="9"/>
  <c r="D1240" i="9"/>
  <c r="D1241" i="9"/>
  <c r="D1242" i="9"/>
  <c r="D1243" i="9"/>
  <c r="D1244" i="9"/>
  <c r="D1245" i="9"/>
  <c r="D1246" i="9"/>
  <c r="D1247" i="9"/>
  <c r="D1248" i="9"/>
  <c r="D1249" i="9"/>
  <c r="D1250" i="9"/>
  <c r="D1251" i="9"/>
  <c r="D1252" i="9"/>
  <c r="D1253" i="9"/>
  <c r="D1254" i="9"/>
  <c r="D1255" i="9"/>
  <c r="D1256" i="9"/>
  <c r="D1257" i="9"/>
  <c r="D1258" i="9"/>
  <c r="D1259" i="9"/>
  <c r="D1260" i="9"/>
  <c r="D1261" i="9"/>
  <c r="D1262" i="9"/>
  <c r="D1263" i="9"/>
  <c r="D1264" i="9"/>
  <c r="D1265" i="9"/>
  <c r="D1266" i="9"/>
  <c r="D1267" i="9"/>
  <c r="D1268" i="9"/>
  <c r="D1269" i="9"/>
  <c r="D1270" i="9"/>
  <c r="D1271" i="9"/>
  <c r="D1272" i="9"/>
  <c r="D1273" i="9"/>
  <c r="D1274" i="9"/>
  <c r="D1275" i="9"/>
  <c r="D1276" i="9"/>
  <c r="D1277" i="9"/>
  <c r="D1278" i="9"/>
  <c r="D1279" i="9"/>
  <c r="D1280" i="9"/>
  <c r="D1281" i="9"/>
  <c r="D1282" i="9"/>
  <c r="D1283" i="9"/>
  <c r="D1284" i="9"/>
  <c r="D1285" i="9"/>
  <c r="D1286" i="9"/>
  <c r="D1287" i="9"/>
  <c r="D1288" i="9"/>
  <c r="D1289" i="9"/>
  <c r="D1290" i="9"/>
  <c r="D1291" i="9"/>
  <c r="D1292" i="9"/>
  <c r="D1293" i="9"/>
  <c r="D1294" i="9"/>
  <c r="D1295" i="9"/>
  <c r="D1296" i="9"/>
  <c r="D1297" i="9"/>
  <c r="D1298" i="9"/>
  <c r="D1299" i="9"/>
  <c r="D1300" i="9"/>
  <c r="D1301" i="9"/>
  <c r="D1302" i="9"/>
  <c r="D1303" i="9"/>
  <c r="D1304" i="9"/>
  <c r="D1305" i="9"/>
  <c r="D1306" i="9"/>
  <c r="D1307" i="9"/>
  <c r="D1308" i="9"/>
  <c r="D1309" i="9"/>
  <c r="D1310" i="9"/>
  <c r="D1311" i="9"/>
  <c r="D1312" i="9"/>
  <c r="D1313" i="9"/>
  <c r="D1314" i="9"/>
  <c r="D1315" i="9"/>
  <c r="D1316" i="9"/>
  <c r="D1317" i="9"/>
  <c r="D1318" i="9"/>
  <c r="D1319" i="9"/>
  <c r="D1320" i="9"/>
  <c r="D1321" i="9"/>
  <c r="D1322" i="9"/>
  <c r="D1323" i="9"/>
  <c r="D1324" i="9"/>
  <c r="D1325" i="9"/>
  <c r="D1326" i="9"/>
  <c r="D1327" i="9"/>
  <c r="D1328" i="9"/>
  <c r="D1329" i="9"/>
  <c r="D1330" i="9"/>
  <c r="D1331" i="9"/>
  <c r="D1332" i="9"/>
  <c r="D1333" i="9"/>
  <c r="D1334" i="9"/>
  <c r="D1335" i="9"/>
  <c r="D1336" i="9"/>
  <c r="D1337" i="9"/>
  <c r="D1338" i="9"/>
  <c r="D1339" i="9"/>
  <c r="D1340" i="9"/>
  <c r="D1341" i="9"/>
  <c r="D1342" i="9"/>
  <c r="D1343" i="9"/>
  <c r="D1344" i="9"/>
  <c r="D1345" i="9"/>
  <c r="D1346" i="9"/>
  <c r="D1347" i="9"/>
  <c r="D1348" i="9"/>
  <c r="D1349" i="9"/>
  <c r="D1350" i="9"/>
  <c r="D1351" i="9"/>
  <c r="D1352" i="9"/>
  <c r="D1353" i="9"/>
  <c r="D1354" i="9"/>
  <c r="D1355" i="9"/>
  <c r="D1356" i="9"/>
  <c r="D1357" i="9"/>
  <c r="D1358" i="9"/>
  <c r="D1359" i="9"/>
  <c r="D1360" i="9"/>
  <c r="D1361" i="9"/>
  <c r="D1362" i="9"/>
  <c r="D1363" i="9"/>
  <c r="D1364" i="9"/>
  <c r="D1365" i="9"/>
  <c r="D1366" i="9"/>
  <c r="D1367" i="9"/>
  <c r="D1368" i="9"/>
  <c r="D1369" i="9"/>
  <c r="D1370" i="9"/>
  <c r="D1371" i="9"/>
  <c r="D1372" i="9"/>
  <c r="D1373" i="9"/>
  <c r="D1374" i="9"/>
  <c r="D1375" i="9"/>
  <c r="D1376" i="9"/>
  <c r="D1377" i="9"/>
  <c r="D1378" i="9"/>
  <c r="D1379" i="9"/>
  <c r="D1380" i="9"/>
  <c r="D1381" i="9"/>
  <c r="D1382" i="9"/>
  <c r="D1383" i="9"/>
  <c r="D1384" i="9"/>
  <c r="D1385" i="9"/>
  <c r="D1386" i="9"/>
  <c r="D1387" i="9"/>
  <c r="D1388" i="9"/>
  <c r="D1389" i="9"/>
  <c r="D1390" i="9"/>
  <c r="D1391" i="9"/>
  <c r="D1392" i="9"/>
  <c r="D1393" i="9"/>
  <c r="D1394" i="9"/>
  <c r="D1395" i="9"/>
  <c r="D1396" i="9"/>
  <c r="D1397" i="9"/>
  <c r="D1398" i="9"/>
  <c r="D1399" i="9"/>
  <c r="D1400" i="9"/>
  <c r="D1401" i="9"/>
  <c r="D1402" i="9"/>
  <c r="D1403" i="9"/>
  <c r="D1404" i="9"/>
  <c r="D1405" i="9"/>
  <c r="D1406" i="9"/>
  <c r="D1407" i="9"/>
  <c r="D1408" i="9"/>
  <c r="D1409" i="9"/>
  <c r="D1410" i="9"/>
  <c r="D1411" i="9"/>
  <c r="D1412" i="9"/>
  <c r="D1413" i="9"/>
  <c r="D1414" i="9"/>
  <c r="D1415" i="9"/>
  <c r="D1416" i="9"/>
  <c r="D1417" i="9"/>
  <c r="D1418" i="9"/>
  <c r="D1419" i="9"/>
  <c r="D1420" i="9"/>
  <c r="D1421" i="9"/>
  <c r="D1422" i="9"/>
  <c r="D1423" i="9"/>
  <c r="D1424" i="9"/>
  <c r="D1425" i="9"/>
  <c r="D1426" i="9"/>
  <c r="D1427" i="9"/>
  <c r="D1428" i="9"/>
  <c r="D1429" i="9"/>
  <c r="D1430" i="9"/>
  <c r="D1431" i="9"/>
  <c r="D1432" i="9"/>
  <c r="D1433" i="9"/>
  <c r="D1434" i="9"/>
  <c r="D1435" i="9"/>
  <c r="D1436" i="9"/>
  <c r="D1437" i="9"/>
  <c r="D1438" i="9"/>
  <c r="D1439" i="9"/>
  <c r="D1440" i="9"/>
  <c r="D1441" i="9"/>
  <c r="D1442" i="9"/>
  <c r="D1443" i="9"/>
  <c r="D1444" i="9"/>
  <c r="D1445" i="9"/>
  <c r="D1446" i="9"/>
  <c r="D1447" i="9"/>
  <c r="D1448" i="9"/>
  <c r="D1449" i="9"/>
  <c r="D1450" i="9"/>
  <c r="D1451" i="9"/>
  <c r="D1452" i="9"/>
  <c r="D1453" i="9"/>
  <c r="D1454" i="9"/>
  <c r="D1455" i="9"/>
  <c r="D1456" i="9"/>
  <c r="D1457" i="9"/>
  <c r="D1458" i="9"/>
  <c r="D1459" i="9"/>
  <c r="D1460" i="9"/>
  <c r="D1461" i="9"/>
  <c r="D1462" i="9"/>
  <c r="D1463" i="9"/>
  <c r="D1464" i="9"/>
  <c r="D1465" i="9"/>
  <c r="D1466" i="9"/>
  <c r="D1467" i="9"/>
  <c r="D1468" i="9"/>
  <c r="D1469" i="9"/>
  <c r="D1470" i="9"/>
  <c r="D1471" i="9"/>
  <c r="D1472" i="9"/>
  <c r="D1473" i="9"/>
  <c r="D1474" i="9"/>
  <c r="D1475" i="9"/>
  <c r="D1476" i="9"/>
  <c r="D1477" i="9"/>
  <c r="D1478" i="9"/>
  <c r="D1479" i="9"/>
  <c r="D1480" i="9"/>
  <c r="D1481" i="9"/>
  <c r="D1482" i="9"/>
  <c r="D1483" i="9"/>
  <c r="D1484" i="9"/>
  <c r="D1485" i="9"/>
  <c r="D1486" i="9"/>
  <c r="D1487" i="9"/>
  <c r="D1488" i="9"/>
  <c r="D1489" i="9"/>
  <c r="D1490" i="9"/>
  <c r="D1491" i="9"/>
  <c r="D1492" i="9"/>
  <c r="D1493" i="9"/>
  <c r="D1494" i="9"/>
  <c r="D1495" i="9"/>
  <c r="D1496" i="9"/>
  <c r="D1497" i="9"/>
  <c r="D1498" i="9"/>
  <c r="D1499" i="9"/>
  <c r="D1500" i="9"/>
  <c r="D1501" i="9"/>
  <c r="D1502" i="9"/>
  <c r="D1503" i="9"/>
  <c r="D1504" i="9"/>
  <c r="D1505" i="9"/>
  <c r="D1506" i="9"/>
  <c r="D1507" i="9"/>
  <c r="D1508" i="9"/>
  <c r="D1509" i="9"/>
  <c r="D1510" i="9"/>
  <c r="D1511" i="9"/>
  <c r="D1512" i="9"/>
  <c r="D1513" i="9"/>
  <c r="D1514" i="9"/>
  <c r="D1515" i="9"/>
  <c r="D1516" i="9"/>
  <c r="D1517" i="9"/>
  <c r="D1518" i="9"/>
  <c r="D1519" i="9"/>
  <c r="D1520" i="9"/>
  <c r="D1521" i="9"/>
  <c r="D1522" i="9"/>
  <c r="D1523" i="9"/>
  <c r="D1524" i="9"/>
  <c r="D1525" i="9"/>
  <c r="D1526" i="9"/>
  <c r="D1527" i="9"/>
  <c r="D1528" i="9"/>
  <c r="D1529" i="9"/>
  <c r="D1530" i="9"/>
  <c r="D1531" i="9"/>
  <c r="D1532" i="9"/>
  <c r="D1533" i="9"/>
  <c r="D1534" i="9"/>
  <c r="D1535" i="9"/>
  <c r="D1536" i="9"/>
  <c r="D1537" i="9"/>
  <c r="D1538" i="9"/>
  <c r="D1539" i="9"/>
  <c r="D1540" i="9"/>
  <c r="D1541" i="9"/>
  <c r="D1542" i="9"/>
  <c r="D1543" i="9"/>
  <c r="D1544" i="9"/>
  <c r="D1545" i="9"/>
  <c r="D1546" i="9"/>
  <c r="D1547" i="9"/>
  <c r="D1548" i="9"/>
  <c r="D1549" i="9"/>
  <c r="D1550" i="9"/>
  <c r="D1551" i="9"/>
  <c r="D1552" i="9"/>
  <c r="D1553" i="9"/>
  <c r="D1554" i="9"/>
  <c r="D1555" i="9"/>
  <c r="D1556" i="9"/>
  <c r="D1557" i="9"/>
  <c r="D1558" i="9"/>
  <c r="D1559" i="9"/>
  <c r="D1560" i="9"/>
  <c r="D1561" i="9"/>
  <c r="D1562" i="9"/>
  <c r="D1563" i="9"/>
  <c r="D1564" i="9"/>
  <c r="D1565" i="9"/>
  <c r="D1566" i="9"/>
  <c r="D1567" i="9"/>
  <c r="D1568" i="9"/>
  <c r="D1569" i="9"/>
  <c r="D1570" i="9"/>
  <c r="D1571" i="9"/>
  <c r="D1572" i="9"/>
  <c r="D1573" i="9"/>
  <c r="D1574" i="9"/>
  <c r="D1575" i="9"/>
  <c r="D1576" i="9"/>
  <c r="D1577" i="9"/>
  <c r="D1578" i="9"/>
  <c r="D1579" i="9"/>
  <c r="D1580" i="9"/>
  <c r="D1581" i="9"/>
  <c r="D1582" i="9"/>
  <c r="D1583" i="9"/>
  <c r="D1584" i="9"/>
  <c r="D1585" i="9"/>
  <c r="D1586" i="9"/>
  <c r="D1587" i="9"/>
  <c r="D1588" i="9"/>
  <c r="D1589" i="9"/>
  <c r="D1590" i="9"/>
  <c r="D1591" i="9"/>
  <c r="D1592" i="9"/>
  <c r="D1593" i="9"/>
  <c r="D1594" i="9"/>
  <c r="D1595" i="9"/>
  <c r="D1596" i="9"/>
  <c r="D1597" i="9"/>
  <c r="D1598" i="9"/>
  <c r="D1599" i="9"/>
  <c r="D1600" i="9"/>
  <c r="D1601" i="9"/>
  <c r="D1602" i="9"/>
  <c r="D1603" i="9"/>
  <c r="D1604" i="9"/>
  <c r="D1605" i="9"/>
  <c r="D1606" i="9"/>
  <c r="D1607" i="9"/>
  <c r="D1608" i="9"/>
  <c r="D1609" i="9"/>
  <c r="D1610" i="9"/>
  <c r="D1611" i="9"/>
  <c r="D1612" i="9"/>
  <c r="D1613" i="9"/>
  <c r="D1614" i="9"/>
  <c r="D1615" i="9"/>
  <c r="D1616" i="9"/>
  <c r="D1617" i="9"/>
  <c r="D1618" i="9"/>
  <c r="D1619" i="9"/>
  <c r="D1620" i="9"/>
  <c r="D1621" i="9"/>
  <c r="D1622" i="9"/>
  <c r="D1623" i="9"/>
  <c r="D1624" i="9"/>
  <c r="D1625" i="9"/>
  <c r="D1626" i="9"/>
  <c r="D1627" i="9"/>
  <c r="D1628" i="9"/>
  <c r="D1629" i="9"/>
  <c r="D1630" i="9"/>
  <c r="D1631" i="9"/>
  <c r="D1632" i="9"/>
  <c r="D1633" i="9"/>
  <c r="D1634" i="9"/>
  <c r="D1635" i="9"/>
  <c r="D1636" i="9"/>
  <c r="D1637" i="9"/>
  <c r="D1638" i="9"/>
  <c r="D1639" i="9"/>
  <c r="D1640" i="9"/>
  <c r="D1641" i="9"/>
  <c r="D1642" i="9"/>
  <c r="D1643" i="9"/>
  <c r="D1644" i="9"/>
  <c r="D1645" i="9"/>
  <c r="D1646" i="9"/>
  <c r="D1647" i="9"/>
  <c r="D1648" i="9"/>
  <c r="D1649" i="9"/>
  <c r="D1650" i="9"/>
  <c r="D1651" i="9"/>
  <c r="D1652" i="9"/>
  <c r="D1653" i="9"/>
  <c r="D1654" i="9"/>
  <c r="D1655" i="9"/>
  <c r="D1656" i="9"/>
  <c r="D1657" i="9"/>
  <c r="D1658" i="9"/>
  <c r="D1659" i="9"/>
  <c r="D1660" i="9"/>
  <c r="D1661" i="9"/>
  <c r="D1662" i="9"/>
  <c r="D1663" i="9"/>
  <c r="D1664" i="9"/>
  <c r="D1665" i="9"/>
  <c r="D1666" i="9"/>
  <c r="D1667" i="9"/>
  <c r="D1668" i="9"/>
  <c r="D1669" i="9"/>
  <c r="D1670" i="9"/>
  <c r="D1671" i="9"/>
  <c r="D1672" i="9"/>
  <c r="D1673" i="9"/>
  <c r="D1674" i="9"/>
  <c r="D1675" i="9"/>
  <c r="D1676" i="9"/>
  <c r="D1677" i="9"/>
  <c r="D1678" i="9"/>
  <c r="D1679" i="9"/>
  <c r="D1680" i="9"/>
  <c r="D1681" i="9"/>
  <c r="D1682" i="9"/>
  <c r="D1683" i="9"/>
  <c r="D1684" i="9"/>
  <c r="D1685" i="9"/>
  <c r="D1686" i="9"/>
  <c r="D1687" i="9"/>
  <c r="D1688" i="9"/>
  <c r="D1689" i="9"/>
  <c r="D1690" i="9"/>
  <c r="D1691" i="9"/>
  <c r="D1692" i="9"/>
  <c r="D1693" i="9"/>
  <c r="D1694" i="9"/>
  <c r="D1695" i="9"/>
  <c r="D1696" i="9"/>
  <c r="D1697" i="9"/>
  <c r="D1698" i="9"/>
  <c r="D1699" i="9"/>
  <c r="D1700" i="9"/>
  <c r="D1701" i="9"/>
  <c r="D1702" i="9"/>
  <c r="D1703" i="9"/>
  <c r="D1704" i="9"/>
  <c r="D1705" i="9"/>
  <c r="D1706" i="9"/>
  <c r="D1707" i="9"/>
  <c r="D1708" i="9"/>
  <c r="D1709" i="9"/>
  <c r="D1710" i="9"/>
  <c r="D1711" i="9"/>
  <c r="D1712" i="9"/>
  <c r="D1713" i="9"/>
  <c r="D1714" i="9"/>
  <c r="D1715" i="9"/>
  <c r="D1716" i="9"/>
  <c r="D1717" i="9"/>
  <c r="D1718" i="9"/>
  <c r="D1719" i="9"/>
  <c r="D1720" i="9"/>
  <c r="D1721" i="9"/>
  <c r="D1722" i="9"/>
  <c r="D1723" i="9"/>
  <c r="D1724" i="9"/>
  <c r="D1725" i="9"/>
  <c r="D1726" i="9"/>
  <c r="D1727" i="9"/>
  <c r="D1728" i="9"/>
  <c r="D1729" i="9"/>
  <c r="D1730" i="9"/>
  <c r="D1731" i="9"/>
  <c r="D1732" i="9"/>
  <c r="D1733" i="9"/>
  <c r="D1734" i="9"/>
  <c r="D1735" i="9"/>
  <c r="D1736" i="9"/>
  <c r="D1737" i="9"/>
  <c r="D1738" i="9"/>
  <c r="D1739" i="9"/>
  <c r="D1740" i="9"/>
  <c r="D1741" i="9"/>
  <c r="D1742" i="9"/>
  <c r="D1743" i="9"/>
  <c r="D1744" i="9"/>
  <c r="D1745" i="9"/>
  <c r="D1746" i="9"/>
  <c r="D1747" i="9"/>
  <c r="D1748" i="9"/>
  <c r="D1749" i="9"/>
  <c r="D1750" i="9"/>
  <c r="D1751" i="9"/>
  <c r="D1752" i="9"/>
  <c r="D1753" i="9"/>
  <c r="D1754" i="9"/>
  <c r="D1755" i="9"/>
  <c r="D1756" i="9"/>
  <c r="D1757" i="9"/>
  <c r="D1758" i="9"/>
  <c r="D1759" i="9"/>
  <c r="D1760" i="9"/>
  <c r="D1761" i="9"/>
  <c r="D1762" i="9"/>
  <c r="D1763" i="9"/>
  <c r="D1764" i="9"/>
  <c r="D1765" i="9"/>
  <c r="D1766" i="9"/>
  <c r="D1767" i="9"/>
  <c r="D1768" i="9"/>
  <c r="D1769" i="9"/>
  <c r="D1770" i="9"/>
  <c r="D1771" i="9"/>
  <c r="D1772" i="9"/>
  <c r="D1773" i="9"/>
  <c r="D1774" i="9"/>
  <c r="D1775" i="9"/>
  <c r="D1776" i="9"/>
  <c r="D1777" i="9"/>
  <c r="D1778" i="9"/>
  <c r="D1779" i="9"/>
  <c r="D1780" i="9"/>
  <c r="D1781" i="9"/>
  <c r="D1782" i="9"/>
  <c r="D1783" i="9"/>
  <c r="D1784" i="9"/>
  <c r="D1785" i="9"/>
  <c r="D1786" i="9"/>
  <c r="D1787" i="9"/>
  <c r="D1788" i="9"/>
  <c r="D1789" i="9"/>
  <c r="D1790" i="9"/>
  <c r="D1791" i="9"/>
  <c r="D1792" i="9"/>
  <c r="D1793" i="9"/>
  <c r="D1794" i="9"/>
  <c r="D1795" i="9"/>
  <c r="D1796" i="9"/>
  <c r="D1797" i="9"/>
  <c r="D1798" i="9"/>
  <c r="D1799" i="9"/>
  <c r="D1800" i="9"/>
  <c r="D1801" i="9"/>
  <c r="D1802" i="9"/>
  <c r="D1803" i="9"/>
  <c r="D1804" i="9"/>
  <c r="D1805" i="9"/>
  <c r="D1806" i="9"/>
  <c r="D1807" i="9"/>
  <c r="D1808" i="9"/>
  <c r="D1809" i="9"/>
  <c r="D1810" i="9"/>
  <c r="D1811" i="9"/>
  <c r="D1812" i="9"/>
  <c r="D1813" i="9"/>
  <c r="D1814" i="9"/>
  <c r="D1815" i="9"/>
  <c r="D1816" i="9"/>
  <c r="D1817" i="9"/>
  <c r="D1818" i="9"/>
  <c r="D1819" i="9"/>
  <c r="D1820" i="9"/>
  <c r="D1821" i="9"/>
  <c r="D1822" i="9"/>
  <c r="D1823" i="9"/>
  <c r="D1824" i="9"/>
  <c r="D1825" i="9"/>
  <c r="D1826" i="9"/>
  <c r="D1827" i="9"/>
  <c r="D1828" i="9"/>
  <c r="D1829" i="9"/>
  <c r="D1830" i="9"/>
  <c r="D1831" i="9"/>
  <c r="D1832" i="9"/>
  <c r="D1833" i="9"/>
  <c r="D1834" i="9"/>
  <c r="D1835" i="9"/>
  <c r="D1836" i="9"/>
  <c r="D1837" i="9"/>
  <c r="D1838" i="9"/>
  <c r="D1839" i="9"/>
  <c r="D1840" i="9"/>
  <c r="D1841" i="9"/>
  <c r="D1842" i="9"/>
  <c r="D1843" i="9"/>
  <c r="D1844" i="9"/>
  <c r="D1845" i="9"/>
  <c r="D1846" i="9"/>
  <c r="D1847" i="9"/>
  <c r="D1848" i="9"/>
  <c r="D1849" i="9"/>
  <c r="D1850" i="9"/>
  <c r="D1851" i="9"/>
  <c r="D1852" i="9"/>
  <c r="D1853" i="9"/>
  <c r="D1854" i="9"/>
  <c r="D1855" i="9"/>
  <c r="D1856" i="9"/>
  <c r="D1857" i="9"/>
  <c r="D1858" i="9"/>
  <c r="D1859" i="9"/>
  <c r="D1860" i="9"/>
  <c r="D1861" i="9"/>
  <c r="D1862" i="9"/>
  <c r="D1863" i="9"/>
  <c r="D1864" i="9"/>
  <c r="D1865" i="9"/>
  <c r="D1866" i="9"/>
  <c r="D1867" i="9"/>
  <c r="D1868" i="9"/>
  <c r="D1869" i="9"/>
  <c r="D1870" i="9"/>
  <c r="D1871" i="9"/>
  <c r="D1872" i="9"/>
  <c r="D1873" i="9"/>
  <c r="D1874" i="9"/>
  <c r="D1875" i="9"/>
  <c r="D1876" i="9"/>
  <c r="D1877" i="9"/>
  <c r="D1878" i="9"/>
  <c r="D1879" i="9"/>
  <c r="D1880" i="9"/>
  <c r="D1881" i="9"/>
  <c r="D1882" i="9"/>
  <c r="D1883" i="9"/>
  <c r="D1884" i="9"/>
  <c r="D1885" i="9"/>
  <c r="D1886" i="9"/>
  <c r="D1887" i="9"/>
  <c r="D1888" i="9"/>
  <c r="D1889" i="9"/>
  <c r="D1890" i="9"/>
  <c r="D1891" i="9"/>
  <c r="D1892" i="9"/>
  <c r="D1893" i="9"/>
  <c r="D1894" i="9"/>
  <c r="D1895" i="9"/>
  <c r="D1896" i="9"/>
  <c r="D1897" i="9"/>
  <c r="D1898" i="9"/>
  <c r="D1899" i="9"/>
  <c r="D1900" i="9"/>
  <c r="D1901" i="9"/>
  <c r="D1902" i="9"/>
  <c r="D1903" i="9"/>
  <c r="D1904" i="9"/>
  <c r="D1905" i="9"/>
  <c r="D1906" i="9"/>
  <c r="D1907" i="9"/>
  <c r="D1908" i="9"/>
  <c r="D1909" i="9"/>
  <c r="D1910" i="9"/>
  <c r="D1911" i="9"/>
  <c r="D1912" i="9"/>
  <c r="D1913" i="9"/>
  <c r="D1914" i="9"/>
  <c r="D1915" i="9"/>
  <c r="D1916" i="9"/>
  <c r="D1917" i="9"/>
  <c r="D1918" i="9"/>
  <c r="D1919" i="9"/>
  <c r="D1920" i="9"/>
  <c r="D1921" i="9"/>
  <c r="D1922" i="9"/>
  <c r="D1923" i="9"/>
  <c r="D1924" i="9"/>
  <c r="D1925" i="9"/>
  <c r="D1926" i="9"/>
  <c r="D1927" i="9"/>
  <c r="D1928" i="9"/>
  <c r="D1929" i="9"/>
  <c r="D1930" i="9"/>
  <c r="D1931" i="9"/>
  <c r="D1932" i="9"/>
  <c r="D1933" i="9"/>
  <c r="D1934" i="9"/>
  <c r="D1935" i="9"/>
  <c r="D1936" i="9"/>
  <c r="D1937" i="9"/>
  <c r="D1938" i="9"/>
  <c r="D1939" i="9"/>
  <c r="D1940" i="9"/>
  <c r="D1941" i="9"/>
  <c r="D1942" i="9"/>
  <c r="D1943" i="9"/>
  <c r="D1944" i="9"/>
  <c r="D1945" i="9"/>
  <c r="D1946" i="9"/>
  <c r="D1947" i="9"/>
  <c r="D1948" i="9"/>
  <c r="D1949" i="9"/>
  <c r="D1950" i="9"/>
  <c r="D1951" i="9"/>
  <c r="D1952" i="9"/>
  <c r="D1953" i="9"/>
  <c r="D1954" i="9"/>
  <c r="D1955" i="9"/>
  <c r="D1956" i="9"/>
  <c r="D1957" i="9"/>
  <c r="D1958" i="9"/>
  <c r="D1959" i="9"/>
  <c r="D1960" i="9"/>
  <c r="D1961" i="9"/>
  <c r="D1962" i="9"/>
  <c r="D1963" i="9"/>
  <c r="D1964" i="9"/>
  <c r="D1965" i="9"/>
  <c r="D1966" i="9"/>
  <c r="D1967" i="9"/>
  <c r="D1968" i="9"/>
  <c r="D1969" i="9"/>
  <c r="D1970" i="9"/>
  <c r="D1971" i="9"/>
  <c r="D1972" i="9"/>
  <c r="D1973" i="9"/>
  <c r="D1974" i="9"/>
  <c r="D1975" i="9"/>
  <c r="D1976" i="9"/>
  <c r="D1977" i="9"/>
  <c r="D1978" i="9"/>
  <c r="D1979" i="9"/>
  <c r="D1980" i="9"/>
  <c r="D1981" i="9"/>
  <c r="D1982" i="9"/>
  <c r="D1983" i="9"/>
  <c r="D1984" i="9"/>
  <c r="D1985" i="9"/>
  <c r="D1986" i="9"/>
  <c r="D1987" i="9"/>
  <c r="D1988" i="9"/>
  <c r="D1989" i="9"/>
  <c r="D1990" i="9"/>
  <c r="D1991" i="9"/>
  <c r="D1992" i="9"/>
  <c r="D1993" i="9"/>
  <c r="D1994" i="9"/>
  <c r="D1995" i="9"/>
  <c r="D1996" i="9"/>
  <c r="D1997" i="9"/>
  <c r="D1998" i="9"/>
  <c r="D1999" i="9"/>
  <c r="D2000" i="9"/>
  <c r="D30" i="9"/>
  <c r="K62" i="3" l="1"/>
  <c r="H62" i="3" l="1"/>
  <c r="I62" i="3"/>
  <c r="J62" i="3"/>
  <c r="L62" i="3"/>
  <c r="M62" i="3"/>
  <c r="N62" i="3"/>
  <c r="G62" i="3"/>
  <c r="AL62" i="3"/>
  <c r="AK62" i="3"/>
  <c r="D62" i="3"/>
  <c r="AF62" i="3" s="1"/>
  <c r="AG62" i="3" l="1"/>
  <c r="AR62" i="3"/>
  <c r="AQ62" i="3"/>
  <c r="AU62" i="3"/>
  <c r="AT62" i="3"/>
  <c r="AS62" i="3"/>
  <c r="AH62" i="3"/>
  <c r="U62" i="3"/>
  <c r="AB62" i="3"/>
  <c r="AA62" i="3"/>
  <c r="Q62" i="3"/>
  <c r="Y62" i="3"/>
  <c r="X62" i="3"/>
  <c r="W62" i="3"/>
  <c r="AI62" i="3"/>
  <c r="P62" i="3"/>
  <c r="S62" i="3"/>
  <c r="R62" i="3"/>
  <c r="Z62" i="3"/>
  <c r="V62" i="3"/>
  <c r="AE62" i="3"/>
  <c r="AJ62" i="3"/>
  <c r="E13" i="6"/>
  <c r="E9" i="8"/>
  <c r="E12" i="6"/>
  <c r="B30" i="9" l="1"/>
  <c r="AI193" i="3" l="1"/>
  <c r="AI235" i="3" s="1"/>
  <c r="AI129" i="3"/>
  <c r="AI115" i="3"/>
  <c r="AI69" i="3"/>
  <c r="AI47" i="3"/>
  <c r="AB225" i="3" l="1"/>
  <c r="AB237" i="3" s="1"/>
  <c r="AB209" i="3"/>
  <c r="AB236" i="3" s="1"/>
  <c r="AB193" i="3"/>
  <c r="AB235" i="3" s="1"/>
  <c r="AB187" i="3"/>
  <c r="AB234" i="3" s="1"/>
  <c r="AB181" i="3"/>
  <c r="AB233" i="3" s="1"/>
  <c r="AB153" i="3"/>
  <c r="AB231" i="3" s="1"/>
  <c r="AB145" i="3"/>
  <c r="AB140" i="3"/>
  <c r="AB129" i="3"/>
  <c r="AB124" i="3"/>
  <c r="AB115" i="3"/>
  <c r="AB104" i="3"/>
  <c r="AB87" i="3"/>
  <c r="AB80" i="3"/>
  <c r="AB69" i="3"/>
  <c r="AB38" i="3"/>
  <c r="AB15" i="3"/>
  <c r="AB10" i="3"/>
  <c r="AA193" i="3"/>
  <c r="AA235" i="3" s="1"/>
  <c r="AA129" i="3"/>
  <c r="AA69" i="3"/>
  <c r="AB132" i="3" l="1"/>
  <c r="AL209" i="3"/>
  <c r="AL236" i="3" s="1"/>
  <c r="AL193" i="3"/>
  <c r="AL235" i="3" s="1"/>
  <c r="AL187" i="3"/>
  <c r="AL234" i="3" s="1"/>
  <c r="AL165" i="3"/>
  <c r="AL232" i="3" s="1"/>
  <c r="AL145" i="3"/>
  <c r="AL140" i="3"/>
  <c r="AL147" i="3" s="1"/>
  <c r="AL230" i="3" s="1"/>
  <c r="AL129" i="3"/>
  <c r="AL124" i="3"/>
  <c r="AL115" i="3"/>
  <c r="AL87" i="3"/>
  <c r="AL69" i="3"/>
  <c r="AL47" i="3"/>
  <c r="AL15" i="3"/>
  <c r="S209" i="3" l="1"/>
  <c r="S236" i="3" s="1"/>
  <c r="S165" i="3"/>
  <c r="S232" i="3" s="1"/>
  <c r="S129" i="3"/>
  <c r="S115" i="3"/>
  <c r="S87" i="3"/>
  <c r="S69" i="3"/>
  <c r="S47" i="3"/>
  <c r="S15" i="3"/>
  <c r="E11" i="6" l="1"/>
  <c r="AJ47" i="3" l="1"/>
  <c r="AH47" i="3"/>
  <c r="AJ193" i="3"/>
  <c r="AJ235" i="3" s="1"/>
  <c r="AJ129" i="3"/>
  <c r="AJ115" i="3"/>
  <c r="AJ69" i="3"/>
  <c r="Q209" i="3" l="1"/>
  <c r="Q236" i="3" s="1"/>
  <c r="Q165" i="3"/>
  <c r="Q232" i="3" s="1"/>
  <c r="Q129" i="3"/>
  <c r="Q115" i="3"/>
  <c r="Q87" i="3"/>
  <c r="Q69" i="3"/>
  <c r="Q47" i="3"/>
  <c r="Q15" i="3"/>
  <c r="N193" i="3" l="1"/>
  <c r="N235" i="3" s="1"/>
  <c r="R209" i="3" l="1"/>
  <c r="R236" i="3" s="1"/>
  <c r="R165" i="3"/>
  <c r="R232" i="3" s="1"/>
  <c r="R129" i="3"/>
  <c r="R115" i="3"/>
  <c r="R87" i="3"/>
  <c r="R69" i="3"/>
  <c r="R47" i="3"/>
  <c r="X69" i="3" l="1"/>
  <c r="M193" i="3" l="1"/>
  <c r="M235" i="3" s="1"/>
  <c r="Z193" i="3"/>
  <c r="Z235" i="3" s="1"/>
  <c r="G10" i="3" l="1"/>
  <c r="H10" i="3"/>
  <c r="L10" i="3"/>
  <c r="AE15" i="3"/>
  <c r="AE10" i="3" l="1"/>
  <c r="AE181" i="3"/>
  <c r="AE233" i="3" s="1"/>
  <c r="AE193" i="3"/>
  <c r="AE235" i="3" s="1"/>
  <c r="AE129" i="3"/>
  <c r="AE69" i="3"/>
  <c r="AK209" i="3" l="1"/>
  <c r="AK236" i="3" s="1"/>
  <c r="AK193" i="3"/>
  <c r="AK235" i="3" s="1"/>
  <c r="AK187" i="3"/>
  <c r="AK234" i="3" s="1"/>
  <c r="AK165" i="3"/>
  <c r="AK232" i="3" s="1"/>
  <c r="AK147" i="3"/>
  <c r="AK230" i="3" s="1"/>
  <c r="AK145" i="3"/>
  <c r="AK140" i="3"/>
  <c r="AK129" i="3"/>
  <c r="AK124" i="3"/>
  <c r="AK115" i="3"/>
  <c r="AK87" i="3"/>
  <c r="AK69" i="3"/>
  <c r="AK47" i="3"/>
  <c r="AK15" i="3"/>
  <c r="B50" i="9" l="1"/>
  <c r="B51" i="9"/>
  <c r="B52" i="9"/>
  <c r="B53" i="9"/>
  <c r="B54" i="9"/>
  <c r="B55" i="9"/>
  <c r="B56" i="9"/>
  <c r="B57" i="9"/>
  <c r="B58" i="9"/>
  <c r="B59" i="9"/>
  <c r="B60" i="9"/>
  <c r="B61" i="9"/>
  <c r="B62" i="9"/>
  <c r="B63" i="9"/>
  <c r="B64" i="9"/>
  <c r="B65" i="9"/>
  <c r="B66" i="9"/>
  <c r="B67" i="9"/>
  <c r="B68" i="9"/>
  <c r="B69" i="9"/>
  <c r="B70" i="9"/>
  <c r="B71" i="9"/>
  <c r="B72" i="9"/>
  <c r="B73" i="9"/>
  <c r="B74" i="9"/>
  <c r="B75" i="9"/>
  <c r="B76" i="9"/>
  <c r="B77" i="9"/>
  <c r="B78" i="9"/>
  <c r="B79" i="9"/>
  <c r="B80" i="9"/>
  <c r="B81" i="9"/>
  <c r="B82" i="9"/>
  <c r="B83" i="9"/>
  <c r="B84" i="9"/>
  <c r="B85" i="9"/>
  <c r="B86" i="9"/>
  <c r="B87" i="9"/>
  <c r="B88" i="9"/>
  <c r="B89" i="9"/>
  <c r="B90" i="9"/>
  <c r="B91" i="9"/>
  <c r="B92" i="9"/>
  <c r="B93" i="9"/>
  <c r="B94" i="9"/>
  <c r="B95" i="9"/>
  <c r="B96" i="9"/>
  <c r="B97" i="9"/>
  <c r="B98" i="9"/>
  <c r="B99" i="9"/>
  <c r="B100" i="9"/>
  <c r="B101" i="9"/>
  <c r="B102" i="9"/>
  <c r="B103" i="9"/>
  <c r="B104" i="9"/>
  <c r="B105" i="9"/>
  <c r="B106" i="9"/>
  <c r="B107" i="9"/>
  <c r="B108" i="9"/>
  <c r="B109" i="9"/>
  <c r="B110" i="9"/>
  <c r="B111" i="9"/>
  <c r="B112" i="9"/>
  <c r="B113" i="9"/>
  <c r="B114" i="9"/>
  <c r="B115" i="9"/>
  <c r="B116" i="9"/>
  <c r="B117" i="9"/>
  <c r="B118" i="9"/>
  <c r="B119" i="9"/>
  <c r="B120" i="9"/>
  <c r="B121" i="9"/>
  <c r="B122" i="9"/>
  <c r="B123" i="9"/>
  <c r="B124" i="9"/>
  <c r="B125" i="9"/>
  <c r="B126" i="9"/>
  <c r="B127" i="9"/>
  <c r="B128" i="9"/>
  <c r="B129" i="9"/>
  <c r="B130" i="9"/>
  <c r="B131" i="9"/>
  <c r="B132" i="9"/>
  <c r="B133" i="9"/>
  <c r="B134" i="9"/>
  <c r="B135" i="9"/>
  <c r="B136" i="9"/>
  <c r="B137" i="9"/>
  <c r="B138" i="9"/>
  <c r="B139" i="9"/>
  <c r="B140" i="9"/>
  <c r="B141" i="9"/>
  <c r="B142" i="9"/>
  <c r="B143" i="9"/>
  <c r="B144" i="9"/>
  <c r="B145" i="9"/>
  <c r="B146" i="9"/>
  <c r="B147" i="9"/>
  <c r="B148" i="9"/>
  <c r="B149" i="9"/>
  <c r="B150" i="9"/>
  <c r="B151" i="9"/>
  <c r="B152" i="9"/>
  <c r="B153" i="9"/>
  <c r="B154" i="9"/>
  <c r="B155" i="9"/>
  <c r="B156" i="9"/>
  <c r="B157" i="9"/>
  <c r="B158" i="9"/>
  <c r="B159" i="9"/>
  <c r="B160" i="9"/>
  <c r="B161" i="9"/>
  <c r="B162" i="9"/>
  <c r="B163" i="9"/>
  <c r="B164" i="9"/>
  <c r="B165" i="9"/>
  <c r="B166" i="9"/>
  <c r="B167" i="9"/>
  <c r="B168" i="9"/>
  <c r="B169" i="9"/>
  <c r="B170" i="9"/>
  <c r="B171" i="9"/>
  <c r="B172" i="9"/>
  <c r="B173" i="9"/>
  <c r="B174" i="9"/>
  <c r="B175" i="9"/>
  <c r="B176" i="9"/>
  <c r="B177" i="9"/>
  <c r="B178" i="9"/>
  <c r="B179" i="9"/>
  <c r="B180" i="9"/>
  <c r="B181" i="9"/>
  <c r="B182" i="9"/>
  <c r="B183" i="9"/>
  <c r="B184" i="9"/>
  <c r="B185" i="9"/>
  <c r="B186" i="9"/>
  <c r="B187" i="9"/>
  <c r="B188" i="9"/>
  <c r="B189" i="9"/>
  <c r="B190" i="9"/>
  <c r="B191" i="9"/>
  <c r="B192" i="9"/>
  <c r="B193" i="9"/>
  <c r="B194" i="9"/>
  <c r="B195" i="9"/>
  <c r="B196" i="9"/>
  <c r="B197" i="9"/>
  <c r="B198" i="9"/>
  <c r="B199" i="9"/>
  <c r="B200" i="9"/>
  <c r="B201" i="9"/>
  <c r="B202" i="9"/>
  <c r="B203" i="9"/>
  <c r="B204" i="9"/>
  <c r="B205" i="9"/>
  <c r="B206" i="9"/>
  <c r="B207" i="9"/>
  <c r="B208" i="9"/>
  <c r="B209" i="9"/>
  <c r="B210" i="9"/>
  <c r="B211" i="9"/>
  <c r="B212" i="9"/>
  <c r="B213" i="9"/>
  <c r="B214" i="9"/>
  <c r="B215" i="9"/>
  <c r="B216" i="9"/>
  <c r="B217" i="9"/>
  <c r="B218" i="9"/>
  <c r="B219" i="9"/>
  <c r="B220" i="9"/>
  <c r="B221" i="9"/>
  <c r="B222" i="9"/>
  <c r="B223" i="9"/>
  <c r="B224" i="9"/>
  <c r="B225" i="9"/>
  <c r="B226" i="9"/>
  <c r="B227" i="9"/>
  <c r="B228" i="9"/>
  <c r="B229" i="9"/>
  <c r="B230" i="9"/>
  <c r="B231" i="9"/>
  <c r="B232" i="9"/>
  <c r="B233" i="9"/>
  <c r="B234" i="9"/>
  <c r="B235" i="9"/>
  <c r="B236" i="9"/>
  <c r="B237" i="9"/>
  <c r="B238" i="9"/>
  <c r="B239" i="9"/>
  <c r="B240" i="9"/>
  <c r="B241" i="9"/>
  <c r="B242" i="9"/>
  <c r="B243" i="9"/>
  <c r="B244" i="9"/>
  <c r="B245" i="9"/>
  <c r="B246" i="9"/>
  <c r="B247" i="9"/>
  <c r="B248" i="9"/>
  <c r="B249" i="9"/>
  <c r="B250" i="9"/>
  <c r="B251" i="9"/>
  <c r="B252" i="9"/>
  <c r="B253" i="9"/>
  <c r="B254" i="9"/>
  <c r="B255" i="9"/>
  <c r="B256" i="9"/>
  <c r="B257" i="9"/>
  <c r="B258" i="9"/>
  <c r="B259" i="9"/>
  <c r="B260" i="9"/>
  <c r="B261" i="9"/>
  <c r="B262" i="9"/>
  <c r="B263" i="9"/>
  <c r="B264" i="9"/>
  <c r="B265" i="9"/>
  <c r="B266" i="9"/>
  <c r="B267" i="9"/>
  <c r="B268" i="9"/>
  <c r="B269" i="9"/>
  <c r="B270" i="9"/>
  <c r="B271" i="9"/>
  <c r="B272" i="9"/>
  <c r="B273" i="9"/>
  <c r="B274" i="9"/>
  <c r="B275" i="9"/>
  <c r="B276" i="9"/>
  <c r="B277" i="9"/>
  <c r="B278" i="9"/>
  <c r="B279" i="9"/>
  <c r="B280" i="9"/>
  <c r="B281" i="9"/>
  <c r="B282" i="9"/>
  <c r="B283" i="9"/>
  <c r="B284" i="9"/>
  <c r="B285" i="9"/>
  <c r="B286" i="9"/>
  <c r="B287" i="9"/>
  <c r="B288" i="9"/>
  <c r="B289" i="9"/>
  <c r="B290" i="9"/>
  <c r="B291" i="9"/>
  <c r="B292" i="9"/>
  <c r="B293" i="9"/>
  <c r="B294" i="9"/>
  <c r="B295" i="9"/>
  <c r="B296" i="9"/>
  <c r="B297" i="9"/>
  <c r="B298" i="9"/>
  <c r="B299" i="9"/>
  <c r="B300" i="9"/>
  <c r="B301" i="9"/>
  <c r="B302" i="9"/>
  <c r="B303" i="9"/>
  <c r="B304" i="9"/>
  <c r="B305" i="9"/>
  <c r="B306" i="9"/>
  <c r="B307" i="9"/>
  <c r="B308" i="9"/>
  <c r="B309" i="9"/>
  <c r="B310" i="9"/>
  <c r="B311" i="9"/>
  <c r="B312" i="9"/>
  <c r="B313" i="9"/>
  <c r="B314" i="9"/>
  <c r="B315" i="9"/>
  <c r="B316" i="9"/>
  <c r="B317" i="9"/>
  <c r="B318" i="9"/>
  <c r="B319" i="9"/>
  <c r="B320" i="9"/>
  <c r="B321" i="9"/>
  <c r="B322" i="9"/>
  <c r="B323" i="9"/>
  <c r="B324" i="9"/>
  <c r="B325" i="9"/>
  <c r="B326" i="9"/>
  <c r="B327" i="9"/>
  <c r="B328" i="9"/>
  <c r="B329" i="9"/>
  <c r="B330" i="9"/>
  <c r="B331" i="9"/>
  <c r="B332" i="9"/>
  <c r="B333" i="9"/>
  <c r="B334" i="9"/>
  <c r="B335" i="9"/>
  <c r="B336" i="9"/>
  <c r="B337" i="9"/>
  <c r="B338" i="9"/>
  <c r="B339" i="9"/>
  <c r="B340" i="9"/>
  <c r="B341" i="9"/>
  <c r="B342" i="9"/>
  <c r="B343" i="9"/>
  <c r="B344" i="9"/>
  <c r="B345" i="9"/>
  <c r="B346" i="9"/>
  <c r="B347" i="9"/>
  <c r="B348" i="9"/>
  <c r="B349" i="9"/>
  <c r="B350" i="9"/>
  <c r="B351" i="9"/>
  <c r="B352" i="9"/>
  <c r="B353" i="9"/>
  <c r="B354" i="9"/>
  <c r="B355" i="9"/>
  <c r="B356" i="9"/>
  <c r="B357" i="9"/>
  <c r="B358" i="9"/>
  <c r="B359" i="9"/>
  <c r="B360" i="9"/>
  <c r="B361" i="9"/>
  <c r="B362" i="9"/>
  <c r="B363" i="9"/>
  <c r="B364" i="9"/>
  <c r="B365" i="9"/>
  <c r="B366" i="9"/>
  <c r="B367" i="9"/>
  <c r="B368" i="9"/>
  <c r="B369" i="9"/>
  <c r="B370" i="9"/>
  <c r="B371" i="9"/>
  <c r="B372" i="9"/>
  <c r="B373" i="9"/>
  <c r="B374" i="9"/>
  <c r="B375" i="9"/>
  <c r="B376" i="9"/>
  <c r="B377" i="9"/>
  <c r="B378" i="9"/>
  <c r="B379" i="9"/>
  <c r="B380" i="9"/>
  <c r="B381" i="9"/>
  <c r="B382" i="9"/>
  <c r="B383" i="9"/>
  <c r="B384" i="9"/>
  <c r="B385" i="9"/>
  <c r="B386" i="9"/>
  <c r="B387" i="9"/>
  <c r="B388" i="9"/>
  <c r="B389" i="9"/>
  <c r="B390" i="9"/>
  <c r="B391" i="9"/>
  <c r="B392" i="9"/>
  <c r="B393" i="9"/>
  <c r="B394" i="9"/>
  <c r="B395" i="9"/>
  <c r="B396" i="9"/>
  <c r="B397" i="9"/>
  <c r="B398" i="9"/>
  <c r="B399" i="9"/>
  <c r="B400" i="9"/>
  <c r="B401" i="9"/>
  <c r="B402" i="9"/>
  <c r="B403" i="9"/>
  <c r="B404" i="9"/>
  <c r="B405" i="9"/>
  <c r="B406" i="9"/>
  <c r="B407" i="9"/>
  <c r="B408" i="9"/>
  <c r="B409" i="9"/>
  <c r="B410" i="9"/>
  <c r="B411" i="9"/>
  <c r="B412" i="9"/>
  <c r="B413" i="9"/>
  <c r="B414" i="9"/>
  <c r="B415" i="9"/>
  <c r="B416" i="9"/>
  <c r="B417" i="9"/>
  <c r="B418" i="9"/>
  <c r="B419" i="9"/>
  <c r="B420" i="9"/>
  <c r="B421" i="9"/>
  <c r="B422" i="9"/>
  <c r="B423" i="9"/>
  <c r="B424" i="9"/>
  <c r="B425" i="9"/>
  <c r="B426" i="9"/>
  <c r="B427" i="9"/>
  <c r="B428" i="9"/>
  <c r="B429" i="9"/>
  <c r="B430" i="9"/>
  <c r="B431" i="9"/>
  <c r="B432" i="9"/>
  <c r="B433" i="9"/>
  <c r="B434" i="9"/>
  <c r="B435" i="9"/>
  <c r="B436" i="9"/>
  <c r="B437" i="9"/>
  <c r="B438" i="9"/>
  <c r="B439" i="9"/>
  <c r="B440" i="9"/>
  <c r="B441" i="9"/>
  <c r="B442" i="9"/>
  <c r="B443" i="9"/>
  <c r="B444" i="9"/>
  <c r="B445" i="9"/>
  <c r="B446" i="9"/>
  <c r="B447" i="9"/>
  <c r="B448" i="9"/>
  <c r="B449" i="9"/>
  <c r="B450" i="9"/>
  <c r="B451" i="9"/>
  <c r="B452" i="9"/>
  <c r="B453" i="9"/>
  <c r="B454" i="9"/>
  <c r="B455" i="9"/>
  <c r="B456" i="9"/>
  <c r="B457" i="9"/>
  <c r="B458" i="9"/>
  <c r="B459" i="9"/>
  <c r="B460" i="9"/>
  <c r="B461" i="9"/>
  <c r="B462" i="9"/>
  <c r="B463" i="9"/>
  <c r="B464" i="9"/>
  <c r="B465" i="9"/>
  <c r="B466" i="9"/>
  <c r="B467" i="9"/>
  <c r="B468" i="9"/>
  <c r="B469" i="9"/>
  <c r="B470" i="9"/>
  <c r="B471" i="9"/>
  <c r="B472" i="9"/>
  <c r="B473" i="9"/>
  <c r="B474" i="9"/>
  <c r="B475" i="9"/>
  <c r="B476" i="9"/>
  <c r="B477" i="9"/>
  <c r="B478" i="9"/>
  <c r="B479" i="9"/>
  <c r="B480" i="9"/>
  <c r="B481" i="9"/>
  <c r="B482" i="9"/>
  <c r="B483" i="9"/>
  <c r="B484" i="9"/>
  <c r="B485" i="9"/>
  <c r="B486" i="9"/>
  <c r="B487" i="9"/>
  <c r="B488" i="9"/>
  <c r="B489" i="9"/>
  <c r="B490" i="9"/>
  <c r="B491" i="9"/>
  <c r="B492" i="9"/>
  <c r="B493" i="9"/>
  <c r="B494" i="9"/>
  <c r="B495" i="9"/>
  <c r="B496" i="9"/>
  <c r="B497" i="9"/>
  <c r="B498" i="9"/>
  <c r="B499" i="9"/>
  <c r="B500" i="9"/>
  <c r="B501" i="9"/>
  <c r="B502" i="9"/>
  <c r="B503" i="9"/>
  <c r="B504" i="9"/>
  <c r="B505" i="9"/>
  <c r="B506" i="9"/>
  <c r="B507" i="9"/>
  <c r="B508" i="9"/>
  <c r="B509" i="9"/>
  <c r="B510" i="9"/>
  <c r="B511" i="9"/>
  <c r="B512" i="9"/>
  <c r="B513" i="9"/>
  <c r="B514" i="9"/>
  <c r="B515" i="9"/>
  <c r="B516" i="9"/>
  <c r="B517" i="9"/>
  <c r="B518" i="9"/>
  <c r="B519" i="9"/>
  <c r="B520" i="9"/>
  <c r="B521" i="9"/>
  <c r="B522" i="9"/>
  <c r="B523" i="9"/>
  <c r="B524" i="9"/>
  <c r="B525" i="9"/>
  <c r="B526" i="9"/>
  <c r="B527" i="9"/>
  <c r="B528" i="9"/>
  <c r="B529" i="9"/>
  <c r="B530" i="9"/>
  <c r="B531" i="9"/>
  <c r="B532" i="9"/>
  <c r="B533" i="9"/>
  <c r="B534" i="9"/>
  <c r="B535" i="9"/>
  <c r="B536" i="9"/>
  <c r="B537" i="9"/>
  <c r="B538" i="9"/>
  <c r="B539" i="9"/>
  <c r="B540" i="9"/>
  <c r="B541" i="9"/>
  <c r="B542" i="9"/>
  <c r="B543" i="9"/>
  <c r="B544" i="9"/>
  <c r="B545" i="9"/>
  <c r="B546" i="9"/>
  <c r="B547" i="9"/>
  <c r="B548" i="9"/>
  <c r="B549" i="9"/>
  <c r="B550" i="9"/>
  <c r="B551" i="9"/>
  <c r="B552" i="9"/>
  <c r="B553" i="9"/>
  <c r="B554" i="9"/>
  <c r="B555" i="9"/>
  <c r="B556" i="9"/>
  <c r="B557" i="9"/>
  <c r="B558" i="9"/>
  <c r="B559" i="9"/>
  <c r="B560" i="9"/>
  <c r="B561" i="9"/>
  <c r="B562" i="9"/>
  <c r="B563" i="9"/>
  <c r="B564" i="9"/>
  <c r="B565" i="9"/>
  <c r="B566" i="9"/>
  <c r="B567" i="9"/>
  <c r="B568" i="9"/>
  <c r="B569" i="9"/>
  <c r="B570" i="9"/>
  <c r="B571" i="9"/>
  <c r="B572" i="9"/>
  <c r="B573" i="9"/>
  <c r="B574" i="9"/>
  <c r="B575" i="9"/>
  <c r="B576" i="9"/>
  <c r="B577" i="9"/>
  <c r="B578" i="9"/>
  <c r="B579" i="9"/>
  <c r="B580" i="9"/>
  <c r="B581" i="9"/>
  <c r="B582" i="9"/>
  <c r="B583" i="9"/>
  <c r="B584" i="9"/>
  <c r="B585" i="9"/>
  <c r="B586" i="9"/>
  <c r="B587" i="9"/>
  <c r="B588" i="9"/>
  <c r="B589" i="9"/>
  <c r="B590" i="9"/>
  <c r="B591" i="9"/>
  <c r="B592" i="9"/>
  <c r="B593" i="9"/>
  <c r="B594" i="9"/>
  <c r="B595" i="9"/>
  <c r="B596" i="9"/>
  <c r="B597" i="9"/>
  <c r="B598" i="9"/>
  <c r="B599" i="9"/>
  <c r="B600" i="9"/>
  <c r="B601" i="9"/>
  <c r="B602" i="9"/>
  <c r="B603" i="9"/>
  <c r="B604" i="9"/>
  <c r="B605" i="9"/>
  <c r="B606" i="9"/>
  <c r="B607" i="9"/>
  <c r="B608" i="9"/>
  <c r="B609" i="9"/>
  <c r="B610" i="9"/>
  <c r="B611" i="9"/>
  <c r="B612" i="9"/>
  <c r="B613" i="9"/>
  <c r="B614" i="9"/>
  <c r="B615" i="9"/>
  <c r="B616" i="9"/>
  <c r="B617" i="9"/>
  <c r="B618" i="9"/>
  <c r="B619" i="9"/>
  <c r="B620" i="9"/>
  <c r="B621" i="9"/>
  <c r="B622" i="9"/>
  <c r="B623" i="9"/>
  <c r="B624" i="9"/>
  <c r="B625" i="9"/>
  <c r="B626" i="9"/>
  <c r="B627" i="9"/>
  <c r="B628" i="9"/>
  <c r="B629" i="9"/>
  <c r="B630" i="9"/>
  <c r="B631" i="9"/>
  <c r="B632" i="9"/>
  <c r="B633" i="9"/>
  <c r="B634" i="9"/>
  <c r="B635" i="9"/>
  <c r="B636" i="9"/>
  <c r="B637" i="9"/>
  <c r="B638" i="9"/>
  <c r="B639" i="9"/>
  <c r="B640" i="9"/>
  <c r="B641" i="9"/>
  <c r="B642" i="9"/>
  <c r="B643" i="9"/>
  <c r="B644" i="9"/>
  <c r="B645" i="9"/>
  <c r="B646" i="9"/>
  <c r="B647" i="9"/>
  <c r="B648" i="9"/>
  <c r="B649" i="9"/>
  <c r="B650" i="9"/>
  <c r="B651" i="9"/>
  <c r="B652" i="9"/>
  <c r="B653" i="9"/>
  <c r="B654" i="9"/>
  <c r="B655" i="9"/>
  <c r="B656" i="9"/>
  <c r="B657" i="9"/>
  <c r="B658" i="9"/>
  <c r="B659" i="9"/>
  <c r="B660" i="9"/>
  <c r="B661" i="9"/>
  <c r="B662" i="9"/>
  <c r="B663" i="9"/>
  <c r="B664" i="9"/>
  <c r="B665" i="9"/>
  <c r="B666" i="9"/>
  <c r="B667" i="9"/>
  <c r="B668" i="9"/>
  <c r="B669" i="9"/>
  <c r="B670" i="9"/>
  <c r="B671" i="9"/>
  <c r="B672" i="9"/>
  <c r="B673" i="9"/>
  <c r="B674" i="9"/>
  <c r="B675" i="9"/>
  <c r="B676" i="9"/>
  <c r="B677" i="9"/>
  <c r="B678" i="9"/>
  <c r="B679" i="9"/>
  <c r="B680" i="9"/>
  <c r="B681" i="9"/>
  <c r="B682" i="9"/>
  <c r="B683" i="9"/>
  <c r="B684" i="9"/>
  <c r="B685" i="9"/>
  <c r="B686" i="9"/>
  <c r="B687" i="9"/>
  <c r="B688" i="9"/>
  <c r="B689" i="9"/>
  <c r="B690" i="9"/>
  <c r="B691" i="9"/>
  <c r="B692" i="9"/>
  <c r="B693" i="9"/>
  <c r="B694" i="9"/>
  <c r="B695" i="9"/>
  <c r="B696" i="9"/>
  <c r="B697" i="9"/>
  <c r="B698" i="9"/>
  <c r="B699" i="9"/>
  <c r="B700" i="9"/>
  <c r="B701" i="9"/>
  <c r="B702" i="9"/>
  <c r="B703" i="9"/>
  <c r="B704" i="9"/>
  <c r="B705" i="9"/>
  <c r="B706" i="9"/>
  <c r="B707" i="9"/>
  <c r="B708" i="9"/>
  <c r="B709" i="9"/>
  <c r="B710" i="9"/>
  <c r="B711" i="9"/>
  <c r="B712" i="9"/>
  <c r="B713" i="9"/>
  <c r="B714" i="9"/>
  <c r="B715" i="9"/>
  <c r="B716" i="9"/>
  <c r="B717" i="9"/>
  <c r="B718" i="9"/>
  <c r="B719" i="9"/>
  <c r="B720" i="9"/>
  <c r="B721" i="9"/>
  <c r="B722" i="9"/>
  <c r="B723" i="9"/>
  <c r="B724" i="9"/>
  <c r="B725" i="9"/>
  <c r="B726" i="9"/>
  <c r="B727" i="9"/>
  <c r="B728" i="9"/>
  <c r="B729" i="9"/>
  <c r="B730" i="9"/>
  <c r="B731" i="9"/>
  <c r="B732" i="9"/>
  <c r="B733" i="9"/>
  <c r="B734" i="9"/>
  <c r="B735" i="9"/>
  <c r="B736" i="9"/>
  <c r="B737" i="9"/>
  <c r="B738" i="9"/>
  <c r="B739" i="9"/>
  <c r="B740" i="9"/>
  <c r="B741" i="9"/>
  <c r="B742" i="9"/>
  <c r="B743" i="9"/>
  <c r="B744" i="9"/>
  <c r="B745" i="9"/>
  <c r="B746" i="9"/>
  <c r="B747" i="9"/>
  <c r="B748" i="9"/>
  <c r="B749" i="9"/>
  <c r="B750" i="9"/>
  <c r="B751" i="9"/>
  <c r="B752" i="9"/>
  <c r="B753" i="9"/>
  <c r="B754" i="9"/>
  <c r="B755" i="9"/>
  <c r="B756" i="9"/>
  <c r="B757" i="9"/>
  <c r="B758" i="9"/>
  <c r="B759" i="9"/>
  <c r="B760" i="9"/>
  <c r="B761" i="9"/>
  <c r="B762" i="9"/>
  <c r="B763" i="9"/>
  <c r="B764" i="9"/>
  <c r="B765" i="9"/>
  <c r="B766" i="9"/>
  <c r="B767" i="9"/>
  <c r="B768" i="9"/>
  <c r="B769" i="9"/>
  <c r="B770" i="9"/>
  <c r="B771" i="9"/>
  <c r="B772" i="9"/>
  <c r="B773" i="9"/>
  <c r="B774" i="9"/>
  <c r="B775" i="9"/>
  <c r="B776" i="9"/>
  <c r="B777" i="9"/>
  <c r="B778" i="9"/>
  <c r="B779" i="9"/>
  <c r="B780" i="9"/>
  <c r="B781" i="9"/>
  <c r="B782" i="9"/>
  <c r="B783" i="9"/>
  <c r="B784" i="9"/>
  <c r="B785" i="9"/>
  <c r="B786" i="9"/>
  <c r="B787" i="9"/>
  <c r="B788" i="9"/>
  <c r="B789" i="9"/>
  <c r="B790" i="9"/>
  <c r="B791" i="9"/>
  <c r="B792" i="9"/>
  <c r="B793" i="9"/>
  <c r="B794" i="9"/>
  <c r="B795" i="9"/>
  <c r="B796" i="9"/>
  <c r="B797" i="9"/>
  <c r="B798" i="9"/>
  <c r="B799" i="9"/>
  <c r="B800" i="9"/>
  <c r="B801" i="9"/>
  <c r="B802" i="9"/>
  <c r="B803" i="9"/>
  <c r="B804" i="9"/>
  <c r="B805" i="9"/>
  <c r="B806" i="9"/>
  <c r="B807" i="9"/>
  <c r="B808" i="9"/>
  <c r="B809" i="9"/>
  <c r="B810" i="9"/>
  <c r="B811" i="9"/>
  <c r="B812" i="9"/>
  <c r="B813" i="9"/>
  <c r="B814" i="9"/>
  <c r="B815" i="9"/>
  <c r="B816" i="9"/>
  <c r="B817" i="9"/>
  <c r="B818" i="9"/>
  <c r="B819" i="9"/>
  <c r="B820" i="9"/>
  <c r="B821" i="9"/>
  <c r="B822" i="9"/>
  <c r="B823" i="9"/>
  <c r="B824" i="9"/>
  <c r="B825" i="9"/>
  <c r="B826" i="9"/>
  <c r="B827" i="9"/>
  <c r="B828" i="9"/>
  <c r="B829" i="9"/>
  <c r="B830" i="9"/>
  <c r="B831" i="9"/>
  <c r="B832" i="9"/>
  <c r="B833" i="9"/>
  <c r="B834" i="9"/>
  <c r="B835" i="9"/>
  <c r="B836" i="9"/>
  <c r="B837" i="9"/>
  <c r="B838" i="9"/>
  <c r="B839" i="9"/>
  <c r="B840" i="9"/>
  <c r="B841" i="9"/>
  <c r="B842" i="9"/>
  <c r="B843" i="9"/>
  <c r="B844" i="9"/>
  <c r="B845" i="9"/>
  <c r="B846" i="9"/>
  <c r="B847" i="9"/>
  <c r="B848" i="9"/>
  <c r="B849" i="9"/>
  <c r="B850" i="9"/>
  <c r="B851" i="9"/>
  <c r="B852" i="9"/>
  <c r="B853" i="9"/>
  <c r="B854" i="9"/>
  <c r="B855" i="9"/>
  <c r="B856" i="9"/>
  <c r="B857" i="9"/>
  <c r="B858" i="9"/>
  <c r="B859" i="9"/>
  <c r="B860" i="9"/>
  <c r="B861" i="9"/>
  <c r="B862" i="9"/>
  <c r="B863" i="9"/>
  <c r="B864" i="9"/>
  <c r="B865" i="9"/>
  <c r="B866" i="9"/>
  <c r="B867" i="9"/>
  <c r="B868" i="9"/>
  <c r="B869" i="9"/>
  <c r="B870" i="9"/>
  <c r="B871" i="9"/>
  <c r="B872" i="9"/>
  <c r="B873" i="9"/>
  <c r="B874" i="9"/>
  <c r="B875" i="9"/>
  <c r="B876" i="9"/>
  <c r="B877" i="9"/>
  <c r="B878" i="9"/>
  <c r="B879" i="9"/>
  <c r="B880" i="9"/>
  <c r="B881" i="9"/>
  <c r="B882" i="9"/>
  <c r="B883" i="9"/>
  <c r="B884" i="9"/>
  <c r="B885" i="9"/>
  <c r="B886" i="9"/>
  <c r="B887" i="9"/>
  <c r="B888" i="9"/>
  <c r="B889" i="9"/>
  <c r="B890" i="9"/>
  <c r="B891" i="9"/>
  <c r="B892" i="9"/>
  <c r="B893" i="9"/>
  <c r="B894" i="9"/>
  <c r="B895" i="9"/>
  <c r="B896" i="9"/>
  <c r="B897" i="9"/>
  <c r="B898" i="9"/>
  <c r="B899" i="9"/>
  <c r="B900" i="9"/>
  <c r="B901" i="9"/>
  <c r="B902" i="9"/>
  <c r="B903" i="9"/>
  <c r="B904" i="9"/>
  <c r="B905" i="9"/>
  <c r="B906" i="9"/>
  <c r="B907" i="9"/>
  <c r="B908" i="9"/>
  <c r="B909" i="9"/>
  <c r="B910" i="9"/>
  <c r="B911" i="9"/>
  <c r="B912" i="9"/>
  <c r="B913" i="9"/>
  <c r="B914" i="9"/>
  <c r="B915" i="9"/>
  <c r="B916" i="9"/>
  <c r="B917" i="9"/>
  <c r="B918" i="9"/>
  <c r="B919" i="9"/>
  <c r="B920" i="9"/>
  <c r="B921" i="9"/>
  <c r="B922" i="9"/>
  <c r="B923" i="9"/>
  <c r="B924" i="9"/>
  <c r="B925" i="9"/>
  <c r="B926" i="9"/>
  <c r="B927" i="9"/>
  <c r="B928" i="9"/>
  <c r="B929" i="9"/>
  <c r="B930" i="9"/>
  <c r="B931" i="9"/>
  <c r="B932" i="9"/>
  <c r="B933" i="9"/>
  <c r="B934" i="9"/>
  <c r="B935" i="9"/>
  <c r="B936" i="9"/>
  <c r="B937" i="9"/>
  <c r="B938" i="9"/>
  <c r="B939" i="9"/>
  <c r="B940" i="9"/>
  <c r="B941" i="9"/>
  <c r="B942" i="9"/>
  <c r="B943" i="9"/>
  <c r="B944" i="9"/>
  <c r="B945" i="9"/>
  <c r="B946" i="9"/>
  <c r="B947" i="9"/>
  <c r="B948" i="9"/>
  <c r="B949" i="9"/>
  <c r="B950" i="9"/>
  <c r="B951" i="9"/>
  <c r="B952" i="9"/>
  <c r="B953" i="9"/>
  <c r="B954" i="9"/>
  <c r="B955" i="9"/>
  <c r="B956" i="9"/>
  <c r="B957" i="9"/>
  <c r="B958" i="9"/>
  <c r="B959" i="9"/>
  <c r="B960" i="9"/>
  <c r="B961" i="9"/>
  <c r="B962" i="9"/>
  <c r="B963" i="9"/>
  <c r="B964" i="9"/>
  <c r="B965" i="9"/>
  <c r="B966" i="9"/>
  <c r="B967" i="9"/>
  <c r="B968" i="9"/>
  <c r="B969" i="9"/>
  <c r="B970" i="9"/>
  <c r="B971" i="9"/>
  <c r="B972" i="9"/>
  <c r="B973" i="9"/>
  <c r="B974" i="9"/>
  <c r="B975" i="9"/>
  <c r="B976" i="9"/>
  <c r="B977" i="9"/>
  <c r="B978" i="9"/>
  <c r="B979" i="9"/>
  <c r="B980" i="9"/>
  <c r="B981" i="9"/>
  <c r="B982" i="9"/>
  <c r="B983" i="9"/>
  <c r="B984" i="9"/>
  <c r="B985" i="9"/>
  <c r="B986" i="9"/>
  <c r="B987" i="9"/>
  <c r="B988" i="9"/>
  <c r="B989" i="9"/>
  <c r="B990" i="9"/>
  <c r="B991" i="9"/>
  <c r="B992" i="9"/>
  <c r="B993" i="9"/>
  <c r="B994" i="9"/>
  <c r="B995" i="9"/>
  <c r="B996" i="9"/>
  <c r="B997" i="9"/>
  <c r="B998" i="9"/>
  <c r="B999" i="9"/>
  <c r="B1000" i="9"/>
  <c r="B1001" i="9"/>
  <c r="B1002" i="9"/>
  <c r="B1003" i="9"/>
  <c r="B1004" i="9"/>
  <c r="B1005" i="9"/>
  <c r="B1006" i="9"/>
  <c r="B1007" i="9"/>
  <c r="B1008" i="9"/>
  <c r="B1009" i="9"/>
  <c r="B1010" i="9"/>
  <c r="B1011" i="9"/>
  <c r="B1012" i="9"/>
  <c r="B1013" i="9"/>
  <c r="B1014" i="9"/>
  <c r="B1015" i="9"/>
  <c r="B1016" i="9"/>
  <c r="B1017" i="9"/>
  <c r="B1018" i="9"/>
  <c r="B1019" i="9"/>
  <c r="B1020" i="9"/>
  <c r="B1021" i="9"/>
  <c r="B1022" i="9"/>
  <c r="B1023" i="9"/>
  <c r="B1024" i="9"/>
  <c r="B1025" i="9"/>
  <c r="B1026" i="9"/>
  <c r="B1027" i="9"/>
  <c r="B1028" i="9"/>
  <c r="B1029" i="9"/>
  <c r="B1030" i="9"/>
  <c r="B1031" i="9"/>
  <c r="B1032" i="9"/>
  <c r="B1033" i="9"/>
  <c r="B1034" i="9"/>
  <c r="B1035" i="9"/>
  <c r="B1036" i="9"/>
  <c r="B1037" i="9"/>
  <c r="B1038" i="9"/>
  <c r="B1039" i="9"/>
  <c r="B1040" i="9"/>
  <c r="B1041" i="9"/>
  <c r="B1042" i="9"/>
  <c r="B1043" i="9"/>
  <c r="B1044" i="9"/>
  <c r="B1045" i="9"/>
  <c r="B1046" i="9"/>
  <c r="B1047" i="9"/>
  <c r="B1048" i="9"/>
  <c r="B1049" i="9"/>
  <c r="B1050" i="9"/>
  <c r="B1051" i="9"/>
  <c r="B1052" i="9"/>
  <c r="B1053" i="9"/>
  <c r="B1054" i="9"/>
  <c r="B1055" i="9"/>
  <c r="B1056" i="9"/>
  <c r="B1057" i="9"/>
  <c r="B1058" i="9"/>
  <c r="B1059" i="9"/>
  <c r="B1060" i="9"/>
  <c r="B1061" i="9"/>
  <c r="B1062" i="9"/>
  <c r="B1063" i="9"/>
  <c r="B1064" i="9"/>
  <c r="B1065" i="9"/>
  <c r="B1066" i="9"/>
  <c r="B1067" i="9"/>
  <c r="B1068" i="9"/>
  <c r="B1069" i="9"/>
  <c r="B1070" i="9"/>
  <c r="B1071" i="9"/>
  <c r="B1072" i="9"/>
  <c r="B1073" i="9"/>
  <c r="B1074" i="9"/>
  <c r="B1075" i="9"/>
  <c r="B1076" i="9"/>
  <c r="B1077" i="9"/>
  <c r="B1078" i="9"/>
  <c r="B1079" i="9"/>
  <c r="B1080" i="9"/>
  <c r="B1081" i="9"/>
  <c r="B1082" i="9"/>
  <c r="B1083" i="9"/>
  <c r="B1084" i="9"/>
  <c r="B1085" i="9"/>
  <c r="B1086" i="9"/>
  <c r="B1087" i="9"/>
  <c r="B1088" i="9"/>
  <c r="B1089" i="9"/>
  <c r="B1090" i="9"/>
  <c r="B1091" i="9"/>
  <c r="B1092" i="9"/>
  <c r="B1093" i="9"/>
  <c r="B1094" i="9"/>
  <c r="B1095" i="9"/>
  <c r="B1096" i="9"/>
  <c r="B1097" i="9"/>
  <c r="B1098" i="9"/>
  <c r="B1099" i="9"/>
  <c r="B1100" i="9"/>
  <c r="B1101" i="9"/>
  <c r="B1102" i="9"/>
  <c r="B1103" i="9"/>
  <c r="B1104" i="9"/>
  <c r="B1105" i="9"/>
  <c r="B1106" i="9"/>
  <c r="B1107" i="9"/>
  <c r="B1108" i="9"/>
  <c r="B1109" i="9"/>
  <c r="B1110" i="9"/>
  <c r="B1111" i="9"/>
  <c r="B1112" i="9"/>
  <c r="B1113" i="9"/>
  <c r="B1114" i="9"/>
  <c r="B1115" i="9"/>
  <c r="B1116" i="9"/>
  <c r="B1117" i="9"/>
  <c r="B1118" i="9"/>
  <c r="B1119" i="9"/>
  <c r="B1120" i="9"/>
  <c r="B1121" i="9"/>
  <c r="B1122" i="9"/>
  <c r="B1123" i="9"/>
  <c r="B1124" i="9"/>
  <c r="B1125" i="9"/>
  <c r="B1126" i="9"/>
  <c r="B1127" i="9"/>
  <c r="B1128" i="9"/>
  <c r="B1129" i="9"/>
  <c r="B1130" i="9"/>
  <c r="B1131" i="9"/>
  <c r="B1132" i="9"/>
  <c r="B1133" i="9"/>
  <c r="B1134" i="9"/>
  <c r="B1135" i="9"/>
  <c r="B1136" i="9"/>
  <c r="B1137" i="9"/>
  <c r="B1138" i="9"/>
  <c r="B1139" i="9"/>
  <c r="B1140" i="9"/>
  <c r="B1141" i="9"/>
  <c r="B1142" i="9"/>
  <c r="B1143" i="9"/>
  <c r="B1144" i="9"/>
  <c r="B1145" i="9"/>
  <c r="B1146" i="9"/>
  <c r="B1147" i="9"/>
  <c r="B1148" i="9"/>
  <c r="B1149" i="9"/>
  <c r="B1150" i="9"/>
  <c r="B1151" i="9"/>
  <c r="B1152" i="9"/>
  <c r="B1153" i="9"/>
  <c r="B1154" i="9"/>
  <c r="B1155" i="9"/>
  <c r="B1156" i="9"/>
  <c r="B1157" i="9"/>
  <c r="B1158" i="9"/>
  <c r="B1159" i="9"/>
  <c r="B1160" i="9"/>
  <c r="B1161" i="9"/>
  <c r="B1162" i="9"/>
  <c r="B1163" i="9"/>
  <c r="B1164" i="9"/>
  <c r="B1165" i="9"/>
  <c r="B1166" i="9"/>
  <c r="B1167" i="9"/>
  <c r="B1168" i="9"/>
  <c r="B1169" i="9"/>
  <c r="B1170" i="9"/>
  <c r="B1171" i="9"/>
  <c r="B1172" i="9"/>
  <c r="B1173" i="9"/>
  <c r="B1174" i="9"/>
  <c r="B1175" i="9"/>
  <c r="B1176" i="9"/>
  <c r="B1177" i="9"/>
  <c r="B1178" i="9"/>
  <c r="B1179" i="9"/>
  <c r="B1180" i="9"/>
  <c r="B1181" i="9"/>
  <c r="B1182" i="9"/>
  <c r="B1183" i="9"/>
  <c r="B1184" i="9"/>
  <c r="B1185" i="9"/>
  <c r="B1186" i="9"/>
  <c r="B1187" i="9"/>
  <c r="B1188" i="9"/>
  <c r="B1189" i="9"/>
  <c r="B1190" i="9"/>
  <c r="B1191" i="9"/>
  <c r="B1192" i="9"/>
  <c r="B1193" i="9"/>
  <c r="B1194" i="9"/>
  <c r="B1195" i="9"/>
  <c r="B1196" i="9"/>
  <c r="B1197" i="9"/>
  <c r="B1198" i="9"/>
  <c r="B1199" i="9"/>
  <c r="B1200" i="9"/>
  <c r="B1201" i="9"/>
  <c r="B1202" i="9"/>
  <c r="B1203" i="9"/>
  <c r="B1204" i="9"/>
  <c r="B1205" i="9"/>
  <c r="B1206" i="9"/>
  <c r="B1207" i="9"/>
  <c r="B1208" i="9"/>
  <c r="B1209" i="9"/>
  <c r="B1210" i="9"/>
  <c r="B1211" i="9"/>
  <c r="B1212" i="9"/>
  <c r="B1213" i="9"/>
  <c r="B1214" i="9"/>
  <c r="B1215" i="9"/>
  <c r="B1216" i="9"/>
  <c r="B1217" i="9"/>
  <c r="B1218" i="9"/>
  <c r="B1219" i="9"/>
  <c r="B1220" i="9"/>
  <c r="B1221" i="9"/>
  <c r="B1222" i="9"/>
  <c r="B1223" i="9"/>
  <c r="B1224" i="9"/>
  <c r="B1225" i="9"/>
  <c r="B1226" i="9"/>
  <c r="B1227" i="9"/>
  <c r="B1228" i="9"/>
  <c r="B1229" i="9"/>
  <c r="B1230" i="9"/>
  <c r="B1231" i="9"/>
  <c r="B1232" i="9"/>
  <c r="B1233" i="9"/>
  <c r="B1234" i="9"/>
  <c r="B1235" i="9"/>
  <c r="B1236" i="9"/>
  <c r="B1237" i="9"/>
  <c r="B1238" i="9"/>
  <c r="B1239" i="9"/>
  <c r="B1240" i="9"/>
  <c r="B1241" i="9"/>
  <c r="B1242" i="9"/>
  <c r="B1243" i="9"/>
  <c r="B1244" i="9"/>
  <c r="B1245" i="9"/>
  <c r="B1246" i="9"/>
  <c r="B1247" i="9"/>
  <c r="B1248" i="9"/>
  <c r="B1249" i="9"/>
  <c r="B1250" i="9"/>
  <c r="B1251" i="9"/>
  <c r="B1252" i="9"/>
  <c r="B1253" i="9"/>
  <c r="B1254" i="9"/>
  <c r="B1255" i="9"/>
  <c r="B1256" i="9"/>
  <c r="B1257" i="9"/>
  <c r="B1258" i="9"/>
  <c r="B1259" i="9"/>
  <c r="B1260" i="9"/>
  <c r="B1261" i="9"/>
  <c r="B1262" i="9"/>
  <c r="B1263" i="9"/>
  <c r="B1264" i="9"/>
  <c r="B1265" i="9"/>
  <c r="B1266" i="9"/>
  <c r="B1267" i="9"/>
  <c r="B1268" i="9"/>
  <c r="B1269" i="9"/>
  <c r="B1270" i="9"/>
  <c r="B1271" i="9"/>
  <c r="B1272" i="9"/>
  <c r="B1273" i="9"/>
  <c r="B1274" i="9"/>
  <c r="B1275" i="9"/>
  <c r="B1276" i="9"/>
  <c r="B1277" i="9"/>
  <c r="B1278" i="9"/>
  <c r="B1279" i="9"/>
  <c r="B1280" i="9"/>
  <c r="B1281" i="9"/>
  <c r="B1282" i="9"/>
  <c r="B1283" i="9"/>
  <c r="B1284" i="9"/>
  <c r="B1285" i="9"/>
  <c r="B1286" i="9"/>
  <c r="B1287" i="9"/>
  <c r="B1288" i="9"/>
  <c r="B1289" i="9"/>
  <c r="B1290" i="9"/>
  <c r="B1291" i="9"/>
  <c r="B1292" i="9"/>
  <c r="B1293" i="9"/>
  <c r="B1294" i="9"/>
  <c r="B1295" i="9"/>
  <c r="B1296" i="9"/>
  <c r="B1297" i="9"/>
  <c r="B1298" i="9"/>
  <c r="B1299" i="9"/>
  <c r="B1300" i="9"/>
  <c r="B1301" i="9"/>
  <c r="B1302" i="9"/>
  <c r="B1303" i="9"/>
  <c r="B1304" i="9"/>
  <c r="B1305" i="9"/>
  <c r="B1306" i="9"/>
  <c r="B1307" i="9"/>
  <c r="B1308" i="9"/>
  <c r="B1309" i="9"/>
  <c r="B1310" i="9"/>
  <c r="B1311" i="9"/>
  <c r="B1312" i="9"/>
  <c r="B1313" i="9"/>
  <c r="B1314" i="9"/>
  <c r="B1315" i="9"/>
  <c r="B1316" i="9"/>
  <c r="B1317" i="9"/>
  <c r="B1318" i="9"/>
  <c r="B1319" i="9"/>
  <c r="B1320" i="9"/>
  <c r="B1321" i="9"/>
  <c r="B1322" i="9"/>
  <c r="B1323" i="9"/>
  <c r="B1324" i="9"/>
  <c r="B1325" i="9"/>
  <c r="B1326" i="9"/>
  <c r="B1327" i="9"/>
  <c r="B1328" i="9"/>
  <c r="B1329" i="9"/>
  <c r="B1330" i="9"/>
  <c r="B1331" i="9"/>
  <c r="B1332" i="9"/>
  <c r="B1333" i="9"/>
  <c r="B1334" i="9"/>
  <c r="B1335" i="9"/>
  <c r="B1336" i="9"/>
  <c r="B1337" i="9"/>
  <c r="B1338" i="9"/>
  <c r="B1339" i="9"/>
  <c r="B1340" i="9"/>
  <c r="B1341" i="9"/>
  <c r="B1342" i="9"/>
  <c r="B1343" i="9"/>
  <c r="B1344" i="9"/>
  <c r="B1345" i="9"/>
  <c r="B1346" i="9"/>
  <c r="B1347" i="9"/>
  <c r="B1348" i="9"/>
  <c r="B1349" i="9"/>
  <c r="B1350" i="9"/>
  <c r="B1351" i="9"/>
  <c r="B1352" i="9"/>
  <c r="B1353" i="9"/>
  <c r="B1354" i="9"/>
  <c r="B1355" i="9"/>
  <c r="B1356" i="9"/>
  <c r="B1357" i="9"/>
  <c r="B1358" i="9"/>
  <c r="B1359" i="9"/>
  <c r="B1360" i="9"/>
  <c r="B1361" i="9"/>
  <c r="B1362" i="9"/>
  <c r="B1363" i="9"/>
  <c r="B1364" i="9"/>
  <c r="B1365" i="9"/>
  <c r="B1366" i="9"/>
  <c r="B1367" i="9"/>
  <c r="B1368" i="9"/>
  <c r="B1369" i="9"/>
  <c r="B1370" i="9"/>
  <c r="B1371" i="9"/>
  <c r="B1372" i="9"/>
  <c r="B1373" i="9"/>
  <c r="B1374" i="9"/>
  <c r="B1375" i="9"/>
  <c r="B1376" i="9"/>
  <c r="B1377" i="9"/>
  <c r="B1378" i="9"/>
  <c r="B1379" i="9"/>
  <c r="B1380" i="9"/>
  <c r="B1381" i="9"/>
  <c r="B1382" i="9"/>
  <c r="B1383" i="9"/>
  <c r="B1384" i="9"/>
  <c r="B1385" i="9"/>
  <c r="B1386" i="9"/>
  <c r="B1387" i="9"/>
  <c r="B1388" i="9"/>
  <c r="B1389" i="9"/>
  <c r="B1390" i="9"/>
  <c r="B1391" i="9"/>
  <c r="B1392" i="9"/>
  <c r="B1393" i="9"/>
  <c r="B1394" i="9"/>
  <c r="B1395" i="9"/>
  <c r="B1396" i="9"/>
  <c r="B1397" i="9"/>
  <c r="B1398" i="9"/>
  <c r="B1399" i="9"/>
  <c r="B1400" i="9"/>
  <c r="B1401" i="9"/>
  <c r="B1402" i="9"/>
  <c r="B1403" i="9"/>
  <c r="B1404" i="9"/>
  <c r="B1405" i="9"/>
  <c r="B1406" i="9"/>
  <c r="B1407" i="9"/>
  <c r="B1408" i="9"/>
  <c r="B1409" i="9"/>
  <c r="B1410" i="9"/>
  <c r="B1411" i="9"/>
  <c r="B1412" i="9"/>
  <c r="B1413" i="9"/>
  <c r="B1414" i="9"/>
  <c r="B1415" i="9"/>
  <c r="B1416" i="9"/>
  <c r="B1417" i="9"/>
  <c r="B1418" i="9"/>
  <c r="B1419" i="9"/>
  <c r="B1420" i="9"/>
  <c r="B1421" i="9"/>
  <c r="B1422" i="9"/>
  <c r="B1423" i="9"/>
  <c r="B1424" i="9"/>
  <c r="B1425" i="9"/>
  <c r="B1426" i="9"/>
  <c r="B1427" i="9"/>
  <c r="B1428" i="9"/>
  <c r="B1429" i="9"/>
  <c r="B1430" i="9"/>
  <c r="B1431" i="9"/>
  <c r="B1432" i="9"/>
  <c r="B1433" i="9"/>
  <c r="B1434" i="9"/>
  <c r="B1435" i="9"/>
  <c r="B1436" i="9"/>
  <c r="B1437" i="9"/>
  <c r="B1438" i="9"/>
  <c r="B1439" i="9"/>
  <c r="B1440" i="9"/>
  <c r="B1441" i="9"/>
  <c r="B1442" i="9"/>
  <c r="B1443" i="9"/>
  <c r="B1444" i="9"/>
  <c r="B1445" i="9"/>
  <c r="B1446" i="9"/>
  <c r="B1447" i="9"/>
  <c r="B1448" i="9"/>
  <c r="B1449" i="9"/>
  <c r="B1450" i="9"/>
  <c r="B1451" i="9"/>
  <c r="B1452" i="9"/>
  <c r="B1453" i="9"/>
  <c r="B1454" i="9"/>
  <c r="B1455" i="9"/>
  <c r="B1456" i="9"/>
  <c r="B1457" i="9"/>
  <c r="B1458" i="9"/>
  <c r="B1459" i="9"/>
  <c r="B1460" i="9"/>
  <c r="B1461" i="9"/>
  <c r="B1462" i="9"/>
  <c r="B1463" i="9"/>
  <c r="B1464" i="9"/>
  <c r="B1465" i="9"/>
  <c r="B1466" i="9"/>
  <c r="B1467" i="9"/>
  <c r="B1468" i="9"/>
  <c r="B1469" i="9"/>
  <c r="B1470" i="9"/>
  <c r="B1471" i="9"/>
  <c r="B1472" i="9"/>
  <c r="B1473" i="9"/>
  <c r="B1474" i="9"/>
  <c r="B1475" i="9"/>
  <c r="B1476" i="9"/>
  <c r="B1477" i="9"/>
  <c r="B1478" i="9"/>
  <c r="B1479" i="9"/>
  <c r="B1480" i="9"/>
  <c r="B1481" i="9"/>
  <c r="B1482" i="9"/>
  <c r="B1483" i="9"/>
  <c r="B1484" i="9"/>
  <c r="B1485" i="9"/>
  <c r="B1486" i="9"/>
  <c r="B1487" i="9"/>
  <c r="B1488" i="9"/>
  <c r="B1489" i="9"/>
  <c r="B1490" i="9"/>
  <c r="B1491" i="9"/>
  <c r="B1492" i="9"/>
  <c r="B1493" i="9"/>
  <c r="B1494" i="9"/>
  <c r="B1495" i="9"/>
  <c r="B1496" i="9"/>
  <c r="B1497" i="9"/>
  <c r="B1498" i="9"/>
  <c r="B1499" i="9"/>
  <c r="B1500" i="9"/>
  <c r="B1501" i="9"/>
  <c r="B1502" i="9"/>
  <c r="B1503" i="9"/>
  <c r="B1504" i="9"/>
  <c r="B1505" i="9"/>
  <c r="B1506" i="9"/>
  <c r="B1507" i="9"/>
  <c r="B1508" i="9"/>
  <c r="B1509" i="9"/>
  <c r="B1510" i="9"/>
  <c r="B1511" i="9"/>
  <c r="B1512" i="9"/>
  <c r="B1513" i="9"/>
  <c r="B1514" i="9"/>
  <c r="B1515" i="9"/>
  <c r="B1516" i="9"/>
  <c r="B1517" i="9"/>
  <c r="B1518" i="9"/>
  <c r="B1519" i="9"/>
  <c r="B1520" i="9"/>
  <c r="B1521" i="9"/>
  <c r="B1522" i="9"/>
  <c r="B1523" i="9"/>
  <c r="B1524" i="9"/>
  <c r="B1525" i="9"/>
  <c r="B1526" i="9"/>
  <c r="B1527" i="9"/>
  <c r="B1528" i="9"/>
  <c r="B1529" i="9"/>
  <c r="B1530" i="9"/>
  <c r="B1531" i="9"/>
  <c r="B1532" i="9"/>
  <c r="B1533" i="9"/>
  <c r="B1534" i="9"/>
  <c r="B1535" i="9"/>
  <c r="B1536" i="9"/>
  <c r="B1537" i="9"/>
  <c r="B1538" i="9"/>
  <c r="B1539" i="9"/>
  <c r="B1540" i="9"/>
  <c r="B1541" i="9"/>
  <c r="B1542" i="9"/>
  <c r="B1543" i="9"/>
  <c r="B1544" i="9"/>
  <c r="B1545" i="9"/>
  <c r="B1546" i="9"/>
  <c r="B1547" i="9"/>
  <c r="B1548" i="9"/>
  <c r="B1549" i="9"/>
  <c r="B1550" i="9"/>
  <c r="B1551" i="9"/>
  <c r="B1552" i="9"/>
  <c r="B1553" i="9"/>
  <c r="B1554" i="9"/>
  <c r="B1555" i="9"/>
  <c r="B1556" i="9"/>
  <c r="B1557" i="9"/>
  <c r="B1558" i="9"/>
  <c r="B1559" i="9"/>
  <c r="B1560" i="9"/>
  <c r="B1561" i="9"/>
  <c r="B1562" i="9"/>
  <c r="B1563" i="9"/>
  <c r="B1564" i="9"/>
  <c r="B1565" i="9"/>
  <c r="B1566" i="9"/>
  <c r="B1567" i="9"/>
  <c r="B1568" i="9"/>
  <c r="B1569" i="9"/>
  <c r="B1570" i="9"/>
  <c r="B1571" i="9"/>
  <c r="B1572" i="9"/>
  <c r="B1573" i="9"/>
  <c r="B1574" i="9"/>
  <c r="B1575" i="9"/>
  <c r="B1576" i="9"/>
  <c r="B1577" i="9"/>
  <c r="B1578" i="9"/>
  <c r="B1579" i="9"/>
  <c r="B1580" i="9"/>
  <c r="B1581" i="9"/>
  <c r="B1582" i="9"/>
  <c r="B1583" i="9"/>
  <c r="B1584" i="9"/>
  <c r="B1585" i="9"/>
  <c r="B1586" i="9"/>
  <c r="B1587" i="9"/>
  <c r="B1588" i="9"/>
  <c r="B1589" i="9"/>
  <c r="B1590" i="9"/>
  <c r="B1591" i="9"/>
  <c r="B1592" i="9"/>
  <c r="B1593" i="9"/>
  <c r="B1594" i="9"/>
  <c r="B1595" i="9"/>
  <c r="B1596" i="9"/>
  <c r="B1597" i="9"/>
  <c r="B1598" i="9"/>
  <c r="B1599" i="9"/>
  <c r="B1600" i="9"/>
  <c r="B1601" i="9"/>
  <c r="B1602" i="9"/>
  <c r="B1603" i="9"/>
  <c r="B1604" i="9"/>
  <c r="B1605" i="9"/>
  <c r="B1606" i="9"/>
  <c r="B1607" i="9"/>
  <c r="B1608" i="9"/>
  <c r="B1609" i="9"/>
  <c r="B1610" i="9"/>
  <c r="B1611" i="9"/>
  <c r="B1612" i="9"/>
  <c r="B1613" i="9"/>
  <c r="B1614" i="9"/>
  <c r="B1615" i="9"/>
  <c r="B1616" i="9"/>
  <c r="B1617" i="9"/>
  <c r="B1618" i="9"/>
  <c r="B1619" i="9"/>
  <c r="B1620" i="9"/>
  <c r="B1621" i="9"/>
  <c r="B1622" i="9"/>
  <c r="B1623" i="9"/>
  <c r="B1624" i="9"/>
  <c r="B1625" i="9"/>
  <c r="B1626" i="9"/>
  <c r="B1627" i="9"/>
  <c r="B1628" i="9"/>
  <c r="B1629" i="9"/>
  <c r="B1630" i="9"/>
  <c r="B1631" i="9"/>
  <c r="B1632" i="9"/>
  <c r="B1633" i="9"/>
  <c r="B1634" i="9"/>
  <c r="B1635" i="9"/>
  <c r="B1636" i="9"/>
  <c r="B1637" i="9"/>
  <c r="B1638" i="9"/>
  <c r="B1639" i="9"/>
  <c r="B1640" i="9"/>
  <c r="B1641" i="9"/>
  <c r="B1642" i="9"/>
  <c r="B1643" i="9"/>
  <c r="B1644" i="9"/>
  <c r="B1645" i="9"/>
  <c r="B1646" i="9"/>
  <c r="B1647" i="9"/>
  <c r="B1648" i="9"/>
  <c r="B1649" i="9"/>
  <c r="B1650" i="9"/>
  <c r="B1651" i="9"/>
  <c r="B1652" i="9"/>
  <c r="B1653" i="9"/>
  <c r="B1654" i="9"/>
  <c r="B1655" i="9"/>
  <c r="B1656" i="9"/>
  <c r="B1657" i="9"/>
  <c r="B1658" i="9"/>
  <c r="B1659" i="9"/>
  <c r="B1660" i="9"/>
  <c r="B1661" i="9"/>
  <c r="B1662" i="9"/>
  <c r="B1663" i="9"/>
  <c r="B1664" i="9"/>
  <c r="B1665" i="9"/>
  <c r="B1666" i="9"/>
  <c r="B1667" i="9"/>
  <c r="B1668" i="9"/>
  <c r="B1669" i="9"/>
  <c r="B1670" i="9"/>
  <c r="B1671" i="9"/>
  <c r="B1672" i="9"/>
  <c r="B1673" i="9"/>
  <c r="B1674" i="9"/>
  <c r="B1675" i="9"/>
  <c r="B1676" i="9"/>
  <c r="B1677" i="9"/>
  <c r="B1678" i="9"/>
  <c r="B1679" i="9"/>
  <c r="B1680" i="9"/>
  <c r="B1681" i="9"/>
  <c r="B1682" i="9"/>
  <c r="B1683" i="9"/>
  <c r="B1684" i="9"/>
  <c r="B1685" i="9"/>
  <c r="B1686" i="9"/>
  <c r="B1687" i="9"/>
  <c r="B1688" i="9"/>
  <c r="B1689" i="9"/>
  <c r="B1690" i="9"/>
  <c r="B1691" i="9"/>
  <c r="B1692" i="9"/>
  <c r="B1693" i="9"/>
  <c r="B1694" i="9"/>
  <c r="B1695" i="9"/>
  <c r="B1696" i="9"/>
  <c r="B1697" i="9"/>
  <c r="B1698" i="9"/>
  <c r="B1699" i="9"/>
  <c r="B1700" i="9"/>
  <c r="B1701" i="9"/>
  <c r="B1702" i="9"/>
  <c r="B1703" i="9"/>
  <c r="B1704" i="9"/>
  <c r="B1705" i="9"/>
  <c r="B1706" i="9"/>
  <c r="B1707" i="9"/>
  <c r="B1708" i="9"/>
  <c r="B1709" i="9"/>
  <c r="B1710" i="9"/>
  <c r="B1711" i="9"/>
  <c r="B1712" i="9"/>
  <c r="B1713" i="9"/>
  <c r="B1714" i="9"/>
  <c r="B1715" i="9"/>
  <c r="B1716" i="9"/>
  <c r="B1717" i="9"/>
  <c r="B1718" i="9"/>
  <c r="B1719" i="9"/>
  <c r="B1720" i="9"/>
  <c r="B1721" i="9"/>
  <c r="B1722" i="9"/>
  <c r="B1723" i="9"/>
  <c r="B1724" i="9"/>
  <c r="B1725" i="9"/>
  <c r="B1726" i="9"/>
  <c r="B1727" i="9"/>
  <c r="B1728" i="9"/>
  <c r="B1729" i="9"/>
  <c r="B1730" i="9"/>
  <c r="B1731" i="9"/>
  <c r="B1732" i="9"/>
  <c r="B1733" i="9"/>
  <c r="B1734" i="9"/>
  <c r="B1735" i="9"/>
  <c r="B1736" i="9"/>
  <c r="B1737" i="9"/>
  <c r="B1738" i="9"/>
  <c r="B1739" i="9"/>
  <c r="B1740" i="9"/>
  <c r="B1741" i="9"/>
  <c r="B1742" i="9"/>
  <c r="B1743" i="9"/>
  <c r="B1744" i="9"/>
  <c r="B1745" i="9"/>
  <c r="B1746" i="9"/>
  <c r="B1747" i="9"/>
  <c r="B1748" i="9"/>
  <c r="B1749" i="9"/>
  <c r="B1750" i="9"/>
  <c r="B1751" i="9"/>
  <c r="B1752" i="9"/>
  <c r="B1753" i="9"/>
  <c r="B1754" i="9"/>
  <c r="B1755" i="9"/>
  <c r="B1756" i="9"/>
  <c r="B1757" i="9"/>
  <c r="B1758" i="9"/>
  <c r="B1759" i="9"/>
  <c r="B1760" i="9"/>
  <c r="B1761" i="9"/>
  <c r="B1762" i="9"/>
  <c r="B1763" i="9"/>
  <c r="B1764" i="9"/>
  <c r="B1765" i="9"/>
  <c r="B1766" i="9"/>
  <c r="B1767" i="9"/>
  <c r="B1768" i="9"/>
  <c r="B1769" i="9"/>
  <c r="B1770" i="9"/>
  <c r="B1771" i="9"/>
  <c r="B1772" i="9"/>
  <c r="B1773" i="9"/>
  <c r="B1774" i="9"/>
  <c r="B1775" i="9"/>
  <c r="B1776" i="9"/>
  <c r="B1777" i="9"/>
  <c r="B1778" i="9"/>
  <c r="B1779" i="9"/>
  <c r="B1780" i="9"/>
  <c r="B1781" i="9"/>
  <c r="B1782" i="9"/>
  <c r="B1783" i="9"/>
  <c r="B1784" i="9"/>
  <c r="B1785" i="9"/>
  <c r="B1786" i="9"/>
  <c r="B1787" i="9"/>
  <c r="B1788" i="9"/>
  <c r="B1789" i="9"/>
  <c r="B1790" i="9"/>
  <c r="B1791" i="9"/>
  <c r="B1792" i="9"/>
  <c r="B1793" i="9"/>
  <c r="B1794" i="9"/>
  <c r="B1795" i="9"/>
  <c r="B1796" i="9"/>
  <c r="B1797" i="9"/>
  <c r="B1798" i="9"/>
  <c r="B1799" i="9"/>
  <c r="B1800" i="9"/>
  <c r="B1801" i="9"/>
  <c r="B1802" i="9"/>
  <c r="B1803" i="9"/>
  <c r="B1804" i="9"/>
  <c r="B1805" i="9"/>
  <c r="B1806" i="9"/>
  <c r="B1807" i="9"/>
  <c r="B1808" i="9"/>
  <c r="B1809" i="9"/>
  <c r="B1810" i="9"/>
  <c r="B1811" i="9"/>
  <c r="B1812" i="9"/>
  <c r="B1813" i="9"/>
  <c r="B1814" i="9"/>
  <c r="B1815" i="9"/>
  <c r="B1816" i="9"/>
  <c r="B1817" i="9"/>
  <c r="B1818" i="9"/>
  <c r="B1819" i="9"/>
  <c r="B1820" i="9"/>
  <c r="B1821" i="9"/>
  <c r="B1822" i="9"/>
  <c r="B1823" i="9"/>
  <c r="B1824" i="9"/>
  <c r="B1825" i="9"/>
  <c r="B1826" i="9"/>
  <c r="B1827" i="9"/>
  <c r="B1828" i="9"/>
  <c r="B1829" i="9"/>
  <c r="B1830" i="9"/>
  <c r="B1831" i="9"/>
  <c r="B1832" i="9"/>
  <c r="B1833" i="9"/>
  <c r="B1834" i="9"/>
  <c r="B1835" i="9"/>
  <c r="B1836" i="9"/>
  <c r="B1837" i="9"/>
  <c r="B1838" i="9"/>
  <c r="B1839" i="9"/>
  <c r="B1840" i="9"/>
  <c r="B1841" i="9"/>
  <c r="B1842" i="9"/>
  <c r="B1843" i="9"/>
  <c r="B1844" i="9"/>
  <c r="B1845" i="9"/>
  <c r="B1846" i="9"/>
  <c r="B1847" i="9"/>
  <c r="B1848" i="9"/>
  <c r="B1849" i="9"/>
  <c r="B1850" i="9"/>
  <c r="B1851" i="9"/>
  <c r="B1852" i="9"/>
  <c r="B1853" i="9"/>
  <c r="B1854" i="9"/>
  <c r="B1855" i="9"/>
  <c r="B1856" i="9"/>
  <c r="B1857" i="9"/>
  <c r="B1858" i="9"/>
  <c r="B1859" i="9"/>
  <c r="B1860" i="9"/>
  <c r="B1861" i="9"/>
  <c r="B1862" i="9"/>
  <c r="B1863" i="9"/>
  <c r="B1864" i="9"/>
  <c r="B1865" i="9"/>
  <c r="B1866" i="9"/>
  <c r="B1867" i="9"/>
  <c r="B1868" i="9"/>
  <c r="B1869" i="9"/>
  <c r="B1870" i="9"/>
  <c r="B1871" i="9"/>
  <c r="B1872" i="9"/>
  <c r="B1873" i="9"/>
  <c r="B1874" i="9"/>
  <c r="B1875" i="9"/>
  <c r="B1876" i="9"/>
  <c r="B1877" i="9"/>
  <c r="B1878" i="9"/>
  <c r="B1879" i="9"/>
  <c r="B1880" i="9"/>
  <c r="B1881" i="9"/>
  <c r="B1882" i="9"/>
  <c r="B1883" i="9"/>
  <c r="B1884" i="9"/>
  <c r="B1885" i="9"/>
  <c r="B1886" i="9"/>
  <c r="B1887" i="9"/>
  <c r="B1888" i="9"/>
  <c r="B1889" i="9"/>
  <c r="B1890" i="9"/>
  <c r="B1891" i="9"/>
  <c r="B1892" i="9"/>
  <c r="B1893" i="9"/>
  <c r="B1894" i="9"/>
  <c r="B1895" i="9"/>
  <c r="B1896" i="9"/>
  <c r="B1897" i="9"/>
  <c r="B1898" i="9"/>
  <c r="B1899" i="9"/>
  <c r="B1900" i="9"/>
  <c r="B1901" i="9"/>
  <c r="B1902" i="9"/>
  <c r="B1903" i="9"/>
  <c r="B1904" i="9"/>
  <c r="B1905" i="9"/>
  <c r="B1906" i="9"/>
  <c r="B1907" i="9"/>
  <c r="B1908" i="9"/>
  <c r="B1909" i="9"/>
  <c r="B1910" i="9"/>
  <c r="B1911" i="9"/>
  <c r="B1912" i="9"/>
  <c r="B1913" i="9"/>
  <c r="B1914" i="9"/>
  <c r="B1915" i="9"/>
  <c r="B1916" i="9"/>
  <c r="B1917" i="9"/>
  <c r="B1918" i="9"/>
  <c r="B1919" i="9"/>
  <c r="B1920" i="9"/>
  <c r="B1921" i="9"/>
  <c r="B1922" i="9"/>
  <c r="B1923" i="9"/>
  <c r="B1924" i="9"/>
  <c r="B1925" i="9"/>
  <c r="B1926" i="9"/>
  <c r="B1927" i="9"/>
  <c r="B1928" i="9"/>
  <c r="B1929" i="9"/>
  <c r="B1930" i="9"/>
  <c r="B1931" i="9"/>
  <c r="B1932" i="9"/>
  <c r="B1933" i="9"/>
  <c r="B1934" i="9"/>
  <c r="B1935" i="9"/>
  <c r="B1936" i="9"/>
  <c r="B1937" i="9"/>
  <c r="B1938" i="9"/>
  <c r="B1939" i="9"/>
  <c r="B1940" i="9"/>
  <c r="B1941" i="9"/>
  <c r="B1942" i="9"/>
  <c r="B1943" i="9"/>
  <c r="B1944" i="9"/>
  <c r="B1945" i="9"/>
  <c r="B1946" i="9"/>
  <c r="B1947" i="9"/>
  <c r="B1948" i="9"/>
  <c r="B1949" i="9"/>
  <c r="B1950" i="9"/>
  <c r="B1951" i="9"/>
  <c r="B1952" i="9"/>
  <c r="B1953" i="9"/>
  <c r="B1954" i="9"/>
  <c r="B1955" i="9"/>
  <c r="B1956" i="9"/>
  <c r="B1957" i="9"/>
  <c r="B1958" i="9"/>
  <c r="B1959" i="9"/>
  <c r="B1960" i="9"/>
  <c r="B1961" i="9"/>
  <c r="B1962" i="9"/>
  <c r="B1963" i="9"/>
  <c r="B1964" i="9"/>
  <c r="B1965" i="9"/>
  <c r="B1966" i="9"/>
  <c r="B1967" i="9"/>
  <c r="B1968" i="9"/>
  <c r="B1969" i="9"/>
  <c r="B1970" i="9"/>
  <c r="B1971" i="9"/>
  <c r="B1972" i="9"/>
  <c r="B1973" i="9"/>
  <c r="B1974" i="9"/>
  <c r="B1975" i="9"/>
  <c r="B1976" i="9"/>
  <c r="B1977" i="9"/>
  <c r="B1978" i="9"/>
  <c r="B1979" i="9"/>
  <c r="B1980" i="9"/>
  <c r="B1981" i="9"/>
  <c r="B1982" i="9"/>
  <c r="B1983" i="9"/>
  <c r="B1984" i="9"/>
  <c r="B1985" i="9"/>
  <c r="B1986" i="9"/>
  <c r="B1987" i="9"/>
  <c r="B1988" i="9"/>
  <c r="B1989" i="9"/>
  <c r="B1990" i="9"/>
  <c r="B1991" i="9"/>
  <c r="B1992" i="9"/>
  <c r="B1993" i="9"/>
  <c r="B1994" i="9"/>
  <c r="B1995" i="9"/>
  <c r="B1996" i="9"/>
  <c r="B1997" i="9"/>
  <c r="B1998" i="9"/>
  <c r="B1999" i="9"/>
  <c r="B2000" i="9"/>
  <c r="B31" i="9"/>
  <c r="B32" i="9"/>
  <c r="B33" i="9"/>
  <c r="B34" i="9"/>
  <c r="B35" i="9"/>
  <c r="B36" i="9"/>
  <c r="B37" i="9"/>
  <c r="B38" i="9"/>
  <c r="B39" i="9"/>
  <c r="B40" i="9"/>
  <c r="B41" i="9"/>
  <c r="B42" i="9"/>
  <c r="B43" i="9"/>
  <c r="B44" i="9"/>
  <c r="B45" i="9"/>
  <c r="B46" i="9"/>
  <c r="B47" i="9"/>
  <c r="B48" i="9"/>
  <c r="E8" i="8"/>
  <c r="E10" i="6"/>
  <c r="E9" i="6"/>
  <c r="E7" i="8"/>
  <c r="E8" i="6"/>
  <c r="E7" i="6"/>
  <c r="J18" i="9"/>
  <c r="J17" i="9"/>
  <c r="B49" i="9"/>
  <c r="H831" i="9"/>
  <c r="H832" i="9"/>
  <c r="H833" i="9"/>
  <c r="H834" i="9"/>
  <c r="H835" i="9"/>
  <c r="H836" i="9"/>
  <c r="H837" i="9"/>
  <c r="H838" i="9"/>
  <c r="H839" i="9"/>
  <c r="H840" i="9"/>
  <c r="H841" i="9"/>
  <c r="H842" i="9"/>
  <c r="H843" i="9"/>
  <c r="H844" i="9"/>
  <c r="H845" i="9"/>
  <c r="H846" i="9"/>
  <c r="H847" i="9"/>
  <c r="H848" i="9"/>
  <c r="H849" i="9"/>
  <c r="H850" i="9"/>
  <c r="H851" i="9"/>
  <c r="H852" i="9"/>
  <c r="H853" i="9"/>
  <c r="H854" i="9"/>
  <c r="H855" i="9"/>
  <c r="H856" i="9"/>
  <c r="H857" i="9"/>
  <c r="H858" i="9"/>
  <c r="H859" i="9"/>
  <c r="H860" i="9"/>
  <c r="H861" i="9"/>
  <c r="H862" i="9"/>
  <c r="H863" i="9"/>
  <c r="H864" i="9"/>
  <c r="H865" i="9"/>
  <c r="H866" i="9"/>
  <c r="H867" i="9"/>
  <c r="H868" i="9"/>
  <c r="H869" i="9"/>
  <c r="H870" i="9"/>
  <c r="H871" i="9"/>
  <c r="H872" i="9"/>
  <c r="H873" i="9"/>
  <c r="H874" i="9"/>
  <c r="H875" i="9"/>
  <c r="H876" i="9"/>
  <c r="H877" i="9"/>
  <c r="H878" i="9"/>
  <c r="H879" i="9"/>
  <c r="H880" i="9"/>
  <c r="H881" i="9"/>
  <c r="H882" i="9"/>
  <c r="H883" i="9"/>
  <c r="H884" i="9"/>
  <c r="H885" i="9"/>
  <c r="H886" i="9"/>
  <c r="H887" i="9"/>
  <c r="H888" i="9"/>
  <c r="H889" i="9"/>
  <c r="H890" i="9"/>
  <c r="H891" i="9"/>
  <c r="H892" i="9"/>
  <c r="H893" i="9"/>
  <c r="H894" i="9"/>
  <c r="H895" i="9"/>
  <c r="H896" i="9"/>
  <c r="H897" i="9"/>
  <c r="H898" i="9"/>
  <c r="H899" i="9"/>
  <c r="H900" i="9"/>
  <c r="H901" i="9"/>
  <c r="H902" i="9"/>
  <c r="H903" i="9"/>
  <c r="H904" i="9"/>
  <c r="H905" i="9"/>
  <c r="H906" i="9"/>
  <c r="H907" i="9"/>
  <c r="H908" i="9"/>
  <c r="H909" i="9"/>
  <c r="H910" i="9"/>
  <c r="H911" i="9"/>
  <c r="H912" i="9"/>
  <c r="H913" i="9"/>
  <c r="H914" i="9"/>
  <c r="H915" i="9"/>
  <c r="H916" i="9"/>
  <c r="H917" i="9"/>
  <c r="H918" i="9"/>
  <c r="H919" i="9"/>
  <c r="H920" i="9"/>
  <c r="H921" i="9"/>
  <c r="H922" i="9"/>
  <c r="H923" i="9"/>
  <c r="H924" i="9"/>
  <c r="H925" i="9"/>
  <c r="H926" i="9"/>
  <c r="H927" i="9"/>
  <c r="H928" i="9"/>
  <c r="H929" i="9"/>
  <c r="H930" i="9"/>
  <c r="H931" i="9"/>
  <c r="H932" i="9"/>
  <c r="H933" i="9"/>
  <c r="H934" i="9"/>
  <c r="H935" i="9"/>
  <c r="H936" i="9"/>
  <c r="H937" i="9"/>
  <c r="H938" i="9"/>
  <c r="H939" i="9"/>
  <c r="H940" i="9"/>
  <c r="H941" i="9"/>
  <c r="H942" i="9"/>
  <c r="H943" i="9"/>
  <c r="H944" i="9"/>
  <c r="H945" i="9"/>
  <c r="H946" i="9"/>
  <c r="H947" i="9"/>
  <c r="H948" i="9"/>
  <c r="H949" i="9"/>
  <c r="H950" i="9"/>
  <c r="H951" i="9"/>
  <c r="H952" i="9"/>
  <c r="H953" i="9"/>
  <c r="H954" i="9"/>
  <c r="H955" i="9"/>
  <c r="H956" i="9"/>
  <c r="H957" i="9"/>
  <c r="H958" i="9"/>
  <c r="H959" i="9"/>
  <c r="H960" i="9"/>
  <c r="H961" i="9"/>
  <c r="H962" i="9"/>
  <c r="H963" i="9"/>
  <c r="H964" i="9"/>
  <c r="H965" i="9"/>
  <c r="H966" i="9"/>
  <c r="H967" i="9"/>
  <c r="H968" i="9"/>
  <c r="H969" i="9"/>
  <c r="H970" i="9"/>
  <c r="H971" i="9"/>
  <c r="H972" i="9"/>
  <c r="H973" i="9"/>
  <c r="H974" i="9"/>
  <c r="H975" i="9"/>
  <c r="H976" i="9"/>
  <c r="H977" i="9"/>
  <c r="H978" i="9"/>
  <c r="H979" i="9"/>
  <c r="H980" i="9"/>
  <c r="H981" i="9"/>
  <c r="H982" i="9"/>
  <c r="H983" i="9"/>
  <c r="H984" i="9"/>
  <c r="H985" i="9"/>
  <c r="H986" i="9"/>
  <c r="H987" i="9"/>
  <c r="H988" i="9"/>
  <c r="H989" i="9"/>
  <c r="H990" i="9"/>
  <c r="H991" i="9"/>
  <c r="H992" i="9"/>
  <c r="H993" i="9"/>
  <c r="H994" i="9"/>
  <c r="H995" i="9"/>
  <c r="H996" i="9"/>
  <c r="H997" i="9"/>
  <c r="H998" i="9"/>
  <c r="H999" i="9"/>
  <c r="H1000" i="9"/>
  <c r="H1001" i="9"/>
  <c r="H1002" i="9"/>
  <c r="H1003" i="9"/>
  <c r="H1004" i="9"/>
  <c r="H1005" i="9"/>
  <c r="H1006" i="9"/>
  <c r="H1007" i="9"/>
  <c r="H1008" i="9"/>
  <c r="H1009" i="9"/>
  <c r="H1010" i="9"/>
  <c r="H1011" i="9"/>
  <c r="H1012" i="9"/>
  <c r="H1013" i="9"/>
  <c r="H1014" i="9"/>
  <c r="H1015" i="9"/>
  <c r="H1016" i="9"/>
  <c r="H1017" i="9"/>
  <c r="H1018" i="9"/>
  <c r="H1019" i="9"/>
  <c r="H1020" i="9"/>
  <c r="H1021" i="9"/>
  <c r="H1022" i="9"/>
  <c r="H1023" i="9"/>
  <c r="H1024" i="9"/>
  <c r="H1025" i="9"/>
  <c r="H1026" i="9"/>
  <c r="H1027" i="9"/>
  <c r="H1028" i="9"/>
  <c r="H1029" i="9"/>
  <c r="H1030" i="9"/>
  <c r="H1031" i="9"/>
  <c r="H1032" i="9"/>
  <c r="H1033" i="9"/>
  <c r="H1034" i="9"/>
  <c r="H1035" i="9"/>
  <c r="H1036" i="9"/>
  <c r="H1037" i="9"/>
  <c r="H1038" i="9"/>
  <c r="H1039" i="9"/>
  <c r="H1040" i="9"/>
  <c r="H1041" i="9"/>
  <c r="H1042" i="9"/>
  <c r="H1043" i="9"/>
  <c r="H1044" i="9"/>
  <c r="H1045" i="9"/>
  <c r="H1046" i="9"/>
  <c r="H1047" i="9"/>
  <c r="H1048" i="9"/>
  <c r="H1049" i="9"/>
  <c r="H1050" i="9"/>
  <c r="H1051" i="9"/>
  <c r="H1052" i="9"/>
  <c r="H1053" i="9"/>
  <c r="H1054" i="9"/>
  <c r="H1055" i="9"/>
  <c r="H1056" i="9"/>
  <c r="H1057" i="9"/>
  <c r="H1058" i="9"/>
  <c r="H1059" i="9"/>
  <c r="H1060" i="9"/>
  <c r="H1061" i="9"/>
  <c r="H1062" i="9"/>
  <c r="H1063" i="9"/>
  <c r="H1064" i="9"/>
  <c r="H1065" i="9"/>
  <c r="H1066" i="9"/>
  <c r="H1067" i="9"/>
  <c r="H1068" i="9"/>
  <c r="H1069" i="9"/>
  <c r="H1070" i="9"/>
  <c r="H1071" i="9"/>
  <c r="H1072" i="9"/>
  <c r="H1073" i="9"/>
  <c r="H1074" i="9"/>
  <c r="H1075" i="9"/>
  <c r="H1076" i="9"/>
  <c r="H1077" i="9"/>
  <c r="H1078" i="9"/>
  <c r="H1079" i="9"/>
  <c r="H1080" i="9"/>
  <c r="H1081" i="9"/>
  <c r="H1082" i="9"/>
  <c r="H1083" i="9"/>
  <c r="H1084" i="9"/>
  <c r="H1085" i="9"/>
  <c r="H1086" i="9"/>
  <c r="H1087" i="9"/>
  <c r="H1088" i="9"/>
  <c r="H1089" i="9"/>
  <c r="H1090" i="9"/>
  <c r="H1091" i="9"/>
  <c r="H1092" i="9"/>
  <c r="H1093" i="9"/>
  <c r="H1094" i="9"/>
  <c r="H1095" i="9"/>
  <c r="H1096" i="9"/>
  <c r="H1097" i="9"/>
  <c r="H1098" i="9"/>
  <c r="H1099" i="9"/>
  <c r="H1100" i="9"/>
  <c r="H1101" i="9"/>
  <c r="H1102" i="9"/>
  <c r="H1103" i="9"/>
  <c r="H1104" i="9"/>
  <c r="H1105" i="9"/>
  <c r="H1106" i="9"/>
  <c r="H1107" i="9"/>
  <c r="H1108" i="9"/>
  <c r="H1109" i="9"/>
  <c r="H1110" i="9"/>
  <c r="H1111" i="9"/>
  <c r="H1112" i="9"/>
  <c r="H1113" i="9"/>
  <c r="H1114" i="9"/>
  <c r="H1115" i="9"/>
  <c r="H1116" i="9"/>
  <c r="H1117" i="9"/>
  <c r="H1118" i="9"/>
  <c r="H1119" i="9"/>
  <c r="H1120" i="9"/>
  <c r="H1121" i="9"/>
  <c r="H1122" i="9"/>
  <c r="H1123" i="9"/>
  <c r="H1124" i="9"/>
  <c r="H1125" i="9"/>
  <c r="H1126" i="9"/>
  <c r="H1127" i="9"/>
  <c r="H1128" i="9"/>
  <c r="H1129" i="9"/>
  <c r="H1130" i="9"/>
  <c r="H1131" i="9"/>
  <c r="H1132" i="9"/>
  <c r="H1133" i="9"/>
  <c r="H1134" i="9"/>
  <c r="H1135" i="9"/>
  <c r="H1136" i="9"/>
  <c r="H1137" i="9"/>
  <c r="H1138" i="9"/>
  <c r="H1139" i="9"/>
  <c r="H1140" i="9"/>
  <c r="H1141" i="9"/>
  <c r="H1142" i="9"/>
  <c r="H1143" i="9"/>
  <c r="H1144" i="9"/>
  <c r="H1145" i="9"/>
  <c r="H1146" i="9"/>
  <c r="H1147" i="9"/>
  <c r="H1148" i="9"/>
  <c r="H1149" i="9"/>
  <c r="H1150" i="9"/>
  <c r="H1151" i="9"/>
  <c r="H1152" i="9"/>
  <c r="H1153" i="9"/>
  <c r="H1154" i="9"/>
  <c r="H1155" i="9"/>
  <c r="H1156" i="9"/>
  <c r="H1157" i="9"/>
  <c r="H1158" i="9"/>
  <c r="H1159" i="9"/>
  <c r="H1160" i="9"/>
  <c r="H1161" i="9"/>
  <c r="H1162" i="9"/>
  <c r="H1163" i="9"/>
  <c r="H1164" i="9"/>
  <c r="H1165" i="9"/>
  <c r="H1166" i="9"/>
  <c r="H1167" i="9"/>
  <c r="H1168" i="9"/>
  <c r="H1169" i="9"/>
  <c r="H1170" i="9"/>
  <c r="H1171" i="9"/>
  <c r="H1172" i="9"/>
  <c r="H1173" i="9"/>
  <c r="H1174" i="9"/>
  <c r="H1175" i="9"/>
  <c r="H1176" i="9"/>
  <c r="H1177" i="9"/>
  <c r="H1178" i="9"/>
  <c r="H1179" i="9"/>
  <c r="H1180" i="9"/>
  <c r="H1181" i="9"/>
  <c r="H1182" i="9"/>
  <c r="H1183" i="9"/>
  <c r="H1184" i="9"/>
  <c r="H1185" i="9"/>
  <c r="H1186" i="9"/>
  <c r="H1187" i="9"/>
  <c r="H1188" i="9"/>
  <c r="H1189" i="9"/>
  <c r="H1190" i="9"/>
  <c r="H1191" i="9"/>
  <c r="H1192" i="9"/>
  <c r="H1193" i="9"/>
  <c r="H1194" i="9"/>
  <c r="H1195" i="9"/>
  <c r="H1196" i="9"/>
  <c r="H1197" i="9"/>
  <c r="H1198" i="9"/>
  <c r="H1199" i="9"/>
  <c r="H1200" i="9"/>
  <c r="H1201" i="9"/>
  <c r="H1202" i="9"/>
  <c r="H1203" i="9"/>
  <c r="H1204" i="9"/>
  <c r="H1205" i="9"/>
  <c r="H1206" i="9"/>
  <c r="H1207" i="9"/>
  <c r="H1208" i="9"/>
  <c r="H1209" i="9"/>
  <c r="H1210" i="9"/>
  <c r="H1211" i="9"/>
  <c r="H1212" i="9"/>
  <c r="H1213" i="9"/>
  <c r="H1214" i="9"/>
  <c r="H1215" i="9"/>
  <c r="H1216" i="9"/>
  <c r="H1217" i="9"/>
  <c r="H1218" i="9"/>
  <c r="H1219" i="9"/>
  <c r="H1220" i="9"/>
  <c r="H1221" i="9"/>
  <c r="H1222" i="9"/>
  <c r="H1223" i="9"/>
  <c r="H1224" i="9"/>
  <c r="H1225" i="9"/>
  <c r="H1226" i="9"/>
  <c r="H1227" i="9"/>
  <c r="H1228" i="9"/>
  <c r="H1229" i="9"/>
  <c r="H1230" i="9"/>
  <c r="H1231" i="9"/>
  <c r="H1232" i="9"/>
  <c r="H1233" i="9"/>
  <c r="H1234" i="9"/>
  <c r="H1235" i="9"/>
  <c r="H1236" i="9"/>
  <c r="H1237" i="9"/>
  <c r="H1238" i="9"/>
  <c r="H1239" i="9"/>
  <c r="H1240" i="9"/>
  <c r="H1241" i="9"/>
  <c r="H1242" i="9"/>
  <c r="H1243" i="9"/>
  <c r="H1244" i="9"/>
  <c r="H1245" i="9"/>
  <c r="H1246" i="9"/>
  <c r="H1247" i="9"/>
  <c r="H1248" i="9"/>
  <c r="H1249" i="9"/>
  <c r="H1250" i="9"/>
  <c r="H1251" i="9"/>
  <c r="H1252" i="9"/>
  <c r="H1253" i="9"/>
  <c r="H1254" i="9"/>
  <c r="H1255" i="9"/>
  <c r="H1256" i="9"/>
  <c r="H1257" i="9"/>
  <c r="H1258" i="9"/>
  <c r="H1259" i="9"/>
  <c r="H1260" i="9"/>
  <c r="H1261" i="9"/>
  <c r="H1262" i="9"/>
  <c r="H1263" i="9"/>
  <c r="H1264" i="9"/>
  <c r="H1265" i="9"/>
  <c r="H1266" i="9"/>
  <c r="H1267" i="9"/>
  <c r="H1268" i="9"/>
  <c r="H1269" i="9"/>
  <c r="H1270" i="9"/>
  <c r="H1271" i="9"/>
  <c r="H1272" i="9"/>
  <c r="H1273" i="9"/>
  <c r="H1274" i="9"/>
  <c r="H1275" i="9"/>
  <c r="H1276" i="9"/>
  <c r="H1277" i="9"/>
  <c r="H1278" i="9"/>
  <c r="H1279" i="9"/>
  <c r="H1280" i="9"/>
  <c r="H1281" i="9"/>
  <c r="H1282" i="9"/>
  <c r="H1283" i="9"/>
  <c r="H1284" i="9"/>
  <c r="H1285" i="9"/>
  <c r="H1286" i="9"/>
  <c r="H1287" i="9"/>
  <c r="H1288" i="9"/>
  <c r="H1289" i="9"/>
  <c r="H1290" i="9"/>
  <c r="H1291" i="9"/>
  <c r="H1292" i="9"/>
  <c r="H1293" i="9"/>
  <c r="H1294" i="9"/>
  <c r="H1295" i="9"/>
  <c r="H1296" i="9"/>
  <c r="H1297" i="9"/>
  <c r="H1298" i="9"/>
  <c r="H1299" i="9"/>
  <c r="H1300" i="9"/>
  <c r="H1301" i="9"/>
  <c r="H1302" i="9"/>
  <c r="H1303" i="9"/>
  <c r="H1304" i="9"/>
  <c r="H1305" i="9"/>
  <c r="H1306" i="9"/>
  <c r="H1307" i="9"/>
  <c r="H1308" i="9"/>
  <c r="H1309" i="9"/>
  <c r="H1310" i="9"/>
  <c r="H1311" i="9"/>
  <c r="H1312" i="9"/>
  <c r="H1313" i="9"/>
  <c r="H1314" i="9"/>
  <c r="H1315" i="9"/>
  <c r="H1316" i="9"/>
  <c r="H1317" i="9"/>
  <c r="H1318" i="9"/>
  <c r="H1319" i="9"/>
  <c r="H1320" i="9"/>
  <c r="H1321" i="9"/>
  <c r="H1322" i="9"/>
  <c r="H1323" i="9"/>
  <c r="H1324" i="9"/>
  <c r="H1325" i="9"/>
  <c r="H1326" i="9"/>
  <c r="H1327" i="9"/>
  <c r="H1328" i="9"/>
  <c r="H1329" i="9"/>
  <c r="H1330" i="9"/>
  <c r="H1331" i="9"/>
  <c r="H1332" i="9"/>
  <c r="H1333" i="9"/>
  <c r="H1334" i="9"/>
  <c r="H1335" i="9"/>
  <c r="H1336" i="9"/>
  <c r="H1337" i="9"/>
  <c r="H1338" i="9"/>
  <c r="H1339" i="9"/>
  <c r="H1340" i="9"/>
  <c r="H1341" i="9"/>
  <c r="H1342" i="9"/>
  <c r="H1343" i="9"/>
  <c r="H1344" i="9"/>
  <c r="H1345" i="9"/>
  <c r="H1346" i="9"/>
  <c r="H1347" i="9"/>
  <c r="H1348" i="9"/>
  <c r="H1349" i="9"/>
  <c r="H1350" i="9"/>
  <c r="H1351" i="9"/>
  <c r="H1352" i="9"/>
  <c r="H1353" i="9"/>
  <c r="H1354" i="9"/>
  <c r="H1355" i="9"/>
  <c r="H1356" i="9"/>
  <c r="H1357" i="9"/>
  <c r="H1358" i="9"/>
  <c r="H1359" i="9"/>
  <c r="H1360" i="9"/>
  <c r="H1361" i="9"/>
  <c r="H1362" i="9"/>
  <c r="H1363" i="9"/>
  <c r="H1364" i="9"/>
  <c r="H1365" i="9"/>
  <c r="H1366" i="9"/>
  <c r="H1367" i="9"/>
  <c r="H1368" i="9"/>
  <c r="H1369" i="9"/>
  <c r="H1370" i="9"/>
  <c r="H1371" i="9"/>
  <c r="H1372" i="9"/>
  <c r="H1373" i="9"/>
  <c r="H1374" i="9"/>
  <c r="H1375" i="9"/>
  <c r="H1376" i="9"/>
  <c r="H1377" i="9"/>
  <c r="H1378" i="9"/>
  <c r="H1379" i="9"/>
  <c r="H1380" i="9"/>
  <c r="H1381" i="9"/>
  <c r="H1382" i="9"/>
  <c r="H1383" i="9"/>
  <c r="H1384" i="9"/>
  <c r="H1385" i="9"/>
  <c r="H1386" i="9"/>
  <c r="H1387" i="9"/>
  <c r="H1388" i="9"/>
  <c r="H1389" i="9"/>
  <c r="H1390" i="9"/>
  <c r="H1391" i="9"/>
  <c r="H1392" i="9"/>
  <c r="H1393" i="9"/>
  <c r="H1394" i="9"/>
  <c r="H1395" i="9"/>
  <c r="H1396" i="9"/>
  <c r="H1397" i="9"/>
  <c r="H1398" i="9"/>
  <c r="H1399" i="9"/>
  <c r="H1400" i="9"/>
  <c r="H1401" i="9"/>
  <c r="H1402" i="9"/>
  <c r="H1403" i="9"/>
  <c r="H1404" i="9"/>
  <c r="H1405" i="9"/>
  <c r="H1406" i="9"/>
  <c r="H1407" i="9"/>
  <c r="H1408" i="9"/>
  <c r="H1409" i="9"/>
  <c r="H1410" i="9"/>
  <c r="H1411" i="9"/>
  <c r="H1412" i="9"/>
  <c r="H1413" i="9"/>
  <c r="H1414" i="9"/>
  <c r="H1415" i="9"/>
  <c r="H1416" i="9"/>
  <c r="H1417" i="9"/>
  <c r="H1418" i="9"/>
  <c r="H1419" i="9"/>
  <c r="H1420" i="9"/>
  <c r="H1421" i="9"/>
  <c r="H1422" i="9"/>
  <c r="H1423" i="9"/>
  <c r="H1424" i="9"/>
  <c r="H1425" i="9"/>
  <c r="H1426" i="9"/>
  <c r="H1427" i="9"/>
  <c r="H1428" i="9"/>
  <c r="H1429" i="9"/>
  <c r="H1430" i="9"/>
  <c r="H1431" i="9"/>
  <c r="H1432" i="9"/>
  <c r="H1433" i="9"/>
  <c r="H1434" i="9"/>
  <c r="H1435" i="9"/>
  <c r="H1436" i="9"/>
  <c r="H1437" i="9"/>
  <c r="H1438" i="9"/>
  <c r="H1439" i="9"/>
  <c r="H1440" i="9"/>
  <c r="H1441" i="9"/>
  <c r="H1442" i="9"/>
  <c r="H1443" i="9"/>
  <c r="H1444" i="9"/>
  <c r="H1445" i="9"/>
  <c r="H1446" i="9"/>
  <c r="H1447" i="9"/>
  <c r="H1448" i="9"/>
  <c r="H1449" i="9"/>
  <c r="H1450" i="9"/>
  <c r="H1451" i="9"/>
  <c r="H1452" i="9"/>
  <c r="H1453" i="9"/>
  <c r="H1454" i="9"/>
  <c r="H1455" i="9"/>
  <c r="H1456" i="9"/>
  <c r="H1457" i="9"/>
  <c r="H1458" i="9"/>
  <c r="H1459" i="9"/>
  <c r="H1460" i="9"/>
  <c r="H1461" i="9"/>
  <c r="H1462" i="9"/>
  <c r="H1463" i="9"/>
  <c r="H1464" i="9"/>
  <c r="H1465" i="9"/>
  <c r="H1466" i="9"/>
  <c r="H1467" i="9"/>
  <c r="H1468" i="9"/>
  <c r="H1469" i="9"/>
  <c r="H1470" i="9"/>
  <c r="H1471" i="9"/>
  <c r="H1472" i="9"/>
  <c r="H1473" i="9"/>
  <c r="H1474" i="9"/>
  <c r="H1475" i="9"/>
  <c r="H1476" i="9"/>
  <c r="H1477" i="9"/>
  <c r="H1478" i="9"/>
  <c r="H1479" i="9"/>
  <c r="H1480" i="9"/>
  <c r="H1481" i="9"/>
  <c r="H1482" i="9"/>
  <c r="H1483" i="9"/>
  <c r="H1484" i="9"/>
  <c r="H1485" i="9"/>
  <c r="H1486" i="9"/>
  <c r="H1487" i="9"/>
  <c r="H1488" i="9"/>
  <c r="H1489" i="9"/>
  <c r="H1490" i="9"/>
  <c r="H1491" i="9"/>
  <c r="H1492" i="9"/>
  <c r="H1493" i="9"/>
  <c r="H1494" i="9"/>
  <c r="H1495" i="9"/>
  <c r="H1496" i="9"/>
  <c r="H1497" i="9"/>
  <c r="H1498" i="9"/>
  <c r="H1499" i="9"/>
  <c r="H1500" i="9"/>
  <c r="H1501" i="9"/>
  <c r="H1502" i="9"/>
  <c r="H1503" i="9"/>
  <c r="H1504" i="9"/>
  <c r="H1505" i="9"/>
  <c r="H1506" i="9"/>
  <c r="H1507" i="9"/>
  <c r="H1508" i="9"/>
  <c r="H1509" i="9"/>
  <c r="H1510" i="9"/>
  <c r="H1511" i="9"/>
  <c r="H1512" i="9"/>
  <c r="H1513" i="9"/>
  <c r="H1514" i="9"/>
  <c r="H1515" i="9"/>
  <c r="H1516" i="9"/>
  <c r="H1517" i="9"/>
  <c r="H1518" i="9"/>
  <c r="H1519" i="9"/>
  <c r="H1520" i="9"/>
  <c r="H1521" i="9"/>
  <c r="H1522" i="9"/>
  <c r="H1523" i="9"/>
  <c r="H1524" i="9"/>
  <c r="H1525" i="9"/>
  <c r="H1526" i="9"/>
  <c r="H1527" i="9"/>
  <c r="H1528" i="9"/>
  <c r="H1529" i="9"/>
  <c r="H1530" i="9"/>
  <c r="H1531" i="9"/>
  <c r="H1532" i="9"/>
  <c r="H1533" i="9"/>
  <c r="H1534" i="9"/>
  <c r="H1535" i="9"/>
  <c r="H1536" i="9"/>
  <c r="H1537" i="9"/>
  <c r="H1538" i="9"/>
  <c r="H1539" i="9"/>
  <c r="H1540" i="9"/>
  <c r="H1541" i="9"/>
  <c r="H1542" i="9"/>
  <c r="H1543" i="9"/>
  <c r="H1544" i="9"/>
  <c r="H1545" i="9"/>
  <c r="H1546" i="9"/>
  <c r="H1547" i="9"/>
  <c r="H1548" i="9"/>
  <c r="H1549" i="9"/>
  <c r="H1550" i="9"/>
  <c r="H1551" i="9"/>
  <c r="H1552" i="9"/>
  <c r="H1553" i="9"/>
  <c r="H1554" i="9"/>
  <c r="H1555" i="9"/>
  <c r="H1556" i="9"/>
  <c r="H1557" i="9"/>
  <c r="H1558" i="9"/>
  <c r="H1559" i="9"/>
  <c r="H1560" i="9"/>
  <c r="H1561" i="9"/>
  <c r="H1562" i="9"/>
  <c r="H1563" i="9"/>
  <c r="H1564" i="9"/>
  <c r="H1565" i="9"/>
  <c r="H1566" i="9"/>
  <c r="H1567" i="9"/>
  <c r="H1568" i="9"/>
  <c r="H1569" i="9"/>
  <c r="H1570" i="9"/>
  <c r="H1571" i="9"/>
  <c r="H1572" i="9"/>
  <c r="H1573" i="9"/>
  <c r="H1574" i="9"/>
  <c r="H1575" i="9"/>
  <c r="H1576" i="9"/>
  <c r="H1577" i="9"/>
  <c r="H1578" i="9"/>
  <c r="H1579" i="9"/>
  <c r="H1580" i="9"/>
  <c r="H1581" i="9"/>
  <c r="H1582" i="9"/>
  <c r="H1583" i="9"/>
  <c r="H1584" i="9"/>
  <c r="H1585" i="9"/>
  <c r="H1586" i="9"/>
  <c r="H1587" i="9"/>
  <c r="H1588" i="9"/>
  <c r="H1589" i="9"/>
  <c r="H1590" i="9"/>
  <c r="H1591" i="9"/>
  <c r="H1592" i="9"/>
  <c r="H1593" i="9"/>
  <c r="H1594" i="9"/>
  <c r="H1595" i="9"/>
  <c r="H1596" i="9"/>
  <c r="H1597" i="9"/>
  <c r="H1598" i="9"/>
  <c r="H1599" i="9"/>
  <c r="H1600" i="9"/>
  <c r="H1601" i="9"/>
  <c r="H1602" i="9"/>
  <c r="H1603" i="9"/>
  <c r="H1604" i="9"/>
  <c r="H1605" i="9"/>
  <c r="H1606" i="9"/>
  <c r="H1607" i="9"/>
  <c r="H1608" i="9"/>
  <c r="H1609" i="9"/>
  <c r="H1610" i="9"/>
  <c r="H1611" i="9"/>
  <c r="H1612" i="9"/>
  <c r="H1613" i="9"/>
  <c r="H1614" i="9"/>
  <c r="H1615" i="9"/>
  <c r="H1616" i="9"/>
  <c r="H1617" i="9"/>
  <c r="H1618" i="9"/>
  <c r="H1619" i="9"/>
  <c r="H1620" i="9"/>
  <c r="H1621" i="9"/>
  <c r="H1622" i="9"/>
  <c r="H1623" i="9"/>
  <c r="H1624" i="9"/>
  <c r="H1625" i="9"/>
  <c r="H1626" i="9"/>
  <c r="H1627" i="9"/>
  <c r="H1628" i="9"/>
  <c r="H1629" i="9"/>
  <c r="H1630" i="9"/>
  <c r="H1631" i="9"/>
  <c r="H1632" i="9"/>
  <c r="H1633" i="9"/>
  <c r="H1634" i="9"/>
  <c r="H1635" i="9"/>
  <c r="H1636" i="9"/>
  <c r="H1637" i="9"/>
  <c r="H1638" i="9"/>
  <c r="H1639" i="9"/>
  <c r="H1640" i="9"/>
  <c r="H1641" i="9"/>
  <c r="H1642" i="9"/>
  <c r="H1643" i="9"/>
  <c r="H1644" i="9"/>
  <c r="H1645" i="9"/>
  <c r="H1646" i="9"/>
  <c r="H1647" i="9"/>
  <c r="H1648" i="9"/>
  <c r="H1649" i="9"/>
  <c r="H1650" i="9"/>
  <c r="H1651" i="9"/>
  <c r="H1652" i="9"/>
  <c r="H1653" i="9"/>
  <c r="H1654" i="9"/>
  <c r="H1655" i="9"/>
  <c r="H1656" i="9"/>
  <c r="H1657" i="9"/>
  <c r="H1658" i="9"/>
  <c r="H1659" i="9"/>
  <c r="H1660" i="9"/>
  <c r="H1661" i="9"/>
  <c r="H1662" i="9"/>
  <c r="H1663" i="9"/>
  <c r="H1664" i="9"/>
  <c r="H1665" i="9"/>
  <c r="H1666" i="9"/>
  <c r="H1667" i="9"/>
  <c r="H1668" i="9"/>
  <c r="H1669" i="9"/>
  <c r="H1670" i="9"/>
  <c r="H1671" i="9"/>
  <c r="H1672" i="9"/>
  <c r="H1673" i="9"/>
  <c r="H1674" i="9"/>
  <c r="H1675" i="9"/>
  <c r="H1676" i="9"/>
  <c r="H1677" i="9"/>
  <c r="H1678" i="9"/>
  <c r="H1679" i="9"/>
  <c r="H1680" i="9"/>
  <c r="H1681" i="9"/>
  <c r="H1682" i="9"/>
  <c r="H1683" i="9"/>
  <c r="H1684" i="9"/>
  <c r="H1685" i="9"/>
  <c r="H1686" i="9"/>
  <c r="H1687" i="9"/>
  <c r="H1688" i="9"/>
  <c r="H1689" i="9"/>
  <c r="H1690" i="9"/>
  <c r="H1691" i="9"/>
  <c r="H1692" i="9"/>
  <c r="H1693" i="9"/>
  <c r="H1694" i="9"/>
  <c r="H1695" i="9"/>
  <c r="H1696" i="9"/>
  <c r="H1697" i="9"/>
  <c r="H1698" i="9"/>
  <c r="H1699" i="9"/>
  <c r="H1700" i="9"/>
  <c r="H1701" i="9"/>
  <c r="H1702" i="9"/>
  <c r="H1703" i="9"/>
  <c r="H1704" i="9"/>
  <c r="H1705" i="9"/>
  <c r="H1706" i="9"/>
  <c r="H1707" i="9"/>
  <c r="H1708" i="9"/>
  <c r="H1709" i="9"/>
  <c r="H1710" i="9"/>
  <c r="H1711" i="9"/>
  <c r="H1712" i="9"/>
  <c r="H1713" i="9"/>
  <c r="H1714" i="9"/>
  <c r="H1715" i="9"/>
  <c r="H1716" i="9"/>
  <c r="H1717" i="9"/>
  <c r="H1718" i="9"/>
  <c r="H1719" i="9"/>
  <c r="H1720" i="9"/>
  <c r="H1721" i="9"/>
  <c r="H1722" i="9"/>
  <c r="H1723" i="9"/>
  <c r="H1724" i="9"/>
  <c r="H1725" i="9"/>
  <c r="H1726" i="9"/>
  <c r="H1727" i="9"/>
  <c r="H1728" i="9"/>
  <c r="H1729" i="9"/>
  <c r="H1730" i="9"/>
  <c r="H1731" i="9"/>
  <c r="H1732" i="9"/>
  <c r="H1733" i="9"/>
  <c r="H1734" i="9"/>
  <c r="H1735" i="9"/>
  <c r="H1736" i="9"/>
  <c r="H1737" i="9"/>
  <c r="H1738" i="9"/>
  <c r="H1739" i="9"/>
  <c r="H1740" i="9"/>
  <c r="H1741" i="9"/>
  <c r="H1742" i="9"/>
  <c r="H1743" i="9"/>
  <c r="H1744" i="9"/>
  <c r="H1745" i="9"/>
  <c r="H1746" i="9"/>
  <c r="H1747" i="9"/>
  <c r="H1748" i="9"/>
  <c r="H1749" i="9"/>
  <c r="H1750" i="9"/>
  <c r="H1751" i="9"/>
  <c r="H1752" i="9"/>
  <c r="H1753" i="9"/>
  <c r="H1754" i="9"/>
  <c r="H1755" i="9"/>
  <c r="H1756" i="9"/>
  <c r="H1757" i="9"/>
  <c r="H1758" i="9"/>
  <c r="H1759" i="9"/>
  <c r="H1760" i="9"/>
  <c r="H1761" i="9"/>
  <c r="H1762" i="9"/>
  <c r="H1763" i="9"/>
  <c r="H1764" i="9"/>
  <c r="H1765" i="9"/>
  <c r="H1766" i="9"/>
  <c r="H1767" i="9"/>
  <c r="H1768" i="9"/>
  <c r="H1769" i="9"/>
  <c r="H1770" i="9"/>
  <c r="H1771" i="9"/>
  <c r="H1772" i="9"/>
  <c r="H1773" i="9"/>
  <c r="H1774" i="9"/>
  <c r="H1775" i="9"/>
  <c r="H1776" i="9"/>
  <c r="H1777" i="9"/>
  <c r="H1778" i="9"/>
  <c r="H1779" i="9"/>
  <c r="H1780" i="9"/>
  <c r="H1781" i="9"/>
  <c r="H1782" i="9"/>
  <c r="H1783" i="9"/>
  <c r="H1784" i="9"/>
  <c r="H1785" i="9"/>
  <c r="H1786" i="9"/>
  <c r="H1787" i="9"/>
  <c r="H1788" i="9"/>
  <c r="H1789" i="9"/>
  <c r="H1790" i="9"/>
  <c r="H1791" i="9"/>
  <c r="H1792" i="9"/>
  <c r="H1793" i="9"/>
  <c r="H1794" i="9"/>
  <c r="H1795" i="9"/>
  <c r="H1796" i="9"/>
  <c r="H1797" i="9"/>
  <c r="H1798" i="9"/>
  <c r="H1799" i="9"/>
  <c r="H1800" i="9"/>
  <c r="H1801" i="9"/>
  <c r="H1802" i="9"/>
  <c r="H1803" i="9"/>
  <c r="H1804" i="9"/>
  <c r="H1805" i="9"/>
  <c r="H1806" i="9"/>
  <c r="H1807" i="9"/>
  <c r="H1808" i="9"/>
  <c r="H1809" i="9"/>
  <c r="H1810" i="9"/>
  <c r="H1811" i="9"/>
  <c r="H1812" i="9"/>
  <c r="H1813" i="9"/>
  <c r="H1814" i="9"/>
  <c r="H1815" i="9"/>
  <c r="H1816" i="9"/>
  <c r="H1817" i="9"/>
  <c r="H1818" i="9"/>
  <c r="H1819" i="9"/>
  <c r="H1820" i="9"/>
  <c r="H1821" i="9"/>
  <c r="H1822" i="9"/>
  <c r="H1823" i="9"/>
  <c r="H1824" i="9"/>
  <c r="H1825" i="9"/>
  <c r="H1826" i="9"/>
  <c r="H1827" i="9"/>
  <c r="H1828" i="9"/>
  <c r="H1829" i="9"/>
  <c r="H1830" i="9"/>
  <c r="H1831" i="9"/>
  <c r="H1832" i="9"/>
  <c r="H1833" i="9"/>
  <c r="H1834" i="9"/>
  <c r="H1835" i="9"/>
  <c r="H1836" i="9"/>
  <c r="H1837" i="9"/>
  <c r="H1838" i="9"/>
  <c r="H1839" i="9"/>
  <c r="H1840" i="9"/>
  <c r="H1841" i="9"/>
  <c r="H1842" i="9"/>
  <c r="H1843" i="9"/>
  <c r="H1844" i="9"/>
  <c r="H1845" i="9"/>
  <c r="H1846" i="9"/>
  <c r="H1847" i="9"/>
  <c r="H1848" i="9"/>
  <c r="H1849" i="9"/>
  <c r="H1850" i="9"/>
  <c r="H1851" i="9"/>
  <c r="H1852" i="9"/>
  <c r="H1853" i="9"/>
  <c r="H1854" i="9"/>
  <c r="H1855" i="9"/>
  <c r="H1856" i="9"/>
  <c r="H1857" i="9"/>
  <c r="H1858" i="9"/>
  <c r="H1859" i="9"/>
  <c r="H1860" i="9"/>
  <c r="H1861" i="9"/>
  <c r="H1862" i="9"/>
  <c r="H1863" i="9"/>
  <c r="H1864" i="9"/>
  <c r="H1865" i="9"/>
  <c r="H1866" i="9"/>
  <c r="H1867" i="9"/>
  <c r="H1868" i="9"/>
  <c r="H1869" i="9"/>
  <c r="H1870" i="9"/>
  <c r="H1871" i="9"/>
  <c r="H1872" i="9"/>
  <c r="H1873" i="9"/>
  <c r="H1874" i="9"/>
  <c r="H1875" i="9"/>
  <c r="H1876" i="9"/>
  <c r="H1877" i="9"/>
  <c r="H1878" i="9"/>
  <c r="H1879" i="9"/>
  <c r="H1880" i="9"/>
  <c r="H1881" i="9"/>
  <c r="H1882" i="9"/>
  <c r="H1883" i="9"/>
  <c r="H1884" i="9"/>
  <c r="H1885" i="9"/>
  <c r="H1886" i="9"/>
  <c r="H1887" i="9"/>
  <c r="H1888" i="9"/>
  <c r="H1889" i="9"/>
  <c r="H1890" i="9"/>
  <c r="H1891" i="9"/>
  <c r="H1892" i="9"/>
  <c r="H1893" i="9"/>
  <c r="H1894" i="9"/>
  <c r="H1895" i="9"/>
  <c r="H1896" i="9"/>
  <c r="H1897" i="9"/>
  <c r="H1898" i="9"/>
  <c r="H1899" i="9"/>
  <c r="H1900" i="9"/>
  <c r="H1901" i="9"/>
  <c r="H1902" i="9"/>
  <c r="H1903" i="9"/>
  <c r="H1904" i="9"/>
  <c r="H1905" i="9"/>
  <c r="H1906" i="9"/>
  <c r="H1907" i="9"/>
  <c r="H1908" i="9"/>
  <c r="H1909" i="9"/>
  <c r="H1910" i="9"/>
  <c r="H1911" i="9"/>
  <c r="H1912" i="9"/>
  <c r="H1913" i="9"/>
  <c r="H1914" i="9"/>
  <c r="H1915" i="9"/>
  <c r="H1916" i="9"/>
  <c r="H1917" i="9"/>
  <c r="H1918" i="9"/>
  <c r="H1919" i="9"/>
  <c r="H1920" i="9"/>
  <c r="H1921" i="9"/>
  <c r="H1922" i="9"/>
  <c r="H1923" i="9"/>
  <c r="H1924" i="9"/>
  <c r="H1925" i="9"/>
  <c r="H1926" i="9"/>
  <c r="H1927" i="9"/>
  <c r="H1928" i="9"/>
  <c r="H1929" i="9"/>
  <c r="H1930" i="9"/>
  <c r="H1931" i="9"/>
  <c r="H1932" i="9"/>
  <c r="H1933" i="9"/>
  <c r="H1934" i="9"/>
  <c r="H1935" i="9"/>
  <c r="H1936" i="9"/>
  <c r="H1937" i="9"/>
  <c r="H1938" i="9"/>
  <c r="H1939" i="9"/>
  <c r="H1940" i="9"/>
  <c r="H1941" i="9"/>
  <c r="H1942" i="9"/>
  <c r="H1943" i="9"/>
  <c r="H1944" i="9"/>
  <c r="H1945" i="9"/>
  <c r="H1946" i="9"/>
  <c r="H1947" i="9"/>
  <c r="H1948" i="9"/>
  <c r="H1949" i="9"/>
  <c r="H1950" i="9"/>
  <c r="H1951" i="9"/>
  <c r="H1952" i="9"/>
  <c r="H1953" i="9"/>
  <c r="H1954" i="9"/>
  <c r="H1955" i="9"/>
  <c r="H1956" i="9"/>
  <c r="H1957" i="9"/>
  <c r="H1958" i="9"/>
  <c r="H1959" i="9"/>
  <c r="H1960" i="9"/>
  <c r="H1961" i="9"/>
  <c r="H1962" i="9"/>
  <c r="H1963" i="9"/>
  <c r="H1964" i="9"/>
  <c r="H1965" i="9"/>
  <c r="H1966" i="9"/>
  <c r="H1967" i="9"/>
  <c r="H1968" i="9"/>
  <c r="H1969" i="9"/>
  <c r="H1970" i="9"/>
  <c r="H1971" i="9"/>
  <c r="H1972" i="9"/>
  <c r="H1973" i="9"/>
  <c r="H1974" i="9"/>
  <c r="H1975" i="9"/>
  <c r="H1976" i="9"/>
  <c r="H1977" i="9"/>
  <c r="H1978" i="9"/>
  <c r="H1979" i="9"/>
  <c r="H1980" i="9"/>
  <c r="H1981" i="9"/>
  <c r="H1982" i="9"/>
  <c r="H1983" i="9"/>
  <c r="H1984" i="9"/>
  <c r="H1985" i="9"/>
  <c r="H1986" i="9"/>
  <c r="H1987" i="9"/>
  <c r="H1988" i="9"/>
  <c r="H1989" i="9"/>
  <c r="H1990" i="9"/>
  <c r="H1991" i="9"/>
  <c r="H1992" i="9"/>
  <c r="H1993" i="9"/>
  <c r="H1994" i="9"/>
  <c r="H1995" i="9"/>
  <c r="H1996" i="9"/>
  <c r="H1997" i="9"/>
  <c r="H1998" i="9"/>
  <c r="H1999" i="9"/>
  <c r="H2000" i="9"/>
  <c r="H2001" i="9"/>
  <c r="H2002" i="9"/>
  <c r="H2003" i="9"/>
  <c r="H2004" i="9"/>
  <c r="H2005" i="9"/>
  <c r="H2006" i="9"/>
  <c r="H2007" i="9"/>
  <c r="H2008" i="9"/>
  <c r="H2009" i="9"/>
  <c r="H2010" i="9"/>
  <c r="H2011" i="9"/>
  <c r="H2012" i="9"/>
  <c r="H2013" i="9"/>
  <c r="H2014" i="9"/>
  <c r="H2015" i="9"/>
  <c r="H30" i="9"/>
  <c r="H31" i="9" s="1"/>
  <c r="H32" i="9" s="1"/>
  <c r="H33" i="9" s="1"/>
  <c r="H34" i="9" s="1"/>
  <c r="H35" i="9" s="1"/>
  <c r="H36" i="9" s="1"/>
  <c r="H37" i="9" s="1"/>
  <c r="H38" i="9" s="1"/>
  <c r="H39" i="9" s="1"/>
  <c r="H40" i="9" s="1"/>
  <c r="H41" i="9" s="1"/>
  <c r="H42" i="9" s="1"/>
  <c r="H43" i="9" s="1"/>
  <c r="H44" i="9" s="1"/>
  <c r="H45" i="9" s="1"/>
  <c r="H46" i="9" s="1"/>
  <c r="H47" i="9" s="1"/>
  <c r="H48" i="9" s="1"/>
  <c r="H49" i="9" s="1"/>
  <c r="H50" i="9" s="1"/>
  <c r="H51" i="9" s="1"/>
  <c r="H52" i="9" s="1"/>
  <c r="H53" i="9" s="1"/>
  <c r="H54" i="9" s="1"/>
  <c r="H55" i="9" s="1"/>
  <c r="H56" i="9" s="1"/>
  <c r="H57" i="9" s="1"/>
  <c r="H58" i="9" s="1"/>
  <c r="H59" i="9" s="1"/>
  <c r="H60" i="9" s="1"/>
  <c r="H61" i="9" s="1"/>
  <c r="H62" i="9" s="1"/>
  <c r="H63" i="9" s="1"/>
  <c r="H64" i="9" s="1"/>
  <c r="H65" i="9" s="1"/>
  <c r="H66" i="9" s="1"/>
  <c r="H67" i="9" s="1"/>
  <c r="H68" i="9" s="1"/>
  <c r="H69" i="9" s="1"/>
  <c r="H70" i="9" s="1"/>
  <c r="H71" i="9" s="1"/>
  <c r="H72" i="9" s="1"/>
  <c r="H73" i="9" s="1"/>
  <c r="H74" i="9" s="1"/>
  <c r="H75" i="9" s="1"/>
  <c r="H76" i="9" s="1"/>
  <c r="H77" i="9" s="1"/>
  <c r="H78" i="9" s="1"/>
  <c r="H79" i="9" s="1"/>
  <c r="H80" i="9" s="1"/>
  <c r="H81" i="9" s="1"/>
  <c r="H82" i="9" s="1"/>
  <c r="H83" i="9" s="1"/>
  <c r="H84" i="9" s="1"/>
  <c r="H85" i="9" s="1"/>
  <c r="H86" i="9" s="1"/>
  <c r="H87" i="9" s="1"/>
  <c r="H88" i="9" s="1"/>
  <c r="H89" i="9" s="1"/>
  <c r="H90" i="9" s="1"/>
  <c r="H91" i="9" s="1"/>
  <c r="H92" i="9" s="1"/>
  <c r="H93" i="9" s="1"/>
  <c r="H94" i="9" s="1"/>
  <c r="H95" i="9" s="1"/>
  <c r="H96" i="9" s="1"/>
  <c r="H97" i="9" s="1"/>
  <c r="H98" i="9" s="1"/>
  <c r="H99" i="9" s="1"/>
  <c r="H100" i="9" s="1"/>
  <c r="H101" i="9" s="1"/>
  <c r="H102" i="9" s="1"/>
  <c r="H103" i="9" s="1"/>
  <c r="H104" i="9" s="1"/>
  <c r="H105" i="9" s="1"/>
  <c r="H106" i="9" s="1"/>
  <c r="H107" i="9" s="1"/>
  <c r="H108" i="9" s="1"/>
  <c r="H109" i="9" s="1"/>
  <c r="H110" i="9" s="1"/>
  <c r="H111" i="9" s="1"/>
  <c r="H112" i="9" s="1"/>
  <c r="H113" i="9" s="1"/>
  <c r="H114" i="9" s="1"/>
  <c r="H115" i="9" s="1"/>
  <c r="H116" i="9" s="1"/>
  <c r="H117" i="9" s="1"/>
  <c r="H118" i="9" s="1"/>
  <c r="H119" i="9" s="1"/>
  <c r="H120" i="9" s="1"/>
  <c r="H121" i="9" s="1"/>
  <c r="H122" i="9" s="1"/>
  <c r="H123" i="9" s="1"/>
  <c r="H124" i="9" s="1"/>
  <c r="H125" i="9" s="1"/>
  <c r="H126" i="9" s="1"/>
  <c r="H127" i="9" s="1"/>
  <c r="H128" i="9" s="1"/>
  <c r="H129" i="9" s="1"/>
  <c r="H130" i="9" s="1"/>
  <c r="H131" i="9" s="1"/>
  <c r="H132" i="9" s="1"/>
  <c r="H133" i="9" s="1"/>
  <c r="H134" i="9" s="1"/>
  <c r="H135" i="9" s="1"/>
  <c r="H136" i="9" s="1"/>
  <c r="H137" i="9" s="1"/>
  <c r="H138" i="9" s="1"/>
  <c r="H139" i="9" s="1"/>
  <c r="H140" i="9" s="1"/>
  <c r="H141" i="9" s="1"/>
  <c r="H142" i="9" s="1"/>
  <c r="H143" i="9" s="1"/>
  <c r="H144" i="9" s="1"/>
  <c r="H145" i="9" s="1"/>
  <c r="H146" i="9" s="1"/>
  <c r="H147" i="9" s="1"/>
  <c r="H148" i="9" s="1"/>
  <c r="H149" i="9" s="1"/>
  <c r="H150" i="9" s="1"/>
  <c r="H151" i="9" s="1"/>
  <c r="H152" i="9" s="1"/>
  <c r="H153" i="9" s="1"/>
  <c r="H154" i="9" s="1"/>
  <c r="H155" i="9" s="1"/>
  <c r="H156" i="9" s="1"/>
  <c r="H157" i="9" s="1"/>
  <c r="H158" i="9" s="1"/>
  <c r="H159" i="9" s="1"/>
  <c r="H160" i="9" s="1"/>
  <c r="H161" i="9" s="1"/>
  <c r="H162" i="9" s="1"/>
  <c r="H163" i="9" s="1"/>
  <c r="H164" i="9" s="1"/>
  <c r="H165" i="9" s="1"/>
  <c r="H166" i="9" s="1"/>
  <c r="H167" i="9" s="1"/>
  <c r="H168" i="9" s="1"/>
  <c r="H169" i="9" s="1"/>
  <c r="H170" i="9" s="1"/>
  <c r="H171" i="9" s="1"/>
  <c r="H172" i="9" s="1"/>
  <c r="H173" i="9" s="1"/>
  <c r="H174" i="9" s="1"/>
  <c r="H175" i="9" s="1"/>
  <c r="H176" i="9" s="1"/>
  <c r="H177" i="9" s="1"/>
  <c r="H178" i="9" s="1"/>
  <c r="H179" i="9" s="1"/>
  <c r="H180" i="9" s="1"/>
  <c r="H181" i="9" s="1"/>
  <c r="H182" i="9" s="1"/>
  <c r="H183" i="9" s="1"/>
  <c r="H184" i="9" s="1"/>
  <c r="H185" i="9" s="1"/>
  <c r="H186" i="9" s="1"/>
  <c r="H187" i="9" s="1"/>
  <c r="H188" i="9" s="1"/>
  <c r="H189" i="9" s="1"/>
  <c r="H190" i="9" s="1"/>
  <c r="H191" i="9" s="1"/>
  <c r="H192" i="9" s="1"/>
  <c r="H193" i="9" s="1"/>
  <c r="H194" i="9" s="1"/>
  <c r="H195" i="9" s="1"/>
  <c r="H196" i="9" s="1"/>
  <c r="H197" i="9" s="1"/>
  <c r="H198" i="9" s="1"/>
  <c r="H199" i="9" s="1"/>
  <c r="H200" i="9" s="1"/>
  <c r="H201" i="9" s="1"/>
  <c r="H202" i="9" s="1"/>
  <c r="H203" i="9" s="1"/>
  <c r="H204" i="9" s="1"/>
  <c r="H205" i="9" s="1"/>
  <c r="H206" i="9" s="1"/>
  <c r="H207" i="9" s="1"/>
  <c r="H208" i="9" s="1"/>
  <c r="H209" i="9" s="1"/>
  <c r="H210" i="9" s="1"/>
  <c r="H211" i="9" s="1"/>
  <c r="H212" i="9" s="1"/>
  <c r="H213" i="9" s="1"/>
  <c r="H214" i="9" s="1"/>
  <c r="H215" i="9" s="1"/>
  <c r="H216" i="9" s="1"/>
  <c r="H217" i="9" s="1"/>
  <c r="H218" i="9" s="1"/>
  <c r="H219" i="9" s="1"/>
  <c r="H220" i="9" s="1"/>
  <c r="H221" i="9" s="1"/>
  <c r="H222" i="9" s="1"/>
  <c r="H223" i="9" s="1"/>
  <c r="H224" i="9" s="1"/>
  <c r="H225" i="9" s="1"/>
  <c r="H226" i="9" s="1"/>
  <c r="H227" i="9" s="1"/>
  <c r="H228" i="9" s="1"/>
  <c r="H229" i="9" s="1"/>
  <c r="H230" i="9" s="1"/>
  <c r="H231" i="9" s="1"/>
  <c r="H232" i="9" s="1"/>
  <c r="H233" i="9" s="1"/>
  <c r="H234" i="9" s="1"/>
  <c r="H235" i="9" s="1"/>
  <c r="H236" i="9" s="1"/>
  <c r="H237" i="9" s="1"/>
  <c r="H238" i="9" s="1"/>
  <c r="H239" i="9" s="1"/>
  <c r="H240" i="9" s="1"/>
  <c r="H241" i="9" s="1"/>
  <c r="H242" i="9" s="1"/>
  <c r="H243" i="9" s="1"/>
  <c r="H244" i="9" s="1"/>
  <c r="H245" i="9" s="1"/>
  <c r="H246" i="9" s="1"/>
  <c r="H247" i="9" s="1"/>
  <c r="H248" i="9" s="1"/>
  <c r="H249" i="9" s="1"/>
  <c r="H250" i="9" s="1"/>
  <c r="H251" i="9" s="1"/>
  <c r="H252" i="9" s="1"/>
  <c r="H253" i="9" s="1"/>
  <c r="H254" i="9" s="1"/>
  <c r="H255" i="9" s="1"/>
  <c r="H256" i="9" s="1"/>
  <c r="H257" i="9" s="1"/>
  <c r="H258" i="9" s="1"/>
  <c r="H259" i="9" s="1"/>
  <c r="H260" i="9" s="1"/>
  <c r="H261" i="9" s="1"/>
  <c r="H262" i="9" s="1"/>
  <c r="H263" i="9" s="1"/>
  <c r="H264" i="9" s="1"/>
  <c r="H265" i="9" s="1"/>
  <c r="H266" i="9" s="1"/>
  <c r="H267" i="9" s="1"/>
  <c r="H268" i="9" s="1"/>
  <c r="H269" i="9" s="1"/>
  <c r="H270" i="9" s="1"/>
  <c r="H271" i="9" s="1"/>
  <c r="H272" i="9" s="1"/>
  <c r="H273" i="9" s="1"/>
  <c r="H274" i="9" s="1"/>
  <c r="H275" i="9" s="1"/>
  <c r="H276" i="9" s="1"/>
  <c r="H277" i="9" s="1"/>
  <c r="H278" i="9" s="1"/>
  <c r="H279" i="9" s="1"/>
  <c r="H280" i="9" s="1"/>
  <c r="H281" i="9" s="1"/>
  <c r="H282" i="9" s="1"/>
  <c r="H283" i="9" s="1"/>
  <c r="H284" i="9" s="1"/>
  <c r="H285" i="9" s="1"/>
  <c r="H286" i="9" s="1"/>
  <c r="H287" i="9" s="1"/>
  <c r="H288" i="9" s="1"/>
  <c r="H289" i="9" s="1"/>
  <c r="H290" i="9" s="1"/>
  <c r="H291" i="9" s="1"/>
  <c r="H292" i="9" s="1"/>
  <c r="H293" i="9" s="1"/>
  <c r="H294" i="9" s="1"/>
  <c r="H295" i="9" s="1"/>
  <c r="H296" i="9" s="1"/>
  <c r="H297" i="9" s="1"/>
  <c r="H298" i="9" s="1"/>
  <c r="H299" i="9" s="1"/>
  <c r="H300" i="9" s="1"/>
  <c r="H301" i="9" s="1"/>
  <c r="H302" i="9" s="1"/>
  <c r="H303" i="9" s="1"/>
  <c r="H304" i="9" s="1"/>
  <c r="H305" i="9" s="1"/>
  <c r="H306" i="9" s="1"/>
  <c r="H307" i="9" s="1"/>
  <c r="H308" i="9" s="1"/>
  <c r="H309" i="9" s="1"/>
  <c r="H310" i="9" s="1"/>
  <c r="H311" i="9" s="1"/>
  <c r="H312" i="9" s="1"/>
  <c r="H313" i="9" s="1"/>
  <c r="H314" i="9" s="1"/>
  <c r="H315" i="9" s="1"/>
  <c r="H316" i="9" s="1"/>
  <c r="H317" i="9" s="1"/>
  <c r="H318" i="9" s="1"/>
  <c r="H319" i="9" s="1"/>
  <c r="H320" i="9" s="1"/>
  <c r="H321" i="9" s="1"/>
  <c r="H322" i="9" s="1"/>
  <c r="H323" i="9" s="1"/>
  <c r="H324" i="9" s="1"/>
  <c r="H325" i="9" s="1"/>
  <c r="H326" i="9" s="1"/>
  <c r="H327" i="9" s="1"/>
  <c r="H328" i="9" s="1"/>
  <c r="H329" i="9" s="1"/>
  <c r="H330" i="9" s="1"/>
  <c r="H331" i="9" s="1"/>
  <c r="H332" i="9" s="1"/>
  <c r="H333" i="9" s="1"/>
  <c r="H334" i="9" s="1"/>
  <c r="H335" i="9" s="1"/>
  <c r="H336" i="9" s="1"/>
  <c r="H337" i="9" s="1"/>
  <c r="H338" i="9" s="1"/>
  <c r="H339" i="9" s="1"/>
  <c r="H340" i="9" s="1"/>
  <c r="H341" i="9" s="1"/>
  <c r="H342" i="9" s="1"/>
  <c r="H343" i="9" s="1"/>
  <c r="H344" i="9" s="1"/>
  <c r="H345" i="9" s="1"/>
  <c r="H346" i="9" s="1"/>
  <c r="H347" i="9" s="1"/>
  <c r="H348" i="9" s="1"/>
  <c r="H349" i="9" s="1"/>
  <c r="H350" i="9" s="1"/>
  <c r="H351" i="9" s="1"/>
  <c r="H352" i="9" s="1"/>
  <c r="H353" i="9" s="1"/>
  <c r="H354" i="9" s="1"/>
  <c r="H355" i="9" s="1"/>
  <c r="H356" i="9" s="1"/>
  <c r="H357" i="9" s="1"/>
  <c r="H358" i="9" s="1"/>
  <c r="H359" i="9" s="1"/>
  <c r="H360" i="9" s="1"/>
  <c r="H361" i="9" s="1"/>
  <c r="H362" i="9" s="1"/>
  <c r="H363" i="9" s="1"/>
  <c r="H364" i="9" s="1"/>
  <c r="H365" i="9" s="1"/>
  <c r="H366" i="9" s="1"/>
  <c r="H367" i="9" s="1"/>
  <c r="H368" i="9" s="1"/>
  <c r="H369" i="9" s="1"/>
  <c r="H370" i="9" s="1"/>
  <c r="H371" i="9" s="1"/>
  <c r="H372" i="9" s="1"/>
  <c r="H373" i="9" s="1"/>
  <c r="H374" i="9" s="1"/>
  <c r="H375" i="9" s="1"/>
  <c r="H376" i="9" s="1"/>
  <c r="H377" i="9" s="1"/>
  <c r="H378" i="9" s="1"/>
  <c r="H379" i="9" s="1"/>
  <c r="H380" i="9" s="1"/>
  <c r="H381" i="9" s="1"/>
  <c r="H382" i="9" s="1"/>
  <c r="H383" i="9" s="1"/>
  <c r="H384" i="9" s="1"/>
  <c r="H385" i="9" s="1"/>
  <c r="H386" i="9" s="1"/>
  <c r="H387" i="9" s="1"/>
  <c r="H388" i="9" s="1"/>
  <c r="H389" i="9" s="1"/>
  <c r="H390" i="9" s="1"/>
  <c r="H391" i="9" s="1"/>
  <c r="H392" i="9" s="1"/>
  <c r="H393" i="9" s="1"/>
  <c r="H394" i="9" s="1"/>
  <c r="H395" i="9" s="1"/>
  <c r="H396" i="9" s="1"/>
  <c r="H397" i="9" s="1"/>
  <c r="H398" i="9" s="1"/>
  <c r="H399" i="9" s="1"/>
  <c r="H400" i="9" s="1"/>
  <c r="H401" i="9" s="1"/>
  <c r="H402" i="9" s="1"/>
  <c r="H403" i="9" s="1"/>
  <c r="H404" i="9" s="1"/>
  <c r="H405" i="9" s="1"/>
  <c r="H406" i="9" s="1"/>
  <c r="H407" i="9" s="1"/>
  <c r="H408" i="9" s="1"/>
  <c r="H409" i="9" s="1"/>
  <c r="H410" i="9" s="1"/>
  <c r="H411" i="9" s="1"/>
  <c r="H412" i="9" s="1"/>
  <c r="H413" i="9" s="1"/>
  <c r="H414" i="9" s="1"/>
  <c r="H415" i="9" s="1"/>
  <c r="H416" i="9" s="1"/>
  <c r="H417" i="9" s="1"/>
  <c r="H418" i="9" s="1"/>
  <c r="H419" i="9" s="1"/>
  <c r="H420" i="9" s="1"/>
  <c r="H421" i="9" s="1"/>
  <c r="H422" i="9" s="1"/>
  <c r="H423" i="9" s="1"/>
  <c r="H424" i="9" s="1"/>
  <c r="H425" i="9" s="1"/>
  <c r="H426" i="9" s="1"/>
  <c r="H427" i="9" s="1"/>
  <c r="H428" i="9" s="1"/>
  <c r="H429" i="9" s="1"/>
  <c r="H430" i="9" s="1"/>
  <c r="H431" i="9" s="1"/>
  <c r="H432" i="9" s="1"/>
  <c r="H433" i="9" s="1"/>
  <c r="H434" i="9" s="1"/>
  <c r="H435" i="9" s="1"/>
  <c r="H436" i="9" s="1"/>
  <c r="H437" i="9" s="1"/>
  <c r="H438" i="9" s="1"/>
  <c r="H439" i="9" s="1"/>
  <c r="H440" i="9" s="1"/>
  <c r="H441" i="9" s="1"/>
  <c r="H442" i="9" s="1"/>
  <c r="H443" i="9" s="1"/>
  <c r="H444" i="9" s="1"/>
  <c r="H445" i="9" s="1"/>
  <c r="H446" i="9" s="1"/>
  <c r="H447" i="9" s="1"/>
  <c r="H448" i="9" s="1"/>
  <c r="H449" i="9" s="1"/>
  <c r="H450" i="9" s="1"/>
  <c r="H451" i="9" s="1"/>
  <c r="H452" i="9" s="1"/>
  <c r="H453" i="9" s="1"/>
  <c r="H454" i="9" s="1"/>
  <c r="H455" i="9" s="1"/>
  <c r="H456" i="9" s="1"/>
  <c r="H457" i="9" s="1"/>
  <c r="H458" i="9" s="1"/>
  <c r="H459" i="9" s="1"/>
  <c r="H460" i="9" s="1"/>
  <c r="H461" i="9" s="1"/>
  <c r="H462" i="9" s="1"/>
  <c r="H463" i="9" s="1"/>
  <c r="H464" i="9" s="1"/>
  <c r="H465" i="9" s="1"/>
  <c r="H466" i="9" s="1"/>
  <c r="H467" i="9" s="1"/>
  <c r="H468" i="9" s="1"/>
  <c r="H469" i="9" s="1"/>
  <c r="H470" i="9" s="1"/>
  <c r="H471" i="9" s="1"/>
  <c r="H472" i="9" s="1"/>
  <c r="H473" i="9" s="1"/>
  <c r="H474" i="9" s="1"/>
  <c r="H475" i="9" s="1"/>
  <c r="H476" i="9" s="1"/>
  <c r="H477" i="9" s="1"/>
  <c r="H478" i="9" s="1"/>
  <c r="H479" i="9" s="1"/>
  <c r="H480" i="9" s="1"/>
  <c r="H481" i="9" s="1"/>
  <c r="H482" i="9" s="1"/>
  <c r="H483" i="9" s="1"/>
  <c r="H484" i="9" s="1"/>
  <c r="H485" i="9" s="1"/>
  <c r="H486" i="9" s="1"/>
  <c r="H487" i="9" s="1"/>
  <c r="H488" i="9" s="1"/>
  <c r="H489" i="9" s="1"/>
  <c r="H490" i="9" s="1"/>
  <c r="H491" i="9" s="1"/>
  <c r="H492" i="9" s="1"/>
  <c r="H493" i="9" s="1"/>
  <c r="H494" i="9" s="1"/>
  <c r="H495" i="9" s="1"/>
  <c r="H496" i="9" s="1"/>
  <c r="H497" i="9" s="1"/>
  <c r="H498" i="9" s="1"/>
  <c r="H499" i="9" s="1"/>
  <c r="H500" i="9" s="1"/>
  <c r="H501" i="9" s="1"/>
  <c r="H502" i="9" s="1"/>
  <c r="H503" i="9" s="1"/>
  <c r="H504" i="9" s="1"/>
  <c r="H505" i="9" s="1"/>
  <c r="H506" i="9" s="1"/>
  <c r="H507" i="9" s="1"/>
  <c r="H508" i="9" s="1"/>
  <c r="H509" i="9" s="1"/>
  <c r="H510" i="9" s="1"/>
  <c r="H511" i="9" s="1"/>
  <c r="H512" i="9" s="1"/>
  <c r="H513" i="9" s="1"/>
  <c r="H514" i="9" s="1"/>
  <c r="H515" i="9" s="1"/>
  <c r="H516" i="9" s="1"/>
  <c r="H517" i="9" s="1"/>
  <c r="H518" i="9" s="1"/>
  <c r="H519" i="9" s="1"/>
  <c r="H520" i="9" s="1"/>
  <c r="H521" i="9" s="1"/>
  <c r="H522" i="9" s="1"/>
  <c r="H523" i="9" s="1"/>
  <c r="H524" i="9" s="1"/>
  <c r="H525" i="9" s="1"/>
  <c r="H526" i="9" s="1"/>
  <c r="H527" i="9" s="1"/>
  <c r="H528" i="9" s="1"/>
  <c r="H529" i="9" s="1"/>
  <c r="H530" i="9" s="1"/>
  <c r="H531" i="9" s="1"/>
  <c r="H532" i="9" s="1"/>
  <c r="H533" i="9" s="1"/>
  <c r="H534" i="9" s="1"/>
  <c r="H535" i="9" s="1"/>
  <c r="H536" i="9" s="1"/>
  <c r="H537" i="9" s="1"/>
  <c r="H538" i="9" s="1"/>
  <c r="H539" i="9" s="1"/>
  <c r="H540" i="9" s="1"/>
  <c r="H541" i="9" s="1"/>
  <c r="H542" i="9" s="1"/>
  <c r="H543" i="9" s="1"/>
  <c r="H544" i="9" s="1"/>
  <c r="H545" i="9" s="1"/>
  <c r="H546" i="9" s="1"/>
  <c r="H547" i="9" s="1"/>
  <c r="H548" i="9" s="1"/>
  <c r="H549" i="9" s="1"/>
  <c r="H550" i="9" s="1"/>
  <c r="H551" i="9" s="1"/>
  <c r="H552" i="9" s="1"/>
  <c r="H553" i="9" s="1"/>
  <c r="H554" i="9" s="1"/>
  <c r="H555" i="9" s="1"/>
  <c r="H556" i="9" s="1"/>
  <c r="H557" i="9" s="1"/>
  <c r="H558" i="9" s="1"/>
  <c r="H559" i="9" s="1"/>
  <c r="H560" i="9" s="1"/>
  <c r="H561" i="9" s="1"/>
  <c r="H562" i="9" s="1"/>
  <c r="H563" i="9" s="1"/>
  <c r="H564" i="9" s="1"/>
  <c r="H565" i="9" s="1"/>
  <c r="H566" i="9" s="1"/>
  <c r="H567" i="9" s="1"/>
  <c r="H568" i="9" s="1"/>
  <c r="H569" i="9" s="1"/>
  <c r="H570" i="9" s="1"/>
  <c r="H571" i="9" s="1"/>
  <c r="H572" i="9" s="1"/>
  <c r="H573" i="9" s="1"/>
  <c r="H574" i="9" s="1"/>
  <c r="H575" i="9" s="1"/>
  <c r="H576" i="9" s="1"/>
  <c r="H577" i="9" s="1"/>
  <c r="H578" i="9" s="1"/>
  <c r="H579" i="9" s="1"/>
  <c r="H580" i="9" s="1"/>
  <c r="H581" i="9" s="1"/>
  <c r="H582" i="9" s="1"/>
  <c r="H583" i="9" s="1"/>
  <c r="H584" i="9" s="1"/>
  <c r="H585" i="9" s="1"/>
  <c r="H586" i="9" s="1"/>
  <c r="H587" i="9" s="1"/>
  <c r="H588" i="9" s="1"/>
  <c r="H589" i="9" s="1"/>
  <c r="H590" i="9" s="1"/>
  <c r="H591" i="9" s="1"/>
  <c r="H592" i="9" s="1"/>
  <c r="H593" i="9" s="1"/>
  <c r="H594" i="9" s="1"/>
  <c r="H595" i="9" s="1"/>
  <c r="H596" i="9" s="1"/>
  <c r="H597" i="9" s="1"/>
  <c r="H598" i="9" s="1"/>
  <c r="H599" i="9" s="1"/>
  <c r="H600" i="9" s="1"/>
  <c r="H601" i="9" s="1"/>
  <c r="H602" i="9" s="1"/>
  <c r="H603" i="9" s="1"/>
  <c r="H604" i="9" s="1"/>
  <c r="H605" i="9" s="1"/>
  <c r="H606" i="9" s="1"/>
  <c r="H607" i="9" s="1"/>
  <c r="H608" i="9" s="1"/>
  <c r="H609" i="9" s="1"/>
  <c r="H610" i="9" s="1"/>
  <c r="H611" i="9" s="1"/>
  <c r="H612" i="9" s="1"/>
  <c r="H613" i="9" s="1"/>
  <c r="H614" i="9" s="1"/>
  <c r="H615" i="9" s="1"/>
  <c r="H616" i="9" s="1"/>
  <c r="H617" i="9" s="1"/>
  <c r="H618" i="9" s="1"/>
  <c r="H619" i="9" s="1"/>
  <c r="H620" i="9" s="1"/>
  <c r="H621" i="9" s="1"/>
  <c r="H622" i="9" s="1"/>
  <c r="H623" i="9" s="1"/>
  <c r="H624" i="9" s="1"/>
  <c r="H625" i="9" s="1"/>
  <c r="H626" i="9" s="1"/>
  <c r="H627" i="9" s="1"/>
  <c r="H628" i="9" s="1"/>
  <c r="H629" i="9" s="1"/>
  <c r="H630" i="9" s="1"/>
  <c r="H631" i="9" s="1"/>
  <c r="H632" i="9" s="1"/>
  <c r="H633" i="9" s="1"/>
  <c r="H634" i="9" s="1"/>
  <c r="H635" i="9" s="1"/>
  <c r="H636" i="9" s="1"/>
  <c r="H637" i="9" s="1"/>
  <c r="H638" i="9" s="1"/>
  <c r="H639" i="9" s="1"/>
  <c r="H640" i="9" s="1"/>
  <c r="H641" i="9" s="1"/>
  <c r="H642" i="9" s="1"/>
  <c r="H643" i="9" s="1"/>
  <c r="H644" i="9" s="1"/>
  <c r="H645" i="9" s="1"/>
  <c r="H646" i="9" s="1"/>
  <c r="H647" i="9" s="1"/>
  <c r="H648" i="9" s="1"/>
  <c r="H649" i="9" s="1"/>
  <c r="H650" i="9" s="1"/>
  <c r="H651" i="9" s="1"/>
  <c r="H652" i="9" s="1"/>
  <c r="H653" i="9" s="1"/>
  <c r="H654" i="9" s="1"/>
  <c r="H655" i="9" s="1"/>
  <c r="H656" i="9" s="1"/>
  <c r="H657" i="9" s="1"/>
  <c r="H658" i="9" s="1"/>
  <c r="H659" i="9" s="1"/>
  <c r="H660" i="9" s="1"/>
  <c r="H661" i="9" s="1"/>
  <c r="H662" i="9" s="1"/>
  <c r="H663" i="9" s="1"/>
  <c r="H664" i="9" s="1"/>
  <c r="H665" i="9" s="1"/>
  <c r="H666" i="9" s="1"/>
  <c r="H667" i="9" s="1"/>
  <c r="H668" i="9" s="1"/>
  <c r="H669" i="9" s="1"/>
  <c r="H670" i="9" s="1"/>
  <c r="H671" i="9" s="1"/>
  <c r="H672" i="9" s="1"/>
  <c r="H673" i="9" s="1"/>
  <c r="H674" i="9" s="1"/>
  <c r="H675" i="9" s="1"/>
  <c r="H676" i="9" s="1"/>
  <c r="H677" i="9" s="1"/>
  <c r="H678" i="9" s="1"/>
  <c r="H679" i="9" s="1"/>
  <c r="H680" i="9" s="1"/>
  <c r="H681" i="9" s="1"/>
  <c r="H682" i="9" s="1"/>
  <c r="H683" i="9" s="1"/>
  <c r="H684" i="9" s="1"/>
  <c r="H685" i="9" s="1"/>
  <c r="H686" i="9" s="1"/>
  <c r="H687" i="9" s="1"/>
  <c r="H688" i="9" s="1"/>
  <c r="H689" i="9" s="1"/>
  <c r="H690" i="9" s="1"/>
  <c r="H691" i="9" s="1"/>
  <c r="H692" i="9" s="1"/>
  <c r="H693" i="9" s="1"/>
  <c r="H694" i="9" s="1"/>
  <c r="H695" i="9" s="1"/>
  <c r="H696" i="9" s="1"/>
  <c r="H697" i="9" s="1"/>
  <c r="H698" i="9" s="1"/>
  <c r="H699" i="9" s="1"/>
  <c r="H700" i="9" s="1"/>
  <c r="H701" i="9" s="1"/>
  <c r="H702" i="9" s="1"/>
  <c r="H703" i="9" s="1"/>
  <c r="H704" i="9" s="1"/>
  <c r="H705" i="9" s="1"/>
  <c r="H706" i="9" s="1"/>
  <c r="H707" i="9" s="1"/>
  <c r="H708" i="9" s="1"/>
  <c r="H709" i="9" s="1"/>
  <c r="H710" i="9" s="1"/>
  <c r="H711" i="9" s="1"/>
  <c r="H712" i="9" s="1"/>
  <c r="H713" i="9" s="1"/>
  <c r="H714" i="9" s="1"/>
  <c r="H715" i="9" s="1"/>
  <c r="H716" i="9" s="1"/>
  <c r="H717" i="9" s="1"/>
  <c r="H718" i="9" s="1"/>
  <c r="H719" i="9" s="1"/>
  <c r="H720" i="9" s="1"/>
  <c r="H721" i="9" s="1"/>
  <c r="H722" i="9" s="1"/>
  <c r="H723" i="9" s="1"/>
  <c r="H724" i="9" s="1"/>
  <c r="H725" i="9" s="1"/>
  <c r="H726" i="9" s="1"/>
  <c r="H727" i="9" s="1"/>
  <c r="H728" i="9" s="1"/>
  <c r="H729" i="9" s="1"/>
  <c r="H730" i="9" s="1"/>
  <c r="H731" i="9" s="1"/>
  <c r="H732" i="9" s="1"/>
  <c r="H733" i="9" s="1"/>
  <c r="H734" i="9" s="1"/>
  <c r="H735" i="9" s="1"/>
  <c r="H736" i="9" s="1"/>
  <c r="H737" i="9" s="1"/>
  <c r="H738" i="9" s="1"/>
  <c r="H739" i="9" s="1"/>
  <c r="H740" i="9" s="1"/>
  <c r="H741" i="9" s="1"/>
  <c r="H742" i="9" s="1"/>
  <c r="H743" i="9" s="1"/>
  <c r="H744" i="9" s="1"/>
  <c r="H745" i="9" s="1"/>
  <c r="H746" i="9" s="1"/>
  <c r="H747" i="9" s="1"/>
  <c r="H748" i="9" s="1"/>
  <c r="H749" i="9" s="1"/>
  <c r="H750" i="9" s="1"/>
  <c r="H751" i="9" s="1"/>
  <c r="H752" i="9" s="1"/>
  <c r="H753" i="9" s="1"/>
  <c r="H754" i="9" s="1"/>
  <c r="H755" i="9" s="1"/>
  <c r="H756" i="9" s="1"/>
  <c r="H757" i="9" s="1"/>
  <c r="H758" i="9" s="1"/>
  <c r="H759" i="9" s="1"/>
  <c r="H760" i="9" s="1"/>
  <c r="H761" i="9" s="1"/>
  <c r="H762" i="9" s="1"/>
  <c r="H763" i="9" s="1"/>
  <c r="H764" i="9" s="1"/>
  <c r="H765" i="9" s="1"/>
  <c r="H766" i="9" s="1"/>
  <c r="H767" i="9" s="1"/>
  <c r="H768" i="9" s="1"/>
  <c r="H769" i="9" s="1"/>
  <c r="H770" i="9" s="1"/>
  <c r="H771" i="9" s="1"/>
  <c r="H772" i="9" s="1"/>
  <c r="H773" i="9" s="1"/>
  <c r="H774" i="9" s="1"/>
  <c r="H775" i="9" s="1"/>
  <c r="H776" i="9" s="1"/>
  <c r="H777" i="9" s="1"/>
  <c r="H778" i="9" s="1"/>
  <c r="H779" i="9" s="1"/>
  <c r="H780" i="9" s="1"/>
  <c r="H781" i="9" s="1"/>
  <c r="H782" i="9" s="1"/>
  <c r="H783" i="9" s="1"/>
  <c r="H784" i="9" s="1"/>
  <c r="H785" i="9" s="1"/>
  <c r="H786" i="9" s="1"/>
  <c r="H787" i="9" s="1"/>
  <c r="H788" i="9" s="1"/>
  <c r="H789" i="9" s="1"/>
  <c r="H790" i="9" s="1"/>
  <c r="H791" i="9" s="1"/>
  <c r="H792" i="9" s="1"/>
  <c r="H793" i="9" s="1"/>
  <c r="H794" i="9" s="1"/>
  <c r="H795" i="9" s="1"/>
  <c r="H796" i="9" s="1"/>
  <c r="H797" i="9" s="1"/>
  <c r="H798" i="9" s="1"/>
  <c r="H799" i="9" s="1"/>
  <c r="H800" i="9" s="1"/>
  <c r="H801" i="9" s="1"/>
  <c r="H802" i="9" s="1"/>
  <c r="H803" i="9" s="1"/>
  <c r="H804" i="9" s="1"/>
  <c r="H805" i="9" s="1"/>
  <c r="H806" i="9" s="1"/>
  <c r="H807" i="9" s="1"/>
  <c r="H808" i="9" s="1"/>
  <c r="H809" i="9" s="1"/>
  <c r="H810" i="9" s="1"/>
  <c r="H811" i="9" s="1"/>
  <c r="H812" i="9" s="1"/>
  <c r="H813" i="9" s="1"/>
  <c r="H814" i="9" s="1"/>
  <c r="H815" i="9" s="1"/>
  <c r="H816" i="9" s="1"/>
  <c r="H817" i="9" s="1"/>
  <c r="H818" i="9" s="1"/>
  <c r="H819" i="9" s="1"/>
  <c r="H820" i="9" s="1"/>
  <c r="H821" i="9" s="1"/>
  <c r="H822" i="9" s="1"/>
  <c r="H823" i="9" s="1"/>
  <c r="H824" i="9" s="1"/>
  <c r="H825" i="9" s="1"/>
  <c r="H826" i="9" s="1"/>
  <c r="H827" i="9" s="1"/>
  <c r="H828" i="9" s="1"/>
  <c r="H829" i="9" s="1"/>
  <c r="H830" i="9" s="1"/>
  <c r="C31" i="9"/>
  <c r="C32" i="9"/>
  <c r="C33" i="9"/>
  <c r="C34" i="9"/>
  <c r="C35" i="9"/>
  <c r="C36" i="9"/>
  <c r="C37" i="9"/>
  <c r="C38" i="9"/>
  <c r="C39" i="9"/>
  <c r="C40" i="9"/>
  <c r="C41" i="9"/>
  <c r="C42" i="9"/>
  <c r="C43" i="9"/>
  <c r="C44" i="9"/>
  <c r="C45" i="9"/>
  <c r="C46" i="9"/>
  <c r="C47" i="9"/>
  <c r="C48" i="9"/>
  <c r="C49" i="9"/>
  <c r="C50" i="9"/>
  <c r="C51" i="9"/>
  <c r="C52" i="9"/>
  <c r="C53" i="9"/>
  <c r="C54" i="9"/>
  <c r="C55" i="9"/>
  <c r="C56" i="9"/>
  <c r="C57" i="9"/>
  <c r="C58" i="9"/>
  <c r="C59" i="9"/>
  <c r="C60" i="9"/>
  <c r="C61" i="9"/>
  <c r="C62" i="9"/>
  <c r="C63" i="9"/>
  <c r="C64" i="9"/>
  <c r="C65" i="9"/>
  <c r="C66" i="9"/>
  <c r="C67" i="9"/>
  <c r="C68" i="9"/>
  <c r="C69" i="9"/>
  <c r="C70" i="9"/>
  <c r="C71" i="9"/>
  <c r="C72" i="9"/>
  <c r="C73" i="9"/>
  <c r="C74" i="9"/>
  <c r="C75" i="9"/>
  <c r="C76" i="9"/>
  <c r="C77" i="9"/>
  <c r="C78" i="9"/>
  <c r="C79" i="9"/>
  <c r="C80" i="9"/>
  <c r="C81" i="9"/>
  <c r="C82" i="9"/>
  <c r="C83" i="9"/>
  <c r="C84" i="9"/>
  <c r="C85" i="9"/>
  <c r="C86" i="9"/>
  <c r="C87" i="9"/>
  <c r="C88" i="9"/>
  <c r="C89" i="9"/>
  <c r="C90" i="9"/>
  <c r="C91" i="9"/>
  <c r="C92" i="9"/>
  <c r="C93" i="9"/>
  <c r="C94" i="9"/>
  <c r="C95" i="9"/>
  <c r="C96" i="9"/>
  <c r="C97" i="9"/>
  <c r="C98" i="9"/>
  <c r="C99" i="9"/>
  <c r="C100" i="9"/>
  <c r="C101" i="9"/>
  <c r="C102" i="9"/>
  <c r="C103" i="9"/>
  <c r="C104" i="9"/>
  <c r="C105" i="9"/>
  <c r="C106" i="9"/>
  <c r="C107" i="9"/>
  <c r="C108" i="9"/>
  <c r="C109" i="9"/>
  <c r="C110" i="9"/>
  <c r="C111" i="9"/>
  <c r="C112" i="9"/>
  <c r="C113" i="9"/>
  <c r="C114" i="9"/>
  <c r="C115" i="9"/>
  <c r="C116" i="9"/>
  <c r="C117" i="9"/>
  <c r="C118" i="9"/>
  <c r="C119" i="9"/>
  <c r="C120" i="9"/>
  <c r="C121" i="9"/>
  <c r="C122" i="9"/>
  <c r="C123" i="9"/>
  <c r="C124" i="9"/>
  <c r="C125" i="9"/>
  <c r="C126" i="9"/>
  <c r="C127" i="9"/>
  <c r="C128" i="9"/>
  <c r="C129" i="9"/>
  <c r="C130" i="9"/>
  <c r="C131" i="9"/>
  <c r="C132" i="9"/>
  <c r="C133" i="9"/>
  <c r="C134" i="9"/>
  <c r="C135" i="9"/>
  <c r="C136" i="9"/>
  <c r="C137" i="9"/>
  <c r="C138" i="9"/>
  <c r="C139" i="9"/>
  <c r="C140" i="9"/>
  <c r="C141" i="9"/>
  <c r="C142" i="9"/>
  <c r="C143" i="9"/>
  <c r="C144" i="9"/>
  <c r="C145" i="9"/>
  <c r="C146" i="9"/>
  <c r="C147" i="9"/>
  <c r="C148" i="9"/>
  <c r="C149" i="9"/>
  <c r="C150" i="9"/>
  <c r="C151" i="9"/>
  <c r="C152" i="9"/>
  <c r="C153" i="9"/>
  <c r="C154" i="9"/>
  <c r="C155" i="9"/>
  <c r="C156" i="9"/>
  <c r="C157" i="9"/>
  <c r="C158" i="9"/>
  <c r="C159" i="9"/>
  <c r="C160" i="9"/>
  <c r="C161" i="9"/>
  <c r="C162" i="9"/>
  <c r="C163" i="9"/>
  <c r="C164" i="9"/>
  <c r="C165" i="9"/>
  <c r="C166" i="9"/>
  <c r="C167" i="9"/>
  <c r="C168" i="9"/>
  <c r="C169" i="9"/>
  <c r="C170" i="9"/>
  <c r="C171" i="9"/>
  <c r="C172" i="9"/>
  <c r="C173" i="9"/>
  <c r="C174" i="9"/>
  <c r="C175" i="9"/>
  <c r="C176" i="9"/>
  <c r="C177" i="9"/>
  <c r="C178" i="9"/>
  <c r="C179" i="9"/>
  <c r="C180" i="9"/>
  <c r="C181" i="9"/>
  <c r="C182" i="9"/>
  <c r="C183" i="9"/>
  <c r="C184" i="9"/>
  <c r="C185" i="9"/>
  <c r="C186" i="9"/>
  <c r="C187" i="9"/>
  <c r="C188" i="9"/>
  <c r="C189" i="9"/>
  <c r="C190" i="9"/>
  <c r="C191" i="9"/>
  <c r="C192" i="9"/>
  <c r="C193" i="9"/>
  <c r="C194" i="9"/>
  <c r="C195" i="9"/>
  <c r="C196" i="9"/>
  <c r="C197" i="9"/>
  <c r="C198" i="9"/>
  <c r="C199" i="9"/>
  <c r="C200" i="9"/>
  <c r="C201" i="9"/>
  <c r="C202" i="9"/>
  <c r="C203" i="9"/>
  <c r="C204" i="9"/>
  <c r="C205" i="9"/>
  <c r="C206" i="9"/>
  <c r="C207" i="9"/>
  <c r="C208" i="9"/>
  <c r="C209" i="9"/>
  <c r="C210" i="9"/>
  <c r="C211" i="9"/>
  <c r="C212" i="9"/>
  <c r="C213" i="9"/>
  <c r="C214" i="9"/>
  <c r="C215" i="9"/>
  <c r="C216" i="9"/>
  <c r="C217" i="9"/>
  <c r="C218" i="9"/>
  <c r="C219" i="9"/>
  <c r="C220" i="9"/>
  <c r="C221" i="9"/>
  <c r="C222" i="9"/>
  <c r="C223" i="9"/>
  <c r="C224" i="9"/>
  <c r="C225" i="9"/>
  <c r="C226" i="9"/>
  <c r="C227" i="9"/>
  <c r="C228" i="9"/>
  <c r="C229" i="9"/>
  <c r="C230" i="9"/>
  <c r="C231" i="9"/>
  <c r="C232" i="9"/>
  <c r="C233" i="9"/>
  <c r="C234" i="9"/>
  <c r="C235" i="9"/>
  <c r="C236" i="9"/>
  <c r="C237" i="9"/>
  <c r="C238" i="9"/>
  <c r="C239" i="9"/>
  <c r="C240" i="9"/>
  <c r="C241" i="9"/>
  <c r="C242" i="9"/>
  <c r="C243" i="9"/>
  <c r="C244" i="9"/>
  <c r="C245" i="9"/>
  <c r="C246" i="9"/>
  <c r="C247" i="9"/>
  <c r="C248" i="9"/>
  <c r="C249" i="9"/>
  <c r="C250" i="9"/>
  <c r="C251" i="9"/>
  <c r="C252" i="9"/>
  <c r="C253" i="9"/>
  <c r="C254" i="9"/>
  <c r="C255" i="9"/>
  <c r="C256" i="9"/>
  <c r="C257" i="9"/>
  <c r="C258" i="9"/>
  <c r="C259" i="9"/>
  <c r="C260" i="9"/>
  <c r="C261" i="9"/>
  <c r="C262" i="9"/>
  <c r="C263" i="9"/>
  <c r="C264" i="9"/>
  <c r="C265" i="9"/>
  <c r="C266" i="9"/>
  <c r="C267" i="9"/>
  <c r="C268" i="9"/>
  <c r="C269" i="9"/>
  <c r="C270" i="9"/>
  <c r="C271" i="9"/>
  <c r="C272" i="9"/>
  <c r="C273" i="9"/>
  <c r="C274" i="9"/>
  <c r="C275" i="9"/>
  <c r="C276" i="9"/>
  <c r="C277" i="9"/>
  <c r="C278" i="9"/>
  <c r="C279" i="9"/>
  <c r="C280" i="9"/>
  <c r="C281" i="9"/>
  <c r="C282" i="9"/>
  <c r="C283" i="9"/>
  <c r="C284" i="9"/>
  <c r="C285" i="9"/>
  <c r="C286" i="9"/>
  <c r="C287" i="9"/>
  <c r="C288" i="9"/>
  <c r="C289" i="9"/>
  <c r="C290" i="9"/>
  <c r="C291" i="9"/>
  <c r="C292" i="9"/>
  <c r="C293" i="9"/>
  <c r="C294" i="9"/>
  <c r="C295" i="9"/>
  <c r="C296" i="9"/>
  <c r="C297" i="9"/>
  <c r="C298" i="9"/>
  <c r="C299" i="9"/>
  <c r="C300" i="9"/>
  <c r="C301" i="9"/>
  <c r="C302" i="9"/>
  <c r="C303" i="9"/>
  <c r="C304" i="9"/>
  <c r="C305" i="9"/>
  <c r="C306" i="9"/>
  <c r="C307" i="9"/>
  <c r="C308" i="9"/>
  <c r="C309" i="9"/>
  <c r="C310" i="9"/>
  <c r="C311" i="9"/>
  <c r="C312" i="9"/>
  <c r="C313" i="9"/>
  <c r="C314" i="9"/>
  <c r="C315" i="9"/>
  <c r="C316" i="9"/>
  <c r="C317" i="9"/>
  <c r="C318" i="9"/>
  <c r="C319" i="9"/>
  <c r="C320" i="9"/>
  <c r="C321" i="9"/>
  <c r="C322" i="9"/>
  <c r="C323" i="9"/>
  <c r="C324" i="9"/>
  <c r="C325" i="9"/>
  <c r="C326" i="9"/>
  <c r="C327" i="9"/>
  <c r="C328" i="9"/>
  <c r="C329" i="9"/>
  <c r="C330" i="9"/>
  <c r="C331" i="9"/>
  <c r="C332" i="9"/>
  <c r="C333" i="9"/>
  <c r="C334" i="9"/>
  <c r="C335" i="9"/>
  <c r="C336" i="9"/>
  <c r="C337" i="9"/>
  <c r="C338" i="9"/>
  <c r="C339" i="9"/>
  <c r="C340" i="9"/>
  <c r="C341" i="9"/>
  <c r="C342" i="9"/>
  <c r="C343" i="9"/>
  <c r="C344" i="9"/>
  <c r="C345" i="9"/>
  <c r="C346" i="9"/>
  <c r="C347" i="9"/>
  <c r="C348" i="9"/>
  <c r="C349" i="9"/>
  <c r="C350" i="9"/>
  <c r="C351" i="9"/>
  <c r="C352" i="9"/>
  <c r="C353" i="9"/>
  <c r="C354" i="9"/>
  <c r="C355" i="9"/>
  <c r="C356" i="9"/>
  <c r="C357" i="9"/>
  <c r="C358" i="9"/>
  <c r="C359" i="9"/>
  <c r="C360" i="9"/>
  <c r="C361" i="9"/>
  <c r="C362" i="9"/>
  <c r="C363" i="9"/>
  <c r="C364" i="9"/>
  <c r="C365" i="9"/>
  <c r="C366" i="9"/>
  <c r="C367" i="9"/>
  <c r="C368" i="9"/>
  <c r="C369" i="9"/>
  <c r="C370" i="9"/>
  <c r="C371" i="9"/>
  <c r="C372" i="9"/>
  <c r="C373" i="9"/>
  <c r="C374" i="9"/>
  <c r="C375" i="9"/>
  <c r="C376" i="9"/>
  <c r="C377" i="9"/>
  <c r="C378" i="9"/>
  <c r="C379" i="9"/>
  <c r="C380" i="9"/>
  <c r="C381" i="9"/>
  <c r="C382" i="9"/>
  <c r="C383" i="9"/>
  <c r="C384" i="9"/>
  <c r="C385" i="9"/>
  <c r="C386" i="9"/>
  <c r="C387" i="9"/>
  <c r="C388" i="9"/>
  <c r="C389" i="9"/>
  <c r="C390" i="9"/>
  <c r="C391" i="9"/>
  <c r="C392" i="9"/>
  <c r="C393" i="9"/>
  <c r="C394" i="9"/>
  <c r="C395" i="9"/>
  <c r="C396" i="9"/>
  <c r="C397" i="9"/>
  <c r="C398" i="9"/>
  <c r="C399" i="9"/>
  <c r="C400" i="9"/>
  <c r="C401" i="9"/>
  <c r="C402" i="9"/>
  <c r="C403" i="9"/>
  <c r="C404" i="9"/>
  <c r="C405" i="9"/>
  <c r="C406" i="9"/>
  <c r="C407" i="9"/>
  <c r="C408" i="9"/>
  <c r="C409" i="9"/>
  <c r="C410" i="9"/>
  <c r="C411" i="9"/>
  <c r="C412" i="9"/>
  <c r="C413" i="9"/>
  <c r="C414" i="9"/>
  <c r="C415" i="9"/>
  <c r="C416" i="9"/>
  <c r="C417" i="9"/>
  <c r="C418" i="9"/>
  <c r="C419" i="9"/>
  <c r="C420" i="9"/>
  <c r="C421" i="9"/>
  <c r="C422" i="9"/>
  <c r="C423" i="9"/>
  <c r="C424" i="9"/>
  <c r="C425" i="9"/>
  <c r="C426" i="9"/>
  <c r="C427" i="9"/>
  <c r="C428" i="9"/>
  <c r="C429" i="9"/>
  <c r="C430" i="9"/>
  <c r="C431" i="9"/>
  <c r="C432" i="9"/>
  <c r="C433" i="9"/>
  <c r="C434" i="9"/>
  <c r="C435" i="9"/>
  <c r="C436" i="9"/>
  <c r="C437" i="9"/>
  <c r="C438" i="9"/>
  <c r="C439" i="9"/>
  <c r="C440" i="9"/>
  <c r="C441" i="9"/>
  <c r="C442" i="9"/>
  <c r="C443" i="9"/>
  <c r="C444" i="9"/>
  <c r="C445" i="9"/>
  <c r="C446" i="9"/>
  <c r="C447" i="9"/>
  <c r="C448" i="9"/>
  <c r="C449" i="9"/>
  <c r="C450" i="9"/>
  <c r="C451" i="9"/>
  <c r="C452" i="9"/>
  <c r="C453" i="9"/>
  <c r="C454" i="9"/>
  <c r="C455" i="9"/>
  <c r="C456" i="9"/>
  <c r="C457" i="9"/>
  <c r="C458" i="9"/>
  <c r="C459" i="9"/>
  <c r="C460" i="9"/>
  <c r="C461" i="9"/>
  <c r="C462" i="9"/>
  <c r="C463" i="9"/>
  <c r="C464" i="9"/>
  <c r="C465" i="9"/>
  <c r="C466" i="9"/>
  <c r="C467" i="9"/>
  <c r="C468" i="9"/>
  <c r="C469" i="9"/>
  <c r="C470" i="9"/>
  <c r="C471" i="9"/>
  <c r="C472" i="9"/>
  <c r="C473" i="9"/>
  <c r="C474" i="9"/>
  <c r="C475" i="9"/>
  <c r="C476" i="9"/>
  <c r="C477" i="9"/>
  <c r="C478" i="9"/>
  <c r="C479" i="9"/>
  <c r="C480" i="9"/>
  <c r="C481" i="9"/>
  <c r="C482" i="9"/>
  <c r="C483" i="9"/>
  <c r="C484" i="9"/>
  <c r="C485" i="9"/>
  <c r="C486" i="9"/>
  <c r="C487" i="9"/>
  <c r="C488" i="9"/>
  <c r="C489" i="9"/>
  <c r="C490" i="9"/>
  <c r="C491" i="9"/>
  <c r="C492" i="9"/>
  <c r="C493" i="9"/>
  <c r="C494" i="9"/>
  <c r="C495" i="9"/>
  <c r="C496" i="9"/>
  <c r="C497" i="9"/>
  <c r="C498" i="9"/>
  <c r="C499" i="9"/>
  <c r="C500" i="9"/>
  <c r="C501" i="9"/>
  <c r="C502" i="9"/>
  <c r="C503" i="9"/>
  <c r="C504" i="9"/>
  <c r="C505" i="9"/>
  <c r="C506" i="9"/>
  <c r="C507" i="9"/>
  <c r="C508" i="9"/>
  <c r="C509" i="9"/>
  <c r="C510" i="9"/>
  <c r="C511" i="9"/>
  <c r="C512" i="9"/>
  <c r="C513" i="9"/>
  <c r="C514" i="9"/>
  <c r="C515" i="9"/>
  <c r="C516" i="9"/>
  <c r="C517" i="9"/>
  <c r="C518" i="9"/>
  <c r="C519" i="9"/>
  <c r="C520" i="9"/>
  <c r="C521" i="9"/>
  <c r="C522" i="9"/>
  <c r="C523" i="9"/>
  <c r="C524" i="9"/>
  <c r="C525" i="9"/>
  <c r="C526" i="9"/>
  <c r="C527" i="9"/>
  <c r="C528" i="9"/>
  <c r="C529" i="9"/>
  <c r="C530" i="9"/>
  <c r="C531" i="9"/>
  <c r="C532" i="9"/>
  <c r="C533" i="9"/>
  <c r="C534" i="9"/>
  <c r="C535" i="9"/>
  <c r="C536" i="9"/>
  <c r="C537" i="9"/>
  <c r="C538" i="9"/>
  <c r="C539" i="9"/>
  <c r="C540" i="9"/>
  <c r="C541" i="9"/>
  <c r="C542" i="9"/>
  <c r="C543" i="9"/>
  <c r="C544" i="9"/>
  <c r="C545" i="9"/>
  <c r="C546" i="9"/>
  <c r="C547" i="9"/>
  <c r="C548" i="9"/>
  <c r="C549" i="9"/>
  <c r="C550" i="9"/>
  <c r="C551" i="9"/>
  <c r="C552" i="9"/>
  <c r="C553" i="9"/>
  <c r="C554" i="9"/>
  <c r="C555" i="9"/>
  <c r="C556" i="9"/>
  <c r="C557" i="9"/>
  <c r="C558" i="9"/>
  <c r="C559" i="9"/>
  <c r="C560" i="9"/>
  <c r="C561" i="9"/>
  <c r="C562" i="9"/>
  <c r="C563" i="9"/>
  <c r="C564" i="9"/>
  <c r="C565" i="9"/>
  <c r="C566" i="9"/>
  <c r="C567" i="9"/>
  <c r="C568" i="9"/>
  <c r="C569" i="9"/>
  <c r="C570" i="9"/>
  <c r="C571" i="9"/>
  <c r="C572" i="9"/>
  <c r="C573" i="9"/>
  <c r="C574" i="9"/>
  <c r="C575" i="9"/>
  <c r="C576" i="9"/>
  <c r="C577" i="9"/>
  <c r="C578" i="9"/>
  <c r="C579" i="9"/>
  <c r="C580" i="9"/>
  <c r="C581" i="9"/>
  <c r="C582" i="9"/>
  <c r="C583" i="9"/>
  <c r="C584" i="9"/>
  <c r="C585" i="9"/>
  <c r="C586" i="9"/>
  <c r="C587" i="9"/>
  <c r="C588" i="9"/>
  <c r="C589" i="9"/>
  <c r="C590" i="9"/>
  <c r="C591" i="9"/>
  <c r="C592" i="9"/>
  <c r="C593" i="9"/>
  <c r="C594" i="9"/>
  <c r="C595" i="9"/>
  <c r="C596" i="9"/>
  <c r="C597" i="9"/>
  <c r="C598" i="9"/>
  <c r="C599" i="9"/>
  <c r="C600" i="9"/>
  <c r="C601" i="9"/>
  <c r="C602" i="9"/>
  <c r="C603" i="9"/>
  <c r="C604" i="9"/>
  <c r="C605" i="9"/>
  <c r="C606" i="9"/>
  <c r="C607" i="9"/>
  <c r="C608" i="9"/>
  <c r="C609" i="9"/>
  <c r="C610" i="9"/>
  <c r="C611" i="9"/>
  <c r="C612" i="9"/>
  <c r="C613" i="9"/>
  <c r="C614" i="9"/>
  <c r="C615" i="9"/>
  <c r="C616" i="9"/>
  <c r="C617" i="9"/>
  <c r="C618" i="9"/>
  <c r="C619" i="9"/>
  <c r="C620" i="9"/>
  <c r="C621" i="9"/>
  <c r="C622" i="9"/>
  <c r="C623" i="9"/>
  <c r="C624" i="9"/>
  <c r="C625" i="9"/>
  <c r="C626" i="9"/>
  <c r="C627" i="9"/>
  <c r="C628" i="9"/>
  <c r="C629" i="9"/>
  <c r="C630" i="9"/>
  <c r="C631" i="9"/>
  <c r="C632" i="9"/>
  <c r="C633" i="9"/>
  <c r="C634" i="9"/>
  <c r="C635" i="9"/>
  <c r="C636" i="9"/>
  <c r="C637" i="9"/>
  <c r="C638" i="9"/>
  <c r="C639" i="9"/>
  <c r="C640" i="9"/>
  <c r="C641" i="9"/>
  <c r="C642" i="9"/>
  <c r="C643" i="9"/>
  <c r="C644" i="9"/>
  <c r="C645" i="9"/>
  <c r="C646" i="9"/>
  <c r="C647" i="9"/>
  <c r="C648" i="9"/>
  <c r="C649" i="9"/>
  <c r="C650" i="9"/>
  <c r="C651" i="9"/>
  <c r="C652" i="9"/>
  <c r="C653" i="9"/>
  <c r="C654" i="9"/>
  <c r="C655" i="9"/>
  <c r="C656" i="9"/>
  <c r="C657" i="9"/>
  <c r="C658" i="9"/>
  <c r="C659" i="9"/>
  <c r="C660" i="9"/>
  <c r="C661" i="9"/>
  <c r="C662" i="9"/>
  <c r="C663" i="9"/>
  <c r="C664" i="9"/>
  <c r="C665" i="9"/>
  <c r="C666" i="9"/>
  <c r="C667" i="9"/>
  <c r="C668" i="9"/>
  <c r="C669" i="9"/>
  <c r="C670" i="9"/>
  <c r="C671" i="9"/>
  <c r="C672" i="9"/>
  <c r="C673" i="9"/>
  <c r="C674" i="9"/>
  <c r="C675" i="9"/>
  <c r="C676" i="9"/>
  <c r="C677" i="9"/>
  <c r="C678" i="9"/>
  <c r="C679" i="9"/>
  <c r="C680" i="9"/>
  <c r="C681" i="9"/>
  <c r="C682" i="9"/>
  <c r="C683" i="9"/>
  <c r="C684" i="9"/>
  <c r="C685" i="9"/>
  <c r="C686" i="9"/>
  <c r="C687" i="9"/>
  <c r="C688" i="9"/>
  <c r="C689" i="9"/>
  <c r="C690" i="9"/>
  <c r="C691" i="9"/>
  <c r="C692" i="9"/>
  <c r="C693" i="9"/>
  <c r="C694" i="9"/>
  <c r="C695" i="9"/>
  <c r="C696" i="9"/>
  <c r="C697" i="9"/>
  <c r="C698" i="9"/>
  <c r="C699" i="9"/>
  <c r="C700" i="9"/>
  <c r="C701" i="9"/>
  <c r="C702" i="9"/>
  <c r="C703" i="9"/>
  <c r="C704" i="9"/>
  <c r="C705" i="9"/>
  <c r="C706" i="9"/>
  <c r="C707" i="9"/>
  <c r="C708" i="9"/>
  <c r="C709" i="9"/>
  <c r="C710" i="9"/>
  <c r="C711" i="9"/>
  <c r="C712" i="9"/>
  <c r="C713" i="9"/>
  <c r="C714" i="9"/>
  <c r="C715" i="9"/>
  <c r="C716" i="9"/>
  <c r="C717" i="9"/>
  <c r="C718" i="9"/>
  <c r="C719" i="9"/>
  <c r="C720" i="9"/>
  <c r="C721" i="9"/>
  <c r="C722" i="9"/>
  <c r="C723" i="9"/>
  <c r="C724" i="9"/>
  <c r="C725" i="9"/>
  <c r="C726" i="9"/>
  <c r="C727" i="9"/>
  <c r="C728" i="9"/>
  <c r="C729" i="9"/>
  <c r="C730" i="9"/>
  <c r="C731" i="9"/>
  <c r="C732" i="9"/>
  <c r="C733" i="9"/>
  <c r="C734" i="9"/>
  <c r="C735" i="9"/>
  <c r="C736" i="9"/>
  <c r="C737" i="9"/>
  <c r="C738" i="9"/>
  <c r="C739" i="9"/>
  <c r="C740" i="9"/>
  <c r="C741" i="9"/>
  <c r="C742" i="9"/>
  <c r="C743" i="9"/>
  <c r="C744" i="9"/>
  <c r="C745" i="9"/>
  <c r="C746" i="9"/>
  <c r="C747" i="9"/>
  <c r="C748" i="9"/>
  <c r="C749" i="9"/>
  <c r="C750" i="9"/>
  <c r="C751" i="9"/>
  <c r="C752" i="9"/>
  <c r="C753" i="9"/>
  <c r="C754" i="9"/>
  <c r="C755" i="9"/>
  <c r="C756" i="9"/>
  <c r="C757" i="9"/>
  <c r="C758" i="9"/>
  <c r="C759" i="9"/>
  <c r="C760" i="9"/>
  <c r="C761" i="9"/>
  <c r="C762" i="9"/>
  <c r="C763" i="9"/>
  <c r="C764" i="9"/>
  <c r="C765" i="9"/>
  <c r="C766" i="9"/>
  <c r="C767" i="9"/>
  <c r="C768" i="9"/>
  <c r="C769" i="9"/>
  <c r="C770" i="9"/>
  <c r="C771" i="9"/>
  <c r="C772" i="9"/>
  <c r="C773" i="9"/>
  <c r="C774" i="9"/>
  <c r="C775" i="9"/>
  <c r="C776" i="9"/>
  <c r="C777" i="9"/>
  <c r="C778" i="9"/>
  <c r="C779" i="9"/>
  <c r="C780" i="9"/>
  <c r="C781" i="9"/>
  <c r="C782" i="9"/>
  <c r="C783" i="9"/>
  <c r="C784" i="9"/>
  <c r="C785" i="9"/>
  <c r="C786" i="9"/>
  <c r="C787" i="9"/>
  <c r="C788" i="9"/>
  <c r="C789" i="9"/>
  <c r="C790" i="9"/>
  <c r="C791" i="9"/>
  <c r="C792" i="9"/>
  <c r="C793" i="9"/>
  <c r="C794" i="9"/>
  <c r="C795" i="9"/>
  <c r="C796" i="9"/>
  <c r="C797" i="9"/>
  <c r="C798" i="9"/>
  <c r="C799" i="9"/>
  <c r="C800" i="9"/>
  <c r="C801" i="9"/>
  <c r="C802" i="9"/>
  <c r="C803" i="9"/>
  <c r="C804" i="9"/>
  <c r="C805" i="9"/>
  <c r="C806" i="9"/>
  <c r="C807" i="9"/>
  <c r="C808" i="9"/>
  <c r="C809" i="9"/>
  <c r="C810" i="9"/>
  <c r="C811" i="9"/>
  <c r="C812" i="9"/>
  <c r="C813" i="9"/>
  <c r="C814" i="9"/>
  <c r="C815" i="9"/>
  <c r="C816" i="9"/>
  <c r="C817" i="9"/>
  <c r="C818" i="9"/>
  <c r="C819" i="9"/>
  <c r="C820" i="9"/>
  <c r="C821" i="9"/>
  <c r="C822" i="9"/>
  <c r="C823" i="9"/>
  <c r="C824" i="9"/>
  <c r="C825" i="9"/>
  <c r="C826" i="9"/>
  <c r="C827" i="9"/>
  <c r="C828" i="9"/>
  <c r="C829" i="9"/>
  <c r="C830" i="9"/>
  <c r="C831" i="9"/>
  <c r="C832" i="9"/>
  <c r="C833" i="9"/>
  <c r="C834" i="9"/>
  <c r="C835" i="9"/>
  <c r="C836" i="9"/>
  <c r="C837" i="9"/>
  <c r="C838" i="9"/>
  <c r="C839" i="9"/>
  <c r="C840" i="9"/>
  <c r="C841" i="9"/>
  <c r="C842" i="9"/>
  <c r="C843" i="9"/>
  <c r="C844" i="9"/>
  <c r="C845" i="9"/>
  <c r="C846" i="9"/>
  <c r="C847" i="9"/>
  <c r="C848" i="9"/>
  <c r="C849" i="9"/>
  <c r="C850" i="9"/>
  <c r="C851" i="9"/>
  <c r="C852" i="9"/>
  <c r="C853" i="9"/>
  <c r="C854" i="9"/>
  <c r="C855" i="9"/>
  <c r="C856" i="9"/>
  <c r="C857" i="9"/>
  <c r="C858" i="9"/>
  <c r="C859" i="9"/>
  <c r="C860" i="9"/>
  <c r="C861" i="9"/>
  <c r="C862" i="9"/>
  <c r="C863" i="9"/>
  <c r="C864" i="9"/>
  <c r="C865" i="9"/>
  <c r="C866" i="9"/>
  <c r="C867" i="9"/>
  <c r="C868" i="9"/>
  <c r="C869" i="9"/>
  <c r="C870" i="9"/>
  <c r="C871" i="9"/>
  <c r="C872" i="9"/>
  <c r="C873" i="9"/>
  <c r="C874" i="9"/>
  <c r="C875" i="9"/>
  <c r="C876" i="9"/>
  <c r="C877" i="9"/>
  <c r="C878" i="9"/>
  <c r="C879" i="9"/>
  <c r="C880" i="9"/>
  <c r="C881" i="9"/>
  <c r="C882" i="9"/>
  <c r="C883" i="9"/>
  <c r="C884" i="9"/>
  <c r="C885" i="9"/>
  <c r="C886" i="9"/>
  <c r="C887" i="9"/>
  <c r="C888" i="9"/>
  <c r="C889" i="9"/>
  <c r="C890" i="9"/>
  <c r="C891" i="9"/>
  <c r="C892" i="9"/>
  <c r="C893" i="9"/>
  <c r="C894" i="9"/>
  <c r="C895" i="9"/>
  <c r="C896" i="9"/>
  <c r="C897" i="9"/>
  <c r="C898" i="9"/>
  <c r="C899" i="9"/>
  <c r="C900" i="9"/>
  <c r="C901" i="9"/>
  <c r="C902" i="9"/>
  <c r="C903" i="9"/>
  <c r="C904" i="9"/>
  <c r="C905" i="9"/>
  <c r="C906" i="9"/>
  <c r="C907" i="9"/>
  <c r="C908" i="9"/>
  <c r="C909" i="9"/>
  <c r="C910" i="9"/>
  <c r="C911" i="9"/>
  <c r="C912" i="9"/>
  <c r="C913" i="9"/>
  <c r="C914" i="9"/>
  <c r="C915" i="9"/>
  <c r="C916" i="9"/>
  <c r="C917" i="9"/>
  <c r="C918" i="9"/>
  <c r="C919" i="9"/>
  <c r="C920" i="9"/>
  <c r="C921" i="9"/>
  <c r="C922" i="9"/>
  <c r="C923" i="9"/>
  <c r="C924" i="9"/>
  <c r="C925" i="9"/>
  <c r="C926" i="9"/>
  <c r="C927" i="9"/>
  <c r="C928" i="9"/>
  <c r="C929" i="9"/>
  <c r="C930" i="9"/>
  <c r="C931" i="9"/>
  <c r="C932" i="9"/>
  <c r="C933" i="9"/>
  <c r="C934" i="9"/>
  <c r="C935" i="9"/>
  <c r="C936" i="9"/>
  <c r="C937" i="9"/>
  <c r="C938" i="9"/>
  <c r="C939" i="9"/>
  <c r="C940" i="9"/>
  <c r="C941" i="9"/>
  <c r="C942" i="9"/>
  <c r="C943" i="9"/>
  <c r="C944" i="9"/>
  <c r="C945" i="9"/>
  <c r="C946" i="9"/>
  <c r="C947" i="9"/>
  <c r="C948" i="9"/>
  <c r="C949" i="9"/>
  <c r="C950" i="9"/>
  <c r="C951" i="9"/>
  <c r="C952" i="9"/>
  <c r="C953" i="9"/>
  <c r="C954" i="9"/>
  <c r="C955" i="9"/>
  <c r="C956" i="9"/>
  <c r="C957" i="9"/>
  <c r="C958" i="9"/>
  <c r="C959" i="9"/>
  <c r="C960" i="9"/>
  <c r="C961" i="9"/>
  <c r="C962" i="9"/>
  <c r="C963" i="9"/>
  <c r="C964" i="9"/>
  <c r="C965" i="9"/>
  <c r="C966" i="9"/>
  <c r="C967" i="9"/>
  <c r="C968" i="9"/>
  <c r="C969" i="9"/>
  <c r="C970" i="9"/>
  <c r="C971" i="9"/>
  <c r="C972" i="9"/>
  <c r="C973" i="9"/>
  <c r="C974" i="9"/>
  <c r="C975" i="9"/>
  <c r="C976" i="9"/>
  <c r="C977" i="9"/>
  <c r="C978" i="9"/>
  <c r="C979" i="9"/>
  <c r="C980" i="9"/>
  <c r="C981" i="9"/>
  <c r="C982" i="9"/>
  <c r="C983" i="9"/>
  <c r="C984" i="9"/>
  <c r="C985" i="9"/>
  <c r="C986" i="9"/>
  <c r="C987" i="9"/>
  <c r="C988" i="9"/>
  <c r="C989" i="9"/>
  <c r="C990" i="9"/>
  <c r="C991" i="9"/>
  <c r="C992" i="9"/>
  <c r="C993" i="9"/>
  <c r="C994" i="9"/>
  <c r="C995" i="9"/>
  <c r="C996" i="9"/>
  <c r="C997" i="9"/>
  <c r="C998" i="9"/>
  <c r="C999" i="9"/>
  <c r="C1000" i="9"/>
  <c r="C1001" i="9"/>
  <c r="C1002" i="9"/>
  <c r="C1003" i="9"/>
  <c r="C1004" i="9"/>
  <c r="C1005" i="9"/>
  <c r="C1006" i="9"/>
  <c r="C1007" i="9"/>
  <c r="C1008" i="9"/>
  <c r="C1009" i="9"/>
  <c r="C1010" i="9"/>
  <c r="C1011" i="9"/>
  <c r="C1012" i="9"/>
  <c r="C1013" i="9"/>
  <c r="C1014" i="9"/>
  <c r="C1015" i="9"/>
  <c r="C1016" i="9"/>
  <c r="C1017" i="9"/>
  <c r="C1018" i="9"/>
  <c r="C1019" i="9"/>
  <c r="C1020" i="9"/>
  <c r="C1021" i="9"/>
  <c r="C1022" i="9"/>
  <c r="C1023" i="9"/>
  <c r="C1024" i="9"/>
  <c r="C1025" i="9"/>
  <c r="C1026" i="9"/>
  <c r="C1027" i="9"/>
  <c r="C1028" i="9"/>
  <c r="C1029" i="9"/>
  <c r="C1030" i="9"/>
  <c r="C1031" i="9"/>
  <c r="C1032" i="9"/>
  <c r="C1033" i="9"/>
  <c r="C1034" i="9"/>
  <c r="C1035" i="9"/>
  <c r="C1036" i="9"/>
  <c r="C1037" i="9"/>
  <c r="C1038" i="9"/>
  <c r="C1039" i="9"/>
  <c r="C1040" i="9"/>
  <c r="C1041" i="9"/>
  <c r="C1042" i="9"/>
  <c r="C1043" i="9"/>
  <c r="C1044" i="9"/>
  <c r="C1045" i="9"/>
  <c r="C1046" i="9"/>
  <c r="C1047" i="9"/>
  <c r="C1048" i="9"/>
  <c r="C1049" i="9"/>
  <c r="C1050" i="9"/>
  <c r="C1051" i="9"/>
  <c r="C1052" i="9"/>
  <c r="C1053" i="9"/>
  <c r="C1054" i="9"/>
  <c r="C1055" i="9"/>
  <c r="C1056" i="9"/>
  <c r="C1057" i="9"/>
  <c r="C1058" i="9"/>
  <c r="C1059" i="9"/>
  <c r="C1060" i="9"/>
  <c r="C1061" i="9"/>
  <c r="C1062" i="9"/>
  <c r="C1063" i="9"/>
  <c r="C1064" i="9"/>
  <c r="C1065" i="9"/>
  <c r="C1066" i="9"/>
  <c r="C1067" i="9"/>
  <c r="C1068" i="9"/>
  <c r="C1069" i="9"/>
  <c r="C1070" i="9"/>
  <c r="C1071" i="9"/>
  <c r="C1072" i="9"/>
  <c r="C1073" i="9"/>
  <c r="C1074" i="9"/>
  <c r="C1075" i="9"/>
  <c r="C1076" i="9"/>
  <c r="C1077" i="9"/>
  <c r="C1078" i="9"/>
  <c r="C1079" i="9"/>
  <c r="C1080" i="9"/>
  <c r="C1081" i="9"/>
  <c r="C1082" i="9"/>
  <c r="C1083" i="9"/>
  <c r="C1084" i="9"/>
  <c r="C1085" i="9"/>
  <c r="C1086" i="9"/>
  <c r="C1087" i="9"/>
  <c r="C1088" i="9"/>
  <c r="C1089" i="9"/>
  <c r="C1090" i="9"/>
  <c r="C1091" i="9"/>
  <c r="C1092" i="9"/>
  <c r="C1093" i="9"/>
  <c r="C1094" i="9"/>
  <c r="C1095" i="9"/>
  <c r="C1096" i="9"/>
  <c r="C1097" i="9"/>
  <c r="C1098" i="9"/>
  <c r="C1099" i="9"/>
  <c r="C1100" i="9"/>
  <c r="C1101" i="9"/>
  <c r="C1102" i="9"/>
  <c r="C1103" i="9"/>
  <c r="C1104" i="9"/>
  <c r="C1105" i="9"/>
  <c r="C1106" i="9"/>
  <c r="C1107" i="9"/>
  <c r="C1108" i="9"/>
  <c r="C1109" i="9"/>
  <c r="C1110" i="9"/>
  <c r="C1111" i="9"/>
  <c r="C1112" i="9"/>
  <c r="C1113" i="9"/>
  <c r="C1114" i="9"/>
  <c r="C1115" i="9"/>
  <c r="C1116" i="9"/>
  <c r="C1117" i="9"/>
  <c r="C1118" i="9"/>
  <c r="C1119" i="9"/>
  <c r="C1120" i="9"/>
  <c r="C1121" i="9"/>
  <c r="C1122" i="9"/>
  <c r="C1123" i="9"/>
  <c r="C1124" i="9"/>
  <c r="C1125" i="9"/>
  <c r="C1126" i="9"/>
  <c r="C1127" i="9"/>
  <c r="C1128" i="9"/>
  <c r="C1129" i="9"/>
  <c r="C1130" i="9"/>
  <c r="C1131" i="9"/>
  <c r="C1132" i="9"/>
  <c r="C1133" i="9"/>
  <c r="C1134" i="9"/>
  <c r="C1135" i="9"/>
  <c r="C1136" i="9"/>
  <c r="C1137" i="9"/>
  <c r="C1138" i="9"/>
  <c r="C1139" i="9"/>
  <c r="C1140" i="9"/>
  <c r="C1141" i="9"/>
  <c r="C1142" i="9"/>
  <c r="C1143" i="9"/>
  <c r="C1144" i="9"/>
  <c r="C1145" i="9"/>
  <c r="C1146" i="9"/>
  <c r="C1147" i="9"/>
  <c r="C1148" i="9"/>
  <c r="C1149" i="9"/>
  <c r="C1150" i="9"/>
  <c r="C1151" i="9"/>
  <c r="C1152" i="9"/>
  <c r="C1153" i="9"/>
  <c r="C1154" i="9"/>
  <c r="C1155" i="9"/>
  <c r="C1156" i="9"/>
  <c r="C1157" i="9"/>
  <c r="C1158" i="9"/>
  <c r="C1159" i="9"/>
  <c r="C1160" i="9"/>
  <c r="C1161" i="9"/>
  <c r="C1162" i="9"/>
  <c r="C1163" i="9"/>
  <c r="C1164" i="9"/>
  <c r="C1165" i="9"/>
  <c r="C1166" i="9"/>
  <c r="C1167" i="9"/>
  <c r="C1168" i="9"/>
  <c r="C1169" i="9"/>
  <c r="C1170" i="9"/>
  <c r="C1171" i="9"/>
  <c r="C1172" i="9"/>
  <c r="C1173" i="9"/>
  <c r="C1174" i="9"/>
  <c r="C1175" i="9"/>
  <c r="C1176" i="9"/>
  <c r="C1177" i="9"/>
  <c r="C1178" i="9"/>
  <c r="C1179" i="9"/>
  <c r="C1180" i="9"/>
  <c r="C1181" i="9"/>
  <c r="C1182" i="9"/>
  <c r="C1183" i="9"/>
  <c r="C1184" i="9"/>
  <c r="C1185" i="9"/>
  <c r="C1186" i="9"/>
  <c r="C1187" i="9"/>
  <c r="C1188" i="9"/>
  <c r="C1189" i="9"/>
  <c r="C1190" i="9"/>
  <c r="C1191" i="9"/>
  <c r="C1192" i="9"/>
  <c r="C1193" i="9"/>
  <c r="C1194" i="9"/>
  <c r="C1195" i="9"/>
  <c r="C1196" i="9"/>
  <c r="C1197" i="9"/>
  <c r="C1198" i="9"/>
  <c r="C1199" i="9"/>
  <c r="C1200" i="9"/>
  <c r="C1201" i="9"/>
  <c r="C1202" i="9"/>
  <c r="C1203" i="9"/>
  <c r="C1204" i="9"/>
  <c r="C1205" i="9"/>
  <c r="C1206" i="9"/>
  <c r="C1207" i="9"/>
  <c r="C1208" i="9"/>
  <c r="C1209" i="9"/>
  <c r="C1210" i="9"/>
  <c r="C1211" i="9"/>
  <c r="C1212" i="9"/>
  <c r="C1213" i="9"/>
  <c r="C1214" i="9"/>
  <c r="C1215" i="9"/>
  <c r="C1216" i="9"/>
  <c r="C1217" i="9"/>
  <c r="C1218" i="9"/>
  <c r="C1219" i="9"/>
  <c r="C1220" i="9"/>
  <c r="C1221" i="9"/>
  <c r="C1222" i="9"/>
  <c r="C1223" i="9"/>
  <c r="C1224" i="9"/>
  <c r="C1225" i="9"/>
  <c r="C1226" i="9"/>
  <c r="C1227" i="9"/>
  <c r="C1228" i="9"/>
  <c r="C1229" i="9"/>
  <c r="C1230" i="9"/>
  <c r="C1231" i="9"/>
  <c r="C1232" i="9"/>
  <c r="C1233" i="9"/>
  <c r="C1234" i="9"/>
  <c r="C1235" i="9"/>
  <c r="C1236" i="9"/>
  <c r="C1237" i="9"/>
  <c r="C1238" i="9"/>
  <c r="C1239" i="9"/>
  <c r="C1240" i="9"/>
  <c r="C1241" i="9"/>
  <c r="C1242" i="9"/>
  <c r="C1243" i="9"/>
  <c r="C1244" i="9"/>
  <c r="C1245" i="9"/>
  <c r="C1246" i="9"/>
  <c r="C1247" i="9"/>
  <c r="C1248" i="9"/>
  <c r="C1249" i="9"/>
  <c r="C1250" i="9"/>
  <c r="C1251" i="9"/>
  <c r="C1252" i="9"/>
  <c r="C1253" i="9"/>
  <c r="C1254" i="9"/>
  <c r="C1255" i="9"/>
  <c r="C1256" i="9"/>
  <c r="C1257" i="9"/>
  <c r="C1258" i="9"/>
  <c r="C1259" i="9"/>
  <c r="C1260" i="9"/>
  <c r="C1261" i="9"/>
  <c r="C1262" i="9"/>
  <c r="C1263" i="9"/>
  <c r="C1264" i="9"/>
  <c r="C1265" i="9"/>
  <c r="C1266" i="9"/>
  <c r="C1267" i="9"/>
  <c r="C1268" i="9"/>
  <c r="C1269" i="9"/>
  <c r="C1270" i="9"/>
  <c r="C1271" i="9"/>
  <c r="C1272" i="9"/>
  <c r="C1273" i="9"/>
  <c r="C1274" i="9"/>
  <c r="C1275" i="9"/>
  <c r="C1276" i="9"/>
  <c r="C1277" i="9"/>
  <c r="C1278" i="9"/>
  <c r="C1279" i="9"/>
  <c r="C1280" i="9"/>
  <c r="C1281" i="9"/>
  <c r="C1282" i="9"/>
  <c r="C1283" i="9"/>
  <c r="C1284" i="9"/>
  <c r="C1285" i="9"/>
  <c r="C1286" i="9"/>
  <c r="C1287" i="9"/>
  <c r="C1288" i="9"/>
  <c r="C1289" i="9"/>
  <c r="C1290" i="9"/>
  <c r="C1291" i="9"/>
  <c r="C1292" i="9"/>
  <c r="C1293" i="9"/>
  <c r="C1294" i="9"/>
  <c r="C1295" i="9"/>
  <c r="C1296" i="9"/>
  <c r="C1297" i="9"/>
  <c r="C1298" i="9"/>
  <c r="C1299" i="9"/>
  <c r="C1300" i="9"/>
  <c r="C1301" i="9"/>
  <c r="C1302" i="9"/>
  <c r="C1303" i="9"/>
  <c r="C1304" i="9"/>
  <c r="C1305" i="9"/>
  <c r="C1306" i="9"/>
  <c r="C1307" i="9"/>
  <c r="C1308" i="9"/>
  <c r="C1309" i="9"/>
  <c r="C1310" i="9"/>
  <c r="C1311" i="9"/>
  <c r="C1312" i="9"/>
  <c r="C1313" i="9"/>
  <c r="C1314" i="9"/>
  <c r="C1315" i="9"/>
  <c r="C1316" i="9"/>
  <c r="C1317" i="9"/>
  <c r="C1318" i="9"/>
  <c r="C1319" i="9"/>
  <c r="C1320" i="9"/>
  <c r="C1321" i="9"/>
  <c r="C1322" i="9"/>
  <c r="C1323" i="9"/>
  <c r="C1324" i="9"/>
  <c r="C1325" i="9"/>
  <c r="C1326" i="9"/>
  <c r="C1327" i="9"/>
  <c r="C1328" i="9"/>
  <c r="C1329" i="9"/>
  <c r="C1330" i="9"/>
  <c r="C1331" i="9"/>
  <c r="C1332" i="9"/>
  <c r="C1333" i="9"/>
  <c r="C1334" i="9"/>
  <c r="C1335" i="9"/>
  <c r="C1336" i="9"/>
  <c r="C1337" i="9"/>
  <c r="C1338" i="9"/>
  <c r="C1339" i="9"/>
  <c r="C1340" i="9"/>
  <c r="C1341" i="9"/>
  <c r="C1342" i="9"/>
  <c r="C1343" i="9"/>
  <c r="C1344" i="9"/>
  <c r="C1345" i="9"/>
  <c r="C1346" i="9"/>
  <c r="C1347" i="9"/>
  <c r="C1348" i="9"/>
  <c r="C1349" i="9"/>
  <c r="C1350" i="9"/>
  <c r="C1351" i="9"/>
  <c r="C1352" i="9"/>
  <c r="C1353" i="9"/>
  <c r="C1354" i="9"/>
  <c r="C1355" i="9"/>
  <c r="C1356" i="9"/>
  <c r="C1357" i="9"/>
  <c r="C1358" i="9"/>
  <c r="C1359" i="9"/>
  <c r="C1360" i="9"/>
  <c r="C1361" i="9"/>
  <c r="C1362" i="9"/>
  <c r="C1363" i="9"/>
  <c r="C1364" i="9"/>
  <c r="C1365" i="9"/>
  <c r="C1366" i="9"/>
  <c r="C1367" i="9"/>
  <c r="C1368" i="9"/>
  <c r="C1369" i="9"/>
  <c r="C1370" i="9"/>
  <c r="C1371" i="9"/>
  <c r="C1372" i="9"/>
  <c r="C1373" i="9"/>
  <c r="C1374" i="9"/>
  <c r="C1375" i="9"/>
  <c r="C1376" i="9"/>
  <c r="C1377" i="9"/>
  <c r="C1378" i="9"/>
  <c r="C1379" i="9"/>
  <c r="C1380" i="9"/>
  <c r="C1381" i="9"/>
  <c r="C1382" i="9"/>
  <c r="C1383" i="9"/>
  <c r="C1384" i="9"/>
  <c r="C1385" i="9"/>
  <c r="C1386" i="9"/>
  <c r="C1387" i="9"/>
  <c r="C1388" i="9"/>
  <c r="C1389" i="9"/>
  <c r="C1390" i="9"/>
  <c r="C1391" i="9"/>
  <c r="C1392" i="9"/>
  <c r="C1393" i="9"/>
  <c r="C1394" i="9"/>
  <c r="C1395" i="9"/>
  <c r="C1396" i="9"/>
  <c r="C1397" i="9"/>
  <c r="C1398" i="9"/>
  <c r="C1399" i="9"/>
  <c r="C1400" i="9"/>
  <c r="C1401" i="9"/>
  <c r="C1402" i="9"/>
  <c r="C1403" i="9"/>
  <c r="C1404" i="9"/>
  <c r="C1405" i="9"/>
  <c r="C1406" i="9"/>
  <c r="C1407" i="9"/>
  <c r="C1408" i="9"/>
  <c r="C1409" i="9"/>
  <c r="C1410" i="9"/>
  <c r="C1411" i="9"/>
  <c r="C1412" i="9"/>
  <c r="C1413" i="9"/>
  <c r="C1414" i="9"/>
  <c r="C1415" i="9"/>
  <c r="C1416" i="9"/>
  <c r="C1417" i="9"/>
  <c r="C1418" i="9"/>
  <c r="C1419" i="9"/>
  <c r="C1420" i="9"/>
  <c r="C1421" i="9"/>
  <c r="C1422" i="9"/>
  <c r="C1423" i="9"/>
  <c r="C1424" i="9"/>
  <c r="C1425" i="9"/>
  <c r="C1426" i="9"/>
  <c r="C1427" i="9"/>
  <c r="C1428" i="9"/>
  <c r="C1429" i="9"/>
  <c r="C1430" i="9"/>
  <c r="C1431" i="9"/>
  <c r="C1432" i="9"/>
  <c r="C1433" i="9"/>
  <c r="C1434" i="9"/>
  <c r="C1435" i="9"/>
  <c r="C1436" i="9"/>
  <c r="C1437" i="9"/>
  <c r="C1438" i="9"/>
  <c r="C1439" i="9"/>
  <c r="C1440" i="9"/>
  <c r="C1441" i="9"/>
  <c r="C1442" i="9"/>
  <c r="C1443" i="9"/>
  <c r="C1444" i="9"/>
  <c r="C1445" i="9"/>
  <c r="C1446" i="9"/>
  <c r="C1447" i="9"/>
  <c r="C1448" i="9"/>
  <c r="C1449" i="9"/>
  <c r="C1450" i="9"/>
  <c r="C1451" i="9"/>
  <c r="C1452" i="9"/>
  <c r="C1453" i="9"/>
  <c r="C1454" i="9"/>
  <c r="C1455" i="9"/>
  <c r="C1456" i="9"/>
  <c r="C1457" i="9"/>
  <c r="C1458" i="9"/>
  <c r="C1459" i="9"/>
  <c r="C1460" i="9"/>
  <c r="C1461" i="9"/>
  <c r="C1462" i="9"/>
  <c r="C1463" i="9"/>
  <c r="C1464" i="9"/>
  <c r="C1465" i="9"/>
  <c r="C1466" i="9"/>
  <c r="C1467" i="9"/>
  <c r="C1468" i="9"/>
  <c r="C1469" i="9"/>
  <c r="C1470" i="9"/>
  <c r="C1471" i="9"/>
  <c r="C1472" i="9"/>
  <c r="C1473" i="9"/>
  <c r="C1474" i="9"/>
  <c r="C1475" i="9"/>
  <c r="C1476" i="9"/>
  <c r="C1477" i="9"/>
  <c r="C1478" i="9"/>
  <c r="C1479" i="9"/>
  <c r="C1480" i="9"/>
  <c r="C1481" i="9"/>
  <c r="C1482" i="9"/>
  <c r="C1483" i="9"/>
  <c r="C1484" i="9"/>
  <c r="C1485" i="9"/>
  <c r="C1486" i="9"/>
  <c r="C1487" i="9"/>
  <c r="C1488" i="9"/>
  <c r="C1489" i="9"/>
  <c r="C1490" i="9"/>
  <c r="C1491" i="9"/>
  <c r="C1492" i="9"/>
  <c r="C1493" i="9"/>
  <c r="C1494" i="9"/>
  <c r="C1495" i="9"/>
  <c r="C1496" i="9"/>
  <c r="C1497" i="9"/>
  <c r="C1498" i="9"/>
  <c r="C1499" i="9"/>
  <c r="C1500" i="9"/>
  <c r="C1501" i="9"/>
  <c r="C1502" i="9"/>
  <c r="C1503" i="9"/>
  <c r="C1504" i="9"/>
  <c r="C1505" i="9"/>
  <c r="C1506" i="9"/>
  <c r="C1507" i="9"/>
  <c r="C1508" i="9"/>
  <c r="C1509" i="9"/>
  <c r="C1510" i="9"/>
  <c r="C1511" i="9"/>
  <c r="C1512" i="9"/>
  <c r="C1513" i="9"/>
  <c r="C1514" i="9"/>
  <c r="C1515" i="9"/>
  <c r="C1516" i="9"/>
  <c r="C1517" i="9"/>
  <c r="C1518" i="9"/>
  <c r="C1519" i="9"/>
  <c r="C1520" i="9"/>
  <c r="C1521" i="9"/>
  <c r="C1522" i="9"/>
  <c r="C1523" i="9"/>
  <c r="C1524" i="9"/>
  <c r="C1525" i="9"/>
  <c r="C1526" i="9"/>
  <c r="C1527" i="9"/>
  <c r="C1528" i="9"/>
  <c r="C1529" i="9"/>
  <c r="C1530" i="9"/>
  <c r="C1531" i="9"/>
  <c r="C1532" i="9"/>
  <c r="C1533" i="9"/>
  <c r="C1534" i="9"/>
  <c r="C1535" i="9"/>
  <c r="C1536" i="9"/>
  <c r="C1537" i="9"/>
  <c r="C1538" i="9"/>
  <c r="C1539" i="9"/>
  <c r="C1540" i="9"/>
  <c r="C1541" i="9"/>
  <c r="C1542" i="9"/>
  <c r="C1543" i="9"/>
  <c r="C1544" i="9"/>
  <c r="C1545" i="9"/>
  <c r="C1546" i="9"/>
  <c r="C1547" i="9"/>
  <c r="C1548" i="9"/>
  <c r="C1549" i="9"/>
  <c r="C1550" i="9"/>
  <c r="C1551" i="9"/>
  <c r="C1552" i="9"/>
  <c r="C1553" i="9"/>
  <c r="C1554" i="9"/>
  <c r="C1555" i="9"/>
  <c r="C1556" i="9"/>
  <c r="C1557" i="9"/>
  <c r="C1558" i="9"/>
  <c r="C1559" i="9"/>
  <c r="C1560" i="9"/>
  <c r="C1561" i="9"/>
  <c r="C1562" i="9"/>
  <c r="C1563" i="9"/>
  <c r="C1564" i="9"/>
  <c r="C1565" i="9"/>
  <c r="C1566" i="9"/>
  <c r="C1567" i="9"/>
  <c r="C1568" i="9"/>
  <c r="C1569" i="9"/>
  <c r="C1570" i="9"/>
  <c r="C1571" i="9"/>
  <c r="C1572" i="9"/>
  <c r="C1573" i="9"/>
  <c r="C1574" i="9"/>
  <c r="C1575" i="9"/>
  <c r="C1576" i="9"/>
  <c r="C1577" i="9"/>
  <c r="C1578" i="9"/>
  <c r="C1579" i="9"/>
  <c r="C1580" i="9"/>
  <c r="C1581" i="9"/>
  <c r="C1582" i="9"/>
  <c r="C1583" i="9"/>
  <c r="C1584" i="9"/>
  <c r="C1585" i="9"/>
  <c r="C1586" i="9"/>
  <c r="C1587" i="9"/>
  <c r="C1588" i="9"/>
  <c r="C1589" i="9"/>
  <c r="C1590" i="9"/>
  <c r="C1591" i="9"/>
  <c r="C1592" i="9"/>
  <c r="C1593" i="9"/>
  <c r="C1594" i="9"/>
  <c r="C1595" i="9"/>
  <c r="C1596" i="9"/>
  <c r="C1597" i="9"/>
  <c r="C1598" i="9"/>
  <c r="C1599" i="9"/>
  <c r="C1600" i="9"/>
  <c r="C1601" i="9"/>
  <c r="C1602" i="9"/>
  <c r="C1603" i="9"/>
  <c r="C1604" i="9"/>
  <c r="C1605" i="9"/>
  <c r="C1606" i="9"/>
  <c r="C1607" i="9"/>
  <c r="C1608" i="9"/>
  <c r="C1609" i="9"/>
  <c r="C1610" i="9"/>
  <c r="C1611" i="9"/>
  <c r="C1612" i="9"/>
  <c r="C1613" i="9"/>
  <c r="C1614" i="9"/>
  <c r="C1615" i="9"/>
  <c r="C1616" i="9"/>
  <c r="C1617" i="9"/>
  <c r="C1618" i="9"/>
  <c r="C1619" i="9"/>
  <c r="C1620" i="9"/>
  <c r="C1621" i="9"/>
  <c r="C1622" i="9"/>
  <c r="C1623" i="9"/>
  <c r="C1624" i="9"/>
  <c r="C1625" i="9"/>
  <c r="C1626" i="9"/>
  <c r="C1627" i="9"/>
  <c r="C1628" i="9"/>
  <c r="C1629" i="9"/>
  <c r="C1630" i="9"/>
  <c r="C1631" i="9"/>
  <c r="C1632" i="9"/>
  <c r="C1633" i="9"/>
  <c r="C1634" i="9"/>
  <c r="C1635" i="9"/>
  <c r="C1636" i="9"/>
  <c r="C1637" i="9"/>
  <c r="C1638" i="9"/>
  <c r="C1639" i="9"/>
  <c r="C1640" i="9"/>
  <c r="C1641" i="9"/>
  <c r="C1642" i="9"/>
  <c r="C1643" i="9"/>
  <c r="C1644" i="9"/>
  <c r="C1645" i="9"/>
  <c r="C1646" i="9"/>
  <c r="C1647" i="9"/>
  <c r="C1648" i="9"/>
  <c r="C1649" i="9"/>
  <c r="C1650" i="9"/>
  <c r="C1651" i="9"/>
  <c r="C1652" i="9"/>
  <c r="C1653" i="9"/>
  <c r="C1654" i="9"/>
  <c r="C1655" i="9"/>
  <c r="C1656" i="9"/>
  <c r="C1657" i="9"/>
  <c r="C1658" i="9"/>
  <c r="C1659" i="9"/>
  <c r="C1660" i="9"/>
  <c r="C1661" i="9"/>
  <c r="C1662" i="9"/>
  <c r="C1663" i="9"/>
  <c r="C1664" i="9"/>
  <c r="C1665" i="9"/>
  <c r="C1666" i="9"/>
  <c r="C1667" i="9"/>
  <c r="C1668" i="9"/>
  <c r="C1669" i="9"/>
  <c r="C1670" i="9"/>
  <c r="C1671" i="9"/>
  <c r="C1672" i="9"/>
  <c r="C1673" i="9"/>
  <c r="C1674" i="9"/>
  <c r="C1675" i="9"/>
  <c r="C1676" i="9"/>
  <c r="C1677" i="9"/>
  <c r="C1678" i="9"/>
  <c r="C1679" i="9"/>
  <c r="C1680" i="9"/>
  <c r="C1681" i="9"/>
  <c r="C1682" i="9"/>
  <c r="C1683" i="9"/>
  <c r="C1684" i="9"/>
  <c r="C1685" i="9"/>
  <c r="C1686" i="9"/>
  <c r="C1687" i="9"/>
  <c r="C1688" i="9"/>
  <c r="C1689" i="9"/>
  <c r="C1690" i="9"/>
  <c r="C1691" i="9"/>
  <c r="C1692" i="9"/>
  <c r="C1693" i="9"/>
  <c r="C1694" i="9"/>
  <c r="C1695" i="9"/>
  <c r="C1696" i="9"/>
  <c r="C1697" i="9"/>
  <c r="C1698" i="9"/>
  <c r="C1699" i="9"/>
  <c r="C1700" i="9"/>
  <c r="C1701" i="9"/>
  <c r="C1702" i="9"/>
  <c r="C1703" i="9"/>
  <c r="C1704" i="9"/>
  <c r="C1705" i="9"/>
  <c r="C1706" i="9"/>
  <c r="C1707" i="9"/>
  <c r="C1708" i="9"/>
  <c r="C1709" i="9"/>
  <c r="C1710" i="9"/>
  <c r="C1711" i="9"/>
  <c r="C1712" i="9"/>
  <c r="C1713" i="9"/>
  <c r="C1714" i="9"/>
  <c r="C1715" i="9"/>
  <c r="C1716" i="9"/>
  <c r="C1717" i="9"/>
  <c r="C1718" i="9"/>
  <c r="C1719" i="9"/>
  <c r="C1720" i="9"/>
  <c r="C1721" i="9"/>
  <c r="C1722" i="9"/>
  <c r="C1723" i="9"/>
  <c r="C1724" i="9"/>
  <c r="C1725" i="9"/>
  <c r="C1726" i="9"/>
  <c r="C1727" i="9"/>
  <c r="C1728" i="9"/>
  <c r="C1729" i="9"/>
  <c r="C1730" i="9"/>
  <c r="C1731" i="9"/>
  <c r="C1732" i="9"/>
  <c r="C1733" i="9"/>
  <c r="C1734" i="9"/>
  <c r="C1735" i="9"/>
  <c r="C1736" i="9"/>
  <c r="C1737" i="9"/>
  <c r="C1738" i="9"/>
  <c r="C1739" i="9"/>
  <c r="C1740" i="9"/>
  <c r="C1741" i="9"/>
  <c r="C1742" i="9"/>
  <c r="C1743" i="9"/>
  <c r="C1744" i="9"/>
  <c r="C1745" i="9"/>
  <c r="C1746" i="9"/>
  <c r="C1747" i="9"/>
  <c r="C1748" i="9"/>
  <c r="C1749" i="9"/>
  <c r="C1750" i="9"/>
  <c r="C1751" i="9"/>
  <c r="C1752" i="9"/>
  <c r="C1753" i="9"/>
  <c r="C1754" i="9"/>
  <c r="C1755" i="9"/>
  <c r="C1756" i="9"/>
  <c r="C1757" i="9"/>
  <c r="C1758" i="9"/>
  <c r="C1759" i="9"/>
  <c r="C1760" i="9"/>
  <c r="C1761" i="9"/>
  <c r="C1762" i="9"/>
  <c r="C1763" i="9"/>
  <c r="C1764" i="9"/>
  <c r="C1765" i="9"/>
  <c r="C1766" i="9"/>
  <c r="C1767" i="9"/>
  <c r="C1768" i="9"/>
  <c r="C1769" i="9"/>
  <c r="C1770" i="9"/>
  <c r="C1771" i="9"/>
  <c r="C1772" i="9"/>
  <c r="C1773" i="9"/>
  <c r="C1774" i="9"/>
  <c r="C1775" i="9"/>
  <c r="C1776" i="9"/>
  <c r="C1777" i="9"/>
  <c r="C1778" i="9"/>
  <c r="C1779" i="9"/>
  <c r="C1780" i="9"/>
  <c r="C1781" i="9"/>
  <c r="C1782" i="9"/>
  <c r="C1783" i="9"/>
  <c r="C1784" i="9"/>
  <c r="C1785" i="9"/>
  <c r="C1786" i="9"/>
  <c r="C1787" i="9"/>
  <c r="C1788" i="9"/>
  <c r="C1789" i="9"/>
  <c r="C1790" i="9"/>
  <c r="C1791" i="9"/>
  <c r="C1792" i="9"/>
  <c r="C1793" i="9"/>
  <c r="C1794" i="9"/>
  <c r="C1795" i="9"/>
  <c r="C1796" i="9"/>
  <c r="C1797" i="9"/>
  <c r="C1798" i="9"/>
  <c r="C1799" i="9"/>
  <c r="C1800" i="9"/>
  <c r="C1801" i="9"/>
  <c r="C1802" i="9"/>
  <c r="C1803" i="9"/>
  <c r="C1804" i="9"/>
  <c r="C1805" i="9"/>
  <c r="C1806" i="9"/>
  <c r="C1807" i="9"/>
  <c r="C1808" i="9"/>
  <c r="C1809" i="9"/>
  <c r="C1810" i="9"/>
  <c r="C1811" i="9"/>
  <c r="C1812" i="9"/>
  <c r="C1813" i="9"/>
  <c r="C1814" i="9"/>
  <c r="C1815" i="9"/>
  <c r="C1816" i="9"/>
  <c r="C1817" i="9"/>
  <c r="C1818" i="9"/>
  <c r="C1819" i="9"/>
  <c r="C1820" i="9"/>
  <c r="C1821" i="9"/>
  <c r="C1822" i="9"/>
  <c r="C1823" i="9"/>
  <c r="C1824" i="9"/>
  <c r="C1825" i="9"/>
  <c r="C1826" i="9"/>
  <c r="C1827" i="9"/>
  <c r="C1828" i="9"/>
  <c r="C1829" i="9"/>
  <c r="C1830" i="9"/>
  <c r="C1831" i="9"/>
  <c r="C1832" i="9"/>
  <c r="C1833" i="9"/>
  <c r="C1834" i="9"/>
  <c r="C1835" i="9"/>
  <c r="C1836" i="9"/>
  <c r="C1837" i="9"/>
  <c r="C1838" i="9"/>
  <c r="C1839" i="9"/>
  <c r="C1840" i="9"/>
  <c r="C1841" i="9"/>
  <c r="C1842" i="9"/>
  <c r="C1843" i="9"/>
  <c r="C1844" i="9"/>
  <c r="C1845" i="9"/>
  <c r="C1846" i="9"/>
  <c r="C1847" i="9"/>
  <c r="C1848" i="9"/>
  <c r="C1849" i="9"/>
  <c r="C1850" i="9"/>
  <c r="C1851" i="9"/>
  <c r="C1852" i="9"/>
  <c r="C1853" i="9"/>
  <c r="C1854" i="9"/>
  <c r="C1855" i="9"/>
  <c r="C1856" i="9"/>
  <c r="C1857" i="9"/>
  <c r="C1858" i="9"/>
  <c r="C1859" i="9"/>
  <c r="C1860" i="9"/>
  <c r="C1861" i="9"/>
  <c r="C1862" i="9"/>
  <c r="C1863" i="9"/>
  <c r="C1864" i="9"/>
  <c r="C1865" i="9"/>
  <c r="C1866" i="9"/>
  <c r="C1867" i="9"/>
  <c r="C1868" i="9"/>
  <c r="C1869" i="9"/>
  <c r="C1870" i="9"/>
  <c r="C1871" i="9"/>
  <c r="C1872" i="9"/>
  <c r="C1873" i="9"/>
  <c r="C1874" i="9"/>
  <c r="C1875" i="9"/>
  <c r="C1876" i="9"/>
  <c r="C1877" i="9"/>
  <c r="C1878" i="9"/>
  <c r="C1879" i="9"/>
  <c r="C1880" i="9"/>
  <c r="C1881" i="9"/>
  <c r="C1882" i="9"/>
  <c r="C1883" i="9"/>
  <c r="C1884" i="9"/>
  <c r="C1885" i="9"/>
  <c r="C1886" i="9"/>
  <c r="C1887" i="9"/>
  <c r="C1888" i="9"/>
  <c r="C1889" i="9"/>
  <c r="C1890" i="9"/>
  <c r="C1891" i="9"/>
  <c r="C1892" i="9"/>
  <c r="C1893" i="9"/>
  <c r="C1894" i="9"/>
  <c r="C1895" i="9"/>
  <c r="C1896" i="9"/>
  <c r="C1897" i="9"/>
  <c r="C1898" i="9"/>
  <c r="C1899" i="9"/>
  <c r="C1900" i="9"/>
  <c r="C1901" i="9"/>
  <c r="C1902" i="9"/>
  <c r="C1903" i="9"/>
  <c r="C1904" i="9"/>
  <c r="C1905" i="9"/>
  <c r="C1906" i="9"/>
  <c r="C1907" i="9"/>
  <c r="C1908" i="9"/>
  <c r="C1909" i="9"/>
  <c r="C1910" i="9"/>
  <c r="C1911" i="9"/>
  <c r="C1912" i="9"/>
  <c r="C1913" i="9"/>
  <c r="C1914" i="9"/>
  <c r="C1915" i="9"/>
  <c r="C1916" i="9"/>
  <c r="C1917" i="9"/>
  <c r="C1918" i="9"/>
  <c r="C1919" i="9"/>
  <c r="C1920" i="9"/>
  <c r="C1921" i="9"/>
  <c r="C1922" i="9"/>
  <c r="C1923" i="9"/>
  <c r="C1924" i="9"/>
  <c r="C1925" i="9"/>
  <c r="C1926" i="9"/>
  <c r="C1927" i="9"/>
  <c r="C1928" i="9"/>
  <c r="C1929" i="9"/>
  <c r="C1930" i="9"/>
  <c r="C1931" i="9"/>
  <c r="C1932" i="9"/>
  <c r="C1933" i="9"/>
  <c r="C1934" i="9"/>
  <c r="C1935" i="9"/>
  <c r="C1936" i="9"/>
  <c r="C1937" i="9"/>
  <c r="C1938" i="9"/>
  <c r="C1939" i="9"/>
  <c r="C1940" i="9"/>
  <c r="C1941" i="9"/>
  <c r="C1942" i="9"/>
  <c r="C1943" i="9"/>
  <c r="C1944" i="9"/>
  <c r="C1945" i="9"/>
  <c r="C1946" i="9"/>
  <c r="C1947" i="9"/>
  <c r="C1948" i="9"/>
  <c r="C1949" i="9"/>
  <c r="C1950" i="9"/>
  <c r="C1951" i="9"/>
  <c r="C1952" i="9"/>
  <c r="C1953" i="9"/>
  <c r="C1954" i="9"/>
  <c r="C1955" i="9"/>
  <c r="C1956" i="9"/>
  <c r="C1957" i="9"/>
  <c r="C1958" i="9"/>
  <c r="C1959" i="9"/>
  <c r="C1960" i="9"/>
  <c r="C1961" i="9"/>
  <c r="C1962" i="9"/>
  <c r="C1963" i="9"/>
  <c r="C1964" i="9"/>
  <c r="C1965" i="9"/>
  <c r="C1966" i="9"/>
  <c r="C1967" i="9"/>
  <c r="C1968" i="9"/>
  <c r="C1969" i="9"/>
  <c r="C1970" i="9"/>
  <c r="C1971" i="9"/>
  <c r="C1972" i="9"/>
  <c r="C1973" i="9"/>
  <c r="C1974" i="9"/>
  <c r="C1975" i="9"/>
  <c r="C1976" i="9"/>
  <c r="C1977" i="9"/>
  <c r="C1978" i="9"/>
  <c r="C1979" i="9"/>
  <c r="C1980" i="9"/>
  <c r="C1981" i="9"/>
  <c r="C1982" i="9"/>
  <c r="C1983" i="9"/>
  <c r="C1984" i="9"/>
  <c r="C1985" i="9"/>
  <c r="C1986" i="9"/>
  <c r="C1987" i="9"/>
  <c r="C1988" i="9"/>
  <c r="C1989" i="9"/>
  <c r="C1990" i="9"/>
  <c r="C1991" i="9"/>
  <c r="C1992" i="9"/>
  <c r="C1993" i="9"/>
  <c r="C1994" i="9"/>
  <c r="C1995" i="9"/>
  <c r="C1996" i="9"/>
  <c r="C1997" i="9"/>
  <c r="C1998" i="9"/>
  <c r="C1999" i="9"/>
  <c r="C2000" i="9"/>
  <c r="C2001" i="9"/>
  <c r="C2002" i="9"/>
  <c r="C2003" i="9"/>
  <c r="C2004" i="9"/>
  <c r="C2005" i="9"/>
  <c r="C2006" i="9"/>
  <c r="C2007" i="9"/>
  <c r="C2008" i="9"/>
  <c r="C2009" i="9"/>
  <c r="C2010" i="9"/>
  <c r="C2011" i="9"/>
  <c r="C2012" i="9"/>
  <c r="C2013" i="9"/>
  <c r="C2014" i="9"/>
  <c r="C2015" i="9"/>
  <c r="C30" i="9"/>
  <c r="E3" i="6"/>
  <c r="F7" i="7"/>
  <c r="E4" i="6"/>
  <c r="E6" i="8"/>
  <c r="E5" i="8"/>
  <c r="E4" i="8"/>
  <c r="E3" i="8"/>
  <c r="K18" i="9"/>
  <c r="C7" i="9"/>
  <c r="C6" i="9"/>
  <c r="H3" i="6" l="1"/>
  <c r="J30" i="9"/>
  <c r="J33" i="9"/>
  <c r="J32" i="9"/>
  <c r="J31" i="9"/>
  <c r="H12" i="6"/>
  <c r="H7" i="6"/>
  <c r="H8" i="6"/>
  <c r="H11" i="6"/>
  <c r="H9" i="6"/>
  <c r="H10" i="6"/>
  <c r="E6" i="6" l="1"/>
  <c r="E5" i="6"/>
  <c r="H5" i="6" l="1"/>
  <c r="C8" i="7"/>
  <c r="H4" i="6"/>
  <c r="H6" i="6"/>
  <c r="D165" i="3"/>
  <c r="Y193" i="3"/>
  <c r="Y235" i="3" s="1"/>
  <c r="AB165" i="3" l="1"/>
  <c r="AB232" i="3" s="1"/>
  <c r="AI165" i="3"/>
  <c r="AI232" i="3" s="1"/>
  <c r="AJ165" i="3"/>
  <c r="AJ232" i="3" s="1"/>
  <c r="AA165" i="3"/>
  <c r="AA232" i="3" s="1"/>
  <c r="N165" i="3"/>
  <c r="N232" i="3" s="1"/>
  <c r="M165" i="3"/>
  <c r="M232" i="3" s="1"/>
  <c r="Z165" i="3"/>
  <c r="Z232" i="3" s="1"/>
  <c r="AE165" i="3"/>
  <c r="AE232" i="3" s="1"/>
  <c r="G165" i="3"/>
  <c r="H165" i="3"/>
  <c r="AG165" i="3"/>
  <c r="I165" i="3"/>
  <c r="J165" i="3"/>
  <c r="K165" i="3"/>
  <c r="W165" i="3"/>
  <c r="L165" i="3"/>
  <c r="V165" i="3"/>
  <c r="AF165" i="3"/>
  <c r="X165" i="3"/>
  <c r="Y165" i="3"/>
  <c r="Y232" i="3" s="1"/>
  <c r="U165" i="3"/>
  <c r="W193" i="3" l="1"/>
  <c r="W235" i="3" s="1"/>
  <c r="V193" i="3" l="1"/>
  <c r="V235" i="3" s="1"/>
  <c r="AH209" i="3" l="1"/>
  <c r="AH236" i="3" s="1"/>
  <c r="AH187" i="3"/>
  <c r="AH234" i="3" s="1"/>
  <c r="AH165" i="3"/>
  <c r="AH232" i="3" s="1"/>
  <c r="AH147" i="3"/>
  <c r="AH230" i="3" s="1"/>
  <c r="AH145" i="3"/>
  <c r="AH140" i="3"/>
  <c r="AH129" i="3"/>
  <c r="AH115" i="3"/>
  <c r="AH87" i="3"/>
  <c r="AH69" i="3"/>
  <c r="AH15" i="3"/>
  <c r="AG193" i="3" l="1"/>
  <c r="AG235" i="3" s="1"/>
  <c r="AG129" i="3"/>
  <c r="AG69" i="3"/>
  <c r="B15" i="4" l="1"/>
  <c r="U193" i="3" l="1"/>
  <c r="U235" i="3" s="1"/>
  <c r="G19" i="4" l="1"/>
  <c r="G18" i="4"/>
  <c r="B23" i="4"/>
  <c r="B22" i="4"/>
  <c r="B21" i="4"/>
  <c r="B4" i="4"/>
  <c r="B20" i="4"/>
  <c r="B19" i="4"/>
  <c r="B18" i="4"/>
  <c r="B17" i="4"/>
  <c r="B16" i="4"/>
  <c r="B13" i="4"/>
  <c r="B14" i="4"/>
  <c r="B10" i="4"/>
  <c r="B11" i="4"/>
  <c r="B7" i="4"/>
  <c r="B8" i="4"/>
  <c r="B12" i="4"/>
  <c r="B9" i="4"/>
  <c r="B6" i="4"/>
  <c r="B5" i="4"/>
  <c r="AP132" i="3"/>
  <c r="AP72" i="3"/>
  <c r="X225" i="3"/>
  <c r="AF225" i="3"/>
  <c r="P225" i="3"/>
  <c r="L225" i="3"/>
  <c r="K225" i="3"/>
  <c r="J225" i="3"/>
  <c r="I225" i="3"/>
  <c r="H225" i="3"/>
  <c r="X209" i="3"/>
  <c r="AF209" i="3"/>
  <c r="P209" i="3"/>
  <c r="L209" i="3"/>
  <c r="K209" i="3"/>
  <c r="J209" i="3"/>
  <c r="I209" i="3"/>
  <c r="H209" i="3"/>
  <c r="X193" i="3"/>
  <c r="AF193" i="3"/>
  <c r="P193" i="3"/>
  <c r="L193" i="3"/>
  <c r="K193" i="3"/>
  <c r="J193" i="3"/>
  <c r="I193" i="3"/>
  <c r="H193" i="3"/>
  <c r="X187" i="3"/>
  <c r="AF187" i="3"/>
  <c r="P187" i="3"/>
  <c r="L187" i="3"/>
  <c r="K187" i="3"/>
  <c r="J187" i="3"/>
  <c r="I187" i="3"/>
  <c r="H187" i="3"/>
  <c r="X181" i="3"/>
  <c r="AF181" i="3"/>
  <c r="P181" i="3"/>
  <c r="L181" i="3"/>
  <c r="K181" i="3"/>
  <c r="J181" i="3"/>
  <c r="I181" i="3"/>
  <c r="H181" i="3"/>
  <c r="P165" i="3"/>
  <c r="X153" i="3"/>
  <c r="AF153" i="3"/>
  <c r="P153" i="3"/>
  <c r="L153" i="3"/>
  <c r="K153" i="3"/>
  <c r="J153" i="3"/>
  <c r="I153" i="3"/>
  <c r="H153" i="3"/>
  <c r="X145" i="3"/>
  <c r="AF145" i="3"/>
  <c r="P145" i="3"/>
  <c r="L145" i="3"/>
  <c r="K145" i="3"/>
  <c r="J145" i="3"/>
  <c r="I145" i="3"/>
  <c r="H145" i="3"/>
  <c r="X140" i="3"/>
  <c r="AF140" i="3"/>
  <c r="P140" i="3"/>
  <c r="L140" i="3"/>
  <c r="K140" i="3"/>
  <c r="J140" i="3"/>
  <c r="I140" i="3"/>
  <c r="H140" i="3"/>
  <c r="X129" i="3"/>
  <c r="AF129" i="3"/>
  <c r="P129" i="3"/>
  <c r="L129" i="3"/>
  <c r="K129" i="3"/>
  <c r="J129" i="3"/>
  <c r="I129" i="3"/>
  <c r="H129" i="3"/>
  <c r="AF124" i="3"/>
  <c r="P124" i="3"/>
  <c r="L124" i="3"/>
  <c r="K124" i="3"/>
  <c r="J124" i="3"/>
  <c r="I124" i="3"/>
  <c r="H124" i="3"/>
  <c r="X115" i="3"/>
  <c r="AF115" i="3"/>
  <c r="P115" i="3"/>
  <c r="L115" i="3"/>
  <c r="K115" i="3"/>
  <c r="J115" i="3"/>
  <c r="I115" i="3"/>
  <c r="H115" i="3"/>
  <c r="X104" i="3"/>
  <c r="AF104" i="3"/>
  <c r="P104" i="3"/>
  <c r="L104" i="3"/>
  <c r="K104" i="3"/>
  <c r="J104" i="3"/>
  <c r="I104" i="3"/>
  <c r="H104" i="3"/>
  <c r="X87" i="3"/>
  <c r="AF87" i="3"/>
  <c r="P87" i="3"/>
  <c r="L87" i="3"/>
  <c r="K87" i="3"/>
  <c r="J87" i="3"/>
  <c r="I87" i="3"/>
  <c r="H87" i="3"/>
  <c r="X80" i="3"/>
  <c r="AF80" i="3"/>
  <c r="P80" i="3"/>
  <c r="L80" i="3"/>
  <c r="K80" i="3"/>
  <c r="J80" i="3"/>
  <c r="I80" i="3"/>
  <c r="H80" i="3"/>
  <c r="G225" i="3"/>
  <c r="G209" i="3"/>
  <c r="G181" i="3"/>
  <c r="G193" i="3"/>
  <c r="G187" i="3"/>
  <c r="G153" i="3"/>
  <c r="G145" i="3"/>
  <c r="G129" i="3"/>
  <c r="G124" i="3"/>
  <c r="G115" i="3"/>
  <c r="G104" i="3"/>
  <c r="G140" i="3"/>
  <c r="G87" i="3"/>
  <c r="G80" i="3"/>
  <c r="AF69" i="3"/>
  <c r="P69" i="3"/>
  <c r="L69" i="3"/>
  <c r="K69" i="3"/>
  <c r="J69" i="3"/>
  <c r="I69" i="3"/>
  <c r="H69" i="3"/>
  <c r="G69" i="3"/>
  <c r="X47" i="3"/>
  <c r="AF47" i="3"/>
  <c r="P47" i="3"/>
  <c r="L47" i="3"/>
  <c r="K47" i="3"/>
  <c r="J47" i="3"/>
  <c r="I47" i="3"/>
  <c r="H47" i="3"/>
  <c r="G47" i="3"/>
  <c r="X38" i="3"/>
  <c r="AF38" i="3"/>
  <c r="P38" i="3"/>
  <c r="L38" i="3"/>
  <c r="K38" i="3"/>
  <c r="J38" i="3"/>
  <c r="I38" i="3"/>
  <c r="H38" i="3"/>
  <c r="G38" i="3"/>
  <c r="X15" i="3"/>
  <c r="AF15" i="3"/>
  <c r="P15" i="3"/>
  <c r="L15" i="3"/>
  <c r="K15" i="3"/>
  <c r="J15" i="3"/>
  <c r="I15" i="3"/>
  <c r="H15" i="3"/>
  <c r="G15" i="3"/>
  <c r="I10" i="3"/>
  <c r="J10" i="3"/>
  <c r="K10" i="3"/>
  <c r="P10" i="3"/>
  <c r="AF10" i="3"/>
  <c r="X10" i="3"/>
  <c r="K72" i="3" l="1"/>
  <c r="I132" i="3"/>
  <c r="P132" i="3"/>
  <c r="J72" i="3"/>
  <c r="J132" i="3"/>
  <c r="K132" i="3"/>
  <c r="AF72" i="3"/>
  <c r="H132" i="3"/>
  <c r="P72" i="3"/>
  <c r="G72" i="3"/>
  <c r="X72" i="3"/>
  <c r="H72" i="3"/>
  <c r="AF132" i="3"/>
  <c r="L72" i="3"/>
  <c r="L132" i="3"/>
  <c r="G132" i="3"/>
  <c r="I72" i="3"/>
  <c r="X235" i="3"/>
  <c r="AQ209" i="3"/>
  <c r="AQ236" i="3" s="1"/>
  <c r="AQ165" i="3"/>
  <c r="AQ232" i="3" s="1"/>
  <c r="AQ129" i="3"/>
  <c r="AQ115" i="3"/>
  <c r="AQ87" i="3"/>
  <c r="AQ69" i="3"/>
  <c r="AQ47" i="3"/>
  <c r="AQ15" i="3"/>
  <c r="AU193" i="3"/>
  <c r="AU235" i="3" s="1"/>
  <c r="AT193" i="3"/>
  <c r="AT235" i="3" s="1"/>
  <c r="AS193" i="3"/>
  <c r="AS235" i="3" s="1"/>
  <c r="AS129" i="3"/>
  <c r="AS115" i="3"/>
  <c r="AS69" i="3"/>
  <c r="AS47" i="3"/>
  <c r="AR193" i="3"/>
  <c r="AR235" i="3" s="1"/>
  <c r="AR129" i="3"/>
  <c r="AR115" i="3"/>
  <c r="AR69" i="3"/>
  <c r="AR47" i="3"/>
  <c r="AP225" i="3"/>
  <c r="AP237" i="3" s="1"/>
  <c r="AP209" i="3"/>
  <c r="AP236" i="3" s="1"/>
  <c r="AP193" i="3"/>
  <c r="AP235" i="3" s="1"/>
  <c r="AP187" i="3"/>
  <c r="AP234" i="3" s="1"/>
  <c r="AP181" i="3"/>
  <c r="AP233" i="3" s="1"/>
  <c r="AP165" i="3"/>
  <c r="AP232" i="3" s="1"/>
  <c r="AP153" i="3"/>
  <c r="AP231" i="3" s="1"/>
  <c r="AP147" i="3"/>
  <c r="AP230" i="3" s="1"/>
  <c r="AP145" i="3"/>
  <c r="AP140" i="3"/>
  <c r="AP131" i="3"/>
  <c r="AP228" i="3" s="1"/>
  <c r="AP129" i="3"/>
  <c r="AP124" i="3"/>
  <c r="AP115" i="3"/>
  <c r="AP104" i="3"/>
  <c r="AP87" i="3"/>
  <c r="AP80" i="3"/>
  <c r="AP71" i="3"/>
  <c r="AP229" i="3" s="1"/>
  <c r="AP69" i="3"/>
  <c r="AP62" i="3"/>
  <c r="AP47" i="3"/>
  <c r="AP38" i="3"/>
  <c r="AP15" i="3"/>
  <c r="AP10" i="3"/>
  <c r="G15" i="4" l="1"/>
  <c r="AP238" i="3"/>
  <c r="G4" i="4" s="1"/>
  <c r="P236" i="3"/>
  <c r="P235" i="3"/>
  <c r="P232" i="3"/>
  <c r="D227" i="3" l="1"/>
  <c r="D140" i="3"/>
  <c r="D80" i="3"/>
  <c r="AI80" i="3" s="1"/>
  <c r="D10" i="3"/>
  <c r="AI10" i="3" s="1"/>
  <c r="F10" i="3"/>
  <c r="AA140" i="3" l="1"/>
  <c r="AI140" i="3"/>
  <c r="AA10" i="3"/>
  <c r="AL10" i="3"/>
  <c r="AA80" i="3"/>
  <c r="AL80" i="3"/>
  <c r="Q80" i="3"/>
  <c r="S80" i="3"/>
  <c r="AJ80" i="3"/>
  <c r="Q10" i="3"/>
  <c r="S10" i="3"/>
  <c r="AJ10" i="3"/>
  <c r="Q140" i="3"/>
  <c r="S140" i="3"/>
  <c r="AJ140" i="3"/>
  <c r="N10" i="3"/>
  <c r="R10" i="3"/>
  <c r="M10" i="3"/>
  <c r="Z10" i="3"/>
  <c r="AE80" i="3"/>
  <c r="N80" i="3"/>
  <c r="R80" i="3"/>
  <c r="Z80" i="3"/>
  <c r="M80" i="3"/>
  <c r="N140" i="3"/>
  <c r="R140" i="3"/>
  <c r="Z140" i="3"/>
  <c r="M140" i="3"/>
  <c r="Y140" i="3"/>
  <c r="AE140" i="3"/>
  <c r="AK10" i="3"/>
  <c r="Y10" i="3"/>
  <c r="AK80" i="3"/>
  <c r="Y80" i="3"/>
  <c r="W80" i="3"/>
  <c r="V80" i="3"/>
  <c r="AH80" i="3"/>
  <c r="W140" i="3"/>
  <c r="V140" i="3"/>
  <c r="W10" i="3"/>
  <c r="V10" i="3"/>
  <c r="AH10" i="3"/>
  <c r="U10" i="3"/>
  <c r="AG10" i="3"/>
  <c r="U80" i="3"/>
  <c r="AG80" i="3"/>
  <c r="U140" i="3"/>
  <c r="AG140" i="3"/>
  <c r="AU10" i="3"/>
  <c r="AS10" i="3"/>
  <c r="AR10" i="3"/>
  <c r="AT10" i="3"/>
  <c r="AQ10" i="3"/>
  <c r="AR80" i="3"/>
  <c r="AT80" i="3"/>
  <c r="AQ80" i="3"/>
  <c r="AU80" i="3"/>
  <c r="AS80" i="3"/>
  <c r="AU140" i="3"/>
  <c r="AQ140" i="3"/>
  <c r="AS140" i="3"/>
  <c r="AR140" i="3"/>
  <c r="AT140" i="3"/>
  <c r="D225" i="3"/>
  <c r="AI225" i="3" s="1"/>
  <c r="AI237" i="3" s="1"/>
  <c r="D209" i="3"/>
  <c r="AI209" i="3" s="1"/>
  <c r="AI236" i="3" s="1"/>
  <c r="D193" i="3"/>
  <c r="D187" i="3"/>
  <c r="D181" i="3"/>
  <c r="AI181" i="3" s="1"/>
  <c r="AI233" i="3" s="1"/>
  <c r="D153" i="3"/>
  <c r="AI153" i="3" s="1"/>
  <c r="AI231" i="3" s="1"/>
  <c r="D145" i="3"/>
  <c r="D129" i="3"/>
  <c r="D124" i="3"/>
  <c r="D115" i="3"/>
  <c r="AA115" i="3" s="1"/>
  <c r="D104" i="3"/>
  <c r="AI104" i="3" s="1"/>
  <c r="D69" i="3"/>
  <c r="D87" i="3"/>
  <c r="AI87" i="3" s="1"/>
  <c r="F15" i="3"/>
  <c r="D15" i="3"/>
  <c r="AI15" i="3" s="1"/>
  <c r="D47" i="3"/>
  <c r="AB47" i="3" s="1"/>
  <c r="D38" i="3"/>
  <c r="AI38" i="3" s="1"/>
  <c r="F38" i="3"/>
  <c r="AA187" i="3" l="1"/>
  <c r="AA234" i="3" s="1"/>
  <c r="AI187" i="3"/>
  <c r="AI234" i="3" s="1"/>
  <c r="AA124" i="3"/>
  <c r="AI124" i="3"/>
  <c r="AI132" i="3" s="1"/>
  <c r="AA145" i="3"/>
  <c r="AI145" i="3"/>
  <c r="AB72" i="3"/>
  <c r="AJ209" i="3"/>
  <c r="AJ236" i="3" s="1"/>
  <c r="AA209" i="3"/>
  <c r="AA236" i="3" s="1"/>
  <c r="AA47" i="3"/>
  <c r="AA38" i="3"/>
  <c r="AL38" i="3"/>
  <c r="AL72" i="3" s="1"/>
  <c r="AA104" i="3"/>
  <c r="AL104" i="3"/>
  <c r="AL132" i="3" s="1"/>
  <c r="AJ87" i="3"/>
  <c r="AA87" i="3"/>
  <c r="AA181" i="3"/>
  <c r="AA233" i="3" s="1"/>
  <c r="AL181" i="3"/>
  <c r="AL233" i="3" s="1"/>
  <c r="AA225" i="3"/>
  <c r="AA237" i="3" s="1"/>
  <c r="AL225" i="3"/>
  <c r="AL237" i="3" s="1"/>
  <c r="AJ15" i="3"/>
  <c r="AA15" i="3"/>
  <c r="AA153" i="3"/>
  <c r="AA231" i="3" s="1"/>
  <c r="AL153" i="3"/>
  <c r="AL231" i="3" s="1"/>
  <c r="Q193" i="3"/>
  <c r="Q235" i="3" s="1"/>
  <c r="S193" i="3"/>
  <c r="S235" i="3" s="1"/>
  <c r="S225" i="3"/>
  <c r="AJ225" i="3"/>
  <c r="AJ237" i="3" s="1"/>
  <c r="Q104" i="3"/>
  <c r="S104" i="3"/>
  <c r="S132" i="3" s="1"/>
  <c r="AJ104" i="3"/>
  <c r="Q124" i="3"/>
  <c r="S124" i="3"/>
  <c r="AJ124" i="3"/>
  <c r="Q145" i="3"/>
  <c r="S145" i="3"/>
  <c r="AJ145" i="3"/>
  <c r="Q187" i="3"/>
  <c r="Q234" i="3" s="1"/>
  <c r="S187" i="3"/>
  <c r="S234" i="3" s="1"/>
  <c r="AJ187" i="3"/>
  <c r="AJ234" i="3" s="1"/>
  <c r="S38" i="3"/>
  <c r="S72" i="3" s="1"/>
  <c r="AJ38" i="3"/>
  <c r="AJ72" i="3" s="1"/>
  <c r="Q153" i="3"/>
  <c r="Q231" i="3" s="1"/>
  <c r="S153" i="3"/>
  <c r="S231" i="3" s="1"/>
  <c r="AJ153" i="3"/>
  <c r="AJ231" i="3" s="1"/>
  <c r="Q181" i="3"/>
  <c r="Q233" i="3" s="1"/>
  <c r="S181" i="3"/>
  <c r="S233" i="3" s="1"/>
  <c r="AJ181" i="3"/>
  <c r="AJ233" i="3" s="1"/>
  <c r="N225" i="3"/>
  <c r="Q225" i="3"/>
  <c r="Q237" i="3" s="1"/>
  <c r="Q72" i="3"/>
  <c r="N87" i="3"/>
  <c r="Z87" i="3"/>
  <c r="M87" i="3"/>
  <c r="AE115" i="3"/>
  <c r="N115" i="3"/>
  <c r="Z115" i="3"/>
  <c r="M115" i="3"/>
  <c r="N124" i="3"/>
  <c r="X124" i="3"/>
  <c r="X132" i="3" s="1"/>
  <c r="R124" i="3"/>
  <c r="Z124" i="3"/>
  <c r="M124" i="3"/>
  <c r="N187" i="3"/>
  <c r="N234" i="3" s="1"/>
  <c r="R187" i="3"/>
  <c r="R234" i="3" s="1"/>
  <c r="M187" i="3"/>
  <c r="M234" i="3" s="1"/>
  <c r="Z187" i="3"/>
  <c r="Z234" i="3" s="1"/>
  <c r="N145" i="3"/>
  <c r="R145" i="3"/>
  <c r="M145" i="3"/>
  <c r="Z145" i="3"/>
  <c r="N209" i="3"/>
  <c r="M209" i="3"/>
  <c r="M236" i="3" s="1"/>
  <c r="Z209" i="3"/>
  <c r="Z236" i="3" s="1"/>
  <c r="AE104" i="3"/>
  <c r="N104" i="3"/>
  <c r="R104" i="3"/>
  <c r="Z104" i="3"/>
  <c r="M104" i="3"/>
  <c r="Y129" i="3"/>
  <c r="N129" i="3"/>
  <c r="M129" i="3"/>
  <c r="Z129" i="3"/>
  <c r="N181" i="3"/>
  <c r="N233" i="3" s="1"/>
  <c r="R181" i="3"/>
  <c r="R233" i="3" s="1"/>
  <c r="Z181" i="3"/>
  <c r="Z233" i="3" s="1"/>
  <c r="M181" i="3"/>
  <c r="M233" i="3" s="1"/>
  <c r="AH193" i="3"/>
  <c r="AH235" i="3" s="1"/>
  <c r="R193" i="3"/>
  <c r="R235" i="3" s="1"/>
  <c r="N47" i="3"/>
  <c r="Z47" i="3"/>
  <c r="M47" i="3"/>
  <c r="AG47" i="3"/>
  <c r="Y15" i="3"/>
  <c r="N15" i="3"/>
  <c r="R15" i="3"/>
  <c r="Z15" i="3"/>
  <c r="M15" i="3"/>
  <c r="Y69" i="3"/>
  <c r="N69" i="3"/>
  <c r="M69" i="3"/>
  <c r="Z69" i="3"/>
  <c r="N38" i="3"/>
  <c r="R38" i="3"/>
  <c r="M38" i="3"/>
  <c r="Z38" i="3"/>
  <c r="AE153" i="3"/>
  <c r="AE231" i="3" s="1"/>
  <c r="N153" i="3"/>
  <c r="N231" i="3" s="1"/>
  <c r="R153" i="3"/>
  <c r="R231" i="3" s="1"/>
  <c r="M153" i="3"/>
  <c r="M231" i="3" s="1"/>
  <c r="Z153" i="3"/>
  <c r="Z231" i="3" s="1"/>
  <c r="AE225" i="3"/>
  <c r="AE237" i="3" s="1"/>
  <c r="R225" i="3"/>
  <c r="M225" i="3"/>
  <c r="Z225" i="3"/>
  <c r="Y187" i="3"/>
  <c r="Y234" i="3" s="1"/>
  <c r="AE187" i="3"/>
  <c r="AE234" i="3" s="1"/>
  <c r="Y209" i="3"/>
  <c r="Y236" i="3" s="1"/>
  <c r="AE209" i="3"/>
  <c r="AE236" i="3" s="1"/>
  <c r="Y145" i="3"/>
  <c r="AE145" i="3"/>
  <c r="Y87" i="3"/>
  <c r="AE87" i="3"/>
  <c r="Y124" i="3"/>
  <c r="AE124" i="3"/>
  <c r="AK38" i="3"/>
  <c r="AK72" i="3" s="1"/>
  <c r="AE38" i="3"/>
  <c r="Y47" i="3"/>
  <c r="AE47" i="3"/>
  <c r="AK104" i="3"/>
  <c r="AK132" i="3" s="1"/>
  <c r="Y104" i="3"/>
  <c r="Y115" i="3"/>
  <c r="AG115" i="3"/>
  <c r="AK153" i="3"/>
  <c r="AK231" i="3" s="1"/>
  <c r="Y153" i="3"/>
  <c r="Y231" i="3" s="1"/>
  <c r="AK225" i="3"/>
  <c r="AK237" i="3" s="1"/>
  <c r="Y225" i="3"/>
  <c r="Y237" i="3" s="1"/>
  <c r="AK181" i="3"/>
  <c r="AK233" i="3" s="1"/>
  <c r="Y181" i="3"/>
  <c r="Y233" i="3" s="1"/>
  <c r="W38" i="3"/>
  <c r="Y38" i="3"/>
  <c r="W115" i="3"/>
  <c r="V115" i="3"/>
  <c r="W153" i="3"/>
  <c r="W231" i="3" s="1"/>
  <c r="V153" i="3"/>
  <c r="V231" i="3" s="1"/>
  <c r="AH153" i="3"/>
  <c r="AH231" i="3" s="1"/>
  <c r="U69" i="3"/>
  <c r="W69" i="3"/>
  <c r="V69" i="3"/>
  <c r="U129" i="3"/>
  <c r="W129" i="3"/>
  <c r="V129" i="3"/>
  <c r="W181" i="3"/>
  <c r="W233" i="3" s="1"/>
  <c r="V181" i="3"/>
  <c r="V233" i="3" s="1"/>
  <c r="AH181" i="3"/>
  <c r="AH233" i="3" s="1"/>
  <c r="W87" i="3"/>
  <c r="V87" i="3"/>
  <c r="W104" i="3"/>
  <c r="V104" i="3"/>
  <c r="AH104" i="3"/>
  <c r="W209" i="3"/>
  <c r="W236" i="3" s="1"/>
  <c r="V209" i="3"/>
  <c r="V236" i="3" s="1"/>
  <c r="W124" i="3"/>
  <c r="V124" i="3"/>
  <c r="AH124" i="3"/>
  <c r="W145" i="3"/>
  <c r="V145" i="3"/>
  <c r="W232" i="3"/>
  <c r="V232" i="3"/>
  <c r="W187" i="3"/>
  <c r="W234" i="3" s="1"/>
  <c r="V187" i="3"/>
  <c r="V234" i="3" s="1"/>
  <c r="W47" i="3"/>
  <c r="V47" i="3"/>
  <c r="V15" i="3"/>
  <c r="W15" i="3"/>
  <c r="W225" i="3"/>
  <c r="W237" i="3" s="1"/>
  <c r="V225" i="3"/>
  <c r="AH225" i="3"/>
  <c r="AH237" i="3" s="1"/>
  <c r="V38" i="3"/>
  <c r="AH38" i="3"/>
  <c r="U181" i="3"/>
  <c r="U233" i="3" s="1"/>
  <c r="AG181" i="3"/>
  <c r="AG233" i="3" s="1"/>
  <c r="U38" i="3"/>
  <c r="AG38" i="3"/>
  <c r="U47" i="3"/>
  <c r="U209" i="3"/>
  <c r="U236" i="3" s="1"/>
  <c r="AG209" i="3"/>
  <c r="AG236" i="3" s="1"/>
  <c r="U153" i="3"/>
  <c r="U231" i="3" s="1"/>
  <c r="AG153" i="3"/>
  <c r="AG231" i="3" s="1"/>
  <c r="U225" i="3"/>
  <c r="U237" i="3" s="1"/>
  <c r="AG225" i="3"/>
  <c r="AG237" i="3" s="1"/>
  <c r="U232" i="3"/>
  <c r="AG232" i="3"/>
  <c r="U15" i="3"/>
  <c r="AG15" i="3"/>
  <c r="U145" i="3"/>
  <c r="AG145" i="3"/>
  <c r="U187" i="3"/>
  <c r="U234" i="3" s="1"/>
  <c r="AG187" i="3"/>
  <c r="AG234" i="3" s="1"/>
  <c r="U104" i="3"/>
  <c r="AG104" i="3"/>
  <c r="U115" i="3"/>
  <c r="U124" i="3"/>
  <c r="AG124" i="3"/>
  <c r="U87" i="3"/>
  <c r="AG87" i="3"/>
  <c r="AQ193" i="3"/>
  <c r="AQ235" i="3" s="1"/>
  <c r="AF235" i="3"/>
  <c r="AU15" i="3"/>
  <c r="AS15" i="3"/>
  <c r="AR15" i="3"/>
  <c r="AT15" i="3"/>
  <c r="X237" i="3"/>
  <c r="AR225" i="3"/>
  <c r="AR237" i="3" s="1"/>
  <c r="AT225" i="3"/>
  <c r="AT237" i="3" s="1"/>
  <c r="AQ225" i="3"/>
  <c r="AQ237" i="3" s="1"/>
  <c r="AS225" i="3"/>
  <c r="AS237" i="3" s="1"/>
  <c r="AU225" i="3"/>
  <c r="AU237" i="3" s="1"/>
  <c r="AF237" i="3"/>
  <c r="P237" i="3"/>
  <c r="AT47" i="3"/>
  <c r="AU47" i="3"/>
  <c r="AT69" i="3"/>
  <c r="AU69" i="3"/>
  <c r="AR104" i="3"/>
  <c r="AT104" i="3"/>
  <c r="AQ104" i="3"/>
  <c r="AU104" i="3"/>
  <c r="AS104" i="3"/>
  <c r="AT115" i="3"/>
  <c r="AU115" i="3"/>
  <c r="AS38" i="3"/>
  <c r="AR38" i="3"/>
  <c r="AT38" i="3"/>
  <c r="AQ38" i="3"/>
  <c r="AU38" i="3"/>
  <c r="X236" i="3"/>
  <c r="AR209" i="3"/>
  <c r="AR236" i="3" s="1"/>
  <c r="AS209" i="3"/>
  <c r="AS236" i="3" s="1"/>
  <c r="AT209" i="3"/>
  <c r="AT236" i="3" s="1"/>
  <c r="AU209" i="3"/>
  <c r="AU236" i="3" s="1"/>
  <c r="AF236" i="3"/>
  <c r="AT129" i="3"/>
  <c r="AU129" i="3"/>
  <c r="AR87" i="3"/>
  <c r="AT87" i="3"/>
  <c r="AU87" i="3"/>
  <c r="AS87" i="3"/>
  <c r="AU145" i="3"/>
  <c r="AS145" i="3"/>
  <c r="AR145" i="3"/>
  <c r="AT145" i="3"/>
  <c r="AQ145" i="3"/>
  <c r="AU153" i="3"/>
  <c r="AU231" i="3" s="1"/>
  <c r="AS153" i="3"/>
  <c r="AS231" i="3" s="1"/>
  <c r="X231" i="3"/>
  <c r="AR153" i="3"/>
  <c r="AR231" i="3" s="1"/>
  <c r="AT153" i="3"/>
  <c r="AT231" i="3" s="1"/>
  <c r="AQ153" i="3"/>
  <c r="AQ231" i="3" s="1"/>
  <c r="P231" i="3"/>
  <c r="AF231" i="3"/>
  <c r="K231" i="3"/>
  <c r="L231" i="3"/>
  <c r="AU187" i="3"/>
  <c r="AU234" i="3" s="1"/>
  <c r="AS187" i="3"/>
  <c r="AS234" i="3" s="1"/>
  <c r="X234" i="3"/>
  <c r="AQ187" i="3"/>
  <c r="AQ234" i="3" s="1"/>
  <c r="AR187" i="3"/>
  <c r="AR234" i="3" s="1"/>
  <c r="AT187" i="3"/>
  <c r="AT234" i="3" s="1"/>
  <c r="P234" i="3"/>
  <c r="AF234" i="3"/>
  <c r="J234" i="3"/>
  <c r="AT124" i="3"/>
  <c r="AQ124" i="3"/>
  <c r="AU124" i="3"/>
  <c r="AS124" i="3"/>
  <c r="AR124" i="3"/>
  <c r="AU165" i="3"/>
  <c r="AU232" i="3" s="1"/>
  <c r="AS165" i="3"/>
  <c r="AS232" i="3" s="1"/>
  <c r="AR165" i="3"/>
  <c r="AR232" i="3" s="1"/>
  <c r="X232" i="3"/>
  <c r="AT165" i="3"/>
  <c r="AT232" i="3" s="1"/>
  <c r="AF232" i="3"/>
  <c r="AU181" i="3"/>
  <c r="AU233" i="3" s="1"/>
  <c r="AS181" i="3"/>
  <c r="AS233" i="3" s="1"/>
  <c r="AR181" i="3"/>
  <c r="AR233" i="3" s="1"/>
  <c r="X233" i="3"/>
  <c r="AT181" i="3"/>
  <c r="AT233" i="3" s="1"/>
  <c r="AQ181" i="3"/>
  <c r="AQ233" i="3" s="1"/>
  <c r="P233" i="3"/>
  <c r="AF233" i="3"/>
  <c r="I233" i="3"/>
  <c r="J233" i="3"/>
  <c r="I232" i="3"/>
  <c r="K232" i="3"/>
  <c r="J232" i="3"/>
  <c r="L232" i="3"/>
  <c r="H232" i="3"/>
  <c r="J235" i="3"/>
  <c r="L235" i="3"/>
  <c r="I235" i="3"/>
  <c r="K235" i="3"/>
  <c r="H235" i="3"/>
  <c r="K236" i="3"/>
  <c r="J236" i="3"/>
  <c r="I236" i="3"/>
  <c r="L236" i="3"/>
  <c r="H236" i="3"/>
  <c r="G234" i="3"/>
  <c r="K234" i="3"/>
  <c r="L234" i="3"/>
  <c r="I234" i="3"/>
  <c r="H234" i="3"/>
  <c r="I231" i="3"/>
  <c r="J231" i="3"/>
  <c r="H231" i="3"/>
  <c r="K233" i="3"/>
  <c r="L233" i="3"/>
  <c r="H233" i="3"/>
  <c r="K237" i="3"/>
  <c r="J237" i="3"/>
  <c r="I237" i="3"/>
  <c r="L237" i="3"/>
  <c r="H237" i="3"/>
  <c r="D147" i="3"/>
  <c r="G233" i="3"/>
  <c r="G237" i="3"/>
  <c r="D239" i="3"/>
  <c r="F47" i="3"/>
  <c r="G235" i="3"/>
  <c r="G236" i="3"/>
  <c r="D131" i="3"/>
  <c r="D71" i="3"/>
  <c r="AA132" i="3" l="1"/>
  <c r="R132" i="3"/>
  <c r="AI147" i="3"/>
  <c r="AI230" i="3" s="1"/>
  <c r="AA72" i="3"/>
  <c r="AI71" i="3"/>
  <c r="AL71" i="3"/>
  <c r="AL229" i="3" s="1"/>
  <c r="AI72" i="3"/>
  <c r="AI131" i="3"/>
  <c r="AI228" i="3" s="1"/>
  <c r="Q131" i="3"/>
  <c r="AB131" i="3"/>
  <c r="AB228" i="3" s="1"/>
  <c r="S147" i="3"/>
  <c r="S230" i="3" s="1"/>
  <c r="AJ132" i="3"/>
  <c r="Y147" i="3"/>
  <c r="Y230" i="3" s="1"/>
  <c r="AB147" i="3"/>
  <c r="AB230" i="3" s="1"/>
  <c r="AB71" i="3"/>
  <c r="AJ147" i="3"/>
  <c r="AJ230" i="3" s="1"/>
  <c r="AA131" i="3"/>
  <c r="AA71" i="3"/>
  <c r="AL131" i="3"/>
  <c r="AL228" i="3" s="1"/>
  <c r="Q132" i="3"/>
  <c r="Q228" i="3" s="1"/>
  <c r="AA147" i="3"/>
  <c r="AA230" i="3" s="1"/>
  <c r="M132" i="3"/>
  <c r="M72" i="3"/>
  <c r="S237" i="3"/>
  <c r="AJ131" i="3"/>
  <c r="S71" i="3"/>
  <c r="AH72" i="3"/>
  <c r="AJ71" i="3"/>
  <c r="AJ229" i="3" s="1"/>
  <c r="S131" i="3"/>
  <c r="S228" i="3" s="1"/>
  <c r="V237" i="3"/>
  <c r="N236" i="3"/>
  <c r="N237" i="3"/>
  <c r="Z71" i="3"/>
  <c r="Y132" i="3"/>
  <c r="Z147" i="3"/>
  <c r="Z230" i="3" s="1"/>
  <c r="R147" i="3"/>
  <c r="R230" i="3" s="1"/>
  <c r="M131" i="3"/>
  <c r="N147" i="3"/>
  <c r="N230" i="3" s="1"/>
  <c r="Z72" i="3"/>
  <c r="N131" i="3"/>
  <c r="R71" i="3"/>
  <c r="Y131" i="3"/>
  <c r="N71" i="3"/>
  <c r="M71" i="3"/>
  <c r="Z132" i="3"/>
  <c r="Q71" i="3"/>
  <c r="Q147" i="3"/>
  <c r="Q230" i="3" s="1"/>
  <c r="AE147" i="3"/>
  <c r="AE230" i="3" s="1"/>
  <c r="N72" i="3"/>
  <c r="M147" i="3"/>
  <c r="M230" i="3" s="1"/>
  <c r="R131" i="3"/>
  <c r="R72" i="3"/>
  <c r="N132" i="3"/>
  <c r="N228" i="3" s="1"/>
  <c r="Z131" i="3"/>
  <c r="Z237" i="3"/>
  <c r="M237" i="3"/>
  <c r="R237" i="3"/>
  <c r="AE132" i="3"/>
  <c r="AE131" i="3"/>
  <c r="AK71" i="3"/>
  <c r="AK229" i="3" s="1"/>
  <c r="AE71" i="3"/>
  <c r="AE72" i="3"/>
  <c r="AK131" i="3"/>
  <c r="AK228" i="3" s="1"/>
  <c r="AH71" i="3"/>
  <c r="Y72" i="3"/>
  <c r="Y71" i="3"/>
  <c r="W71" i="3"/>
  <c r="V72" i="3"/>
  <c r="W132" i="3"/>
  <c r="V147" i="3"/>
  <c r="V230" i="3" s="1"/>
  <c r="W147" i="3"/>
  <c r="W230" i="3" s="1"/>
  <c r="AH132" i="3"/>
  <c r="V132" i="3"/>
  <c r="W72" i="3"/>
  <c r="AH131" i="3"/>
  <c r="W131" i="3"/>
  <c r="V131" i="3"/>
  <c r="V71" i="3"/>
  <c r="AG72" i="3"/>
  <c r="U72" i="3"/>
  <c r="U71" i="3"/>
  <c r="U131" i="3"/>
  <c r="AG147" i="3"/>
  <c r="AG230" i="3" s="1"/>
  <c r="AQ72" i="3"/>
  <c r="AG131" i="3"/>
  <c r="U132" i="3"/>
  <c r="AQ132" i="3"/>
  <c r="AG71" i="3"/>
  <c r="AP239" i="3"/>
  <c r="AG132" i="3"/>
  <c r="AQ71" i="3"/>
  <c r="AQ147" i="3"/>
  <c r="AQ230" i="3" s="1"/>
  <c r="AF147" i="3"/>
  <c r="AF230" i="3" s="1"/>
  <c r="H147" i="3"/>
  <c r="H230" i="3" s="1"/>
  <c r="I147" i="3"/>
  <c r="I230" i="3" s="1"/>
  <c r="J147" i="3"/>
  <c r="J230" i="3" s="1"/>
  <c r="L147" i="3"/>
  <c r="L230" i="3" s="1"/>
  <c r="K147" i="3"/>
  <c r="K230" i="3" s="1"/>
  <c r="X147" i="3"/>
  <c r="X230" i="3" s="1"/>
  <c r="P147" i="3"/>
  <c r="P230" i="3" s="1"/>
  <c r="AU147" i="3"/>
  <c r="AU230" i="3" s="1"/>
  <c r="AS132" i="3"/>
  <c r="U147" i="3"/>
  <c r="U230" i="3" s="1"/>
  <c r="AR131" i="3"/>
  <c r="AR132" i="3"/>
  <c r="AF131" i="3"/>
  <c r="AF228" i="3" s="1"/>
  <c r="X131" i="3"/>
  <c r="X228" i="3" s="1"/>
  <c r="P131" i="3"/>
  <c r="P228" i="3" s="1"/>
  <c r="K131" i="3"/>
  <c r="K228" i="3" s="1"/>
  <c r="J131" i="3"/>
  <c r="J228" i="3" s="1"/>
  <c r="I131" i="3"/>
  <c r="I228" i="3" s="1"/>
  <c r="H131" i="3"/>
  <c r="H228" i="3" s="1"/>
  <c r="L131" i="3"/>
  <c r="L228" i="3" s="1"/>
  <c r="AS131" i="3"/>
  <c r="AU131" i="3"/>
  <c r="AU132" i="3"/>
  <c r="AT131" i="3"/>
  <c r="AT132" i="3"/>
  <c r="AQ131" i="3"/>
  <c r="AR72" i="3"/>
  <c r="AT71" i="3"/>
  <c r="AT72" i="3"/>
  <c r="AS72" i="3"/>
  <c r="AS71" i="3"/>
  <c r="K71" i="3"/>
  <c r="P71" i="3"/>
  <c r="X71" i="3"/>
  <c r="J71" i="3"/>
  <c r="AF71" i="3"/>
  <c r="H71" i="3"/>
  <c r="I71" i="3"/>
  <c r="L71" i="3"/>
  <c r="AU72" i="3"/>
  <c r="AR71" i="3"/>
  <c r="AU71" i="3"/>
  <c r="AS147" i="3"/>
  <c r="AS230" i="3" s="1"/>
  <c r="AT147" i="3"/>
  <c r="AT230" i="3" s="1"/>
  <c r="AR147" i="3"/>
  <c r="AR230" i="3" s="1"/>
  <c r="G147" i="3"/>
  <c r="G131" i="3"/>
  <c r="G228" i="3" s="1"/>
  <c r="G71" i="3"/>
  <c r="F62" i="3"/>
  <c r="F69" i="3"/>
  <c r="R229" i="3" l="1"/>
  <c r="AI229" i="3"/>
  <c r="AA228" i="3"/>
  <c r="R228" i="3"/>
  <c r="AL238" i="3"/>
  <c r="AI239" i="3"/>
  <c r="AL239" i="3"/>
  <c r="AI238" i="3"/>
  <c r="Y240" i="3"/>
  <c r="AB229" i="3"/>
  <c r="AB239" i="3"/>
  <c r="AB238" i="3"/>
  <c r="AB240" i="3"/>
  <c r="AB241" i="3"/>
  <c r="AJ228" i="3"/>
  <c r="AA229" i="3"/>
  <c r="AA239" i="3"/>
  <c r="AA240" i="3"/>
  <c r="AA238" i="3"/>
  <c r="AA241" i="3"/>
  <c r="U240" i="3"/>
  <c r="V241" i="3"/>
  <c r="AE241" i="3"/>
  <c r="AJ238" i="3"/>
  <c r="W241" i="3"/>
  <c r="M228" i="3"/>
  <c r="M240" i="3"/>
  <c r="S229" i="3"/>
  <c r="S240" i="3"/>
  <c r="S239" i="3"/>
  <c r="S241" i="3"/>
  <c r="S238" i="3"/>
  <c r="Y241" i="3"/>
  <c r="U241" i="3"/>
  <c r="AK241" i="3"/>
  <c r="Q241" i="3"/>
  <c r="Q240" i="3"/>
  <c r="L241" i="3"/>
  <c r="L240" i="3"/>
  <c r="AK240" i="3"/>
  <c r="I240" i="3"/>
  <c r="I241" i="3"/>
  <c r="V240" i="3"/>
  <c r="AH229" i="3"/>
  <c r="H240" i="3"/>
  <c r="H241" i="3"/>
  <c r="Y228" i="3"/>
  <c r="AF240" i="3"/>
  <c r="AF241" i="3"/>
  <c r="M241" i="3"/>
  <c r="AE240" i="3"/>
  <c r="J241" i="3"/>
  <c r="J240" i="3"/>
  <c r="X241" i="3"/>
  <c r="X240" i="3"/>
  <c r="AJ241" i="3"/>
  <c r="G241" i="3"/>
  <c r="G240" i="3"/>
  <c r="AG240" i="3"/>
  <c r="AJ239" i="3"/>
  <c r="AH240" i="3"/>
  <c r="K241" i="3"/>
  <c r="K240" i="3"/>
  <c r="W240" i="3"/>
  <c r="AJ240" i="3"/>
  <c r="AH241" i="3"/>
  <c r="P238" i="3"/>
  <c r="G11" i="4" s="1"/>
  <c r="P241" i="3"/>
  <c r="P240" i="3"/>
  <c r="N241" i="3"/>
  <c r="N240" i="3"/>
  <c r="R240" i="3"/>
  <c r="R241" i="3"/>
  <c r="Z240" i="3"/>
  <c r="Z241" i="3"/>
  <c r="AG241" i="3"/>
  <c r="Z229" i="3"/>
  <c r="M229" i="3"/>
  <c r="H238" i="3"/>
  <c r="G6" i="4" s="1"/>
  <c r="Y239" i="3"/>
  <c r="N229" i="3"/>
  <c r="Q229" i="3"/>
  <c r="Q239" i="3"/>
  <c r="M238" i="3"/>
  <c r="G238" i="3"/>
  <c r="G5" i="4" s="1"/>
  <c r="Z228" i="3"/>
  <c r="Q238" i="3"/>
  <c r="R239" i="3"/>
  <c r="N238" i="3"/>
  <c r="N239" i="3"/>
  <c r="R238" i="3"/>
  <c r="Z238" i="3"/>
  <c r="M239" i="3"/>
  <c r="Z239" i="3"/>
  <c r="AE238" i="3"/>
  <c r="AE228" i="3"/>
  <c r="AE229" i="3"/>
  <c r="AE239" i="3"/>
  <c r="AH238" i="3"/>
  <c r="AQ228" i="3"/>
  <c r="AK238" i="3"/>
  <c r="AK239" i="3"/>
  <c r="Y238" i="3"/>
  <c r="Y229" i="3"/>
  <c r="U229" i="3"/>
  <c r="W238" i="3"/>
  <c r="G20" i="4" s="1"/>
  <c r="W228" i="3"/>
  <c r="V238" i="3"/>
  <c r="AH239" i="3"/>
  <c r="V228" i="3"/>
  <c r="AH228" i="3"/>
  <c r="W239" i="3"/>
  <c r="W229" i="3"/>
  <c r="V229" i="3"/>
  <c r="V239" i="3"/>
  <c r="AG229" i="3"/>
  <c r="U228" i="3"/>
  <c r="AQ229" i="3"/>
  <c r="AG228" i="3"/>
  <c r="U238" i="3"/>
  <c r="U239" i="3"/>
  <c r="AG238" i="3"/>
  <c r="G17" i="4" s="1"/>
  <c r="G16" i="4"/>
  <c r="AG239" i="3"/>
  <c r="AQ238" i="3"/>
  <c r="G21" i="4" s="1"/>
  <c r="AQ239" i="3"/>
  <c r="AS228" i="3"/>
  <c r="AF239" i="3"/>
  <c r="AT228" i="3"/>
  <c r="AU228" i="3"/>
  <c r="AS238" i="3"/>
  <c r="G23" i="4" s="1"/>
  <c r="AU239" i="3"/>
  <c r="AR228" i="3"/>
  <c r="AU238" i="3"/>
  <c r="AT239" i="3"/>
  <c r="K229" i="3"/>
  <c r="K238" i="3"/>
  <c r="G8" i="4" s="1"/>
  <c r="AS229" i="3"/>
  <c r="P229" i="3"/>
  <c r="AS239" i="3"/>
  <c r="AR229" i="3"/>
  <c r="AT238" i="3"/>
  <c r="I229" i="3"/>
  <c r="I238" i="3"/>
  <c r="G9" i="4" s="1"/>
  <c r="G229" i="3"/>
  <c r="L229" i="3"/>
  <c r="L238" i="3"/>
  <c r="G7" i="4" s="1"/>
  <c r="AT229" i="3"/>
  <c r="H229" i="3"/>
  <c r="AF229" i="3"/>
  <c r="AF238" i="3"/>
  <c r="G10" i="4" s="1"/>
  <c r="G14" i="4"/>
  <c r="AR238" i="3"/>
  <c r="G22" i="4" s="1"/>
  <c r="J238" i="3"/>
  <c r="G12" i="4" s="1"/>
  <c r="J229" i="3"/>
  <c r="AU229" i="3"/>
  <c r="X238" i="3"/>
  <c r="G13" i="4" s="1"/>
  <c r="X229" i="3"/>
  <c r="AR239" i="3"/>
  <c r="X239" i="3"/>
  <c r="P239" i="3"/>
  <c r="G230" i="3"/>
  <c r="H239" i="3"/>
  <c r="K239" i="3"/>
  <c r="L239" i="3"/>
  <c r="J239" i="3"/>
  <c r="I239" i="3"/>
  <c r="G231" i="3" l="1"/>
  <c r="G232" i="3" l="1"/>
  <c r="G239" i="3"/>
</calcChain>
</file>

<file path=xl/comments1.xml><?xml version="1.0" encoding="utf-8"?>
<comments xmlns="http://schemas.openxmlformats.org/spreadsheetml/2006/main">
  <authors>
    <author>James Burnley</author>
  </authors>
  <commentList>
    <comment ref="C4" authorId="0" shapeId="0">
      <text>
        <r>
          <rPr>
            <sz val="9"/>
            <color indexed="81"/>
            <rFont val="Tahoma"/>
            <family val="2"/>
          </rPr>
          <t>Mode Up/Deliver plan etc.</t>
        </r>
      </text>
    </comment>
    <comment ref="M6" authorId="0" shapeId="0">
      <text>
        <r>
          <rPr>
            <b/>
            <sz val="9"/>
            <color indexed="81"/>
            <rFont val="Tahoma"/>
            <family val="2"/>
          </rPr>
          <t>James Burnley:</t>
        </r>
        <r>
          <rPr>
            <sz val="9"/>
            <color indexed="81"/>
            <rFont val="Tahoma"/>
            <family val="2"/>
          </rPr>
          <t xml:space="preserve">
14/1/26</t>
        </r>
      </text>
    </comment>
    <comment ref="Z6" authorId="0" shapeId="0">
      <text>
        <r>
          <rPr>
            <b/>
            <sz val="9"/>
            <color indexed="81"/>
            <rFont val="Tahoma"/>
            <family val="2"/>
          </rPr>
          <t>James Burnley:</t>
        </r>
        <r>
          <rPr>
            <sz val="9"/>
            <color indexed="81"/>
            <rFont val="Tahoma"/>
            <family val="2"/>
          </rPr>
          <t xml:space="preserve">
16-09-25</t>
        </r>
      </text>
    </comment>
    <comment ref="M8" authorId="0" shapeId="0">
      <text>
        <r>
          <rPr>
            <b/>
            <sz val="9"/>
            <color indexed="81"/>
            <rFont val="Tahoma"/>
            <family val="2"/>
          </rPr>
          <t>James Burnley:</t>
        </r>
        <r>
          <rPr>
            <sz val="9"/>
            <color indexed="81"/>
            <rFont val="Tahoma"/>
            <family val="2"/>
          </rPr>
          <t xml:space="preserve">
14/1/26</t>
        </r>
      </text>
    </comment>
    <comment ref="M11" authorId="0" shapeId="0">
      <text>
        <r>
          <rPr>
            <b/>
            <sz val="9"/>
            <color indexed="81"/>
            <rFont val="Tahoma"/>
            <family val="2"/>
          </rPr>
          <t>James Burnley:</t>
        </r>
        <r>
          <rPr>
            <sz val="9"/>
            <color indexed="81"/>
            <rFont val="Tahoma"/>
            <family val="2"/>
          </rPr>
          <t xml:space="preserve">
14/1/26</t>
        </r>
      </text>
    </comment>
    <comment ref="C16" authorId="0" shapeId="0">
      <text>
        <r>
          <rPr>
            <sz val="9"/>
            <color indexed="81"/>
            <rFont val="Tahoma"/>
            <family val="2"/>
          </rPr>
          <t>Crosswire and front pointer
Lasers
Optical Field Size
Gantry Sag
Couch Scale and Position
6DoF Couch</t>
        </r>
        <r>
          <rPr>
            <b/>
            <sz val="9"/>
            <color indexed="81"/>
            <rFont val="Tahoma"/>
            <family val="2"/>
          </rPr>
          <t xml:space="preserve">
</t>
        </r>
      </text>
    </comment>
    <comment ref="M16" authorId="0" shapeId="0">
      <text>
        <r>
          <rPr>
            <b/>
            <sz val="9"/>
            <color indexed="81"/>
            <rFont val="Tahoma"/>
            <family val="2"/>
          </rPr>
          <t>James Burnley:</t>
        </r>
        <r>
          <rPr>
            <sz val="9"/>
            <color indexed="81"/>
            <rFont val="Tahoma"/>
            <family val="2"/>
          </rPr>
          <t xml:space="preserve">
14/1/26</t>
        </r>
      </text>
    </comment>
    <comment ref="Z16" authorId="0" shapeId="0">
      <text>
        <r>
          <rPr>
            <b/>
            <sz val="9"/>
            <color indexed="81"/>
            <rFont val="Tahoma"/>
            <family val="2"/>
          </rPr>
          <t>James Burnley:</t>
        </r>
        <r>
          <rPr>
            <sz val="9"/>
            <color indexed="81"/>
            <rFont val="Tahoma"/>
            <family val="2"/>
          </rPr>
          <t xml:space="preserve">
16-09-25</t>
        </r>
      </text>
    </comment>
    <comment ref="M18" authorId="0" shapeId="0">
      <text>
        <r>
          <rPr>
            <b/>
            <sz val="9"/>
            <color indexed="81"/>
            <rFont val="Tahoma"/>
            <family val="2"/>
          </rPr>
          <t>James Burnley:</t>
        </r>
        <r>
          <rPr>
            <sz val="9"/>
            <color indexed="81"/>
            <rFont val="Tahoma"/>
            <family val="2"/>
          </rPr>
          <t xml:space="preserve">
14/1/26</t>
        </r>
      </text>
    </comment>
    <comment ref="Z18" authorId="0" shapeId="0">
      <text>
        <r>
          <rPr>
            <b/>
            <sz val="9"/>
            <color indexed="81"/>
            <rFont val="Tahoma"/>
            <family val="2"/>
          </rPr>
          <t>James Burnley:</t>
        </r>
        <r>
          <rPr>
            <sz val="9"/>
            <color indexed="81"/>
            <rFont val="Tahoma"/>
            <family val="2"/>
          </rPr>
          <t xml:space="preserve">
16-09-25</t>
        </r>
      </text>
    </comment>
    <comment ref="AB18" authorId="0" shapeId="0">
      <text>
        <r>
          <rPr>
            <b/>
            <sz val="9"/>
            <color indexed="81"/>
            <rFont val="Tahoma"/>
            <family val="2"/>
          </rPr>
          <t>James Burnley:</t>
        </r>
        <r>
          <rPr>
            <sz val="9"/>
            <color indexed="81"/>
            <rFont val="Tahoma"/>
            <family val="2"/>
          </rPr>
          <t xml:space="preserve">
11/3/26</t>
        </r>
      </text>
    </comment>
    <comment ref="C20" authorId="0" shapeId="0">
      <text>
        <r>
          <rPr>
            <sz val="9"/>
            <color indexed="81"/>
            <rFont val="Tahoma"/>
            <family val="2"/>
          </rPr>
          <t>Photon Flatness &amp; Symmetry
FFF Symmetry
FFF Profiles</t>
        </r>
      </text>
    </comment>
    <comment ref="C22" authorId="0" shapeId="0">
      <text>
        <r>
          <rPr>
            <sz val="9"/>
            <color indexed="81"/>
            <rFont val="Tahoma"/>
            <family val="2"/>
          </rPr>
          <t>Electron Flatness &amp; Symmetry</t>
        </r>
      </text>
    </comment>
    <comment ref="Z22" authorId="0" shapeId="0">
      <text>
        <r>
          <rPr>
            <b/>
            <sz val="9"/>
            <color indexed="81"/>
            <rFont val="Tahoma"/>
            <family val="2"/>
          </rPr>
          <t>James Burnley:</t>
        </r>
        <r>
          <rPr>
            <sz val="9"/>
            <color indexed="81"/>
            <rFont val="Tahoma"/>
            <family val="2"/>
          </rPr>
          <t xml:space="preserve">
16-09-25</t>
        </r>
      </text>
    </comment>
    <comment ref="C24" authorId="0" shapeId="0">
      <text>
        <r>
          <rPr>
            <sz val="9"/>
            <color indexed="81"/>
            <rFont val="Tahoma"/>
            <family val="2"/>
          </rPr>
          <t xml:space="preserve">Isocentre Verification
2D-2D Match
2D 3D Match
3D 3D Match
Field Analysis kV
</t>
        </r>
      </text>
    </comment>
    <comment ref="M24" authorId="0" shapeId="0">
      <text>
        <r>
          <rPr>
            <b/>
            <sz val="9"/>
            <color indexed="81"/>
            <rFont val="Tahoma"/>
            <family val="2"/>
          </rPr>
          <t>James Burnley:</t>
        </r>
        <r>
          <rPr>
            <sz val="9"/>
            <color indexed="81"/>
            <rFont val="Tahoma"/>
            <family val="2"/>
          </rPr>
          <t xml:space="preserve">
14/1/26</t>
        </r>
      </text>
    </comment>
    <comment ref="Z24" authorId="0" shapeId="0">
      <text>
        <r>
          <rPr>
            <b/>
            <sz val="9"/>
            <color indexed="81"/>
            <rFont val="Tahoma"/>
            <family val="2"/>
          </rPr>
          <t>James Burnley:</t>
        </r>
        <r>
          <rPr>
            <sz val="9"/>
            <color indexed="81"/>
            <rFont val="Tahoma"/>
            <family val="2"/>
          </rPr>
          <t xml:space="preserve">
16-09-25</t>
        </r>
      </text>
    </comment>
    <comment ref="AB24" authorId="0" shapeId="0">
      <text>
        <r>
          <rPr>
            <b/>
            <sz val="9"/>
            <color indexed="81"/>
            <rFont val="Tahoma"/>
            <family val="2"/>
          </rPr>
          <t>James Burnley:</t>
        </r>
        <r>
          <rPr>
            <sz val="9"/>
            <color indexed="81"/>
            <rFont val="Tahoma"/>
            <family val="2"/>
          </rPr>
          <t xml:space="preserve">
11/3/26</t>
        </r>
      </text>
    </comment>
    <comment ref="C26" authorId="0" shapeId="0">
      <text>
        <r>
          <rPr>
            <sz val="9"/>
            <color indexed="81"/>
            <rFont val="Tahoma"/>
            <family val="2"/>
          </rPr>
          <t>Photon outputs (inc FFF)
Photon Energy (QI)</t>
        </r>
      </text>
    </comment>
    <comment ref="C28" authorId="0" shapeId="0">
      <text>
        <r>
          <rPr>
            <sz val="9"/>
            <color indexed="81"/>
            <rFont val="Tahoma"/>
            <family val="2"/>
          </rPr>
          <t>Electron outputs
Electron energy with profiler</t>
        </r>
      </text>
    </comment>
    <comment ref="M28" authorId="0" shapeId="0">
      <text>
        <r>
          <rPr>
            <b/>
            <sz val="9"/>
            <color indexed="81"/>
            <rFont val="Tahoma"/>
            <family val="2"/>
          </rPr>
          <t>James Burnley:</t>
        </r>
        <r>
          <rPr>
            <sz val="9"/>
            <color indexed="81"/>
            <rFont val="Tahoma"/>
            <family val="2"/>
          </rPr>
          <t xml:space="preserve">
14/1/26</t>
        </r>
      </text>
    </comment>
    <comment ref="Z28" authorId="0" shapeId="0">
      <text>
        <r>
          <rPr>
            <b/>
            <sz val="9"/>
            <color indexed="81"/>
            <rFont val="Tahoma"/>
            <family val="2"/>
          </rPr>
          <t>James Burnley:</t>
        </r>
        <r>
          <rPr>
            <sz val="9"/>
            <color indexed="81"/>
            <rFont val="Tahoma"/>
            <family val="2"/>
          </rPr>
          <t xml:space="preserve">
16-09-25</t>
        </r>
      </text>
    </comment>
    <comment ref="C30" authorId="0" shapeId="0">
      <text>
        <r>
          <rPr>
            <sz val="9"/>
            <color indexed="81"/>
            <rFont val="Tahoma"/>
            <family val="2"/>
          </rPr>
          <t xml:space="preserve">EDW (Profiller)
Assymetry (Profiler)
Wedge Factors
</t>
        </r>
      </text>
    </comment>
    <comment ref="M30" authorId="0" shapeId="0">
      <text>
        <r>
          <rPr>
            <b/>
            <sz val="9"/>
            <color indexed="81"/>
            <rFont val="Tahoma"/>
            <family val="2"/>
          </rPr>
          <t>James Burnley:</t>
        </r>
        <r>
          <rPr>
            <sz val="9"/>
            <color indexed="81"/>
            <rFont val="Tahoma"/>
            <family val="2"/>
          </rPr>
          <t xml:space="preserve">
14/1/26</t>
        </r>
      </text>
    </comment>
    <comment ref="Z30" authorId="0" shapeId="0">
      <text>
        <r>
          <rPr>
            <b/>
            <sz val="9"/>
            <color indexed="81"/>
            <rFont val="Tahoma"/>
            <family val="2"/>
          </rPr>
          <t>James Burnley:</t>
        </r>
        <r>
          <rPr>
            <sz val="9"/>
            <color indexed="81"/>
            <rFont val="Tahoma"/>
            <family val="2"/>
          </rPr>
          <t xml:space="preserve">
16-09-25</t>
        </r>
      </text>
    </comment>
    <comment ref="AB30" authorId="0" shapeId="0">
      <text>
        <r>
          <rPr>
            <b/>
            <sz val="9"/>
            <color indexed="81"/>
            <rFont val="Tahoma"/>
            <family val="2"/>
          </rPr>
          <t>James Burnley:</t>
        </r>
        <r>
          <rPr>
            <sz val="9"/>
            <color indexed="81"/>
            <rFont val="Tahoma"/>
            <family val="2"/>
          </rPr>
          <t xml:space="preserve">
11/3/26</t>
        </r>
      </text>
    </comment>
    <comment ref="C32" authorId="0" shapeId="0">
      <text>
        <r>
          <rPr>
            <sz val="9"/>
            <color indexed="81"/>
            <rFont val="Tahoma"/>
            <family val="2"/>
          </rPr>
          <t>Leaf Speed
Gravity Test
RapidArc</t>
        </r>
      </text>
    </comment>
    <comment ref="M32" authorId="0" shapeId="0">
      <text>
        <r>
          <rPr>
            <b/>
            <sz val="9"/>
            <color indexed="81"/>
            <rFont val="Tahoma"/>
            <family val="2"/>
          </rPr>
          <t>James Burnley:</t>
        </r>
        <r>
          <rPr>
            <sz val="9"/>
            <color indexed="81"/>
            <rFont val="Tahoma"/>
            <family val="2"/>
          </rPr>
          <t xml:space="preserve">
14/1/26</t>
        </r>
      </text>
    </comment>
    <comment ref="Z32" authorId="0" shapeId="0">
      <text>
        <r>
          <rPr>
            <b/>
            <sz val="9"/>
            <color indexed="81"/>
            <rFont val="Tahoma"/>
            <family val="2"/>
          </rPr>
          <t>James Burnley:</t>
        </r>
        <r>
          <rPr>
            <sz val="9"/>
            <color indexed="81"/>
            <rFont val="Tahoma"/>
            <family val="2"/>
          </rPr>
          <t xml:space="preserve">
16-09-25</t>
        </r>
      </text>
    </comment>
    <comment ref="M34" authorId="0" shapeId="0">
      <text>
        <r>
          <rPr>
            <b/>
            <sz val="9"/>
            <color indexed="81"/>
            <rFont val="Tahoma"/>
            <family val="2"/>
          </rPr>
          <t>James Burnley:</t>
        </r>
        <r>
          <rPr>
            <sz val="9"/>
            <color indexed="81"/>
            <rFont val="Tahoma"/>
            <family val="2"/>
          </rPr>
          <t xml:space="preserve">
14/1/26</t>
        </r>
      </text>
    </comment>
    <comment ref="AB34" authorId="0" shapeId="0">
      <text>
        <r>
          <rPr>
            <b/>
            <sz val="9"/>
            <color indexed="81"/>
            <rFont val="Tahoma"/>
            <family val="2"/>
          </rPr>
          <t>James Burnley:</t>
        </r>
        <r>
          <rPr>
            <sz val="9"/>
            <color indexed="81"/>
            <rFont val="Tahoma"/>
            <family val="2"/>
          </rPr>
          <t xml:space="preserve">
11/3/26</t>
        </r>
      </text>
    </comment>
    <comment ref="C36" authorId="0" shapeId="0">
      <text>
        <r>
          <rPr>
            <sz val="9"/>
            <color indexed="81"/>
            <rFont val="Tahoma"/>
            <family val="2"/>
          </rPr>
          <t>Delta4 Patient
Delta4 Standard</t>
        </r>
      </text>
    </comment>
    <comment ref="M36" authorId="0" shapeId="0">
      <text>
        <r>
          <rPr>
            <b/>
            <sz val="9"/>
            <color indexed="81"/>
            <rFont val="Tahoma"/>
            <family val="2"/>
          </rPr>
          <t>James Burnley:</t>
        </r>
        <r>
          <rPr>
            <sz val="9"/>
            <color indexed="81"/>
            <rFont val="Tahoma"/>
            <family val="2"/>
          </rPr>
          <t xml:space="preserve">
14/1/26</t>
        </r>
      </text>
    </comment>
    <comment ref="C39" authorId="0" shapeId="0">
      <text>
        <r>
          <rPr>
            <sz val="9"/>
            <color indexed="81"/>
            <rFont val="Tahoma"/>
            <family val="2"/>
          </rPr>
          <t>Mechanical Isocentre
MLC Skew &amp; Bank Movement
MLC Gravity</t>
        </r>
      </text>
    </comment>
    <comment ref="Z39" authorId="0" shapeId="0">
      <text>
        <r>
          <rPr>
            <b/>
            <sz val="9"/>
            <color indexed="81"/>
            <rFont val="Tahoma"/>
            <family val="2"/>
          </rPr>
          <t>James Burnley:</t>
        </r>
        <r>
          <rPr>
            <sz val="9"/>
            <color indexed="81"/>
            <rFont val="Tahoma"/>
            <family val="2"/>
          </rPr>
          <t xml:space="preserve">
16-09-25</t>
        </r>
      </text>
    </comment>
    <comment ref="AB39" authorId="0" shapeId="0">
      <text>
        <r>
          <rPr>
            <b/>
            <sz val="9"/>
            <color indexed="81"/>
            <rFont val="Tahoma"/>
            <family val="2"/>
          </rPr>
          <t>James Burnley:</t>
        </r>
        <r>
          <rPr>
            <sz val="9"/>
            <color indexed="81"/>
            <rFont val="Tahoma"/>
            <family val="2"/>
          </rPr>
          <t xml:space="preserve">
11/3/26</t>
        </r>
      </text>
    </comment>
    <comment ref="C41" authorId="0" shapeId="0">
      <text>
        <r>
          <rPr>
            <sz val="9"/>
            <color indexed="81"/>
            <rFont val="Tahoma"/>
            <family val="2"/>
          </rPr>
          <t xml:space="preserve">Imager Calibrations
IsoCal
CBCT Image Quality
EPID PIPS
EPID Swivelly
</t>
        </r>
      </text>
    </comment>
    <comment ref="Z41" authorId="0" shapeId="0">
      <text>
        <r>
          <rPr>
            <b/>
            <sz val="9"/>
            <color indexed="81"/>
            <rFont val="Tahoma"/>
            <family val="2"/>
          </rPr>
          <t>James Burnley:</t>
        </r>
        <r>
          <rPr>
            <sz val="9"/>
            <color indexed="81"/>
            <rFont val="Tahoma"/>
            <family val="2"/>
          </rPr>
          <t xml:space="preserve">
16-09-25</t>
        </r>
      </text>
    </comment>
    <comment ref="AB41" authorId="0" shapeId="0">
      <text>
        <r>
          <rPr>
            <b/>
            <sz val="9"/>
            <color indexed="81"/>
            <rFont val="Tahoma"/>
            <family val="2"/>
          </rPr>
          <t>James Burnley:</t>
        </r>
        <r>
          <rPr>
            <sz val="9"/>
            <color indexed="81"/>
            <rFont val="Tahoma"/>
            <family val="2"/>
          </rPr>
          <t xml:space="preserve">
11/3/26</t>
        </r>
      </text>
    </comment>
    <comment ref="C43" authorId="0" shapeId="0">
      <text>
        <r>
          <rPr>
            <sz val="9"/>
            <color indexed="81"/>
            <rFont val="Tahoma"/>
            <family val="2"/>
          </rPr>
          <t>Master diode calibration</t>
        </r>
      </text>
    </comment>
    <comment ref="Z43" authorId="0" shapeId="0">
      <text>
        <r>
          <rPr>
            <b/>
            <sz val="9"/>
            <color indexed="81"/>
            <rFont val="Tahoma"/>
            <family val="2"/>
          </rPr>
          <t>James Burnley:</t>
        </r>
        <r>
          <rPr>
            <sz val="9"/>
            <color indexed="81"/>
            <rFont val="Tahoma"/>
            <family val="2"/>
          </rPr>
          <t xml:space="preserve">
16-09-25</t>
        </r>
      </text>
    </comment>
    <comment ref="AB43" authorId="0" shapeId="0">
      <text>
        <r>
          <rPr>
            <b/>
            <sz val="9"/>
            <color indexed="81"/>
            <rFont val="Tahoma"/>
            <family val="2"/>
          </rPr>
          <t>James Burnley:</t>
        </r>
        <r>
          <rPr>
            <sz val="9"/>
            <color indexed="81"/>
            <rFont val="Tahoma"/>
            <family val="2"/>
          </rPr>
          <t xml:space="preserve">
11/3/26</t>
        </r>
      </text>
    </comment>
    <comment ref="AE43" authorId="0" shapeId="0">
      <text>
        <r>
          <rPr>
            <b/>
            <sz val="9"/>
            <color indexed="81"/>
            <rFont val="Tahoma"/>
            <family val="2"/>
          </rPr>
          <t>James Burnley:</t>
        </r>
        <r>
          <rPr>
            <sz val="9"/>
            <color indexed="81"/>
            <rFont val="Tahoma"/>
            <family val="2"/>
          </rPr>
          <t xml:space="preserve">
1/8/25</t>
        </r>
      </text>
    </comment>
    <comment ref="C45" authorId="0" shapeId="0">
      <text>
        <r>
          <rPr>
            <sz val="9"/>
            <color indexed="81"/>
            <rFont val="Tahoma"/>
            <family val="2"/>
          </rPr>
          <t>Gating breathing trace</t>
        </r>
      </text>
    </comment>
    <comment ref="Z45" authorId="0" shapeId="0">
      <text>
        <r>
          <rPr>
            <b/>
            <sz val="9"/>
            <color indexed="81"/>
            <rFont val="Tahoma"/>
            <family val="2"/>
          </rPr>
          <t>James Burnley:</t>
        </r>
        <r>
          <rPr>
            <sz val="9"/>
            <color indexed="81"/>
            <rFont val="Tahoma"/>
            <family val="2"/>
          </rPr>
          <t xml:space="preserve">
16-09-25</t>
        </r>
      </text>
    </comment>
    <comment ref="AB45" authorId="0" shapeId="0">
      <text>
        <r>
          <rPr>
            <b/>
            <sz val="9"/>
            <color indexed="81"/>
            <rFont val="Tahoma"/>
            <family val="2"/>
          </rPr>
          <t>James Burnley:</t>
        </r>
        <r>
          <rPr>
            <sz val="9"/>
            <color indexed="81"/>
            <rFont val="Tahoma"/>
            <family val="2"/>
          </rPr>
          <t xml:space="preserve">
11/3/26</t>
        </r>
      </text>
    </comment>
    <comment ref="AE45" authorId="0" shapeId="0">
      <text>
        <r>
          <rPr>
            <b/>
            <sz val="9"/>
            <color indexed="81"/>
            <rFont val="Tahoma"/>
            <family val="2"/>
          </rPr>
          <t>James Burnley:</t>
        </r>
        <r>
          <rPr>
            <sz val="9"/>
            <color indexed="81"/>
            <rFont val="Tahoma"/>
            <family val="2"/>
          </rPr>
          <t xml:space="preserve">
1/8/25</t>
        </r>
      </text>
    </comment>
    <comment ref="C48" authorId="0" shapeId="0">
      <text>
        <r>
          <rPr>
            <sz val="9"/>
            <color indexed="81"/>
            <rFont val="Tahoma"/>
            <family val="2"/>
          </rPr>
          <t>Couch Deflection Under Load</t>
        </r>
      </text>
    </comment>
    <comment ref="AB48" authorId="0" shapeId="0">
      <text>
        <r>
          <rPr>
            <b/>
            <sz val="9"/>
            <color indexed="81"/>
            <rFont val="Tahoma"/>
            <family val="2"/>
          </rPr>
          <t>James Burnley:</t>
        </r>
        <r>
          <rPr>
            <sz val="9"/>
            <color indexed="81"/>
            <rFont val="Tahoma"/>
            <family val="2"/>
          </rPr>
          <t xml:space="preserve">
11/3/26</t>
        </r>
      </text>
    </comment>
    <comment ref="C50" authorId="0" shapeId="0">
      <text>
        <r>
          <rPr>
            <b/>
            <sz val="9"/>
            <color indexed="81"/>
            <rFont val="Tahoma"/>
            <family val="2"/>
          </rPr>
          <t>Dose in water</t>
        </r>
      </text>
    </comment>
    <comment ref="AB50" authorId="0" shapeId="0">
      <text>
        <r>
          <rPr>
            <b/>
            <sz val="9"/>
            <color indexed="81"/>
            <rFont val="Tahoma"/>
            <family val="2"/>
          </rPr>
          <t>James Burnley:</t>
        </r>
        <r>
          <rPr>
            <sz val="9"/>
            <color indexed="81"/>
            <rFont val="Tahoma"/>
            <family val="2"/>
          </rPr>
          <t xml:space="preserve">
11/3/26</t>
        </r>
      </text>
    </comment>
    <comment ref="C52" authorId="0" shapeId="0">
      <text>
        <r>
          <rPr>
            <b/>
            <sz val="9"/>
            <color indexed="81"/>
            <rFont val="Tahoma"/>
            <family val="2"/>
          </rPr>
          <t>Dose in water</t>
        </r>
      </text>
    </comment>
    <comment ref="C54" authorId="0" shapeId="0">
      <text>
        <r>
          <rPr>
            <sz val="9"/>
            <color indexed="81"/>
            <rFont val="Tahoma"/>
            <family val="2"/>
          </rPr>
          <t>Gantry Spoke
Couch Spoke
MLC Spoke
Collimator Spoke</t>
        </r>
      </text>
    </comment>
    <comment ref="C56" authorId="0" shapeId="0">
      <text>
        <r>
          <rPr>
            <sz val="9"/>
            <color indexed="81"/>
            <rFont val="Tahoma"/>
            <family val="2"/>
          </rPr>
          <t>Gantry Spoke
Couch Spoke
MLC Spoke
Collimator Spoke</t>
        </r>
      </text>
    </comment>
    <comment ref="AB56" authorId="0" shapeId="0">
      <text>
        <r>
          <rPr>
            <b/>
            <sz val="9"/>
            <color indexed="81"/>
            <rFont val="Tahoma"/>
            <family val="2"/>
          </rPr>
          <t>James Burnley:</t>
        </r>
        <r>
          <rPr>
            <sz val="9"/>
            <color indexed="81"/>
            <rFont val="Tahoma"/>
            <family val="2"/>
          </rPr>
          <t xml:space="preserve">
11/3/26</t>
        </r>
      </text>
    </comment>
    <comment ref="C58" authorId="0" shapeId="0">
      <text>
        <r>
          <rPr>
            <sz val="9"/>
            <color indexed="81"/>
            <rFont val="Tahoma"/>
            <family val="2"/>
          </rPr>
          <t>Gantry Spoke
Couch Spoke
MLC Spoke
Collimator Spoke</t>
        </r>
      </text>
    </comment>
    <comment ref="AB58" authorId="0" shapeId="0">
      <text>
        <r>
          <rPr>
            <b/>
            <sz val="9"/>
            <color indexed="81"/>
            <rFont val="Tahoma"/>
            <family val="2"/>
          </rPr>
          <t>James Burnley:</t>
        </r>
        <r>
          <rPr>
            <sz val="9"/>
            <color indexed="81"/>
            <rFont val="Tahoma"/>
            <family val="2"/>
          </rPr>
          <t xml:space="preserve">
11/3/26</t>
        </r>
      </text>
    </comment>
    <comment ref="C60" authorId="0" shapeId="0">
      <text>
        <r>
          <rPr>
            <sz val="9"/>
            <color indexed="81"/>
            <rFont val="Tahoma"/>
            <family val="2"/>
          </rPr>
          <t xml:space="preserve">Optics Vs Radiation (Prep + Analyze)
</t>
        </r>
      </text>
    </comment>
    <comment ref="Z60" authorId="0" shapeId="0">
      <text>
        <r>
          <rPr>
            <b/>
            <sz val="9"/>
            <color indexed="81"/>
            <rFont val="Tahoma"/>
            <family val="2"/>
          </rPr>
          <t>James Burnley:</t>
        </r>
        <r>
          <rPr>
            <sz val="9"/>
            <color indexed="81"/>
            <rFont val="Tahoma"/>
            <family val="2"/>
          </rPr>
          <t xml:space="preserve">
16-09-25</t>
        </r>
      </text>
    </comment>
    <comment ref="C74" authorId="0" shapeId="0">
      <text>
        <r>
          <rPr>
            <sz val="9"/>
            <color indexed="81"/>
            <rFont val="Tahoma"/>
            <family val="2"/>
          </rPr>
          <t>Mode Up/Deliver plan etc.</t>
        </r>
      </text>
    </comment>
    <comment ref="C85" authorId="0" shapeId="0">
      <text>
        <r>
          <rPr>
            <sz val="9"/>
            <color indexed="81"/>
            <rFont val="Tahoma"/>
            <family val="2"/>
          </rPr>
          <t>Identify Daily QA</t>
        </r>
      </text>
    </comment>
    <comment ref="C88" authorId="0" shapeId="0">
      <text>
        <r>
          <rPr>
            <sz val="9"/>
            <color indexed="81"/>
            <rFont val="Tahoma"/>
            <family val="2"/>
          </rPr>
          <t>Lasers
Couch Scale and Position
Collimator Rotation</t>
        </r>
      </text>
    </comment>
    <comment ref="Z88" authorId="0" shapeId="0">
      <text>
        <r>
          <rPr>
            <b/>
            <sz val="9"/>
            <color indexed="81"/>
            <rFont val="Tahoma"/>
            <family val="2"/>
          </rPr>
          <t>James Burnley:</t>
        </r>
        <r>
          <rPr>
            <sz val="9"/>
            <color indexed="81"/>
            <rFont val="Tahoma"/>
            <family val="2"/>
          </rPr>
          <t xml:space="preserve">
16-09-25</t>
        </r>
      </text>
    </comment>
    <comment ref="C90" authorId="0" shapeId="0">
      <text>
        <r>
          <rPr>
            <sz val="9"/>
            <color indexed="81"/>
            <rFont val="Tahoma"/>
            <family val="2"/>
          </rPr>
          <t>Imager Calibrations
3D 3D Match
MV and kV Isocentre Verification
CBCT Image Quality</t>
        </r>
      </text>
    </comment>
    <comment ref="Z92" authorId="0" shapeId="0">
      <text>
        <r>
          <rPr>
            <b/>
            <sz val="9"/>
            <color indexed="81"/>
            <rFont val="Tahoma"/>
            <family val="2"/>
          </rPr>
          <t>James Burnley:</t>
        </r>
        <r>
          <rPr>
            <sz val="9"/>
            <color indexed="81"/>
            <rFont val="Tahoma"/>
            <family val="2"/>
          </rPr>
          <t xml:space="preserve">
16-09-25</t>
        </r>
      </text>
    </comment>
    <comment ref="C96" authorId="0" shapeId="0">
      <text>
        <r>
          <rPr>
            <sz val="9"/>
            <color indexed="81"/>
            <rFont val="Tahoma"/>
            <family val="2"/>
          </rPr>
          <t>Dose Rate Gantry Speed/MLC Speed
Rapid Arc/Garden Fence</t>
        </r>
      </text>
    </comment>
    <comment ref="Z96" authorId="0" shapeId="0">
      <text>
        <r>
          <rPr>
            <b/>
            <sz val="9"/>
            <color indexed="81"/>
            <rFont val="Tahoma"/>
            <family val="2"/>
          </rPr>
          <t>James Burnley:</t>
        </r>
        <r>
          <rPr>
            <sz val="9"/>
            <color indexed="81"/>
            <rFont val="Tahoma"/>
            <family val="2"/>
          </rPr>
          <t xml:space="preserve">
16-09-25</t>
        </r>
      </text>
    </comment>
    <comment ref="C98" authorId="0" shapeId="0">
      <text>
        <r>
          <rPr>
            <sz val="9"/>
            <color indexed="81"/>
            <rFont val="Tahoma"/>
            <family val="2"/>
          </rPr>
          <t>Outputs
MPC (Monthly)
Backup timer and MU Counter</t>
        </r>
      </text>
    </comment>
    <comment ref="AB100" authorId="0" shapeId="0">
      <text>
        <r>
          <rPr>
            <b/>
            <sz val="9"/>
            <color indexed="81"/>
            <rFont val="Tahoma"/>
            <family val="2"/>
          </rPr>
          <t>James Burnley:</t>
        </r>
        <r>
          <rPr>
            <sz val="9"/>
            <color indexed="81"/>
            <rFont val="Tahoma"/>
            <family val="2"/>
          </rPr>
          <t xml:space="preserve">
11/3/26</t>
        </r>
      </text>
    </comment>
    <comment ref="AB102" authorId="0" shapeId="0">
      <text>
        <r>
          <rPr>
            <b/>
            <sz val="9"/>
            <color indexed="81"/>
            <rFont val="Tahoma"/>
            <family val="2"/>
          </rPr>
          <t>James Burnley:</t>
        </r>
        <r>
          <rPr>
            <sz val="9"/>
            <color indexed="81"/>
            <rFont val="Tahoma"/>
            <family val="2"/>
          </rPr>
          <t xml:space="preserve">
11/3/26</t>
        </r>
      </text>
    </comment>
    <comment ref="AF104" authorId="0" shapeId="0">
      <text>
        <r>
          <rPr>
            <b/>
            <sz val="9"/>
            <color indexed="81"/>
            <rFont val="Tahoma"/>
            <family val="2"/>
          </rPr>
          <t>James Burnley:</t>
        </r>
        <r>
          <rPr>
            <sz val="9"/>
            <color indexed="81"/>
            <rFont val="Tahoma"/>
            <family val="2"/>
          </rPr>
          <t xml:space="preserve">
1/5/25</t>
        </r>
      </text>
    </comment>
    <comment ref="C105" authorId="0" shapeId="0">
      <text>
        <r>
          <rPr>
            <sz val="9"/>
            <color indexed="81"/>
            <rFont val="Tahoma"/>
            <family val="2"/>
          </rPr>
          <t>EPID Image Size (Swivelly)
Field Analysis kV
PIPS</t>
        </r>
      </text>
    </comment>
    <comment ref="M105" authorId="0" shapeId="0">
      <text>
        <r>
          <rPr>
            <b/>
            <sz val="9"/>
            <color indexed="81"/>
            <rFont val="Tahoma"/>
            <family val="2"/>
          </rPr>
          <t>James Burnley:</t>
        </r>
        <r>
          <rPr>
            <sz val="9"/>
            <color indexed="81"/>
            <rFont val="Tahoma"/>
            <family val="2"/>
          </rPr>
          <t xml:space="preserve">
14/1/26</t>
        </r>
      </text>
    </comment>
    <comment ref="M107" authorId="0" shapeId="0">
      <text>
        <r>
          <rPr>
            <b/>
            <sz val="9"/>
            <color indexed="81"/>
            <rFont val="Tahoma"/>
            <family val="2"/>
          </rPr>
          <t>James Burnley:</t>
        </r>
        <r>
          <rPr>
            <sz val="9"/>
            <color indexed="81"/>
            <rFont val="Tahoma"/>
            <family val="2"/>
          </rPr>
          <t xml:space="preserve">
14/1/26</t>
        </r>
      </text>
    </comment>
    <comment ref="M109" authorId="0" shapeId="0">
      <text>
        <r>
          <rPr>
            <b/>
            <sz val="9"/>
            <color indexed="81"/>
            <rFont val="Tahoma"/>
            <family val="2"/>
          </rPr>
          <t>James Burnley:</t>
        </r>
        <r>
          <rPr>
            <sz val="9"/>
            <color indexed="81"/>
            <rFont val="Tahoma"/>
            <family val="2"/>
          </rPr>
          <t xml:space="preserve">
14/1/26</t>
        </r>
      </text>
    </comment>
    <comment ref="M111" authorId="0" shapeId="0">
      <text>
        <r>
          <rPr>
            <b/>
            <sz val="9"/>
            <color indexed="81"/>
            <rFont val="Tahoma"/>
            <family val="2"/>
          </rPr>
          <t>James Burnley:</t>
        </r>
        <r>
          <rPr>
            <sz val="9"/>
            <color indexed="81"/>
            <rFont val="Tahoma"/>
            <family val="2"/>
          </rPr>
          <t xml:space="preserve">
14/1/26</t>
        </r>
      </text>
    </comment>
    <comment ref="Z111" authorId="0" shapeId="0">
      <text>
        <r>
          <rPr>
            <b/>
            <sz val="9"/>
            <color indexed="81"/>
            <rFont val="Tahoma"/>
            <family val="2"/>
          </rPr>
          <t>James Burnley:</t>
        </r>
        <r>
          <rPr>
            <sz val="9"/>
            <color indexed="81"/>
            <rFont val="Tahoma"/>
            <family val="2"/>
          </rPr>
          <t xml:space="preserve">
16-09-25</t>
        </r>
      </text>
    </comment>
    <comment ref="M113" authorId="0" shapeId="0">
      <text>
        <r>
          <rPr>
            <b/>
            <sz val="9"/>
            <color indexed="81"/>
            <rFont val="Tahoma"/>
            <family val="2"/>
          </rPr>
          <t>James Burnley:</t>
        </r>
        <r>
          <rPr>
            <sz val="9"/>
            <color indexed="81"/>
            <rFont val="Tahoma"/>
            <family val="2"/>
          </rPr>
          <t xml:space="preserve">
14/1/26</t>
        </r>
      </text>
    </comment>
    <comment ref="C116" authorId="0" shapeId="0">
      <text>
        <r>
          <rPr>
            <sz val="9"/>
            <color indexed="81"/>
            <rFont val="Tahoma"/>
            <family val="2"/>
          </rPr>
          <t>Gantry Spoke
MLC Spoke</t>
        </r>
      </text>
    </comment>
    <comment ref="AG116" authorId="0" shapeId="0">
      <text>
        <r>
          <rPr>
            <b/>
            <sz val="9"/>
            <color indexed="81"/>
            <rFont val="Tahoma"/>
            <family val="2"/>
          </rPr>
          <t>James Burnley:</t>
        </r>
        <r>
          <rPr>
            <sz val="9"/>
            <color indexed="81"/>
            <rFont val="Tahoma"/>
            <family val="2"/>
          </rPr>
          <t xml:space="preserve">
9/9/25</t>
        </r>
      </text>
    </comment>
    <comment ref="C118" authorId="0" shapeId="0">
      <text>
        <r>
          <rPr>
            <sz val="9"/>
            <color indexed="81"/>
            <rFont val="Tahoma"/>
            <family val="2"/>
          </rPr>
          <t>Gantry Spoke
MLC Spoke</t>
        </r>
      </text>
    </comment>
    <comment ref="M118" authorId="0" shapeId="0">
      <text>
        <r>
          <rPr>
            <b/>
            <sz val="9"/>
            <color indexed="81"/>
            <rFont val="Tahoma"/>
            <family val="2"/>
          </rPr>
          <t>James Burnley:</t>
        </r>
        <r>
          <rPr>
            <sz val="9"/>
            <color indexed="81"/>
            <rFont val="Tahoma"/>
            <family val="2"/>
          </rPr>
          <t xml:space="preserve">
14/1/26</t>
        </r>
      </text>
    </comment>
    <comment ref="C120" authorId="0" shapeId="0">
      <text>
        <r>
          <rPr>
            <sz val="9"/>
            <color indexed="81"/>
            <rFont val="Tahoma"/>
            <family val="2"/>
          </rPr>
          <t>Gantry Spoke
MLC Spoke</t>
        </r>
      </text>
    </comment>
    <comment ref="M120" authorId="0" shapeId="0">
      <text>
        <r>
          <rPr>
            <b/>
            <sz val="9"/>
            <color indexed="81"/>
            <rFont val="Tahoma"/>
            <family val="2"/>
          </rPr>
          <t>James Burnley:</t>
        </r>
        <r>
          <rPr>
            <sz val="9"/>
            <color indexed="81"/>
            <rFont val="Tahoma"/>
            <family val="2"/>
          </rPr>
          <t xml:space="preserve">
14/1/26</t>
        </r>
      </text>
    </comment>
    <comment ref="C122" authorId="0" shapeId="0">
      <text>
        <r>
          <rPr>
            <sz val="9"/>
            <color indexed="81"/>
            <rFont val="Tahoma"/>
            <family val="2"/>
          </rPr>
          <t>Gantry Spoke
MLC Spoke</t>
        </r>
      </text>
    </comment>
    <comment ref="C125" authorId="0" shapeId="0">
      <text>
        <r>
          <rPr>
            <sz val="9"/>
            <color indexed="81"/>
            <rFont val="Tahoma"/>
            <family val="2"/>
          </rPr>
          <t>Gantry Spoke
Couch Spoke
MLC Spoke
Collimator Spoke</t>
        </r>
      </text>
    </comment>
    <comment ref="C134" authorId="0" shapeId="0">
      <text>
        <r>
          <rPr>
            <sz val="9"/>
            <color indexed="81"/>
            <rFont val="Tahoma"/>
            <family val="2"/>
          </rPr>
          <t>Basic operation/scanning</t>
        </r>
      </text>
    </comment>
    <comment ref="AG134" authorId="0" shapeId="0">
      <text>
        <r>
          <rPr>
            <b/>
            <sz val="9"/>
            <color indexed="81"/>
            <rFont val="Tahoma"/>
            <family val="2"/>
          </rPr>
          <t>James Burnley:</t>
        </r>
        <r>
          <rPr>
            <sz val="9"/>
            <color indexed="81"/>
            <rFont val="Tahoma"/>
            <family val="2"/>
          </rPr>
          <t xml:space="preserve">
9/9/25
</t>
        </r>
      </text>
    </comment>
    <comment ref="AG136" authorId="0" shapeId="0">
      <text>
        <r>
          <rPr>
            <b/>
            <sz val="9"/>
            <color indexed="81"/>
            <rFont val="Tahoma"/>
            <family val="2"/>
          </rPr>
          <t>James Burnley:</t>
        </r>
        <r>
          <rPr>
            <sz val="9"/>
            <color indexed="81"/>
            <rFont val="Tahoma"/>
            <family val="2"/>
          </rPr>
          <t xml:space="preserve">
9/9/25
</t>
        </r>
      </text>
    </comment>
    <comment ref="AG138" authorId="0" shapeId="0">
      <text>
        <r>
          <rPr>
            <b/>
            <sz val="9"/>
            <color indexed="81"/>
            <rFont val="Tahoma"/>
            <family val="2"/>
          </rPr>
          <t>James Burnley:</t>
        </r>
        <r>
          <rPr>
            <sz val="9"/>
            <color indexed="81"/>
            <rFont val="Tahoma"/>
            <family val="2"/>
          </rPr>
          <t xml:space="preserve">
9/9/25
</t>
        </r>
      </text>
    </comment>
    <comment ref="R143" authorId="0" shapeId="0">
      <text>
        <r>
          <rPr>
            <b/>
            <sz val="9"/>
            <color indexed="81"/>
            <rFont val="Tahoma"/>
            <family val="2"/>
          </rPr>
          <t>James Burnley:</t>
        </r>
        <r>
          <rPr>
            <sz val="9"/>
            <color indexed="81"/>
            <rFont val="Tahoma"/>
            <family val="2"/>
          </rPr>
          <t xml:space="preserve">
26/9/25</t>
        </r>
      </text>
    </comment>
    <comment ref="AG143" authorId="0" shapeId="0">
      <text>
        <r>
          <rPr>
            <b/>
            <sz val="9"/>
            <color indexed="81"/>
            <rFont val="Tahoma"/>
            <family val="2"/>
          </rPr>
          <t>James Burnley:</t>
        </r>
        <r>
          <rPr>
            <sz val="9"/>
            <color indexed="81"/>
            <rFont val="Tahoma"/>
            <family val="2"/>
          </rPr>
          <t xml:space="preserve">
9/9/25</t>
        </r>
      </text>
    </comment>
    <comment ref="AB149" authorId="0" shapeId="0">
      <text>
        <r>
          <rPr>
            <b/>
            <sz val="9"/>
            <color indexed="81"/>
            <rFont val="Tahoma"/>
            <family val="2"/>
          </rPr>
          <t>James Burnley:</t>
        </r>
        <r>
          <rPr>
            <sz val="9"/>
            <color indexed="81"/>
            <rFont val="Tahoma"/>
            <family val="2"/>
          </rPr>
          <t xml:space="preserve">
11/3/26</t>
        </r>
      </text>
    </comment>
    <comment ref="C155" authorId="0" shapeId="0">
      <text>
        <r>
          <rPr>
            <b/>
            <sz val="9"/>
            <color indexed="81"/>
            <rFont val="Tahoma"/>
            <family val="2"/>
          </rPr>
          <t>i.e. New ion chamber, output in water/adjust</t>
        </r>
      </text>
    </comment>
    <comment ref="C157" authorId="0" shapeId="0">
      <text>
        <r>
          <rPr>
            <b/>
            <sz val="9"/>
            <color indexed="81"/>
            <rFont val="Tahoma"/>
            <family val="2"/>
          </rPr>
          <t>i.e. New ion chamber, output in water/adjust</t>
        </r>
      </text>
    </comment>
    <comment ref="V157" authorId="0" shapeId="0">
      <text>
        <r>
          <rPr>
            <b/>
            <sz val="9"/>
            <color indexed="81"/>
            <rFont val="Tahoma"/>
            <family val="2"/>
          </rPr>
          <t>James Burnley:</t>
        </r>
        <r>
          <rPr>
            <sz val="9"/>
            <color indexed="81"/>
            <rFont val="Tahoma"/>
            <family val="2"/>
          </rPr>
          <t xml:space="preserve">
8th July 2025</t>
        </r>
      </text>
    </comment>
    <comment ref="U159" authorId="0" shapeId="0">
      <text>
        <r>
          <rPr>
            <b/>
            <sz val="9"/>
            <color indexed="81"/>
            <rFont val="Tahoma"/>
            <family val="2"/>
          </rPr>
          <t>James Burnley:</t>
        </r>
        <r>
          <rPr>
            <sz val="9"/>
            <color indexed="81"/>
            <rFont val="Tahoma"/>
            <family val="2"/>
          </rPr>
          <t xml:space="preserve">
24/12/25</t>
        </r>
      </text>
    </comment>
    <comment ref="V159" authorId="0" shapeId="0">
      <text>
        <r>
          <rPr>
            <b/>
            <sz val="9"/>
            <color indexed="81"/>
            <rFont val="Tahoma"/>
            <family val="2"/>
          </rPr>
          <t>James Burnley:</t>
        </r>
        <r>
          <rPr>
            <sz val="9"/>
            <color indexed="81"/>
            <rFont val="Tahoma"/>
            <family val="2"/>
          </rPr>
          <t xml:space="preserve">
24/10/25</t>
        </r>
      </text>
    </comment>
    <comment ref="V161" authorId="0" shapeId="0">
      <text>
        <r>
          <rPr>
            <b/>
            <sz val="9"/>
            <color indexed="81"/>
            <rFont val="Tahoma"/>
            <family val="2"/>
          </rPr>
          <t>James Burnley:</t>
        </r>
        <r>
          <rPr>
            <sz val="9"/>
            <color indexed="81"/>
            <rFont val="Tahoma"/>
            <family val="2"/>
          </rPr>
          <t xml:space="preserve">
8th July 2025</t>
        </r>
      </text>
    </comment>
    <comment ref="M163" authorId="0" shapeId="0">
      <text>
        <r>
          <rPr>
            <b/>
            <sz val="9"/>
            <color indexed="81"/>
            <rFont val="Tahoma"/>
            <family val="2"/>
          </rPr>
          <t>James Burnley:</t>
        </r>
        <r>
          <rPr>
            <sz val="9"/>
            <color indexed="81"/>
            <rFont val="Tahoma"/>
            <family val="2"/>
          </rPr>
          <t xml:space="preserve">
14/1/26</t>
        </r>
      </text>
    </comment>
    <comment ref="V163" authorId="0" shapeId="0">
      <text>
        <r>
          <rPr>
            <b/>
            <sz val="9"/>
            <color indexed="81"/>
            <rFont val="Tahoma"/>
            <family val="2"/>
          </rPr>
          <t>James Burnley:</t>
        </r>
        <r>
          <rPr>
            <sz val="9"/>
            <color indexed="81"/>
            <rFont val="Tahoma"/>
            <family val="2"/>
          </rPr>
          <t xml:space="preserve">
24/10/25</t>
        </r>
      </text>
    </comment>
    <comment ref="M167" authorId="0" shapeId="0">
      <text>
        <r>
          <rPr>
            <b/>
            <sz val="9"/>
            <color indexed="81"/>
            <rFont val="Tahoma"/>
            <family val="2"/>
          </rPr>
          <t>James Burnley:</t>
        </r>
        <r>
          <rPr>
            <sz val="9"/>
            <color indexed="81"/>
            <rFont val="Tahoma"/>
            <family val="2"/>
          </rPr>
          <t xml:space="preserve">
14/1/26</t>
        </r>
      </text>
    </comment>
    <comment ref="M169" authorId="0" shapeId="0">
      <text>
        <r>
          <rPr>
            <b/>
            <sz val="9"/>
            <color indexed="81"/>
            <rFont val="Tahoma"/>
            <family val="2"/>
          </rPr>
          <t>James Burnley:</t>
        </r>
        <r>
          <rPr>
            <sz val="9"/>
            <color indexed="81"/>
            <rFont val="Tahoma"/>
            <family val="2"/>
          </rPr>
          <t xml:space="preserve">
14/1/26</t>
        </r>
      </text>
    </comment>
    <comment ref="M171" authorId="0" shapeId="0">
      <text>
        <r>
          <rPr>
            <b/>
            <sz val="9"/>
            <color indexed="81"/>
            <rFont val="Tahoma"/>
            <family val="2"/>
          </rPr>
          <t>James Burnley:</t>
        </r>
        <r>
          <rPr>
            <sz val="9"/>
            <color indexed="81"/>
            <rFont val="Tahoma"/>
            <family val="2"/>
          </rPr>
          <t xml:space="preserve">
14/1/26</t>
        </r>
      </text>
    </comment>
    <comment ref="M173" authorId="0" shapeId="0">
      <text>
        <r>
          <rPr>
            <b/>
            <sz val="9"/>
            <color indexed="81"/>
            <rFont val="Tahoma"/>
            <family val="2"/>
          </rPr>
          <t>James Burnley:</t>
        </r>
        <r>
          <rPr>
            <sz val="9"/>
            <color indexed="81"/>
            <rFont val="Tahoma"/>
            <family val="2"/>
          </rPr>
          <t xml:space="preserve">
14/1/26</t>
        </r>
      </text>
    </comment>
    <comment ref="M175" authorId="0" shapeId="0">
      <text>
        <r>
          <rPr>
            <b/>
            <sz val="9"/>
            <color indexed="81"/>
            <rFont val="Tahoma"/>
            <family val="2"/>
          </rPr>
          <t>James Burnley:</t>
        </r>
        <r>
          <rPr>
            <sz val="9"/>
            <color indexed="81"/>
            <rFont val="Tahoma"/>
            <family val="2"/>
          </rPr>
          <t xml:space="preserve">
14/1/26</t>
        </r>
      </text>
    </comment>
    <comment ref="M177" authorId="0" shapeId="0">
      <text>
        <r>
          <rPr>
            <b/>
            <sz val="9"/>
            <color indexed="81"/>
            <rFont val="Tahoma"/>
            <family val="2"/>
          </rPr>
          <t>James Burnley:</t>
        </r>
        <r>
          <rPr>
            <sz val="9"/>
            <color indexed="81"/>
            <rFont val="Tahoma"/>
            <family val="2"/>
          </rPr>
          <t xml:space="preserve">
14/1/26</t>
        </r>
      </text>
    </comment>
    <comment ref="M179" authorId="0" shapeId="0">
      <text>
        <r>
          <rPr>
            <b/>
            <sz val="9"/>
            <color indexed="81"/>
            <rFont val="Tahoma"/>
            <family val="2"/>
          </rPr>
          <t>James Burnley:</t>
        </r>
        <r>
          <rPr>
            <sz val="9"/>
            <color indexed="81"/>
            <rFont val="Tahoma"/>
            <family val="2"/>
          </rPr>
          <t xml:space="preserve">
14/1/26</t>
        </r>
      </text>
    </comment>
    <comment ref="U197" authorId="0" shapeId="0">
      <text>
        <r>
          <rPr>
            <b/>
            <sz val="9"/>
            <color indexed="81"/>
            <rFont val="Tahoma"/>
            <family val="2"/>
          </rPr>
          <t>James Burnley:</t>
        </r>
        <r>
          <rPr>
            <sz val="9"/>
            <color indexed="81"/>
            <rFont val="Tahoma"/>
            <family val="2"/>
          </rPr>
          <t xml:space="preserve">
27/5/25</t>
        </r>
      </text>
    </comment>
    <comment ref="AA203" authorId="0" shapeId="0">
      <text>
        <r>
          <rPr>
            <b/>
            <sz val="9"/>
            <color indexed="81"/>
            <rFont val="Tahoma"/>
            <family val="2"/>
          </rPr>
          <t>James Burnley:</t>
        </r>
        <r>
          <rPr>
            <sz val="9"/>
            <color indexed="81"/>
            <rFont val="Tahoma"/>
            <family val="2"/>
          </rPr>
          <t xml:space="preserve">
30/9/25</t>
        </r>
      </text>
    </comment>
    <comment ref="AG207" authorId="0" shapeId="0">
      <text>
        <r>
          <rPr>
            <b/>
            <sz val="9"/>
            <color indexed="81"/>
            <rFont val="Tahoma"/>
            <family val="2"/>
          </rPr>
          <t>James Burnley:</t>
        </r>
        <r>
          <rPr>
            <sz val="9"/>
            <color indexed="81"/>
            <rFont val="Tahoma"/>
            <family val="2"/>
          </rPr>
          <t xml:space="preserve">
9/9/25</t>
        </r>
      </text>
    </comment>
    <comment ref="M211" authorId="0" shapeId="0">
      <text>
        <r>
          <rPr>
            <b/>
            <sz val="9"/>
            <color indexed="81"/>
            <rFont val="Tahoma"/>
            <family val="2"/>
          </rPr>
          <t>James Burnley:</t>
        </r>
        <r>
          <rPr>
            <sz val="9"/>
            <color indexed="81"/>
            <rFont val="Tahoma"/>
            <family val="2"/>
          </rPr>
          <t xml:space="preserve">
14/1/26</t>
        </r>
      </text>
    </comment>
    <comment ref="Z211" authorId="0" shapeId="0">
      <text>
        <r>
          <rPr>
            <b/>
            <sz val="9"/>
            <color indexed="81"/>
            <rFont val="Tahoma"/>
            <family val="2"/>
          </rPr>
          <t>James Burnley:</t>
        </r>
        <r>
          <rPr>
            <sz val="9"/>
            <color indexed="81"/>
            <rFont val="Tahoma"/>
            <family val="2"/>
          </rPr>
          <t xml:space="preserve">
16-09-25</t>
        </r>
      </text>
    </comment>
    <comment ref="M215" authorId="0" shapeId="0">
      <text>
        <r>
          <rPr>
            <b/>
            <sz val="9"/>
            <color indexed="81"/>
            <rFont val="Tahoma"/>
            <family val="2"/>
          </rPr>
          <t>James Burnley:</t>
        </r>
        <r>
          <rPr>
            <sz val="9"/>
            <color indexed="81"/>
            <rFont val="Tahoma"/>
            <family val="2"/>
          </rPr>
          <t xml:space="preserve">
14/1/26</t>
        </r>
      </text>
    </comment>
    <comment ref="Z215" authorId="0" shapeId="0">
      <text>
        <r>
          <rPr>
            <b/>
            <sz val="9"/>
            <color indexed="81"/>
            <rFont val="Tahoma"/>
            <family val="2"/>
          </rPr>
          <t>James Burnley:</t>
        </r>
        <r>
          <rPr>
            <sz val="9"/>
            <color indexed="81"/>
            <rFont val="Tahoma"/>
            <family val="2"/>
          </rPr>
          <t xml:space="preserve">
16-09-25</t>
        </r>
      </text>
    </comment>
    <comment ref="U221" authorId="0" shapeId="0">
      <text>
        <r>
          <rPr>
            <b/>
            <sz val="9"/>
            <color indexed="81"/>
            <rFont val="Tahoma"/>
            <family val="2"/>
          </rPr>
          <t>James Burnley:</t>
        </r>
        <r>
          <rPr>
            <sz val="9"/>
            <color indexed="81"/>
            <rFont val="Tahoma"/>
            <family val="2"/>
          </rPr>
          <t xml:space="preserve">
New D4</t>
        </r>
      </text>
    </comment>
    <comment ref="AG223" authorId="0" shapeId="0">
      <text>
        <r>
          <rPr>
            <b/>
            <sz val="9"/>
            <color indexed="81"/>
            <rFont val="Tahoma"/>
            <family val="2"/>
          </rPr>
          <t>James Burnley:</t>
        </r>
        <r>
          <rPr>
            <sz val="9"/>
            <color indexed="81"/>
            <rFont val="Tahoma"/>
            <family val="2"/>
          </rPr>
          <t xml:space="preserve">
9/9/25</t>
        </r>
      </text>
    </comment>
  </commentList>
</comments>
</file>

<file path=xl/sharedStrings.xml><?xml version="1.0" encoding="utf-8"?>
<sst xmlns="http://schemas.openxmlformats.org/spreadsheetml/2006/main" count="3696" uniqueCount="451">
  <si>
    <t>Name:</t>
  </si>
  <si>
    <t>Initials:</t>
  </si>
  <si>
    <t>Band:</t>
  </si>
  <si>
    <t>Concessions</t>
  </si>
  <si>
    <t>CTQA</t>
  </si>
  <si>
    <t>Absolute Dosimetry</t>
  </si>
  <si>
    <t>Name</t>
  </si>
  <si>
    <t>Initial</t>
  </si>
  <si>
    <t>Band</t>
  </si>
  <si>
    <t>Photons</t>
  </si>
  <si>
    <t>Electrons</t>
  </si>
  <si>
    <t>Adjust</t>
  </si>
  <si>
    <t>Patient QA</t>
  </si>
  <si>
    <t>Electron Treatments</t>
  </si>
  <si>
    <t>Misc</t>
  </si>
  <si>
    <t>James Burnley</t>
  </si>
  <si>
    <t>JB</t>
  </si>
  <si>
    <t>x</t>
  </si>
  <si>
    <t>a</t>
  </si>
  <si>
    <t>MPE</t>
  </si>
  <si>
    <t>y</t>
  </si>
  <si>
    <t>X</t>
  </si>
  <si>
    <t>Mechanicals</t>
  </si>
  <si>
    <t>MLC Skew/Bank Movement</t>
  </si>
  <si>
    <t>Imager Calinrations</t>
  </si>
  <si>
    <t>MV Image Quality</t>
  </si>
  <si>
    <t>Photon F&amp;S</t>
  </si>
  <si>
    <t>Electron F&amp;S</t>
  </si>
  <si>
    <t>FFF Symmetry</t>
  </si>
  <si>
    <t>FFF Field Size/Profiles</t>
  </si>
  <si>
    <t>Optics Vs Radiation</t>
  </si>
  <si>
    <t>EDW</t>
  </si>
  <si>
    <t>Photon Outputs</t>
  </si>
  <si>
    <t>Electron Outputs</t>
  </si>
  <si>
    <t>All other Profiler (EDW, Electron Energy)</t>
  </si>
  <si>
    <t>Iso Cal</t>
  </si>
  <si>
    <t>Iso Verification</t>
  </si>
  <si>
    <t>TrueBeam Monthly</t>
  </si>
  <si>
    <t>TrueBeam Quarterly</t>
  </si>
  <si>
    <t>Halcyon Monthly</t>
  </si>
  <si>
    <t>Halcyon Quarterly</t>
  </si>
  <si>
    <t>Karen Venables</t>
  </si>
  <si>
    <t>MV Imager Calibrations</t>
  </si>
  <si>
    <t>Photon Flatness &amp; Symmetry</t>
  </si>
  <si>
    <t>Electron Flatness &amp; Symmetry</t>
  </si>
  <si>
    <t>TrueBeam Annual</t>
  </si>
  <si>
    <t>Rachel Wills</t>
  </si>
  <si>
    <t>Tom Hague</t>
  </si>
  <si>
    <t>Andrea Fischer</t>
  </si>
  <si>
    <t>Thomas O'Brien</t>
  </si>
  <si>
    <t>Halcyon Annual</t>
  </si>
  <si>
    <t>Halcyon Daily</t>
  </si>
  <si>
    <t>Imaging</t>
  </si>
  <si>
    <t>Photon Outputs &amp; Energy</t>
  </si>
  <si>
    <t>Electron Outputs &amp; Energy</t>
  </si>
  <si>
    <t>MPC</t>
  </si>
  <si>
    <t>TrueBeam Daily</t>
  </si>
  <si>
    <t>Gating</t>
  </si>
  <si>
    <t>Delta4</t>
  </si>
  <si>
    <t>IMRT &amp; RA</t>
  </si>
  <si>
    <t>EDW &amp; Assymetry</t>
  </si>
  <si>
    <t>Progress</t>
  </si>
  <si>
    <t>Total</t>
  </si>
  <si>
    <t>Achieved</t>
  </si>
  <si>
    <t>Isocentre &amp; MLCs</t>
  </si>
  <si>
    <t>Imager Calibrations and EPID</t>
  </si>
  <si>
    <t>Diodes</t>
  </si>
  <si>
    <t>Rads Daily QA</t>
  </si>
  <si>
    <t>Photon Absolute Dose</t>
  </si>
  <si>
    <t>Electron Absolute Dose</t>
  </si>
  <si>
    <t>Spoke</t>
  </si>
  <si>
    <t>Linearity</t>
  </si>
  <si>
    <t>Dosimetric Leaf Gap</t>
  </si>
  <si>
    <t>TrueBeam Misc</t>
  </si>
  <si>
    <t>Output Adjust</t>
  </si>
  <si>
    <t>Jaw Adjustment</t>
  </si>
  <si>
    <t>Identify</t>
  </si>
  <si>
    <t>Symmetry and Profiles</t>
  </si>
  <si>
    <t>Identify Calibration</t>
  </si>
  <si>
    <t>IMRT</t>
  </si>
  <si>
    <t>Outputs and MPC</t>
  </si>
  <si>
    <t>MPC Baseline</t>
  </si>
  <si>
    <t>SunCheck</t>
  </si>
  <si>
    <t>Standard Plan</t>
  </si>
  <si>
    <t>Gravity Test</t>
  </si>
  <si>
    <t>Couch Position and Alignment</t>
  </si>
  <si>
    <t>Field Size Imager</t>
  </si>
  <si>
    <t>Winston Lutz</t>
  </si>
  <si>
    <t>kV Image Quality</t>
  </si>
  <si>
    <t>Halcyon Misc</t>
  </si>
  <si>
    <t>CT QA</t>
  </si>
  <si>
    <t>Definition</t>
  </si>
  <si>
    <t>GoOpen Pro</t>
  </si>
  <si>
    <t>TPS QA</t>
  </si>
  <si>
    <t>TPS Quarterly</t>
  </si>
  <si>
    <t>TPS Monthly</t>
  </si>
  <si>
    <t>Absolute Photon Dosimetry</t>
  </si>
  <si>
    <t>Absolute Electron Dosimetry</t>
  </si>
  <si>
    <t>Delta 4 Prep</t>
  </si>
  <si>
    <t>Delta 4 Acquistion</t>
  </si>
  <si>
    <t>Delta 4 Analysis</t>
  </si>
  <si>
    <t>Chamber + Film Prep</t>
  </si>
  <si>
    <t>Chamber + Film Acquistion</t>
  </si>
  <si>
    <t>Chamber + Film Analysis</t>
  </si>
  <si>
    <t>SunCheck Calc</t>
  </si>
  <si>
    <t>Diode</t>
  </si>
  <si>
    <t>Diode Out of Tolerance</t>
  </si>
  <si>
    <t>Diode Commission</t>
  </si>
  <si>
    <t>3D Printer</t>
  </si>
  <si>
    <t>3D Print</t>
  </si>
  <si>
    <t>3D Scan</t>
  </si>
  <si>
    <t>2nd Check of Bolus/Output etc.</t>
  </si>
  <si>
    <t>Electron Output Factor Measure</t>
  </si>
  <si>
    <t>Thermometer Calibration</t>
  </si>
  <si>
    <t>Barometer Calibration</t>
  </si>
  <si>
    <t>Sr90 Checks</t>
  </si>
  <si>
    <t>Dessicant Checks</t>
  </si>
  <si>
    <t>Custom Endplate QA</t>
  </si>
  <si>
    <t>IC Profiler Calibration</t>
  </si>
  <si>
    <t>Delta4 Calibration</t>
  </si>
  <si>
    <t>Cardiac Device Measurement</t>
  </si>
  <si>
    <t>TB Total</t>
  </si>
  <si>
    <t>HC Total</t>
  </si>
  <si>
    <t>Basic Operation</t>
  </si>
  <si>
    <t>Switch On</t>
  </si>
  <si>
    <t>Switch Off</t>
  </si>
  <si>
    <t>TrueBeam Operation</t>
  </si>
  <si>
    <t>Halcyon Operation</t>
  </si>
  <si>
    <t>CT Operation</t>
  </si>
  <si>
    <t>CT Total</t>
  </si>
  <si>
    <t>CT</t>
  </si>
  <si>
    <t>TPS</t>
  </si>
  <si>
    <t>Absolute</t>
  </si>
  <si>
    <t>Overall</t>
  </si>
  <si>
    <t>Summary</t>
  </si>
  <si>
    <t>Advice at Markup</t>
  </si>
  <si>
    <t>Advice at 1st Fraction</t>
  </si>
  <si>
    <t>Simple Calcs (i.e. no issue of OF)</t>
  </si>
  <si>
    <t>Complex Calcs (Ofs and back scatted calcs)</t>
  </si>
  <si>
    <t>t</t>
  </si>
  <si>
    <t>Rikki Lad</t>
  </si>
  <si>
    <t>George Kirby</t>
  </si>
  <si>
    <t>Yasmin Rahman</t>
  </si>
  <si>
    <t>Hannah Price</t>
  </si>
  <si>
    <t>Blank</t>
  </si>
  <si>
    <t>Route 2 Trainee</t>
  </si>
  <si>
    <t>STP Trainee</t>
  </si>
  <si>
    <t>Clinical Scientist</t>
  </si>
  <si>
    <t>Practioner/Assistant Physicist</t>
  </si>
  <si>
    <t>Templates</t>
  </si>
  <si>
    <t xml:space="preserve"> TB Competency</t>
  </si>
  <si>
    <t xml:space="preserve"> Halcyon Competency</t>
  </si>
  <si>
    <t>Competency</t>
  </si>
  <si>
    <t>Halcyon*</t>
  </si>
  <si>
    <t>TrueBeam*</t>
  </si>
  <si>
    <t>*Double tick means competent to perform all tasks for these units, single tick means all expected competencies achieved</t>
  </si>
  <si>
    <t>Progress (Competency)</t>
  </si>
  <si>
    <t>Adam Sidgreaves</t>
  </si>
  <si>
    <t>The following personnel are authorised act as Operators under IR(ME)R 2017 for the functions as indicated.</t>
  </si>
  <si>
    <t>Only the Head of Section or a Medical Physics Expert (MPE), themselves competent in these areas, may authorise competency</t>
  </si>
  <si>
    <t>Dates of attainment are given where available, pre October 2024 data can be accessed via archived records</t>
  </si>
  <si>
    <t>Switch On/Runup</t>
  </si>
  <si>
    <t>Fiona Hanton</t>
  </si>
  <si>
    <t>Anitta Thomas</t>
  </si>
  <si>
    <t>Name/Designation</t>
  </si>
  <si>
    <t>Sci</t>
  </si>
  <si>
    <t>Sci (T)</t>
  </si>
  <si>
    <t>Sci (T/R2)</t>
  </si>
  <si>
    <t>Pract</t>
  </si>
  <si>
    <t xml:space="preserve">Evidence/Record of training can be found within QATrack (Results saved under individual user) </t>
  </si>
  <si>
    <t>Aleena Jaison</t>
  </si>
  <si>
    <t>William Hamblyn</t>
  </si>
  <si>
    <t>Preetinder Singh</t>
  </si>
  <si>
    <t>Photon Intercomparisons</t>
  </si>
  <si>
    <t>Electron Intercomparisons</t>
  </si>
  <si>
    <t>Jordan Wan</t>
  </si>
  <si>
    <t>Ion Recombination/Polarity</t>
  </si>
  <si>
    <t>Halcyon</t>
  </si>
  <si>
    <t>Equipment</t>
  </si>
  <si>
    <t>Tests</t>
  </si>
  <si>
    <t>SQL</t>
  </si>
  <si>
    <t>Username:</t>
  </si>
  <si>
    <t>Equipment:</t>
  </si>
  <si>
    <t>TrueBeam</t>
  </si>
  <si>
    <t>Tests:</t>
  </si>
  <si>
    <t>SQL:</t>
  </si>
  <si>
    <t>Final</t>
  </si>
  <si>
    <t>Common SQL (User)</t>
  </si>
  <si>
    <t>Common SQL (Equipment)</t>
  </si>
  <si>
    <t>%'
/*Enter test name (or part of) in lowercase, i.e. %outputs%*/
AND (LOWER(qa_testlist.name) LIKE '%crosswire%' OR LOWER(qa_testlist.name) LIKE '%lasers%' OR LOWER(qa_testlist.name) LIKE '%optical%' OR LOWER(qa_testlist.name) LIKE '%sag%' OR LOWER(qa_testlist.name) LIKE '%couch scale%' OR LOWER(qa_testlist.name) LIKE '%6dof%');</t>
  </si>
  <si>
    <t>Frequency</t>
  </si>
  <si>
    <t>Monthly</t>
  </si>
  <si>
    <t>Frequecncy:</t>
  </si>
  <si>
    <t>ID</t>
  </si>
  <si>
    <t>Daily</t>
  </si>
  <si>
    <t>Weekly</t>
  </si>
  <si>
    <t>Quarterly</t>
  </si>
  <si>
    <t>ID:</t>
  </si>
  <si>
    <t>Unique Test SQL</t>
  </si>
  <si>
    <t>%'
/*Enter test name (or part of) in lowercase, i.e. %outputs%*/
AND (LOWER(qa_testlist.name) LIKE '%optics vs radiation%');</t>
  </si>
  <si>
    <t>Query Builder</t>
  </si>
  <si>
    <t>Query Results</t>
  </si>
  <si>
    <t>Competency:</t>
  </si>
  <si>
    <t>Date:</t>
  </si>
  <si>
    <t>Test:</t>
  </si>
  <si>
    <t>QA Competency Completion Record</t>
  </si>
  <si>
    <t># Of QC Records:</t>
  </si>
  <si>
    <t>All</t>
  </si>
  <si>
    <t>Annual</t>
  </si>
  <si>
    <t>%'
/*Enter frequency name (or part of) in lowercase, i.e. %monthly%*/
AND (LOWER(qa_frequency.name) LIKE '%monthly%');</t>
  </si>
  <si>
    <t>%'
/*Enter frequency name (or part of) in lowercase, i.e. %monthly%*/
AND (LOWER(qa_frequency.name) LIKE '%annual%');</t>
  </si>
  <si>
    <t>Ad Hoc</t>
  </si>
  <si>
    <t>011 - Crosswire and Front Pointer
013 - Lasers
014 - Optical Field Size
015 - Gantry Sag
016 - Couch Scale and Position
017 - 6DoF Couch</t>
  </si>
  <si>
    <t>051 - Optics vs Radiation 6MV
052 - Optics vs Radiation 10MV
053 - Optics vs Radiation 15MV</t>
  </si>
  <si>
    <t>Detailed Record:</t>
  </si>
  <si>
    <t>Record Summary:</t>
  </si>
  <si>
    <t>Date of Record:</t>
  </si>
  <si>
    <t>Approved By:</t>
  </si>
  <si>
    <t>Monthly QC</t>
  </si>
  <si>
    <t>Annual QC</t>
  </si>
  <si>
    <t>'
/*Enter machine name (or part of) in lowercase, i.e. %hal%, leave blank (%%) for all*/
AND LOWER(units_unittype.name) LIKE '%</t>
  </si>
  <si>
    <t>halcyon</t>
  </si>
  <si>
    <t>truebeam</t>
  </si>
  <si>
    <t>Any</t>
  </si>
  <si>
    <t>Delta4 QC</t>
  </si>
  <si>
    <t>%</t>
  </si>
  <si>
    <t>%'
/*Enter test name (or part of) in lowercase, i.e. %outputs%*/
AND (LOWER(qa_testlist.name) LIKE '%delta%');</t>
  </si>
  <si>
    <t>GoOpenPro</t>
  </si>
  <si>
    <t>definition</t>
  </si>
  <si>
    <t>go open pro</t>
  </si>
  <si>
    <t>CT QC</t>
  </si>
  <si>
    <t>%'
/*Enter frequency name (or part of) in lowercase, i.e. %monthly%*/
AND (LOWER(qa_frequency.name) LIKE '%%');</t>
  </si>
  <si>
    <t>Molly Renton</t>
  </si>
  <si>
    <t>Noor E Mateen</t>
  </si>
  <si>
    <t>Steffi Mendes</t>
  </si>
  <si>
    <t>Jose Lourdhurajan</t>
  </si>
  <si>
    <t>Jack Hills</t>
  </si>
  <si>
    <t>George Lee</t>
  </si>
  <si>
    <t>David Williams</t>
  </si>
  <si>
    <t>Assessment</t>
  </si>
  <si>
    <t>Training</t>
  </si>
  <si>
    <t>Sam Hayward</t>
  </si>
  <si>
    <t>Rentia Rudolph</t>
  </si>
  <si>
    <t>Lucy Kolter</t>
  </si>
  <si>
    <t>Assistant</t>
  </si>
  <si>
    <t>Kerstin Akem</t>
  </si>
  <si>
    <t>pree</t>
  </si>
  <si>
    <t>Quarterly QC</t>
  </si>
  <si>
    <t>%'
/*Enter frequency name (or part of) in lowercase, i.e. %monthly%*/
AND (LOWER(qa_frequency.name) LIKE '%quarterly%');</t>
  </si>
  <si>
    <t>SELECT qa_testlistinstance.work_completed,units_unit.name, auth_user.username, qa_testlist.name, qa_testlistinstance.id
FROM qa_testlistinstance
JOIN auth_user ON auth_user.id = created_by_id
JOIN qa_unittestcollection ON qa_unittestcollection.id = unit_test_collection_id
JOIN units_unit ON units_unit.id = unit_id
JOIN qa_testlist ON qa_testlist.id = test_list_id
JOIN qa_frequency ON qa_frequency.id = qa_unittestcollection.frequency_id
JOIN units_unittype ON units_unittype.id = units_unit.type_id
/*Enter username in lowercase*/
WHERE LOWER(auth_user.username) = 'pree'
/*Enter machine name (or part of) in lowercase, i.e. %hal%, leave blank (%%) for all*/
AND LOWER(units_unittype.name) IN ('halcyon', 'ethos')
/*Enter frequency name (or part of) in lowercase, i.e. %monthly%*/
AND (LOWER(qa_frequency.name) LIKE '%%');</t>
  </si>
  <si>
    <t>work_completed</t>
  </si>
  <si>
    <t>name</t>
  </si>
  <si>
    <t>id</t>
  </si>
  <si>
    <t>LA7</t>
  </si>
  <si>
    <t>172 - Delta 4 Standard</t>
  </si>
  <si>
    <t>152 - Gravity Test</t>
  </si>
  <si>
    <t>147 - kV Image Quality</t>
  </si>
  <si>
    <t>146 - Field Analysis kV</t>
  </si>
  <si>
    <t>015 - Gantry Sag</t>
  </si>
  <si>
    <t>054 - Asymmetry (Profiler)</t>
  </si>
  <si>
    <t>011 - Crosswire and Front Pointer</t>
  </si>
  <si>
    <t>032 - Electron Flatness &amp; Symmetry  (Profiler)</t>
  </si>
  <si>
    <t>013 - Lasers</t>
  </si>
  <si>
    <t>143 - 2D 2D match</t>
  </si>
  <si>
    <t>016 - Couch Scale and Position</t>
  </si>
  <si>
    <t>142 - Isocentre Verification</t>
  </si>
  <si>
    <t>092 - Electron Outputs</t>
  </si>
  <si>
    <t>091 - Photon Outputs (+15MV)</t>
  </si>
  <si>
    <t>031 - Photon Flatness &amp; Symmetry (+15MV) G0  (Profiler)</t>
  </si>
  <si>
    <t>111 - Wedge Factors 6MV</t>
  </si>
  <si>
    <t>161 - Gating</t>
  </si>
  <si>
    <t>171 - Delta 4 Patient</t>
  </si>
  <si>
    <t>LA11</t>
  </si>
  <si>
    <t>093 - Photon Energy (+15MV)</t>
  </si>
  <si>
    <t>151 - Leaf Speed</t>
  </si>
  <si>
    <t>101 - FFF Outputs</t>
  </si>
  <si>
    <t>LA8</t>
  </si>
  <si>
    <t>145 - 3D-3D Twisted Match</t>
  </si>
  <si>
    <t>017 - 6DoF Couch</t>
  </si>
  <si>
    <t>041 - FFF Symmetry G0 (Profiler)</t>
  </si>
  <si>
    <t>144 - 2D 3D match</t>
  </si>
  <si>
    <t>043 - FFF Profiles (Profiler)</t>
  </si>
  <si>
    <t>042 - FFF Field Size &amp; Penumbra (Profiler)</t>
  </si>
  <si>
    <t>153 - Rapid Arc</t>
  </si>
  <si>
    <t>131 - MPC (Photons+15/FFF)</t>
  </si>
  <si>
    <t>LA12</t>
  </si>
  <si>
    <t>091 - Photon Outputs</t>
  </si>
  <si>
    <t>133 - MPC (Electrons)</t>
  </si>
  <si>
    <t>053 - EDW (Profiler)</t>
  </si>
  <si>
    <t>031 - Photon Flatness &amp; Symmetry G0  (Profiler)</t>
  </si>
  <si>
    <t>131 - MPC (Photons/FFF)</t>
  </si>
  <si>
    <t>LA10</t>
  </si>
  <si>
    <t>093 - Photon Energy</t>
  </si>
  <si>
    <t>pre 2022</t>
  </si>
  <si>
    <t>SELECT qa_testlistinstance.work_completed,units_unit.name, p.username AS performed_by, r.username AS reviewed_by, qa_testlist.name, qa_testlistinstance.id
FROM qa_testlistinstance
JOIN auth_user AS p ON qa_testlistinstance.created_by_id = p.id
JOIN auth_user AS r ON qa_testlistinstance.reviewed_by_id = r.id
JOIN qa_unittestcollection ON qa_unittestcollection.id = unit_test_collection_id
JOIN units_unit ON units_unit.id = unit_id
JOIN qa_testlist ON qa_testlist.id = test_list_id
JOIN qa_frequency ON qa_frequency.id = qa_unittestcollection.frequency_id
JOIN units_unittype ON units_unittype.id = units_unit.type_id
/*Enter username in lowercase*/
WHERE LOWER(p.username) = '</t>
  </si>
  <si>
    <t>performed_by</t>
  </si>
  <si>
    <t>reviewed_by</t>
  </si>
  <si>
    <t>jamesb</t>
  </si>
  <si>
    <t>jordanhyw</t>
  </si>
  <si>
    <t>mollyr</t>
  </si>
  <si>
    <t>andreaf</t>
  </si>
  <si>
    <t>anittat</t>
  </si>
  <si>
    <t>tomo</t>
  </si>
  <si>
    <t>georgel</t>
  </si>
  <si>
    <t>Reviewer:</t>
  </si>
  <si>
    <t>Eclipse</t>
  </si>
  <si>
    <t>eclipse</t>
  </si>
  <si>
    <t>2023-11-23 11:20:00+00:00</t>
  </si>
  <si>
    <t>2023-11-23 12:29:07.139094+00:00</t>
  </si>
  <si>
    <t>2023-11-23 16:05:00+00:00</t>
  </si>
  <si>
    <t>2025-01-08 11:27:24.803149+00:00</t>
  </si>
  <si>
    <t>2025-01-08 11:38:32.665965+00:00</t>
  </si>
  <si>
    <t>2024-12-11 15:16:00+00:00</t>
  </si>
  <si>
    <t>2026-01-15 19:45:00+00:00</t>
  </si>
  <si>
    <t>2026-01-16 11:22:00+00:00</t>
  </si>
  <si>
    <t>2026-02-19 14:44:13.167118+00:00</t>
  </si>
  <si>
    <t>jackh</t>
  </si>
  <si>
    <t>2026-02-19 15:01:23.676987+00:00</t>
  </si>
  <si>
    <t>2026-02-19 14:27:15.836425+00:00</t>
  </si>
  <si>
    <t>2026-02-19 15:07:36.523050+00:00</t>
  </si>
  <si>
    <t>2026-02-19 14:35:07.173378+00:00</t>
  </si>
  <si>
    <t>2024-04-18 18:59:52.188830+00:00</t>
  </si>
  <si>
    <t>2025-10-08 14:14:48.357284+00:00</t>
  </si>
  <si>
    <t>2025-01-08 10:07:14.046784+00:00</t>
  </si>
  <si>
    <t>2025-10-08 10:56:17.148421+00:00</t>
  </si>
  <si>
    <t>2024-04-09 18:19:24.996988+00:00</t>
  </si>
  <si>
    <t>2025-01-08 14:22:49.096211+00:00</t>
  </si>
  <si>
    <t>2026-04-01 18:21:59.243553+00:00</t>
  </si>
  <si>
    <t>2025-01-08 12:19:12.311346+00:00</t>
  </si>
  <si>
    <t>2024-02-20 19:16:00+00:00</t>
  </si>
  <si>
    <t>rachelw</t>
  </si>
  <si>
    <t>2025-01-14 20:18:10.416543+00:00</t>
  </si>
  <si>
    <t>2025-10-08 14:01:50.380448+00:00</t>
  </si>
  <si>
    <t>2025-01-08 09:09:00+00:00</t>
  </si>
  <si>
    <t>2025-10-08 09:26:51.584449+00:00</t>
  </si>
  <si>
    <t>2025-01-08 12:01:08.945926+00:00</t>
  </si>
  <si>
    <t>2026-04-08 10:23:53.248891+00:00</t>
  </si>
  <si>
    <t>2025-01-08 11:12:52.155508+00:00</t>
  </si>
  <si>
    <t>2025-10-08 11:09:47.066131+00:00</t>
  </si>
  <si>
    <t>2024-04-09 18:32:00+00:00</t>
  </si>
  <si>
    <t>2025-01-08 09:03:11.253170+00:00</t>
  </si>
  <si>
    <t>2025-10-08 08:37:37.275842+00:00</t>
  </si>
  <si>
    <t>2025-01-08 09:36:52.160187+00:00</t>
  </si>
  <si>
    <t>2025-10-08 10:11:02.362863+00:00</t>
  </si>
  <si>
    <t>2025-01-09 11:30:22.069254+00:00</t>
  </si>
  <si>
    <t>2025-10-10 10:04:35.920361+00:00</t>
  </si>
  <si>
    <t>2026-02-19 11:40:23.502700+00:00</t>
  </si>
  <si>
    <t>2026-04-08 12:11:29.285152+00:00</t>
  </si>
  <si>
    <t>2025-01-08 11:42:13.068120+00:00</t>
  </si>
  <si>
    <t>2025-01-08 11:30:43.641486+00:00</t>
  </si>
  <si>
    <t>2024-02-20 19:47:00+00:00</t>
  </si>
  <si>
    <t>2025-10-08 13:51:49.657372+00:00</t>
  </si>
  <si>
    <t>2025-01-08 14:29:40.089615+00:00</t>
  </si>
  <si>
    <t>2025-10-08 10:19:28.258952+00:00</t>
  </si>
  <si>
    <t>2026-02-19 11:31:50.509385+00:00</t>
  </si>
  <si>
    <t>2026-04-08 11:18:19.434080+00:00</t>
  </si>
  <si>
    <t>2025-10-08 13:55:38.407950+00:00</t>
  </si>
  <si>
    <t>2024-08-07 18:44:00+00:00</t>
  </si>
  <si>
    <t>2025-10-10 17:36:45.499528+00:00</t>
  </si>
  <si>
    <t>2025-10-10 16:14:20.900448+00:00</t>
  </si>
  <si>
    <t>2024-05-06 13:09:10.601549+00:00</t>
  </si>
  <si>
    <t>2024-06-13 18:46:38.871509+00:00</t>
  </si>
  <si>
    <t>2024-12-19 18:12:19.049093+00:00</t>
  </si>
  <si>
    <t>2026-01-16 17:23:28.874707+00:00</t>
  </si>
  <si>
    <t>2024-05-06 13:39:59.176059+00:00</t>
  </si>
  <si>
    <t>2025-10-10 14:30:00+00:00</t>
  </si>
  <si>
    <t>2025-10-10 17:11:10.497025+00:00</t>
  </si>
  <si>
    <t>2025-10-13 11:35:11.148300+00:00</t>
  </si>
  <si>
    <t>2024-05-06 12:39:00.304626+00:00</t>
  </si>
  <si>
    <t>2024-06-13 19:01:10.429541+00:00</t>
  </si>
  <si>
    <t>2026-02-02 19:08:00+00:00</t>
  </si>
  <si>
    <t>2024-08-07 18:20:00+00:00</t>
  </si>
  <si>
    <t>2025-10-10 15:06:00+00:00</t>
  </si>
  <si>
    <t>2025-10-10 17:19:24.629288+00:00</t>
  </si>
  <si>
    <t>2025-10-13 11:40:57.844403+00:00</t>
  </si>
  <si>
    <t>2024-06-14 09:52:41.590662+00:00</t>
  </si>
  <si>
    <t>2025-10-13 11:03:19.935144+00:00</t>
  </si>
  <si>
    <t>2024-05-06 14:17:10.326264+00:00</t>
  </si>
  <si>
    <t>2025-10-10 14:03:01.254491+00:00</t>
  </si>
  <si>
    <t>2025-03-20 11:17:00+00:00</t>
  </si>
  <si>
    <t>2025-03-20 11:21:19.485184+00:00</t>
  </si>
  <si>
    <t>2025-10-07 13:09:25.850596+00:00</t>
  </si>
  <si>
    <t>georgek</t>
  </si>
  <si>
    <t>2024-10-28 19:48:24.928174+00:00</t>
  </si>
  <si>
    <t>2025-10-03 15:44:04.052483+00:00</t>
  </si>
  <si>
    <t>2024-10-28 19:54:34.469689+00:00</t>
  </si>
  <si>
    <t>2025-10-03 15:50:56.291929+00:00</t>
  </si>
  <si>
    <t>2025-09-18 17:57:22.428859+00:00</t>
  </si>
  <si>
    <t>2025-10-07 13:12:46.112514+00:00</t>
  </si>
  <si>
    <t>2024-08-27 09:29:10.703045+00:00</t>
  </si>
  <si>
    <t>2025-03-26 11:07:14.125177+00:00</t>
  </si>
  <si>
    <t>2025-03-26 12:06:49.943022+00:00</t>
  </si>
  <si>
    <t>2025-03-26 10:29:03.488129+00:00</t>
  </si>
  <si>
    <t>2025-03-26 14:56:35.113603+00:00</t>
  </si>
  <si>
    <t>2025-04-02 13:35:41.931674+00:00</t>
  </si>
  <si>
    <t>2025-04-17 08:26:40.947861+00:00</t>
  </si>
  <si>
    <t>2025-05-08 17:58:37.934309+00:00</t>
  </si>
  <si>
    <t>2025-11-04 11:47:57.025114+00:00</t>
  </si>
  <si>
    <t>williamh</t>
  </si>
  <si>
    <t>2026-03-03 10:19:35.246424+00:00</t>
  </si>
  <si>
    <t>2024-08-22 16:16:00+00:00</t>
  </si>
  <si>
    <t>2025-01-23 18:56:20.784645+00:00</t>
  </si>
  <si>
    <t>2025-03-14 13:45:09.490768+00:00</t>
  </si>
  <si>
    <t>karen</t>
  </si>
  <si>
    <t>2025-05-08 17:23:00+00:00</t>
  </si>
  <si>
    <t>2025-01-14 18:03:00+00:00</t>
  </si>
  <si>
    <t>2025-01-20 18:59:03.352814+00:00</t>
  </si>
  <si>
    <t>2024-10-30 12:19:57.712753+00:00</t>
  </si>
  <si>
    <t>2025-10-09 13:53:42.470378+00:00</t>
  </si>
  <si>
    <t>2024-02-27 19:57:47.340456+00:00</t>
  </si>
  <si>
    <t>2025-10-09 12:22:53.206683+00:00</t>
  </si>
  <si>
    <t>2024-10-30 14:18:12.195430+00:00</t>
  </si>
  <si>
    <t>2024-10-30 10:25:30.461401+00:00</t>
  </si>
  <si>
    <t>2025-10-09 12:40:56.524281+00:00</t>
  </si>
  <si>
    <t>2024-10-30 13:56:35.276712+00:00</t>
  </si>
  <si>
    <t>2025-10-09 08:50:58.624521+00:00</t>
  </si>
  <si>
    <t>2025-10-13 17:41:36.677944+00:00</t>
  </si>
  <si>
    <t>2024-10-30 11:42:22.857115+00:00</t>
  </si>
  <si>
    <t>2025-10-09 14:56:57.225672+00:00</t>
  </si>
  <si>
    <t>2024-10-30 09:28:24.082674+00:00</t>
  </si>
  <si>
    <t>2025-10-09 13:44:45.061599+00:00</t>
  </si>
  <si>
    <t>2024-10-30 09:22:30.757824+00:00</t>
  </si>
  <si>
    <t>2025-10-09 13:38:32.543794+00:00</t>
  </si>
  <si>
    <t>2025-10-09 09:04:54.922799+00:00</t>
  </si>
  <si>
    <t>2025-10-14 11:15:57.028887+00:00</t>
  </si>
  <si>
    <t>2025-04-03 13:14:59.226140+00:00</t>
  </si>
  <si>
    <t>2025-10-09 10:39:15.185066+00:00</t>
  </si>
  <si>
    <t>2025-10-14 11:08:11.188621+00:00</t>
  </si>
  <si>
    <t>2025-04-03 13:22:25.256179+00:00</t>
  </si>
  <si>
    <t>2025-10-09 10:21:59.597585+00:00</t>
  </si>
  <si>
    <t>2025-10-14 11:28:53.115279+00:00</t>
  </si>
  <si>
    <t>2025-10-09 07:53:56.424902+00:00</t>
  </si>
  <si>
    <t>2024-10-30 14:17:06.889311+00:00</t>
  </si>
  <si>
    <t>2025-04-03 12:50:04.542579+00:00</t>
  </si>
  <si>
    <t>2025-10-09 10:33:23.262416+00:00</t>
  </si>
  <si>
    <t>2025-10-14 11:34:39.462719+00:00</t>
  </si>
  <si>
    <t>2024-02-27 18:50:00+00:00</t>
  </si>
  <si>
    <t>2024-07-23 18:40:00+00:00</t>
  </si>
  <si>
    <t>2025-10-09 12:54:35.601299+00:00</t>
  </si>
  <si>
    <t>2025-05-20 17:22:09.178658+00:00</t>
  </si>
  <si>
    <t>2025-10-09 12:47:36.589078+00:00</t>
  </si>
  <si>
    <t>2024-10-30 11:20:00+00:00</t>
  </si>
  <si>
    <t>2025-07-02 18:47:05.963566+00:00</t>
  </si>
  <si>
    <t>2025-10-09 07:53:09.751135+00:00</t>
  </si>
  <si>
    <t>2024-02-27 19:53:06.867733+00:00</t>
  </si>
  <si>
    <t>2024-10-30 13:18:24.772710+00:00</t>
  </si>
  <si>
    <t>2025-10-13 16:13:15.730228+00:00</t>
  </si>
  <si>
    <t>2025-10-13 18:26:14.633861+00:00</t>
  </si>
  <si>
    <t>2025-10-13 17:43:58.654784+00:00</t>
  </si>
  <si>
    <t>2024-10-30 09:01:22.406234+00:00</t>
  </si>
  <si>
    <t>2025-10-09 14:18:47.487069+00:00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</si>
</sst>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0.000"/>
    <numFmt numFmtId="165" formatCode="dd/mm/yy;@"/>
    <numFmt numFmtId="166" formatCode="[$-809]mmm\ yyyy"/>
    <numFmt numFmtId="167" formatCode="[$-F800]dddd\,\ mmmm\ dd\,\ yyyy"/>
  </numFmts>
  <fonts count="24" x14ac:knownFonts="1">
    <font>
      <sz val="11"/>
      <color theme="1"/>
      <name val="Calibri"/>
      <family val="2"/>
      <scheme val="minor"/>
    </font>
    <font>
      <sz val="10"/>
      <color theme="1"/>
      <name val="Century Gothic"/>
      <family val="2"/>
    </font>
    <font>
      <b/>
      <sz val="9"/>
      <color theme="0"/>
      <name val="Century Gothic"/>
      <family val="2"/>
    </font>
    <font>
      <sz val="9"/>
      <color theme="1"/>
      <name val="Century Gothic"/>
      <family val="2"/>
    </font>
    <font>
      <sz val="9"/>
      <color indexed="81"/>
      <name val="Tahoma"/>
      <family val="2"/>
    </font>
    <font>
      <b/>
      <sz val="9"/>
      <color indexed="81"/>
      <name val="Tahoma"/>
      <family val="2"/>
    </font>
    <font>
      <sz val="11"/>
      <color theme="0"/>
      <name val="Calibri"/>
      <family val="2"/>
      <scheme val="minor"/>
    </font>
    <font>
      <sz val="11"/>
      <color theme="3"/>
      <name val="Calibri"/>
      <family val="2"/>
      <scheme val="minor"/>
    </font>
    <font>
      <b/>
      <sz val="11"/>
      <color theme="0"/>
      <name val="Calibri"/>
      <family val="2"/>
      <scheme val="minor"/>
    </font>
    <font>
      <b/>
      <sz val="11"/>
      <color theme="1"/>
      <name val="Calibri"/>
      <family val="2"/>
      <scheme val="minor"/>
    </font>
    <font>
      <b/>
      <sz val="8"/>
      <color theme="0"/>
      <name val="Century Gothic"/>
      <family val="2"/>
    </font>
    <font>
      <sz val="10"/>
      <color theme="0"/>
      <name val="Calibri"/>
      <family val="2"/>
      <scheme val="minor"/>
    </font>
    <font>
      <sz val="9"/>
      <color theme="1"/>
      <name val="Calibri"/>
      <family val="2"/>
      <scheme val="minor"/>
    </font>
    <font>
      <b/>
      <sz val="9"/>
      <color theme="3"/>
      <name val="Calibri"/>
      <family val="2"/>
      <scheme val="minor"/>
    </font>
    <font>
      <b/>
      <sz val="11"/>
      <color theme="3"/>
      <name val="Calibri"/>
      <family val="2"/>
      <scheme val="minor"/>
    </font>
    <font>
      <sz val="10"/>
      <color theme="1"/>
      <name val="Calibri"/>
      <family val="2"/>
      <scheme val="minor"/>
    </font>
    <font>
      <sz val="8"/>
      <color theme="1"/>
      <name val="Calibri"/>
      <family val="2"/>
      <scheme val="minor"/>
    </font>
    <font>
      <sz val="11"/>
      <color theme="2"/>
      <name val="Calibri"/>
      <family val="2"/>
      <scheme val="minor"/>
    </font>
    <font>
      <b/>
      <sz val="14"/>
      <color theme="3"/>
      <name val="Calibri"/>
      <family val="2"/>
      <scheme val="minor"/>
    </font>
    <font>
      <sz val="14"/>
      <color theme="3"/>
      <name val="Calibri"/>
      <family val="2"/>
      <scheme val="minor"/>
    </font>
    <font>
      <sz val="11"/>
      <color rgb="FF000000"/>
      <name val="Calibri"/>
      <family val="2"/>
    </font>
    <font>
      <sz val="11"/>
      <color rgb="FFFF0000"/>
      <name val="Calibri"/>
      <family val="2"/>
      <scheme val="minor"/>
    </font>
    <font>
      <sz val="11"/>
      <color theme="1"/>
      <name val="Century Gothic"/>
      <family val="2"/>
    </font>
    <font>
      <sz val="11"/>
      <name val="Century Gothic"/>
      <family val="2"/>
    </font>
  </fonts>
  <fills count="17">
    <fill>
      <patternFill patternType="none"/>
    </fill>
    <fill>
      <patternFill patternType="gray125"/>
    </fill>
    <fill>
      <patternFill patternType="solid">
        <fgColor theme="0"/>
        <bgColor indexed="64"/>
      </patternFill>
    </fill>
    <fill>
      <patternFill patternType="solid">
        <fgColor theme="2"/>
        <bgColor indexed="64"/>
      </patternFill>
    </fill>
    <fill>
      <patternFill patternType="solid">
        <fgColor theme="3"/>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8" tint="0.39997558519241921"/>
        <bgColor indexed="64"/>
      </patternFill>
    </fill>
    <fill>
      <patternFill patternType="solid">
        <fgColor theme="4" tint="-0.249977111117893"/>
        <bgColor indexed="64"/>
      </patternFill>
    </fill>
    <fill>
      <patternFill patternType="solid">
        <fgColor theme="4" tint="-0.499984740745262"/>
        <bgColor indexed="64"/>
      </patternFill>
    </fill>
    <fill>
      <patternFill patternType="solid">
        <fgColor theme="6" tint="-0.499984740745262"/>
        <bgColor indexed="64"/>
      </patternFill>
    </fill>
    <fill>
      <patternFill patternType="solid">
        <fgColor rgb="FF92D050"/>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6" tint="0.59999389629810485"/>
        <bgColor indexed="64"/>
      </patternFill>
    </fill>
  </fills>
  <borders count="32">
    <border>
      <left/>
      <right/>
      <top/>
      <bottom/>
      <diagonal/>
    </border>
    <border>
      <left style="thin">
        <color theme="0" tint="-0.499984740745262"/>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bottom/>
      <diagonal/>
    </border>
    <border>
      <left style="thin">
        <color theme="0" tint="-0.499984740745262"/>
      </left>
      <right style="thin">
        <color theme="0" tint="-0.499984740745262"/>
      </right>
      <top/>
      <bottom style="thin">
        <color theme="0" tint="-0.499984740745262"/>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style="thin">
        <color theme="0" tint="-0.499984740745262"/>
      </left>
      <right style="thin">
        <color theme="0" tint="-0.499984740745262"/>
      </right>
      <top/>
      <bottom/>
      <diagonal/>
    </border>
    <border>
      <left/>
      <right style="thin">
        <color theme="0" tint="-0.499984740745262"/>
      </right>
      <top/>
      <bottom style="thin">
        <color theme="0" tint="-0.499984740745262"/>
      </bottom>
      <diagonal/>
    </border>
    <border>
      <left/>
      <right/>
      <top style="thin">
        <color theme="0" tint="-0.499984740745262"/>
      </top>
      <bottom/>
      <diagonal/>
    </border>
    <border>
      <left/>
      <right/>
      <top/>
      <bottom style="thin">
        <color theme="0" tint="-0.499984740745262"/>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0" tint="-0.499984740745262"/>
      </top>
      <bottom style="thin">
        <color theme="0" tint="-0.499984740745262"/>
      </bottom>
      <diagonal/>
    </border>
    <border>
      <left/>
      <right style="thin">
        <color theme="1" tint="0.499984740745262"/>
      </right>
      <top style="thin">
        <color theme="0" tint="-0.499984740745262"/>
      </top>
      <bottom/>
      <diagonal/>
    </border>
    <border>
      <left/>
      <right style="thin">
        <color theme="1" tint="0.499984740745262"/>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s>
  <cellStyleXfs count="1">
    <xf numFmtId="0" fontId="0" fillId="0" borderId="0"/>
  </cellStyleXfs>
  <cellXfs count="236">
    <xf numFmtId="0" fontId="0" fillId="0" borderId="0" xfId="0"/>
    <xf numFmtId="0" fontId="0" fillId="2" borderId="0" xfId="0" applyFill="1"/>
    <xf numFmtId="0" fontId="2" fillId="4" borderId="1" xfId="0" applyFont="1" applyFill="1" applyBorder="1" applyAlignment="1" applyProtection="1">
      <alignment horizontal="center" vertical="center"/>
    </xf>
    <xf numFmtId="0" fontId="0" fillId="0" borderId="0" xfId="0" applyAlignment="1"/>
    <xf numFmtId="0" fontId="2" fillId="5" borderId="1" xfId="0" applyFont="1" applyFill="1" applyBorder="1" applyAlignment="1" applyProtection="1">
      <alignment horizontal="center" vertical="center"/>
    </xf>
    <xf numFmtId="0" fontId="2" fillId="5" borderId="4" xfId="0" applyFont="1" applyFill="1" applyBorder="1" applyAlignment="1" applyProtection="1">
      <alignment horizontal="center" vertical="center"/>
    </xf>
    <xf numFmtId="0" fontId="0" fillId="0" borderId="5" xfId="0" applyBorder="1" applyAlignment="1"/>
    <xf numFmtId="0" fontId="0" fillId="0" borderId="0" xfId="0" applyBorder="1" applyAlignment="1"/>
    <xf numFmtId="1" fontId="0" fillId="6" borderId="2" xfId="0" applyNumberFormat="1" applyFill="1" applyBorder="1" applyAlignment="1" applyProtection="1">
      <alignment horizontal="center" vertical="center"/>
      <protection locked="0"/>
    </xf>
    <xf numFmtId="165" fontId="0" fillId="6" borderId="4" xfId="0" applyNumberFormat="1" applyFill="1" applyBorder="1" applyAlignment="1">
      <alignment horizontal="center"/>
    </xf>
    <xf numFmtId="0" fontId="2" fillId="4" borderId="0" xfId="0" applyFont="1" applyFill="1" applyBorder="1" applyAlignment="1" applyProtection="1">
      <alignment horizontal="center" vertical="center"/>
    </xf>
    <xf numFmtId="0" fontId="2" fillId="5" borderId="0" xfId="0" applyFont="1" applyFill="1" applyBorder="1" applyAlignment="1" applyProtection="1">
      <alignment horizontal="center" vertical="center" textRotation="90" wrapText="1"/>
    </xf>
    <xf numFmtId="0" fontId="0" fillId="0" borderId="11" xfId="0" applyBorder="1" applyAlignment="1">
      <alignment horizontal="center" vertical="center" textRotation="90" wrapText="1"/>
    </xf>
    <xf numFmtId="1" fontId="3" fillId="6" borderId="4" xfId="0" applyNumberFormat="1" applyFont="1" applyFill="1" applyBorder="1" applyAlignment="1" applyProtection="1">
      <alignment horizontal="center" vertical="center"/>
      <protection locked="0"/>
    </xf>
    <xf numFmtId="1" fontId="3" fillId="6" borderId="7" xfId="0" applyNumberFormat="1" applyFont="1" applyFill="1" applyBorder="1" applyAlignment="1" applyProtection="1">
      <alignment horizontal="center" vertical="center"/>
      <protection locked="0"/>
    </xf>
    <xf numFmtId="1" fontId="3" fillId="16" borderId="4" xfId="0" applyNumberFormat="1" applyFont="1" applyFill="1" applyBorder="1" applyAlignment="1" applyProtection="1">
      <alignment horizontal="center" vertical="center"/>
      <protection locked="0"/>
    </xf>
    <xf numFmtId="0" fontId="0" fillId="2" borderId="0" xfId="0" applyFill="1" applyProtection="1"/>
    <xf numFmtId="0" fontId="6" fillId="4" borderId="12" xfId="0" applyFont="1" applyFill="1" applyBorder="1" applyAlignment="1" applyProtection="1">
      <alignment horizontal="center" vertical="center" wrapText="1"/>
    </xf>
    <xf numFmtId="0" fontId="7" fillId="4" borderId="3" xfId="0" applyFont="1" applyFill="1" applyBorder="1" applyAlignment="1" applyProtection="1">
      <alignment horizontal="center" vertical="center"/>
    </xf>
    <xf numFmtId="0" fontId="7" fillId="4" borderId="0" xfId="0" applyFont="1" applyFill="1" applyBorder="1" applyAlignment="1" applyProtection="1">
      <alignment horizontal="center" vertical="center"/>
    </xf>
    <xf numFmtId="9" fontId="10" fillId="13" borderId="16" xfId="0" applyNumberFormat="1" applyFont="1" applyFill="1" applyBorder="1" applyAlignment="1" applyProtection="1">
      <alignment horizontal="center" vertical="center"/>
    </xf>
    <xf numFmtId="0" fontId="6" fillId="4" borderId="4" xfId="0" applyFont="1" applyFill="1" applyBorder="1" applyAlignment="1" applyProtection="1">
      <alignment horizontal="center" vertical="center" wrapText="1"/>
    </xf>
    <xf numFmtId="0" fontId="7" fillId="4" borderId="1" xfId="0" applyFont="1" applyFill="1" applyBorder="1" applyAlignment="1" applyProtection="1">
      <alignment horizontal="center" vertical="center"/>
    </xf>
    <xf numFmtId="0" fontId="7" fillId="4" borderId="5" xfId="0" applyFont="1" applyFill="1" applyBorder="1" applyAlignment="1" applyProtection="1">
      <alignment horizontal="center" vertical="center"/>
    </xf>
    <xf numFmtId="0" fontId="7" fillId="4" borderId="2" xfId="0" applyFont="1" applyFill="1" applyBorder="1" applyAlignment="1" applyProtection="1">
      <alignment horizontal="center" vertical="center"/>
    </xf>
    <xf numFmtId="9" fontId="10" fillId="16" borderId="16" xfId="0" applyNumberFormat="1" applyFont="1" applyFill="1" applyBorder="1" applyAlignment="1" applyProtection="1">
      <alignment horizontal="center" vertical="center"/>
    </xf>
    <xf numFmtId="166" fontId="3" fillId="16" borderId="4" xfId="0" applyNumberFormat="1" applyFont="1" applyFill="1" applyBorder="1" applyAlignment="1" applyProtection="1">
      <alignment horizontal="center"/>
      <protection locked="0"/>
    </xf>
    <xf numFmtId="166" fontId="3" fillId="6" borderId="4" xfId="0" applyNumberFormat="1" applyFont="1" applyFill="1" applyBorder="1" applyAlignment="1" applyProtection="1">
      <alignment horizontal="center"/>
      <protection locked="0"/>
    </xf>
    <xf numFmtId="166" fontId="3" fillId="15" borderId="4" xfId="0" applyNumberFormat="1" applyFont="1" applyFill="1" applyBorder="1" applyAlignment="1" applyProtection="1">
      <alignment horizontal="center"/>
      <protection locked="0"/>
    </xf>
    <xf numFmtId="0" fontId="0" fillId="0" borderId="0" xfId="0" applyBorder="1" applyAlignment="1" applyProtection="1"/>
    <xf numFmtId="9" fontId="0" fillId="2" borderId="0" xfId="0" applyNumberFormat="1" applyFill="1"/>
    <xf numFmtId="0" fontId="0" fillId="2" borderId="0" xfId="0" applyFill="1" applyAlignment="1">
      <alignment horizontal="left" vertical="top"/>
    </xf>
    <xf numFmtId="0" fontId="0" fillId="0" borderId="0" xfId="0" applyAlignment="1">
      <alignment horizontal="left" vertical="top"/>
    </xf>
    <xf numFmtId="0" fontId="12" fillId="2" borderId="0" xfId="0" applyFont="1" applyFill="1" applyProtection="1"/>
    <xf numFmtId="0" fontId="2" fillId="5" borderId="8" xfId="0" applyFont="1" applyFill="1" applyBorder="1" applyAlignment="1" applyProtection="1">
      <alignment horizontal="center" vertical="center" textRotation="90" wrapText="1"/>
      <protection locked="0"/>
    </xf>
    <xf numFmtId="0" fontId="2" fillId="5" borderId="8" xfId="0" applyFont="1" applyFill="1" applyBorder="1" applyAlignment="1" applyProtection="1">
      <alignment horizontal="center" vertical="center" textRotation="90" wrapText="1"/>
    </xf>
    <xf numFmtId="0" fontId="2" fillId="5" borderId="7" xfId="0" applyFont="1" applyFill="1" applyBorder="1" applyAlignment="1" applyProtection="1">
      <alignment horizontal="center" vertical="center" wrapText="1"/>
    </xf>
    <xf numFmtId="0" fontId="2" fillId="5" borderId="8" xfId="0" applyFont="1" applyFill="1" applyBorder="1" applyAlignment="1" applyProtection="1">
      <alignment horizontal="center" vertical="center" textRotation="90" wrapText="1"/>
      <protection locked="0"/>
    </xf>
    <xf numFmtId="0" fontId="2" fillId="5" borderId="8" xfId="0" applyFont="1" applyFill="1" applyBorder="1" applyAlignment="1" applyProtection="1">
      <alignment horizontal="center" vertical="center" textRotation="90" wrapText="1"/>
      <protection locked="0"/>
    </xf>
    <xf numFmtId="0" fontId="2" fillId="5" borderId="8" xfId="0" applyFont="1" applyFill="1" applyBorder="1" applyAlignment="1" applyProtection="1">
      <alignment horizontal="center" vertical="center" textRotation="90" wrapText="1"/>
      <protection locked="0"/>
    </xf>
    <xf numFmtId="0" fontId="2" fillId="5" borderId="8" xfId="0" applyFont="1" applyFill="1" applyBorder="1" applyAlignment="1" applyProtection="1">
      <alignment horizontal="center" vertical="center" textRotation="90" wrapText="1"/>
      <protection locked="0"/>
    </xf>
    <xf numFmtId="0" fontId="0" fillId="0" borderId="0" xfId="0" applyAlignment="1">
      <alignment wrapText="1"/>
    </xf>
    <xf numFmtId="0" fontId="0" fillId="0" borderId="0" xfId="0" quotePrefix="1" applyAlignment="1">
      <alignment wrapText="1"/>
    </xf>
    <xf numFmtId="0" fontId="17" fillId="2" borderId="0" xfId="0" applyFont="1" applyFill="1"/>
    <xf numFmtId="0" fontId="0" fillId="2" borderId="21" xfId="0" applyFill="1" applyBorder="1"/>
    <xf numFmtId="0" fontId="0" fillId="2" borderId="22" xfId="0" applyFill="1" applyBorder="1"/>
    <xf numFmtId="0" fontId="0" fillId="2" borderId="20" xfId="0" applyFill="1" applyBorder="1"/>
    <xf numFmtId="0" fontId="0" fillId="2" borderId="29" xfId="0" applyFill="1" applyBorder="1"/>
    <xf numFmtId="0" fontId="9" fillId="2" borderId="29" xfId="0" applyFont="1" applyFill="1" applyBorder="1"/>
    <xf numFmtId="167" fontId="0" fillId="2" borderId="0" xfId="0" applyNumberFormat="1" applyFill="1"/>
    <xf numFmtId="0" fontId="0" fillId="2" borderId="0" xfId="0" applyFill="1" applyAlignment="1">
      <alignment horizontal="center"/>
    </xf>
    <xf numFmtId="0" fontId="0" fillId="2" borderId="29" xfId="0" applyFill="1" applyBorder="1" applyAlignment="1">
      <alignment horizontal="left"/>
    </xf>
    <xf numFmtId="0" fontId="9" fillId="2" borderId="31" xfId="0" applyFont="1" applyFill="1" applyBorder="1"/>
    <xf numFmtId="0" fontId="14" fillId="2" borderId="29" xfId="0" applyFont="1" applyFill="1" applyBorder="1"/>
    <xf numFmtId="0" fontId="0" fillId="0" borderId="0" xfId="0" applyAlignment="1">
      <alignment horizontal="left" vertical="top" wrapText="1"/>
    </xf>
    <xf numFmtId="0" fontId="0" fillId="0" borderId="0" xfId="0" quotePrefix="1" applyAlignment="1">
      <alignment horizontal="left" vertical="top" wrapText="1"/>
    </xf>
    <xf numFmtId="0" fontId="9" fillId="2" borderId="0" xfId="0" applyFont="1" applyFill="1" applyBorder="1"/>
    <xf numFmtId="0" fontId="0" fillId="2" borderId="0" xfId="0" applyFill="1" applyBorder="1"/>
    <xf numFmtId="0" fontId="2" fillId="5" borderId="8" xfId="0" applyFont="1" applyFill="1" applyBorder="1" applyAlignment="1" applyProtection="1">
      <alignment horizontal="center" vertical="center" textRotation="90" wrapText="1"/>
      <protection locked="0"/>
    </xf>
    <xf numFmtId="0" fontId="2" fillId="5" borderId="8" xfId="0" applyFont="1" applyFill="1" applyBorder="1" applyAlignment="1" applyProtection="1">
      <alignment horizontal="center" vertical="center" textRotation="90" wrapText="1"/>
      <protection locked="0"/>
    </xf>
    <xf numFmtId="0" fontId="2" fillId="5" borderId="8" xfId="0" applyFont="1" applyFill="1" applyBorder="1" applyAlignment="1" applyProtection="1">
      <alignment horizontal="center" vertical="center" textRotation="90" wrapText="1"/>
      <protection locked="0"/>
    </xf>
    <xf numFmtId="0" fontId="2" fillId="5" borderId="8" xfId="0" applyFont="1" applyFill="1" applyBorder="1" applyAlignment="1" applyProtection="1">
      <alignment horizontal="center" vertical="center" textRotation="90" wrapText="1"/>
      <protection locked="0"/>
    </xf>
    <xf numFmtId="0" fontId="2" fillId="5" borderId="8" xfId="0" applyFont="1" applyFill="1" applyBorder="1" applyAlignment="1" applyProtection="1">
      <alignment horizontal="center" vertical="center" textRotation="90" wrapText="1"/>
    </xf>
    <xf numFmtId="0" fontId="2" fillId="5" borderId="8" xfId="0" applyFont="1" applyFill="1" applyBorder="1" applyAlignment="1" applyProtection="1">
      <alignment horizontal="center" vertical="center" textRotation="90" wrapText="1"/>
      <protection locked="0"/>
    </xf>
    <xf numFmtId="9" fontId="10" fillId="16" borderId="0" xfId="0" applyNumberFormat="1" applyFont="1" applyFill="1" applyBorder="1" applyAlignment="1" applyProtection="1">
      <alignment horizontal="center" vertical="center"/>
    </xf>
    <xf numFmtId="0" fontId="2" fillId="5" borderId="8" xfId="0" applyFont="1" applyFill="1" applyBorder="1" applyAlignment="1" applyProtection="1">
      <alignment horizontal="center" vertical="center" textRotation="90" wrapText="1"/>
      <protection locked="0"/>
    </xf>
    <xf numFmtId="0" fontId="2" fillId="5" borderId="8" xfId="0" applyFont="1" applyFill="1" applyBorder="1" applyAlignment="1" applyProtection="1">
      <alignment horizontal="center" vertical="center" textRotation="90" wrapText="1"/>
      <protection locked="0"/>
    </xf>
    <xf numFmtId="0" fontId="2" fillId="5" borderId="8" xfId="0" applyFont="1" applyFill="1" applyBorder="1" applyAlignment="1" applyProtection="1">
      <alignment horizontal="center" vertical="center" textRotation="90" wrapText="1"/>
      <protection locked="0"/>
    </xf>
    <xf numFmtId="0" fontId="2" fillId="5" borderId="0" xfId="0" applyFont="1" applyFill="1" applyBorder="1" applyAlignment="1" applyProtection="1">
      <alignment horizontal="center" vertical="center" textRotation="90" wrapText="1"/>
      <protection locked="0"/>
    </xf>
    <xf numFmtId="0" fontId="2" fillId="5" borderId="0" xfId="0" applyFont="1" applyFill="1" applyBorder="1" applyAlignment="1" applyProtection="1">
      <alignment horizontal="center" vertical="center" wrapText="1"/>
    </xf>
    <xf numFmtId="1" fontId="3" fillId="16" borderId="0" xfId="0" applyNumberFormat="1" applyFont="1" applyFill="1" applyBorder="1" applyAlignment="1" applyProtection="1">
      <alignment horizontal="center" vertical="center"/>
      <protection locked="0"/>
    </xf>
    <xf numFmtId="166" fontId="3" fillId="16" borderId="0" xfId="0" applyNumberFormat="1" applyFont="1" applyFill="1" applyBorder="1" applyAlignment="1" applyProtection="1">
      <alignment horizontal="center"/>
      <protection locked="0"/>
    </xf>
    <xf numFmtId="1" fontId="3" fillId="6" borderId="0" xfId="0" applyNumberFormat="1" applyFont="1" applyFill="1" applyBorder="1" applyAlignment="1" applyProtection="1">
      <alignment horizontal="center" vertical="center"/>
      <protection locked="0"/>
    </xf>
    <xf numFmtId="9" fontId="10" fillId="13" borderId="0" xfId="0" applyNumberFormat="1" applyFont="1" applyFill="1" applyBorder="1" applyAlignment="1" applyProtection="1">
      <alignment horizontal="center" vertical="center"/>
    </xf>
    <xf numFmtId="166" fontId="3" fillId="6" borderId="0" xfId="0" applyNumberFormat="1" applyFont="1" applyFill="1" applyBorder="1" applyAlignment="1" applyProtection="1">
      <alignment horizontal="center"/>
      <protection locked="0"/>
    </xf>
    <xf numFmtId="166" fontId="3" fillId="15" borderId="0" xfId="0" applyNumberFormat="1" applyFont="1" applyFill="1" applyBorder="1" applyAlignment="1" applyProtection="1">
      <alignment horizontal="center"/>
      <protection locked="0"/>
    </xf>
    <xf numFmtId="0" fontId="2" fillId="5" borderId="8" xfId="0" applyFont="1" applyFill="1" applyBorder="1" applyAlignment="1" applyProtection="1">
      <alignment horizontal="center" vertical="center" textRotation="90" wrapText="1"/>
      <protection locked="0"/>
    </xf>
    <xf numFmtId="0" fontId="21" fillId="0" borderId="0" xfId="0" applyFont="1" applyAlignment="1">
      <alignment horizontal="left" vertical="top" wrapText="1"/>
    </xf>
    <xf numFmtId="0" fontId="0" fillId="11" borderId="12" xfId="0" applyFill="1" applyBorder="1" applyAlignment="1" applyProtection="1">
      <alignment horizontal="center" vertical="center" textRotation="90" wrapText="1"/>
    </xf>
    <xf numFmtId="14" fontId="23" fillId="2" borderId="0" xfId="0" applyNumberFormat="1" applyFont="1" applyFill="1" applyBorder="1" applyAlignment="1" applyProtection="1">
      <alignment horizontal="left" vertical="center"/>
    </xf>
    <xf numFmtId="0" fontId="0" fillId="2" borderId="24" xfId="0" applyFill="1" applyBorder="1"/>
    <xf numFmtId="2" fontId="22" fillId="2" borderId="0" xfId="0" applyNumberFormat="1" applyFont="1" applyFill="1" applyBorder="1" applyAlignment="1" applyProtection="1">
      <alignment horizontal="left" vertical="center"/>
    </xf>
    <xf numFmtId="0" fontId="2" fillId="4" borderId="11" xfId="0" applyFont="1" applyFill="1" applyBorder="1" applyAlignment="1" applyProtection="1">
      <alignment horizontal="center" vertical="center"/>
    </xf>
    <xf numFmtId="0" fontId="0" fillId="0" borderId="15" xfId="0" applyBorder="1" applyAlignment="1"/>
    <xf numFmtId="0" fontId="6" fillId="4" borderId="3" xfId="0" applyFont="1" applyFill="1" applyBorder="1" applyAlignment="1" applyProtection="1">
      <alignment horizontal="center" vertical="center" wrapText="1"/>
    </xf>
    <xf numFmtId="0" fontId="0" fillId="0" borderId="6" xfId="0" applyBorder="1" applyAlignment="1" applyProtection="1">
      <alignment horizontal="center" vertical="center"/>
    </xf>
    <xf numFmtId="0" fontId="2" fillId="8" borderId="9" xfId="0" applyFont="1" applyFill="1" applyBorder="1" applyAlignment="1" applyProtection="1">
      <alignment horizontal="center" vertical="center"/>
    </xf>
    <xf numFmtId="0" fontId="2" fillId="8" borderId="14" xfId="0" applyFont="1" applyFill="1" applyBorder="1" applyAlignment="1" applyProtection="1">
      <alignment horizontal="center" vertical="center"/>
    </xf>
    <xf numFmtId="0" fontId="2" fillId="8" borderId="10" xfId="0" applyFont="1" applyFill="1" applyBorder="1" applyAlignment="1" applyProtection="1">
      <alignment horizontal="center" vertical="center"/>
    </xf>
    <xf numFmtId="0" fontId="2" fillId="8" borderId="11" xfId="0" applyFont="1" applyFill="1" applyBorder="1" applyAlignment="1" applyProtection="1">
      <alignment horizontal="center" vertical="center"/>
    </xf>
    <xf numFmtId="0" fontId="2" fillId="8" borderId="15" xfId="0" applyFont="1" applyFill="1" applyBorder="1" applyAlignment="1" applyProtection="1">
      <alignment horizontal="center" vertical="center"/>
    </xf>
    <xf numFmtId="0" fontId="2" fillId="8" borderId="13" xfId="0" applyFont="1" applyFill="1" applyBorder="1" applyAlignment="1" applyProtection="1">
      <alignment horizontal="center" vertical="center"/>
    </xf>
    <xf numFmtId="0" fontId="2" fillId="8" borderId="8" xfId="0" applyFont="1" applyFill="1" applyBorder="1" applyAlignment="1" applyProtection="1">
      <alignment horizontal="center" vertical="center" wrapText="1"/>
    </xf>
    <xf numFmtId="0" fontId="2" fillId="8" borderId="12" xfId="0" applyFont="1" applyFill="1" applyBorder="1" applyAlignment="1" applyProtection="1">
      <alignment horizontal="center" vertical="center" wrapText="1"/>
    </xf>
    <xf numFmtId="0" fontId="0" fillId="0" borderId="12" xfId="0" applyBorder="1" applyAlignment="1">
      <alignment horizontal="center" vertical="center" wrapText="1"/>
    </xf>
    <xf numFmtId="0" fontId="2" fillId="7" borderId="8" xfId="0" applyFont="1" applyFill="1" applyBorder="1" applyAlignment="1" applyProtection="1">
      <alignment horizontal="center" vertical="center" wrapText="1"/>
    </xf>
    <xf numFmtId="0" fontId="0" fillId="7" borderId="12" xfId="0" applyFill="1" applyBorder="1" applyAlignment="1" applyProtection="1">
      <alignment horizontal="center" vertical="center" wrapText="1"/>
    </xf>
    <xf numFmtId="0" fontId="0" fillId="7" borderId="7" xfId="0" applyFill="1" applyBorder="1" applyAlignment="1" applyProtection="1">
      <alignment horizontal="center" vertical="center" wrapText="1"/>
    </xf>
    <xf numFmtId="0" fontId="6" fillId="4" borderId="1" xfId="0" applyFont="1" applyFill="1" applyBorder="1" applyAlignment="1" applyProtection="1">
      <alignment horizontal="left" vertical="center" wrapText="1"/>
    </xf>
    <xf numFmtId="0" fontId="0" fillId="0" borderId="5" xfId="0" applyBorder="1" applyAlignment="1">
      <alignment horizontal="left" vertical="center"/>
    </xf>
    <xf numFmtId="0" fontId="0" fillId="0" borderId="17" xfId="0" applyBorder="1" applyAlignment="1">
      <alignment horizontal="left" vertical="center"/>
    </xf>
    <xf numFmtId="0" fontId="11" fillId="4" borderId="9" xfId="0" applyFont="1" applyFill="1" applyBorder="1" applyAlignment="1" applyProtection="1">
      <alignment horizontal="left" vertical="top" wrapText="1"/>
    </xf>
    <xf numFmtId="0" fontId="11" fillId="0" borderId="14" xfId="0" applyFont="1" applyBorder="1" applyAlignment="1">
      <alignment horizontal="left" vertical="top" wrapText="1"/>
    </xf>
    <xf numFmtId="0" fontId="11" fillId="0" borderId="18" xfId="0" applyFont="1" applyBorder="1" applyAlignment="1">
      <alignment horizontal="left" vertical="top" wrapText="1"/>
    </xf>
    <xf numFmtId="0" fontId="11" fillId="0" borderId="3" xfId="0" applyFont="1" applyBorder="1" applyAlignment="1">
      <alignment horizontal="left" vertical="top" wrapText="1"/>
    </xf>
    <xf numFmtId="0" fontId="11" fillId="0" borderId="0" xfId="0" applyFont="1" applyAlignment="1">
      <alignment horizontal="left" vertical="top" wrapText="1"/>
    </xf>
    <xf numFmtId="0" fontId="11" fillId="0" borderId="19" xfId="0" applyFont="1" applyBorder="1" applyAlignment="1">
      <alignment horizontal="left" vertical="top" wrapText="1"/>
    </xf>
    <xf numFmtId="0" fontId="0" fillId="0" borderId="3" xfId="0" applyBorder="1" applyAlignment="1">
      <alignment horizontal="left" vertical="top"/>
    </xf>
    <xf numFmtId="0" fontId="0" fillId="0" borderId="0" xfId="0" applyAlignment="1">
      <alignment horizontal="left" vertical="top"/>
    </xf>
    <xf numFmtId="0" fontId="0" fillId="0" borderId="19" xfId="0" applyBorder="1" applyAlignment="1">
      <alignment horizontal="left" vertical="top"/>
    </xf>
    <xf numFmtId="0" fontId="13" fillId="2" borderId="0" xfId="0" applyFont="1" applyFill="1" applyAlignment="1" applyProtection="1">
      <alignment wrapText="1"/>
    </xf>
    <xf numFmtId="0" fontId="13" fillId="0" borderId="0" xfId="0" applyFont="1" applyAlignment="1">
      <alignment wrapText="1"/>
    </xf>
    <xf numFmtId="0" fontId="13" fillId="0" borderId="6" xfId="0" applyFont="1" applyBorder="1" applyAlignment="1">
      <alignment wrapText="1"/>
    </xf>
    <xf numFmtId="0" fontId="13" fillId="0" borderId="15" xfId="0" applyFont="1" applyBorder="1" applyAlignment="1">
      <alignment wrapText="1"/>
    </xf>
    <xf numFmtId="0" fontId="13" fillId="0" borderId="13" xfId="0" applyFont="1" applyBorder="1" applyAlignment="1">
      <alignment wrapText="1"/>
    </xf>
    <xf numFmtId="0" fontId="2" fillId="8" borderId="7" xfId="0" applyFont="1" applyFill="1" applyBorder="1" applyAlignment="1" applyProtection="1">
      <alignment horizontal="center" vertical="center" wrapText="1"/>
    </xf>
    <xf numFmtId="0" fontId="2" fillId="12" borderId="8" xfId="0" applyFont="1" applyFill="1" applyBorder="1" applyAlignment="1" applyProtection="1">
      <alignment horizontal="center" vertical="center" wrapText="1"/>
    </xf>
    <xf numFmtId="0" fontId="0" fillId="12" borderId="12" xfId="0" applyFill="1" applyBorder="1" applyAlignment="1" applyProtection="1">
      <alignment horizontal="center" vertical="center" wrapText="1"/>
    </xf>
    <xf numFmtId="0" fontId="0" fillId="0" borderId="12" xfId="0" applyBorder="1" applyAlignment="1" applyProtection="1">
      <alignment horizontal="center" vertical="center" wrapText="1"/>
    </xf>
    <xf numFmtId="0" fontId="0" fillId="0" borderId="7" xfId="0" applyBorder="1" applyAlignment="1" applyProtection="1">
      <alignment horizontal="center" vertical="center" wrapText="1"/>
    </xf>
    <xf numFmtId="0" fontId="2" fillId="12" borderId="9" xfId="0" applyFont="1" applyFill="1" applyBorder="1" applyAlignment="1" applyProtection="1">
      <alignment horizontal="center" vertical="center"/>
    </xf>
    <xf numFmtId="0" fontId="0" fillId="12" borderId="14" xfId="0" applyFill="1" applyBorder="1" applyAlignment="1" applyProtection="1">
      <alignment horizontal="center" vertical="center"/>
    </xf>
    <xf numFmtId="0" fontId="0" fillId="12" borderId="10" xfId="0" applyFill="1" applyBorder="1" applyAlignment="1" applyProtection="1">
      <alignment horizontal="center" vertical="center"/>
    </xf>
    <xf numFmtId="0" fontId="0" fillId="12" borderId="11" xfId="0" applyFill="1" applyBorder="1" applyAlignment="1" applyProtection="1">
      <alignment horizontal="center" vertical="center"/>
    </xf>
    <xf numFmtId="0" fontId="0" fillId="12" borderId="15" xfId="0" applyFill="1" applyBorder="1" applyAlignment="1" applyProtection="1">
      <alignment horizontal="center" vertical="center"/>
    </xf>
    <xf numFmtId="0" fontId="0" fillId="12" borderId="13" xfId="0" applyFill="1" applyBorder="1" applyAlignment="1" applyProtection="1">
      <alignment horizontal="center" vertical="center"/>
    </xf>
    <xf numFmtId="0" fontId="2" fillId="7" borderId="9" xfId="0" applyFont="1" applyFill="1" applyBorder="1" applyAlignment="1" applyProtection="1">
      <alignment horizontal="center" vertical="center"/>
    </xf>
    <xf numFmtId="0" fontId="0" fillId="7" borderId="14" xfId="0" applyFill="1" applyBorder="1" applyAlignment="1" applyProtection="1">
      <alignment horizontal="center" vertical="center"/>
    </xf>
    <xf numFmtId="0" fontId="0" fillId="7" borderId="10" xfId="0" applyFill="1" applyBorder="1" applyAlignment="1" applyProtection="1">
      <alignment horizontal="center" vertical="center"/>
    </xf>
    <xf numFmtId="0" fontId="0" fillId="7" borderId="11" xfId="0" applyFill="1" applyBorder="1" applyAlignment="1" applyProtection="1">
      <alignment horizontal="center" vertical="center"/>
    </xf>
    <xf numFmtId="0" fontId="0" fillId="7" borderId="15" xfId="0" applyFill="1" applyBorder="1" applyAlignment="1" applyProtection="1">
      <alignment horizontal="center" vertical="center"/>
    </xf>
    <xf numFmtId="0" fontId="0" fillId="7" borderId="13" xfId="0" applyFill="1" applyBorder="1" applyAlignment="1" applyProtection="1">
      <alignment horizontal="center" vertical="center"/>
    </xf>
    <xf numFmtId="0" fontId="2" fillId="10" borderId="9" xfId="0" applyFont="1" applyFill="1" applyBorder="1" applyAlignment="1" applyProtection="1">
      <alignment horizontal="center" vertical="center"/>
    </xf>
    <xf numFmtId="0" fontId="0" fillId="10" borderId="14" xfId="0" applyFill="1" applyBorder="1" applyAlignment="1" applyProtection="1">
      <alignment horizontal="center" vertical="center"/>
    </xf>
    <xf numFmtId="0" fontId="0" fillId="10" borderId="10" xfId="0" applyFill="1" applyBorder="1" applyAlignment="1" applyProtection="1">
      <alignment horizontal="center" vertical="center"/>
    </xf>
    <xf numFmtId="0" fontId="0" fillId="10" borderId="11" xfId="0" applyFill="1" applyBorder="1" applyAlignment="1" applyProtection="1">
      <alignment horizontal="center" vertical="center"/>
    </xf>
    <xf numFmtId="0" fontId="0" fillId="10" borderId="15" xfId="0" applyFill="1" applyBorder="1" applyAlignment="1" applyProtection="1">
      <alignment horizontal="center" vertical="center"/>
    </xf>
    <xf numFmtId="0" fontId="0" fillId="10" borderId="13" xfId="0" applyFill="1" applyBorder="1" applyAlignment="1" applyProtection="1">
      <alignment horizontal="center" vertical="center"/>
    </xf>
    <xf numFmtId="0" fontId="2" fillId="11" borderId="9" xfId="0" applyFont="1" applyFill="1" applyBorder="1" applyAlignment="1" applyProtection="1">
      <alignment horizontal="center" vertical="center"/>
    </xf>
    <xf numFmtId="0" fontId="0" fillId="0" borderId="14" xfId="0" applyBorder="1" applyAlignment="1" applyProtection="1">
      <alignment horizontal="center" vertical="center"/>
    </xf>
    <xf numFmtId="0" fontId="0" fillId="0" borderId="10" xfId="0" applyBorder="1" applyAlignment="1" applyProtection="1">
      <alignment horizontal="center" vertical="center"/>
    </xf>
    <xf numFmtId="0" fontId="0" fillId="0" borderId="11" xfId="0" applyBorder="1" applyAlignment="1" applyProtection="1">
      <alignment horizontal="center" vertical="center"/>
    </xf>
    <xf numFmtId="0" fontId="0" fillId="0" borderId="15" xfId="0" applyBorder="1" applyAlignment="1" applyProtection="1">
      <alignment horizontal="center" vertical="center"/>
    </xf>
    <xf numFmtId="0" fontId="0" fillId="0" borderId="13" xfId="0" applyBorder="1" applyAlignment="1" applyProtection="1">
      <alignment horizontal="center" vertical="center"/>
    </xf>
    <xf numFmtId="0" fontId="0" fillId="8" borderId="14" xfId="0" applyFill="1" applyBorder="1" applyAlignment="1" applyProtection="1">
      <alignment horizontal="center" vertical="center"/>
    </xf>
    <xf numFmtId="0" fontId="0" fillId="8" borderId="10" xfId="0" applyFill="1" applyBorder="1" applyAlignment="1" applyProtection="1">
      <alignment horizontal="center" vertical="center"/>
    </xf>
    <xf numFmtId="0" fontId="0" fillId="8" borderId="11" xfId="0" applyFill="1" applyBorder="1" applyAlignment="1" applyProtection="1">
      <alignment horizontal="center" vertical="center"/>
    </xf>
    <xf numFmtId="0" fontId="0" fillId="8" borderId="15" xfId="0" applyFill="1" applyBorder="1" applyAlignment="1" applyProtection="1">
      <alignment horizontal="center" vertical="center"/>
    </xf>
    <xf numFmtId="0" fontId="0" fillId="8" borderId="13" xfId="0" applyFill="1" applyBorder="1" applyAlignment="1" applyProtection="1">
      <alignment horizontal="center" vertical="center"/>
    </xf>
    <xf numFmtId="0" fontId="2" fillId="10" borderId="8" xfId="0" applyFont="1" applyFill="1" applyBorder="1" applyAlignment="1" applyProtection="1">
      <alignment horizontal="center" vertical="center" textRotation="90"/>
    </xf>
    <xf numFmtId="0" fontId="0" fillId="10" borderId="12" xfId="0" applyFill="1" applyBorder="1" applyAlignment="1" applyProtection="1">
      <alignment horizontal="center" vertical="center" textRotation="90"/>
    </xf>
    <xf numFmtId="0" fontId="2" fillId="11" borderId="8" xfId="0" applyFont="1" applyFill="1" applyBorder="1" applyAlignment="1" applyProtection="1">
      <alignment horizontal="center" vertical="center" textRotation="90" wrapText="1"/>
    </xf>
    <xf numFmtId="0" fontId="0" fillId="11" borderId="12" xfId="0" applyFill="1" applyBorder="1" applyAlignment="1" applyProtection="1">
      <alignment horizontal="center" vertical="center" textRotation="90" wrapText="1"/>
    </xf>
    <xf numFmtId="0" fontId="0" fillId="11" borderId="7" xfId="0" applyFill="1" applyBorder="1" applyAlignment="1" applyProtection="1">
      <alignment horizontal="center" vertical="center" textRotation="90" wrapText="1"/>
    </xf>
    <xf numFmtId="0" fontId="0" fillId="11" borderId="14" xfId="0" applyFill="1" applyBorder="1" applyAlignment="1" applyProtection="1">
      <alignment horizontal="center" vertical="center"/>
    </xf>
    <xf numFmtId="0" fontId="0" fillId="11" borderId="10" xfId="0" applyFill="1" applyBorder="1" applyAlignment="1" applyProtection="1">
      <alignment horizontal="center" vertical="center"/>
    </xf>
    <xf numFmtId="0" fontId="0" fillId="11" borderId="11" xfId="0" applyFill="1" applyBorder="1" applyAlignment="1" applyProtection="1">
      <alignment horizontal="center" vertical="center"/>
    </xf>
    <xf numFmtId="0" fontId="0" fillId="11" borderId="15" xfId="0" applyFill="1" applyBorder="1" applyAlignment="1" applyProtection="1">
      <alignment horizontal="center" vertical="center"/>
    </xf>
    <xf numFmtId="0" fontId="0" fillId="11" borderId="13" xfId="0" applyFill="1" applyBorder="1" applyAlignment="1" applyProtection="1">
      <alignment horizontal="center" vertical="center"/>
    </xf>
    <xf numFmtId="0" fontId="2" fillId="10" borderId="9" xfId="0" applyFont="1" applyFill="1" applyBorder="1" applyAlignment="1" applyProtection="1">
      <alignment horizontal="center" vertical="center" wrapText="1"/>
    </xf>
    <xf numFmtId="0" fontId="0" fillId="10" borderId="14" xfId="0" applyFill="1" applyBorder="1" applyAlignment="1" applyProtection="1">
      <alignment horizontal="center" vertical="center" wrapText="1"/>
    </xf>
    <xf numFmtId="0" fontId="0" fillId="10" borderId="10" xfId="0" applyFill="1" applyBorder="1" applyAlignment="1" applyProtection="1">
      <alignment horizontal="center" vertical="center" wrapText="1"/>
    </xf>
    <xf numFmtId="0" fontId="0" fillId="10" borderId="11" xfId="0" applyFill="1" applyBorder="1" applyAlignment="1" applyProtection="1">
      <alignment horizontal="center" vertical="center" wrapText="1"/>
    </xf>
    <xf numFmtId="0" fontId="0" fillId="10" borderId="15" xfId="0" applyFill="1" applyBorder="1" applyAlignment="1" applyProtection="1">
      <alignment horizontal="center" vertical="center" wrapText="1"/>
    </xf>
    <xf numFmtId="0" fontId="0" fillId="10" borderId="13" xfId="0" applyFill="1" applyBorder="1" applyAlignment="1" applyProtection="1">
      <alignment horizontal="center" vertical="center" wrapText="1"/>
    </xf>
    <xf numFmtId="0" fontId="2" fillId="8" borderId="8" xfId="0" applyFont="1" applyFill="1" applyBorder="1" applyAlignment="1" applyProtection="1">
      <alignment horizontal="center" vertical="center" textRotation="90"/>
    </xf>
    <xf numFmtId="0" fontId="0" fillId="8" borderId="12" xfId="0" applyFill="1" applyBorder="1" applyAlignment="1" applyProtection="1">
      <alignment horizontal="center" vertical="center" textRotation="90"/>
    </xf>
    <xf numFmtId="0" fontId="0" fillId="8" borderId="12" xfId="0" applyFill="1" applyBorder="1" applyAlignment="1" applyProtection="1"/>
    <xf numFmtId="0" fontId="0" fillId="8" borderId="7" xfId="0" applyFill="1" applyBorder="1" applyAlignment="1" applyProtection="1"/>
    <xf numFmtId="0" fontId="0" fillId="10" borderId="7" xfId="0" applyFill="1" applyBorder="1" applyAlignment="1" applyProtection="1">
      <alignment horizontal="center" vertical="center" textRotation="90"/>
    </xf>
    <xf numFmtId="0" fontId="2" fillId="11" borderId="10" xfId="0" applyFont="1" applyFill="1" applyBorder="1" applyAlignment="1" applyProtection="1">
      <alignment horizontal="center" vertical="center" wrapText="1"/>
    </xf>
    <xf numFmtId="0" fontId="0" fillId="11" borderId="6" xfId="0" applyFill="1" applyBorder="1" applyAlignment="1" applyProtection="1">
      <alignment horizontal="center" vertical="center" wrapText="1"/>
    </xf>
    <xf numFmtId="0" fontId="0" fillId="11" borderId="6" xfId="0" applyFill="1" applyBorder="1" applyAlignment="1" applyProtection="1"/>
    <xf numFmtId="0" fontId="2" fillId="14" borderId="9" xfId="0" applyFont="1" applyFill="1" applyBorder="1" applyAlignment="1" applyProtection="1">
      <alignment horizontal="center" vertical="center"/>
    </xf>
    <xf numFmtId="0" fontId="0" fillId="14" borderId="14" xfId="0" applyFill="1" applyBorder="1" applyAlignment="1" applyProtection="1">
      <alignment horizontal="center" vertical="center"/>
    </xf>
    <xf numFmtId="0" fontId="0" fillId="14" borderId="10" xfId="0" applyFill="1" applyBorder="1" applyAlignment="1" applyProtection="1">
      <alignment horizontal="center" vertical="center"/>
    </xf>
    <xf numFmtId="0" fontId="0" fillId="14" borderId="11" xfId="0" applyFill="1" applyBorder="1" applyAlignment="1" applyProtection="1">
      <alignment horizontal="center" vertical="center"/>
    </xf>
    <xf numFmtId="0" fontId="0" fillId="14" borderId="15" xfId="0" applyFill="1" applyBorder="1" applyAlignment="1" applyProtection="1">
      <alignment horizontal="center" vertical="center"/>
    </xf>
    <xf numFmtId="0" fontId="0" fillId="14" borderId="13" xfId="0" applyFill="1" applyBorder="1" applyAlignment="1" applyProtection="1">
      <alignment horizontal="center" vertical="center"/>
    </xf>
    <xf numFmtId="0" fontId="2" fillId="14" borderId="8" xfId="0" applyFont="1" applyFill="1" applyBorder="1" applyAlignment="1" applyProtection="1">
      <alignment horizontal="center" vertical="center" wrapText="1"/>
    </xf>
    <xf numFmtId="0" fontId="0" fillId="14" borderId="12" xfId="0" applyFill="1" applyBorder="1" applyAlignment="1" applyProtection="1">
      <alignment horizontal="center" vertical="center" wrapText="1"/>
    </xf>
    <xf numFmtId="0" fontId="0" fillId="14" borderId="12" xfId="0" applyFill="1" applyBorder="1" applyAlignment="1" applyProtection="1"/>
    <xf numFmtId="0" fontId="0" fillId="14" borderId="7" xfId="0" applyFill="1" applyBorder="1" applyAlignment="1" applyProtection="1"/>
    <xf numFmtId="0" fontId="0" fillId="8" borderId="7" xfId="0" applyFill="1" applyBorder="1" applyAlignment="1" applyProtection="1">
      <alignment horizontal="center" vertical="center" textRotation="90"/>
    </xf>
    <xf numFmtId="0" fontId="8" fillId="4" borderId="1" xfId="0" applyFont="1" applyFill="1" applyBorder="1" applyAlignment="1" applyProtection="1">
      <alignment horizontal="center" vertical="center" wrapText="1"/>
    </xf>
    <xf numFmtId="0" fontId="9" fillId="0" borderId="2" xfId="0" applyFont="1" applyBorder="1" applyAlignment="1" applyProtection="1">
      <alignment horizontal="center" vertical="center"/>
    </xf>
    <xf numFmtId="0" fontId="2" fillId="5" borderId="8" xfId="0" applyFont="1" applyFill="1" applyBorder="1" applyAlignment="1" applyProtection="1">
      <alignment horizontal="center" vertical="center" textRotation="90" wrapText="1"/>
      <protection locked="0"/>
    </xf>
    <xf numFmtId="0" fontId="2" fillId="5" borderId="7" xfId="0" applyFont="1" applyFill="1" applyBorder="1" applyAlignment="1" applyProtection="1">
      <alignment horizontal="center" vertical="center" textRotation="90" wrapText="1"/>
      <protection locked="0"/>
    </xf>
    <xf numFmtId="0" fontId="2" fillId="4" borderId="15" xfId="0" applyFont="1" applyFill="1" applyBorder="1" applyAlignment="1" applyProtection="1">
      <alignment horizontal="center" vertical="center"/>
    </xf>
    <xf numFmtId="0" fontId="2" fillId="0" borderId="15" xfId="0" applyFont="1" applyBorder="1" applyAlignment="1">
      <alignment horizontal="center" vertical="center"/>
    </xf>
    <xf numFmtId="0" fontId="16" fillId="2" borderId="23" xfId="0" applyFont="1" applyFill="1" applyBorder="1" applyAlignment="1">
      <alignment horizontal="left" vertical="top" wrapText="1"/>
    </xf>
    <xf numFmtId="0" fontId="16" fillId="2" borderId="24" xfId="0" applyFont="1" applyFill="1" applyBorder="1" applyAlignment="1">
      <alignment horizontal="left" vertical="top" wrapText="1"/>
    </xf>
    <xf numFmtId="0" fontId="16" fillId="2" borderId="25" xfId="0" applyFont="1" applyFill="1" applyBorder="1" applyAlignment="1">
      <alignment horizontal="left" vertical="top" wrapText="1"/>
    </xf>
    <xf numFmtId="0" fontId="16" fillId="2" borderId="26" xfId="0" applyFont="1" applyFill="1" applyBorder="1" applyAlignment="1">
      <alignment horizontal="left" vertical="top" wrapText="1"/>
    </xf>
    <xf numFmtId="0" fontId="16" fillId="2" borderId="0" xfId="0" applyFont="1" applyFill="1" applyBorder="1" applyAlignment="1">
      <alignment horizontal="left" vertical="top" wrapText="1"/>
    </xf>
    <xf numFmtId="0" fontId="16" fillId="2" borderId="27" xfId="0" applyFont="1" applyFill="1" applyBorder="1" applyAlignment="1">
      <alignment horizontal="left" vertical="top" wrapText="1"/>
    </xf>
    <xf numFmtId="0" fontId="16" fillId="2" borderId="28" xfId="0" applyFont="1" applyFill="1" applyBorder="1" applyAlignment="1">
      <alignment horizontal="left" vertical="top" wrapText="1"/>
    </xf>
    <xf numFmtId="0" fontId="16" fillId="2" borderId="29" xfId="0" applyFont="1" applyFill="1" applyBorder="1" applyAlignment="1">
      <alignment horizontal="left" vertical="top" wrapText="1"/>
    </xf>
    <xf numFmtId="0" fontId="16" fillId="2" borderId="30" xfId="0" applyFont="1" applyFill="1" applyBorder="1" applyAlignment="1">
      <alignment horizontal="left" vertical="top" wrapText="1"/>
    </xf>
    <xf numFmtId="167" fontId="0" fillId="2" borderId="31" xfId="0" applyNumberFormat="1" applyFill="1" applyBorder="1" applyAlignment="1">
      <alignment horizontal="center"/>
    </xf>
    <xf numFmtId="167" fontId="0" fillId="0" borderId="31" xfId="0" applyNumberFormat="1" applyBorder="1" applyAlignment="1"/>
    <xf numFmtId="0" fontId="0" fillId="2" borderId="29" xfId="0" applyFill="1" applyBorder="1" applyAlignment="1">
      <alignment horizontal="center"/>
    </xf>
    <xf numFmtId="0" fontId="0" fillId="0" borderId="29" xfId="0" applyBorder="1" applyAlignment="1"/>
    <xf numFmtId="0" fontId="0" fillId="2" borderId="31" xfId="0" applyFill="1" applyBorder="1" applyAlignment="1">
      <alignment horizontal="center"/>
    </xf>
    <xf numFmtId="0" fontId="0" fillId="0" borderId="31" xfId="0" applyBorder="1" applyAlignment="1"/>
    <xf numFmtId="0" fontId="18" fillId="2" borderId="0" xfId="0" applyFont="1" applyFill="1" applyAlignment="1">
      <alignment horizontal="center"/>
    </xf>
    <xf numFmtId="0" fontId="19" fillId="0" borderId="0" xfId="0" applyFont="1" applyAlignment="1"/>
    <xf numFmtId="0" fontId="15" fillId="0" borderId="0" xfId="0" applyFont="1" applyAlignment="1">
      <alignment horizontal="left" vertical="top" wrapText="1"/>
    </xf>
    <xf numFmtId="0" fontId="15" fillId="0" borderId="0" xfId="0" quotePrefix="1" applyFont="1" applyAlignment="1">
      <alignment horizontal="left" vertical="top" wrapText="1"/>
    </xf>
    <xf numFmtId="1" fontId="1" fillId="3" borderId="1" xfId="0" applyNumberFormat="1" applyFont="1" applyFill="1" applyBorder="1" applyAlignment="1" applyProtection="1">
      <alignment horizontal="center"/>
    </xf>
    <xf numFmtId="1" fontId="1" fillId="0" borderId="2" xfId="0" applyNumberFormat="1" applyFont="1" applyBorder="1" applyAlignment="1" applyProtection="1">
      <alignment horizontal="center"/>
    </xf>
    <xf numFmtId="49" fontId="1" fillId="2" borderId="1" xfId="0" applyNumberFormat="1" applyFont="1" applyFill="1" applyBorder="1" applyAlignment="1" applyProtection="1">
      <alignment horizontal="center" vertical="center"/>
      <protection locked="0"/>
    </xf>
    <xf numFmtId="49" fontId="0" fillId="2" borderId="5" xfId="0" applyNumberFormat="1" applyFill="1" applyBorder="1" applyAlignment="1" applyProtection="1">
      <protection locked="0"/>
    </xf>
    <xf numFmtId="49" fontId="0" fillId="0" borderId="2" xfId="0" applyNumberFormat="1" applyBorder="1" applyAlignment="1"/>
    <xf numFmtId="0" fontId="2" fillId="5" borderId="8" xfId="0" applyFont="1" applyFill="1" applyBorder="1" applyAlignment="1" applyProtection="1">
      <alignment horizontal="center" vertical="center" textRotation="90" wrapText="1"/>
    </xf>
    <xf numFmtId="0" fontId="0" fillId="0" borderId="7" xfId="0" applyBorder="1" applyAlignment="1">
      <alignment horizontal="center" vertical="center" textRotation="90" wrapText="1"/>
    </xf>
    <xf numFmtId="0" fontId="2" fillId="4" borderId="1" xfId="0" applyFont="1" applyFill="1" applyBorder="1" applyAlignment="1" applyProtection="1">
      <alignment horizontal="center" vertical="center"/>
    </xf>
    <xf numFmtId="0" fontId="2" fillId="4" borderId="5" xfId="0" applyFont="1" applyFill="1" applyBorder="1" applyAlignment="1" applyProtection="1">
      <alignment horizontal="center" vertical="center"/>
    </xf>
    <xf numFmtId="0" fontId="2" fillId="4" borderId="2" xfId="0" applyFont="1" applyFill="1" applyBorder="1" applyAlignment="1" applyProtection="1">
      <alignment horizontal="center" vertical="center"/>
    </xf>
    <xf numFmtId="0" fontId="2" fillId="5" borderId="7" xfId="0" applyFont="1" applyFill="1" applyBorder="1" applyAlignment="1" applyProtection="1">
      <alignment horizontal="center" vertical="center" textRotation="90" wrapText="1"/>
    </xf>
    <xf numFmtId="0" fontId="2" fillId="9" borderId="8" xfId="0" applyFont="1" applyFill="1" applyBorder="1" applyAlignment="1" applyProtection="1">
      <alignment horizontal="center" vertical="center" textRotation="90" wrapText="1"/>
    </xf>
    <xf numFmtId="0" fontId="2" fillId="9" borderId="7" xfId="0" applyFont="1" applyFill="1" applyBorder="1" applyAlignment="1" applyProtection="1">
      <alignment horizontal="center" vertical="center" textRotation="90" wrapText="1"/>
    </xf>
    <xf numFmtId="0" fontId="0" fillId="9" borderId="7" xfId="0" applyFill="1" applyBorder="1" applyAlignment="1">
      <alignment horizontal="center" vertical="center" textRotation="90" wrapText="1"/>
    </xf>
    <xf numFmtId="164" fontId="1" fillId="2" borderId="8" xfId="0" applyNumberFormat="1" applyFont="1" applyFill="1" applyBorder="1" applyAlignment="1" applyProtection="1">
      <alignment horizontal="center" vertical="center"/>
      <protection locked="0"/>
    </xf>
    <xf numFmtId="0" fontId="0" fillId="0" borderId="7" xfId="0" applyBorder="1" applyAlignment="1"/>
    <xf numFmtId="164" fontId="0" fillId="2" borderId="8" xfId="0" applyNumberFormat="1" applyFill="1" applyBorder="1" applyAlignment="1" applyProtection="1">
      <alignment horizontal="center" vertical="center"/>
      <protection locked="0"/>
    </xf>
    <xf numFmtId="1" fontId="0" fillId="2" borderId="8" xfId="0" applyNumberFormat="1" applyFill="1" applyBorder="1" applyAlignment="1" applyProtection="1">
      <alignment horizontal="center" vertical="center"/>
      <protection locked="0"/>
    </xf>
    <xf numFmtId="1" fontId="0" fillId="0" borderId="7" xfId="0" applyNumberFormat="1" applyBorder="1" applyAlignment="1"/>
    <xf numFmtId="0" fontId="2" fillId="5" borderId="8" xfId="0" applyFont="1" applyFill="1" applyBorder="1" applyAlignment="1" applyProtection="1">
      <alignment horizontal="center" vertical="center"/>
    </xf>
    <xf numFmtId="0" fontId="0" fillId="0" borderId="7" xfId="0" applyBorder="1" applyAlignment="1">
      <alignment horizontal="center" vertical="center"/>
    </xf>
    <xf numFmtId="0" fontId="0" fillId="0" borderId="5" xfId="0" applyBorder="1" applyAlignment="1"/>
    <xf numFmtId="0" fontId="0" fillId="0" borderId="2" xfId="0" applyBorder="1" applyAlignment="1"/>
    <xf numFmtId="0" fontId="2" fillId="4" borderId="3" xfId="0" applyFont="1" applyFill="1" applyBorder="1" applyAlignment="1" applyProtection="1">
      <alignment horizontal="center" vertical="center"/>
    </xf>
    <xf numFmtId="0" fontId="0" fillId="0" borderId="0" xfId="0" applyAlignment="1"/>
    <xf numFmtId="0" fontId="6" fillId="4" borderId="3" xfId="0" applyFont="1" applyFill="1" applyBorder="1" applyAlignment="1" applyProtection="1">
      <alignment horizontal="left" vertical="center" wrapText="1"/>
    </xf>
    <xf numFmtId="0" fontId="0" fillId="0" borderId="0" xfId="0" applyAlignment="1">
      <alignment horizontal="left" vertical="center"/>
    </xf>
  </cellXfs>
  <cellStyles count="1">
    <cellStyle name="Normal" xfId="0" builtinId="0"/>
  </cellStyles>
  <dxfs count="17760">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ont>
        <color theme="0"/>
      </font>
    </dxf>
    <dxf>
      <font>
        <color theme="1"/>
      </font>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rgb="FF92D050"/>
        </patternFill>
      </fill>
    </dxf>
    <dxf>
      <fill>
        <patternFill>
          <bgColor theme="0" tint="-0.14996795556505021"/>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rgb="FF92D050"/>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rgb="FF92D050"/>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rgb="FF92D050"/>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rgb="FF92D050"/>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rgb="FF92D050"/>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
      <fill>
        <patternFill>
          <bgColor theme="4" tint="0.79998168889431442"/>
        </patternFill>
      </fill>
    </dxf>
    <dxf>
      <fill>
        <patternFill>
          <bgColor theme="7" tint="0.79998168889431442"/>
        </patternFill>
      </fill>
    </dxf>
    <dxf>
      <fill>
        <patternFill>
          <bgColor theme="9"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MPEs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4893633262285172E-2"/>
          <c:y val="0.14674579624134523"/>
          <c:w val="0.89290023310844535"/>
          <c:h val="0.49657421902380899"/>
        </c:manualLayout>
      </c:layout>
      <c:barChart>
        <c:barDir val="col"/>
        <c:grouping val="stacked"/>
        <c:varyColors val="0"/>
        <c:ser>
          <c:idx val="0"/>
          <c:order val="0"/>
          <c:tx>
            <c:v>Competency</c:v>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Summary!$G$2:$N$2</c:f>
              <c:strCache>
                <c:ptCount val="7"/>
                <c:pt idx="0">
                  <c:v>James Burnley</c:v>
                </c:pt>
                <c:pt idx="1">
                  <c:v>Karen Venables</c:v>
                </c:pt>
                <c:pt idx="2">
                  <c:v>Rachel Wills</c:v>
                </c:pt>
                <c:pt idx="3">
                  <c:v>Tom Hague</c:v>
                </c:pt>
                <c:pt idx="4">
                  <c:v>Andrea Fischer</c:v>
                </c:pt>
                <c:pt idx="5">
                  <c:v>Jose Lourdhurajan</c:v>
                </c:pt>
                <c:pt idx="6">
                  <c:v>George Lee</c:v>
                </c:pt>
              </c:strCache>
            </c:strRef>
          </c:cat>
          <c:val>
            <c:numRef>
              <c:f>Summary!$G$238:$N$238</c:f>
              <c:numCache>
                <c:formatCode>0%</c:formatCode>
                <c:ptCount val="7"/>
                <c:pt idx="0">
                  <c:v>1</c:v>
                </c:pt>
                <c:pt idx="1">
                  <c:v>1</c:v>
                </c:pt>
                <c:pt idx="2">
                  <c:v>0.67777777777777781</c:v>
                </c:pt>
                <c:pt idx="3">
                  <c:v>0.48314606741573035</c:v>
                </c:pt>
                <c:pt idx="4">
                  <c:v>0.9887640449438202</c:v>
                </c:pt>
                <c:pt idx="5">
                  <c:v>0.5280898876404494</c:v>
                </c:pt>
                <c:pt idx="6">
                  <c:v>0.6404494382022472</c:v>
                </c:pt>
              </c:numCache>
            </c:numRef>
          </c:val>
          <c:extLst>
            <c:ext xmlns:c16="http://schemas.microsoft.com/office/drawing/2014/chart" uri="{C3380CC4-5D6E-409C-BE32-E72D297353CC}">
              <c16:uniqueId val="{00000000-C583-4EAA-8D46-460EFE83A695}"/>
            </c:ext>
          </c:extLst>
        </c:ser>
        <c:ser>
          <c:idx val="2"/>
          <c:order val="1"/>
          <c:tx>
            <c:v>Assessment</c:v>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val>
            <c:numRef>
              <c:f>Summary!$G$241:$N$241</c:f>
              <c:numCache>
                <c:formatCode>0%</c:formatCode>
                <c:ptCount val="7"/>
                <c:pt idx="0">
                  <c:v>0</c:v>
                </c:pt>
                <c:pt idx="1">
                  <c:v>0</c:v>
                </c:pt>
                <c:pt idx="2">
                  <c:v>1.1111111111111112E-2</c:v>
                </c:pt>
                <c:pt idx="3">
                  <c:v>5.6179775280898875E-2</c:v>
                </c:pt>
                <c:pt idx="4">
                  <c:v>0</c:v>
                </c:pt>
                <c:pt idx="5">
                  <c:v>4.49438202247191E-2</c:v>
                </c:pt>
                <c:pt idx="6">
                  <c:v>0.1797752808988764</c:v>
                </c:pt>
              </c:numCache>
            </c:numRef>
          </c:val>
          <c:extLst>
            <c:ext xmlns:c16="http://schemas.microsoft.com/office/drawing/2014/chart" uri="{C3380CC4-5D6E-409C-BE32-E72D297353CC}">
              <c16:uniqueId val="{00000001-F32D-4783-B343-382BA9AFB405}"/>
            </c:ext>
          </c:extLst>
        </c:ser>
        <c:ser>
          <c:idx val="1"/>
          <c:order val="2"/>
          <c:tx>
            <c:v>Training</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val>
            <c:numRef>
              <c:f>Summary!$G$240:$N$240</c:f>
              <c:numCache>
                <c:formatCode>0%</c:formatCode>
                <c:ptCount val="7"/>
                <c:pt idx="0">
                  <c:v>0</c:v>
                </c:pt>
                <c:pt idx="1">
                  <c:v>0</c:v>
                </c:pt>
                <c:pt idx="2">
                  <c:v>0.31111111111111112</c:v>
                </c:pt>
                <c:pt idx="3">
                  <c:v>0.4606741573033708</c:v>
                </c:pt>
                <c:pt idx="4">
                  <c:v>1.1235955056179775E-2</c:v>
                </c:pt>
                <c:pt idx="5">
                  <c:v>0.42696629213483145</c:v>
                </c:pt>
                <c:pt idx="6">
                  <c:v>0.1797752808988764</c:v>
                </c:pt>
              </c:numCache>
            </c:numRef>
          </c:val>
          <c:extLst>
            <c:ext xmlns:c16="http://schemas.microsoft.com/office/drawing/2014/chart" uri="{C3380CC4-5D6E-409C-BE32-E72D297353CC}">
              <c16:uniqueId val="{00000000-F32D-4783-B343-382BA9AFB405}"/>
            </c:ext>
          </c:extLst>
        </c:ser>
        <c:dLbls>
          <c:showLegendKey val="0"/>
          <c:showVal val="1"/>
          <c:showCatName val="0"/>
          <c:showSerName val="0"/>
          <c:showPercent val="0"/>
          <c:showBubbleSize val="0"/>
        </c:dLbls>
        <c:gapWidth val="75"/>
        <c:overlap val="100"/>
        <c:axId val="1684227183"/>
        <c:axId val="1684225519"/>
      </c:barChart>
      <c:catAx>
        <c:axId val="16842271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84225519"/>
        <c:crosses val="autoZero"/>
        <c:auto val="1"/>
        <c:lblAlgn val="ctr"/>
        <c:lblOffset val="100"/>
        <c:noMultiLvlLbl val="0"/>
      </c:catAx>
      <c:valAx>
        <c:axId val="1684225519"/>
        <c:scaling>
          <c:orientation val="minMax"/>
          <c:max val="1"/>
        </c:scaling>
        <c:delete val="1"/>
        <c:axPos val="l"/>
        <c:numFmt formatCode="0%" sourceLinked="1"/>
        <c:majorTickMark val="none"/>
        <c:minorTickMark val="none"/>
        <c:tickLblPos val="nextTo"/>
        <c:crossAx val="1684227183"/>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Practitioners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4264388826396698"/>
          <c:y val="0.14321433046317039"/>
          <c:w val="0.72640373078365206"/>
          <c:h val="0.50337910991723223"/>
        </c:manualLayout>
      </c:layout>
      <c:barChart>
        <c:barDir val="col"/>
        <c:grouping val="stacked"/>
        <c:varyColors val="0"/>
        <c:ser>
          <c:idx val="0"/>
          <c:order val="0"/>
          <c:tx>
            <c:v>Competency</c:v>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Summary!$P$2:$S$2</c:f>
              <c:strCache>
                <c:ptCount val="4"/>
                <c:pt idx="0">
                  <c:v>Rikki Lad</c:v>
                </c:pt>
                <c:pt idx="1">
                  <c:v>David Williams</c:v>
                </c:pt>
                <c:pt idx="2">
                  <c:v>Jack Hills</c:v>
                </c:pt>
                <c:pt idx="3">
                  <c:v>Rentia Rudolph</c:v>
                </c:pt>
              </c:strCache>
            </c:strRef>
          </c:cat>
          <c:val>
            <c:numRef>
              <c:f>Summary!$P$238:$S$238</c:f>
              <c:numCache>
                <c:formatCode>0%</c:formatCode>
                <c:ptCount val="4"/>
                <c:pt idx="0">
                  <c:v>0.55555555555555558</c:v>
                </c:pt>
                <c:pt idx="1">
                  <c:v>0.45614035087719296</c:v>
                </c:pt>
                <c:pt idx="2">
                  <c:v>0.6333333333333333</c:v>
                </c:pt>
                <c:pt idx="3">
                  <c:v>0</c:v>
                </c:pt>
              </c:numCache>
            </c:numRef>
          </c:val>
          <c:extLst>
            <c:ext xmlns:c16="http://schemas.microsoft.com/office/drawing/2014/chart" uri="{C3380CC4-5D6E-409C-BE32-E72D297353CC}">
              <c16:uniqueId val="{00000000-4105-4C0F-AF15-654B1441197E}"/>
            </c:ext>
          </c:extLst>
        </c:ser>
        <c:ser>
          <c:idx val="2"/>
          <c:order val="1"/>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Summary!$P$2:$S$2</c:f>
              <c:strCache>
                <c:ptCount val="4"/>
                <c:pt idx="0">
                  <c:v>Rikki Lad</c:v>
                </c:pt>
                <c:pt idx="1">
                  <c:v>David Williams</c:v>
                </c:pt>
                <c:pt idx="2">
                  <c:v>Jack Hills</c:v>
                </c:pt>
                <c:pt idx="3">
                  <c:v>Rentia Rudolph</c:v>
                </c:pt>
              </c:strCache>
            </c:strRef>
          </c:cat>
          <c:val>
            <c:numRef>
              <c:f>Summary!$P$241:$S$241</c:f>
              <c:numCache>
                <c:formatCode>0%</c:formatCode>
                <c:ptCount val="4"/>
                <c:pt idx="0">
                  <c:v>8.3333333333333329E-2</c:v>
                </c:pt>
                <c:pt idx="1">
                  <c:v>0.10526315789473684</c:v>
                </c:pt>
                <c:pt idx="2">
                  <c:v>0.05</c:v>
                </c:pt>
                <c:pt idx="3">
                  <c:v>0</c:v>
                </c:pt>
              </c:numCache>
            </c:numRef>
          </c:val>
          <c:extLst>
            <c:ext xmlns:c16="http://schemas.microsoft.com/office/drawing/2014/chart" uri="{C3380CC4-5D6E-409C-BE32-E72D297353CC}">
              <c16:uniqueId val="{00000002-4105-4C0F-AF15-654B1441197E}"/>
            </c:ext>
          </c:extLst>
        </c:ser>
        <c:ser>
          <c:idx val="1"/>
          <c:order val="2"/>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Summary!$P$2:$S$2</c:f>
              <c:strCache>
                <c:ptCount val="4"/>
                <c:pt idx="0">
                  <c:v>Rikki Lad</c:v>
                </c:pt>
                <c:pt idx="1">
                  <c:v>David Williams</c:v>
                </c:pt>
                <c:pt idx="2">
                  <c:v>Jack Hills</c:v>
                </c:pt>
                <c:pt idx="3">
                  <c:v>Rentia Rudolph</c:v>
                </c:pt>
              </c:strCache>
            </c:strRef>
          </c:cat>
          <c:val>
            <c:numRef>
              <c:f>Summary!$P$240:$S$240</c:f>
              <c:numCache>
                <c:formatCode>0%</c:formatCode>
                <c:ptCount val="4"/>
                <c:pt idx="0">
                  <c:v>0.3611111111111111</c:v>
                </c:pt>
                <c:pt idx="1">
                  <c:v>0.43859649122807015</c:v>
                </c:pt>
                <c:pt idx="2">
                  <c:v>0.31666666666666665</c:v>
                </c:pt>
                <c:pt idx="3">
                  <c:v>0</c:v>
                </c:pt>
              </c:numCache>
            </c:numRef>
          </c:val>
          <c:extLst>
            <c:ext xmlns:c16="http://schemas.microsoft.com/office/drawing/2014/chart" uri="{C3380CC4-5D6E-409C-BE32-E72D297353CC}">
              <c16:uniqueId val="{00000001-4105-4C0F-AF15-654B1441197E}"/>
            </c:ext>
          </c:extLst>
        </c:ser>
        <c:dLbls>
          <c:showLegendKey val="0"/>
          <c:showVal val="1"/>
          <c:showCatName val="0"/>
          <c:showSerName val="0"/>
          <c:showPercent val="0"/>
          <c:showBubbleSize val="0"/>
        </c:dLbls>
        <c:gapWidth val="75"/>
        <c:overlap val="100"/>
        <c:axId val="1684227183"/>
        <c:axId val="1684225519"/>
      </c:barChart>
      <c:catAx>
        <c:axId val="16842271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84225519"/>
        <c:crosses val="autoZero"/>
        <c:auto val="1"/>
        <c:lblAlgn val="ctr"/>
        <c:lblOffset val="100"/>
        <c:noMultiLvlLbl val="0"/>
      </c:catAx>
      <c:valAx>
        <c:axId val="1684225519"/>
        <c:scaling>
          <c:orientation val="minMax"/>
          <c:max val="1"/>
        </c:scaling>
        <c:delete val="1"/>
        <c:axPos val="l"/>
        <c:numFmt formatCode="0%" sourceLinked="1"/>
        <c:majorTickMark val="none"/>
        <c:minorTickMark val="none"/>
        <c:tickLblPos val="nextTo"/>
        <c:crossAx val="1684227183"/>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Clinical Scientists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789444572557457E-3"/>
          <c:y val="0.13924607525499164"/>
          <c:w val="0.9952210555427442"/>
          <c:h val="0.50337910991723223"/>
        </c:manualLayout>
      </c:layout>
      <c:barChart>
        <c:barDir val="col"/>
        <c:grouping val="stacked"/>
        <c:varyColors val="0"/>
        <c:ser>
          <c:idx val="0"/>
          <c:order val="0"/>
          <c:tx>
            <c:v>Competency</c:v>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Summary!$U$2:$AB$2</c:f>
              <c:strCache>
                <c:ptCount val="8"/>
                <c:pt idx="0">
                  <c:v>Adam Sidgreaves</c:v>
                </c:pt>
                <c:pt idx="1">
                  <c:v>William Hamblyn</c:v>
                </c:pt>
                <c:pt idx="2">
                  <c:v>Preetinder Singh</c:v>
                </c:pt>
                <c:pt idx="3">
                  <c:v>Hannah Price</c:v>
                </c:pt>
                <c:pt idx="4">
                  <c:v>Jordan Wan</c:v>
                </c:pt>
                <c:pt idx="5">
                  <c:v>Steffi Mendes</c:v>
                </c:pt>
                <c:pt idx="6">
                  <c:v>Fiona Hanton</c:v>
                </c:pt>
                <c:pt idx="7">
                  <c:v>Yasmin Rahman</c:v>
                </c:pt>
              </c:strCache>
            </c:strRef>
          </c:cat>
          <c:val>
            <c:numRef>
              <c:f>Summary!$U$238:$AB$238</c:f>
              <c:numCache>
                <c:formatCode>0%</c:formatCode>
                <c:ptCount val="8"/>
                <c:pt idx="0">
                  <c:v>0.88636363636363635</c:v>
                </c:pt>
                <c:pt idx="1">
                  <c:v>0.75862068965517238</c:v>
                </c:pt>
                <c:pt idx="2">
                  <c:v>0.52873563218390807</c:v>
                </c:pt>
                <c:pt idx="3">
                  <c:v>0.74712643678160917</c:v>
                </c:pt>
                <c:pt idx="4">
                  <c:v>0.63218390804597702</c:v>
                </c:pt>
                <c:pt idx="5">
                  <c:v>0.56321839080459768</c:v>
                </c:pt>
                <c:pt idx="6">
                  <c:v>0.7857142857142857</c:v>
                </c:pt>
                <c:pt idx="7">
                  <c:v>0.43023255813953487</c:v>
                </c:pt>
              </c:numCache>
            </c:numRef>
          </c:val>
          <c:extLst>
            <c:ext xmlns:c16="http://schemas.microsoft.com/office/drawing/2014/chart" uri="{C3380CC4-5D6E-409C-BE32-E72D297353CC}">
              <c16:uniqueId val="{00000000-5F61-4DD9-A6EE-D22B3ED8BDC9}"/>
            </c:ext>
          </c:extLst>
        </c:ser>
        <c:ser>
          <c:idx val="2"/>
          <c:order val="1"/>
          <c:tx>
            <c:v>Assessment</c:v>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Summary!$U$2:$AB$2</c:f>
              <c:strCache>
                <c:ptCount val="8"/>
                <c:pt idx="0">
                  <c:v>Adam Sidgreaves</c:v>
                </c:pt>
                <c:pt idx="1">
                  <c:v>William Hamblyn</c:v>
                </c:pt>
                <c:pt idx="2">
                  <c:v>Preetinder Singh</c:v>
                </c:pt>
                <c:pt idx="3">
                  <c:v>Hannah Price</c:v>
                </c:pt>
                <c:pt idx="4">
                  <c:v>Jordan Wan</c:v>
                </c:pt>
                <c:pt idx="5">
                  <c:v>Steffi Mendes</c:v>
                </c:pt>
                <c:pt idx="6">
                  <c:v>Fiona Hanton</c:v>
                </c:pt>
                <c:pt idx="7">
                  <c:v>Yasmin Rahman</c:v>
                </c:pt>
              </c:strCache>
            </c:strRef>
          </c:cat>
          <c:val>
            <c:numRef>
              <c:f>Summary!$U$241:$AB$241</c:f>
              <c:numCache>
                <c:formatCode>0%</c:formatCode>
                <c:ptCount val="8"/>
                <c:pt idx="0">
                  <c:v>3.4090909090909088E-2</c:v>
                </c:pt>
                <c:pt idx="1">
                  <c:v>0</c:v>
                </c:pt>
                <c:pt idx="2">
                  <c:v>0.11494252873563218</c:v>
                </c:pt>
                <c:pt idx="3">
                  <c:v>0.13793103448275862</c:v>
                </c:pt>
                <c:pt idx="4">
                  <c:v>0.11494252873563218</c:v>
                </c:pt>
                <c:pt idx="5">
                  <c:v>0.19540229885057472</c:v>
                </c:pt>
                <c:pt idx="6">
                  <c:v>7.1428571428571425E-2</c:v>
                </c:pt>
                <c:pt idx="7">
                  <c:v>6.9767441860465115E-2</c:v>
                </c:pt>
              </c:numCache>
            </c:numRef>
          </c:val>
          <c:extLst>
            <c:ext xmlns:c16="http://schemas.microsoft.com/office/drawing/2014/chart" uri="{C3380CC4-5D6E-409C-BE32-E72D297353CC}">
              <c16:uniqueId val="{00000001-5F61-4DD9-A6EE-D22B3ED8BDC9}"/>
            </c:ext>
          </c:extLst>
        </c:ser>
        <c:ser>
          <c:idx val="1"/>
          <c:order val="2"/>
          <c:tx>
            <c:v>Training</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Summary!$U$2:$AB$2</c:f>
              <c:strCache>
                <c:ptCount val="8"/>
                <c:pt idx="0">
                  <c:v>Adam Sidgreaves</c:v>
                </c:pt>
                <c:pt idx="1">
                  <c:v>William Hamblyn</c:v>
                </c:pt>
                <c:pt idx="2">
                  <c:v>Preetinder Singh</c:v>
                </c:pt>
                <c:pt idx="3">
                  <c:v>Hannah Price</c:v>
                </c:pt>
                <c:pt idx="4">
                  <c:v>Jordan Wan</c:v>
                </c:pt>
                <c:pt idx="5">
                  <c:v>Steffi Mendes</c:v>
                </c:pt>
                <c:pt idx="6">
                  <c:v>Fiona Hanton</c:v>
                </c:pt>
                <c:pt idx="7">
                  <c:v>Yasmin Rahman</c:v>
                </c:pt>
              </c:strCache>
            </c:strRef>
          </c:cat>
          <c:val>
            <c:numRef>
              <c:f>Summary!$U$240:$AB$240</c:f>
              <c:numCache>
                <c:formatCode>0%</c:formatCode>
                <c:ptCount val="8"/>
                <c:pt idx="0">
                  <c:v>7.9545454545454544E-2</c:v>
                </c:pt>
                <c:pt idx="1">
                  <c:v>0.2413793103448276</c:v>
                </c:pt>
                <c:pt idx="2">
                  <c:v>0.35632183908045978</c:v>
                </c:pt>
                <c:pt idx="3">
                  <c:v>0.11494252873563218</c:v>
                </c:pt>
                <c:pt idx="4">
                  <c:v>0.25287356321839083</c:v>
                </c:pt>
                <c:pt idx="5">
                  <c:v>0.2413793103448276</c:v>
                </c:pt>
                <c:pt idx="6">
                  <c:v>0.14285714285714285</c:v>
                </c:pt>
                <c:pt idx="7">
                  <c:v>0.5</c:v>
                </c:pt>
              </c:numCache>
            </c:numRef>
          </c:val>
          <c:extLst>
            <c:ext xmlns:c16="http://schemas.microsoft.com/office/drawing/2014/chart" uri="{C3380CC4-5D6E-409C-BE32-E72D297353CC}">
              <c16:uniqueId val="{00000002-5F61-4DD9-A6EE-D22B3ED8BDC9}"/>
            </c:ext>
          </c:extLst>
        </c:ser>
        <c:dLbls>
          <c:showLegendKey val="0"/>
          <c:showVal val="1"/>
          <c:showCatName val="0"/>
          <c:showSerName val="0"/>
          <c:showPercent val="0"/>
          <c:showBubbleSize val="0"/>
        </c:dLbls>
        <c:gapWidth val="75"/>
        <c:overlap val="100"/>
        <c:axId val="1684227183"/>
        <c:axId val="1684225519"/>
      </c:barChart>
      <c:catAx>
        <c:axId val="16842271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84225519"/>
        <c:crosses val="autoZero"/>
        <c:auto val="1"/>
        <c:lblAlgn val="ctr"/>
        <c:lblOffset val="100"/>
        <c:noMultiLvlLbl val="0"/>
      </c:catAx>
      <c:valAx>
        <c:axId val="1684225519"/>
        <c:scaling>
          <c:orientation val="minMax"/>
          <c:max val="1"/>
        </c:scaling>
        <c:delete val="1"/>
        <c:axPos val="l"/>
        <c:numFmt formatCode="0%" sourceLinked="1"/>
        <c:majorTickMark val="none"/>
        <c:minorTickMark val="none"/>
        <c:tickLblPos val="nextTo"/>
        <c:crossAx val="1684227183"/>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Trainee Clinical Scientists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4899220745965511"/>
          <c:y val="0.14718258567134912"/>
          <c:w val="0.72640373078365206"/>
          <c:h val="0.50337910991723223"/>
        </c:manualLayout>
      </c:layout>
      <c:barChart>
        <c:barDir val="col"/>
        <c:grouping val="stacked"/>
        <c:varyColors val="0"/>
        <c:ser>
          <c:idx val="0"/>
          <c:order val="0"/>
          <c:tx>
            <c:v>Competency</c:v>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Summary!$AE$2:$AK$2</c:f>
              <c:strCache>
                <c:ptCount val="6"/>
                <c:pt idx="0">
                  <c:v>Noor E Mateen</c:v>
                </c:pt>
                <c:pt idx="1">
                  <c:v>George Kirby</c:v>
                </c:pt>
                <c:pt idx="2">
                  <c:v>Anitta Thomas</c:v>
                </c:pt>
                <c:pt idx="3">
                  <c:v>Kerstin Akem</c:v>
                </c:pt>
                <c:pt idx="4">
                  <c:v>Sam Hayward</c:v>
                </c:pt>
                <c:pt idx="5">
                  <c:v>Molly Renton</c:v>
                </c:pt>
              </c:strCache>
            </c:strRef>
          </c:cat>
          <c:val>
            <c:numRef>
              <c:f>Summary!$AE$238:$AK$238</c:f>
              <c:numCache>
                <c:formatCode>0%</c:formatCode>
                <c:ptCount val="6"/>
                <c:pt idx="0">
                  <c:v>0.61904761904761907</c:v>
                </c:pt>
                <c:pt idx="1">
                  <c:v>0.86046511627906974</c:v>
                </c:pt>
                <c:pt idx="2">
                  <c:v>0.73809523809523814</c:v>
                </c:pt>
                <c:pt idx="3">
                  <c:v>0.14666666666666667</c:v>
                </c:pt>
                <c:pt idx="4">
                  <c:v>0</c:v>
                </c:pt>
                <c:pt idx="5">
                  <c:v>0.23333333333333334</c:v>
                </c:pt>
              </c:numCache>
            </c:numRef>
          </c:val>
          <c:extLst>
            <c:ext xmlns:c16="http://schemas.microsoft.com/office/drawing/2014/chart" uri="{C3380CC4-5D6E-409C-BE32-E72D297353CC}">
              <c16:uniqueId val="{00000000-6272-41CF-A1BF-51151B37936D}"/>
            </c:ext>
          </c:extLst>
        </c:ser>
        <c:ser>
          <c:idx val="2"/>
          <c:order val="1"/>
          <c:tx>
            <c:v>Assessment</c:v>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Summary!$AE$2:$AK$2</c:f>
              <c:strCache>
                <c:ptCount val="6"/>
                <c:pt idx="0">
                  <c:v>Noor E Mateen</c:v>
                </c:pt>
                <c:pt idx="1">
                  <c:v>George Kirby</c:v>
                </c:pt>
                <c:pt idx="2">
                  <c:v>Anitta Thomas</c:v>
                </c:pt>
                <c:pt idx="3">
                  <c:v>Kerstin Akem</c:v>
                </c:pt>
                <c:pt idx="4">
                  <c:v>Sam Hayward</c:v>
                </c:pt>
                <c:pt idx="5">
                  <c:v>Molly Renton</c:v>
                </c:pt>
              </c:strCache>
            </c:strRef>
          </c:cat>
          <c:val>
            <c:numRef>
              <c:f>Summary!$AE$241:$AK$241</c:f>
              <c:numCache>
                <c:formatCode>0%</c:formatCode>
                <c:ptCount val="6"/>
                <c:pt idx="0">
                  <c:v>8.3333333333333329E-2</c:v>
                </c:pt>
                <c:pt idx="1">
                  <c:v>6.9767441860465115E-2</c:v>
                </c:pt>
                <c:pt idx="2">
                  <c:v>1.1904761904761904E-2</c:v>
                </c:pt>
                <c:pt idx="4">
                  <c:v>0</c:v>
                </c:pt>
                <c:pt idx="5">
                  <c:v>0</c:v>
                </c:pt>
              </c:numCache>
            </c:numRef>
          </c:val>
          <c:extLst>
            <c:ext xmlns:c16="http://schemas.microsoft.com/office/drawing/2014/chart" uri="{C3380CC4-5D6E-409C-BE32-E72D297353CC}">
              <c16:uniqueId val="{00000001-6272-41CF-A1BF-51151B37936D}"/>
            </c:ext>
          </c:extLst>
        </c:ser>
        <c:ser>
          <c:idx val="1"/>
          <c:order val="2"/>
          <c:tx>
            <c:v>Training</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Summary!$AE$2:$AK$2</c:f>
              <c:strCache>
                <c:ptCount val="6"/>
                <c:pt idx="0">
                  <c:v>Noor E Mateen</c:v>
                </c:pt>
                <c:pt idx="1">
                  <c:v>George Kirby</c:v>
                </c:pt>
                <c:pt idx="2">
                  <c:v>Anitta Thomas</c:v>
                </c:pt>
                <c:pt idx="3">
                  <c:v>Kerstin Akem</c:v>
                </c:pt>
                <c:pt idx="4">
                  <c:v>Sam Hayward</c:v>
                </c:pt>
                <c:pt idx="5">
                  <c:v>Molly Renton</c:v>
                </c:pt>
              </c:strCache>
            </c:strRef>
          </c:cat>
          <c:val>
            <c:numRef>
              <c:f>Summary!$AE$240:$AK$240</c:f>
              <c:numCache>
                <c:formatCode>0%</c:formatCode>
                <c:ptCount val="6"/>
                <c:pt idx="0">
                  <c:v>0.29761904761904762</c:v>
                </c:pt>
                <c:pt idx="1">
                  <c:v>6.9767441860465115E-2</c:v>
                </c:pt>
                <c:pt idx="2">
                  <c:v>0.25</c:v>
                </c:pt>
                <c:pt idx="4">
                  <c:v>0</c:v>
                </c:pt>
                <c:pt idx="5">
                  <c:v>0.76666666666666672</c:v>
                </c:pt>
              </c:numCache>
            </c:numRef>
          </c:val>
          <c:extLst>
            <c:ext xmlns:c16="http://schemas.microsoft.com/office/drawing/2014/chart" uri="{C3380CC4-5D6E-409C-BE32-E72D297353CC}">
              <c16:uniqueId val="{00000002-6272-41CF-A1BF-51151B37936D}"/>
            </c:ext>
          </c:extLst>
        </c:ser>
        <c:dLbls>
          <c:showLegendKey val="0"/>
          <c:showVal val="1"/>
          <c:showCatName val="0"/>
          <c:showSerName val="0"/>
          <c:showPercent val="0"/>
          <c:showBubbleSize val="0"/>
        </c:dLbls>
        <c:gapWidth val="75"/>
        <c:overlap val="100"/>
        <c:axId val="1684227183"/>
        <c:axId val="1684225519"/>
      </c:barChart>
      <c:catAx>
        <c:axId val="16842271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84225519"/>
        <c:crosses val="autoZero"/>
        <c:auto val="1"/>
        <c:lblAlgn val="ctr"/>
        <c:lblOffset val="100"/>
        <c:noMultiLvlLbl val="0"/>
      </c:catAx>
      <c:valAx>
        <c:axId val="1684225519"/>
        <c:scaling>
          <c:orientation val="minMax"/>
          <c:max val="1"/>
        </c:scaling>
        <c:delete val="1"/>
        <c:axPos val="l"/>
        <c:numFmt formatCode="0%" sourceLinked="1"/>
        <c:majorTickMark val="none"/>
        <c:minorTickMark val="none"/>
        <c:tickLblPos val="nextTo"/>
        <c:crossAx val="1684227183"/>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652949245541839"/>
          <c:y val="6.035665294924554E-2"/>
          <c:w val="0.76089174038430385"/>
          <c:h val="0.81235518399706208"/>
        </c:manualLayout>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'PDF Record'!$B$30:$B$2015</c:f>
              <c:numCache>
                <c:formatCode>[$-F800]dddd\,\ mmmm\ dd\,\ yyyy</c:formatCode>
                <c:ptCount val="1986"/>
                <c:pt idx="0">
                  <c:v>45253</c:v>
                </c:pt>
                <c:pt idx="1">
                  <c:v>45253</c:v>
                </c:pt>
                <c:pt idx="2">
                  <c:v>45253</c:v>
                </c:pt>
                <c:pt idx="3">
                  <c:v>45342</c:v>
                </c:pt>
                <c:pt idx="4">
                  <c:v>45342</c:v>
                </c:pt>
                <c:pt idx="5">
                  <c:v>45349</c:v>
                </c:pt>
                <c:pt idx="6">
                  <c:v>45349</c:v>
                </c:pt>
                <c:pt idx="7">
                  <c:v>45349</c:v>
                </c:pt>
                <c:pt idx="8">
                  <c:v>45391</c:v>
                </c:pt>
                <c:pt idx="9">
                  <c:v>45391</c:v>
                </c:pt>
                <c:pt idx="10">
                  <c:v>45400</c:v>
                </c:pt>
                <c:pt idx="11">
                  <c:v>45418</c:v>
                </c:pt>
                <c:pt idx="12">
                  <c:v>45418</c:v>
                </c:pt>
                <c:pt idx="13">
                  <c:v>45418</c:v>
                </c:pt>
                <c:pt idx="14">
                  <c:v>45418</c:v>
                </c:pt>
                <c:pt idx="15">
                  <c:v>45456</c:v>
                </c:pt>
                <c:pt idx="16">
                  <c:v>45456</c:v>
                </c:pt>
                <c:pt idx="17">
                  <c:v>45457</c:v>
                </c:pt>
                <c:pt idx="18">
                  <c:v>45496</c:v>
                </c:pt>
                <c:pt idx="19">
                  <c:v>45511</c:v>
                </c:pt>
                <c:pt idx="20">
                  <c:v>45511</c:v>
                </c:pt>
                <c:pt idx="21">
                  <c:v>45526</c:v>
                </c:pt>
                <c:pt idx="22">
                  <c:v>45531</c:v>
                </c:pt>
                <c:pt idx="23">
                  <c:v>45593</c:v>
                </c:pt>
                <c:pt idx="24">
                  <c:v>45593</c:v>
                </c:pt>
                <c:pt idx="25">
                  <c:v>45595</c:v>
                </c:pt>
                <c:pt idx="26">
                  <c:v>45595</c:v>
                </c:pt>
                <c:pt idx="27">
                  <c:v>45595</c:v>
                </c:pt>
                <c:pt idx="28">
                  <c:v>45595</c:v>
                </c:pt>
                <c:pt idx="29">
                  <c:v>45595</c:v>
                </c:pt>
                <c:pt idx="30">
                  <c:v>45595</c:v>
                </c:pt>
                <c:pt idx="31">
                  <c:v>45595</c:v>
                </c:pt>
                <c:pt idx="32">
                  <c:v>45595</c:v>
                </c:pt>
                <c:pt idx="33">
                  <c:v>45595</c:v>
                </c:pt>
                <c:pt idx="34">
                  <c:v>45595</c:v>
                </c:pt>
                <c:pt idx="35">
                  <c:v>45595</c:v>
                </c:pt>
                <c:pt idx="36">
                  <c:v>45637</c:v>
                </c:pt>
                <c:pt idx="37">
                  <c:v>45645</c:v>
                </c:pt>
                <c:pt idx="38">
                  <c:v>45665</c:v>
                </c:pt>
                <c:pt idx="39">
                  <c:v>45665</c:v>
                </c:pt>
                <c:pt idx="40">
                  <c:v>45665</c:v>
                </c:pt>
                <c:pt idx="41">
                  <c:v>45665</c:v>
                </c:pt>
                <c:pt idx="42">
                  <c:v>45665</c:v>
                </c:pt>
                <c:pt idx="43">
                  <c:v>45665</c:v>
                </c:pt>
                <c:pt idx="44">
                  <c:v>45665</c:v>
                </c:pt>
                <c:pt idx="45">
                  <c:v>45665</c:v>
                </c:pt>
                <c:pt idx="46">
                  <c:v>45665</c:v>
                </c:pt>
                <c:pt idx="47">
                  <c:v>45665</c:v>
                </c:pt>
                <c:pt idx="48">
                  <c:v>45665</c:v>
                </c:pt>
                <c:pt idx="49">
                  <c:v>45665</c:v>
                </c:pt>
                <c:pt idx="50">
                  <c:v>45665</c:v>
                </c:pt>
                <c:pt idx="51">
                  <c:v>45666</c:v>
                </c:pt>
                <c:pt idx="52">
                  <c:v>45671</c:v>
                </c:pt>
                <c:pt idx="53">
                  <c:v>45671</c:v>
                </c:pt>
                <c:pt idx="54">
                  <c:v>45677</c:v>
                </c:pt>
                <c:pt idx="55">
                  <c:v>45680</c:v>
                </c:pt>
                <c:pt idx="56">
                  <c:v>45730</c:v>
                </c:pt>
                <c:pt idx="57">
                  <c:v>45736</c:v>
                </c:pt>
                <c:pt idx="58">
                  <c:v>45736</c:v>
                </c:pt>
                <c:pt idx="59">
                  <c:v>45742</c:v>
                </c:pt>
                <c:pt idx="60">
                  <c:v>45742</c:v>
                </c:pt>
                <c:pt idx="61">
                  <c:v>45742</c:v>
                </c:pt>
                <c:pt idx="62">
                  <c:v>45742</c:v>
                </c:pt>
                <c:pt idx="63">
                  <c:v>45749</c:v>
                </c:pt>
                <c:pt idx="64">
                  <c:v>45750</c:v>
                </c:pt>
                <c:pt idx="65">
                  <c:v>45750</c:v>
                </c:pt>
                <c:pt idx="66">
                  <c:v>45750</c:v>
                </c:pt>
                <c:pt idx="67">
                  <c:v>45764</c:v>
                </c:pt>
                <c:pt idx="68">
                  <c:v>45785</c:v>
                </c:pt>
                <c:pt idx="69">
                  <c:v>45785</c:v>
                </c:pt>
                <c:pt idx="70">
                  <c:v>45797</c:v>
                </c:pt>
                <c:pt idx="71">
                  <c:v>45840</c:v>
                </c:pt>
                <c:pt idx="72">
                  <c:v>45918</c:v>
                </c:pt>
                <c:pt idx="73">
                  <c:v>45933</c:v>
                </c:pt>
                <c:pt idx="74">
                  <c:v>45933</c:v>
                </c:pt>
                <c:pt idx="75">
                  <c:v>45937</c:v>
                </c:pt>
                <c:pt idx="76">
                  <c:v>45937</c:v>
                </c:pt>
                <c:pt idx="77">
                  <c:v>45938</c:v>
                </c:pt>
                <c:pt idx="78">
                  <c:v>45938</c:v>
                </c:pt>
                <c:pt idx="79">
                  <c:v>45938</c:v>
                </c:pt>
                <c:pt idx="80">
                  <c:v>45938</c:v>
                </c:pt>
                <c:pt idx="81">
                  <c:v>45938</c:v>
                </c:pt>
                <c:pt idx="82">
                  <c:v>45938</c:v>
                </c:pt>
                <c:pt idx="83">
                  <c:v>45938</c:v>
                </c:pt>
                <c:pt idx="84">
                  <c:v>45938</c:v>
                </c:pt>
                <c:pt idx="85">
                  <c:v>45938</c:v>
                </c:pt>
                <c:pt idx="86">
                  <c:v>45938</c:v>
                </c:pt>
                <c:pt idx="87">
                  <c:v>45939</c:v>
                </c:pt>
                <c:pt idx="88">
                  <c:v>45939</c:v>
                </c:pt>
                <c:pt idx="89">
                  <c:v>45939</c:v>
                </c:pt>
                <c:pt idx="90">
                  <c:v>45939</c:v>
                </c:pt>
                <c:pt idx="91">
                  <c:v>45939</c:v>
                </c:pt>
                <c:pt idx="92">
                  <c:v>45939</c:v>
                </c:pt>
                <c:pt idx="93">
                  <c:v>45939</c:v>
                </c:pt>
                <c:pt idx="94">
                  <c:v>45939</c:v>
                </c:pt>
                <c:pt idx="95">
                  <c:v>45939</c:v>
                </c:pt>
                <c:pt idx="96">
                  <c:v>45939</c:v>
                </c:pt>
                <c:pt idx="97">
                  <c:v>45939</c:v>
                </c:pt>
                <c:pt idx="98">
                  <c:v>45939</c:v>
                </c:pt>
                <c:pt idx="99">
                  <c:v>45939</c:v>
                </c:pt>
                <c:pt idx="100">
                  <c:v>45939</c:v>
                </c:pt>
                <c:pt idx="101">
                  <c:v>45939</c:v>
                </c:pt>
                <c:pt idx="102">
                  <c:v>45939</c:v>
                </c:pt>
                <c:pt idx="103">
                  <c:v>45940</c:v>
                </c:pt>
                <c:pt idx="104">
                  <c:v>45940</c:v>
                </c:pt>
                <c:pt idx="105">
                  <c:v>45940</c:v>
                </c:pt>
                <c:pt idx="106">
                  <c:v>45940</c:v>
                </c:pt>
                <c:pt idx="107">
                  <c:v>45940</c:v>
                </c:pt>
                <c:pt idx="108">
                  <c:v>45940</c:v>
                </c:pt>
                <c:pt idx="109">
                  <c:v>45940</c:v>
                </c:pt>
                <c:pt idx="110">
                  <c:v>45940</c:v>
                </c:pt>
                <c:pt idx="111">
                  <c:v>45943</c:v>
                </c:pt>
                <c:pt idx="112">
                  <c:v>45943</c:v>
                </c:pt>
                <c:pt idx="113">
                  <c:v>45943</c:v>
                </c:pt>
                <c:pt idx="114">
                  <c:v>45943</c:v>
                </c:pt>
                <c:pt idx="115">
                  <c:v>45943</c:v>
                </c:pt>
                <c:pt idx="116">
                  <c:v>45943</c:v>
                </c:pt>
                <c:pt idx="117">
                  <c:v>45943</c:v>
                </c:pt>
                <c:pt idx="118">
                  <c:v>45944</c:v>
                </c:pt>
                <c:pt idx="119">
                  <c:v>45944</c:v>
                </c:pt>
                <c:pt idx="120">
                  <c:v>45944</c:v>
                </c:pt>
                <c:pt idx="121">
                  <c:v>45944</c:v>
                </c:pt>
                <c:pt idx="122">
                  <c:v>45965</c:v>
                </c:pt>
                <c:pt idx="123">
                  <c:v>46037</c:v>
                </c:pt>
                <c:pt idx="124">
                  <c:v>46038</c:v>
                </c:pt>
                <c:pt idx="125">
                  <c:v>46038</c:v>
                </c:pt>
                <c:pt idx="126">
                  <c:v>46055</c:v>
                </c:pt>
                <c:pt idx="127">
                  <c:v>46072</c:v>
                </c:pt>
                <c:pt idx="128">
                  <c:v>46072</c:v>
                </c:pt>
                <c:pt idx="129">
                  <c:v>46072</c:v>
                </c:pt>
                <c:pt idx="130">
                  <c:v>46072</c:v>
                </c:pt>
                <c:pt idx="131">
                  <c:v>46072</c:v>
                </c:pt>
                <c:pt idx="132">
                  <c:v>46072</c:v>
                </c:pt>
                <c:pt idx="133">
                  <c:v>46072</c:v>
                </c:pt>
                <c:pt idx="134">
                  <c:v>46084</c:v>
                </c:pt>
                <c:pt idx="135">
                  <c:v>46113</c:v>
                </c:pt>
                <c:pt idx="136">
                  <c:v>46120</c:v>
                </c:pt>
                <c:pt idx="137">
                  <c:v>46120</c:v>
                </c:pt>
                <c:pt idx="138">
                  <c:v>46120</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#N/A</c:v>
                </c:pt>
                <c:pt idx="1813">
                  <c:v>#N/A</c:v>
                </c:pt>
                <c:pt idx="1814">
                  <c:v>#N/A</c:v>
                </c:pt>
                <c:pt idx="1815">
                  <c:v>#N/A</c:v>
                </c:pt>
                <c:pt idx="1816">
                  <c:v>#N/A</c:v>
                </c:pt>
                <c:pt idx="1817">
                  <c:v>#N/A</c:v>
                </c:pt>
                <c:pt idx="1818">
                  <c:v>#N/A</c:v>
                </c:pt>
                <c:pt idx="1819">
                  <c:v>#N/A</c:v>
                </c:pt>
                <c:pt idx="1820">
                  <c:v>#N/A</c:v>
                </c:pt>
                <c:pt idx="1821">
                  <c:v>#N/A</c:v>
                </c:pt>
                <c:pt idx="1822">
                  <c:v>#N/A</c:v>
                </c:pt>
                <c:pt idx="1823">
                  <c:v>#N/A</c:v>
                </c:pt>
                <c:pt idx="1824">
                  <c:v>#N/A</c:v>
                </c:pt>
                <c:pt idx="1825">
                  <c:v>#N/A</c:v>
                </c:pt>
                <c:pt idx="1826">
                  <c:v>#N/A</c:v>
                </c:pt>
                <c:pt idx="1827">
                  <c:v>#N/A</c:v>
                </c:pt>
                <c:pt idx="1828">
                  <c:v>#N/A</c:v>
                </c:pt>
                <c:pt idx="1829">
                  <c:v>#N/A</c:v>
                </c:pt>
                <c:pt idx="1830">
                  <c:v>#N/A</c:v>
                </c:pt>
                <c:pt idx="1831">
                  <c:v>#N/A</c:v>
                </c:pt>
                <c:pt idx="1832">
                  <c:v>#N/A</c:v>
                </c:pt>
                <c:pt idx="1833">
                  <c:v>#N/A</c:v>
                </c:pt>
                <c:pt idx="1834">
                  <c:v>#N/A</c:v>
                </c:pt>
                <c:pt idx="1835">
                  <c:v>#N/A</c:v>
                </c:pt>
                <c:pt idx="1836">
                  <c:v>#N/A</c:v>
                </c:pt>
                <c:pt idx="1837">
                  <c:v>#N/A</c:v>
                </c:pt>
                <c:pt idx="1838">
                  <c:v>#N/A</c:v>
                </c:pt>
                <c:pt idx="1839">
                  <c:v>#N/A</c:v>
                </c:pt>
                <c:pt idx="1840">
                  <c:v>#N/A</c:v>
                </c:pt>
                <c:pt idx="1841">
                  <c:v>#N/A</c:v>
                </c:pt>
                <c:pt idx="1842">
                  <c:v>#N/A</c:v>
                </c:pt>
                <c:pt idx="1843">
                  <c:v>#N/A</c:v>
                </c:pt>
                <c:pt idx="1844">
                  <c:v>#N/A</c:v>
                </c:pt>
                <c:pt idx="1845">
                  <c:v>#N/A</c:v>
                </c:pt>
                <c:pt idx="1846">
                  <c:v>#N/A</c:v>
                </c:pt>
                <c:pt idx="1847">
                  <c:v>#N/A</c:v>
                </c:pt>
                <c:pt idx="1848">
                  <c:v>#N/A</c:v>
                </c:pt>
                <c:pt idx="1849">
                  <c:v>#N/A</c:v>
                </c:pt>
                <c:pt idx="1850">
                  <c:v>#N/A</c:v>
                </c:pt>
                <c:pt idx="1851">
                  <c:v>#N/A</c:v>
                </c:pt>
                <c:pt idx="1852">
                  <c:v>#N/A</c:v>
                </c:pt>
                <c:pt idx="1853">
                  <c:v>#N/A</c:v>
                </c:pt>
                <c:pt idx="1854">
                  <c:v>#N/A</c:v>
                </c:pt>
                <c:pt idx="1855">
                  <c:v>#N/A</c:v>
                </c:pt>
                <c:pt idx="1856">
                  <c:v>#N/A</c:v>
                </c:pt>
                <c:pt idx="1857">
                  <c:v>#N/A</c:v>
                </c:pt>
                <c:pt idx="1858">
                  <c:v>#N/A</c:v>
                </c:pt>
                <c:pt idx="1859">
                  <c:v>#N/A</c:v>
                </c:pt>
                <c:pt idx="1860">
                  <c:v>#N/A</c:v>
                </c:pt>
                <c:pt idx="1861">
                  <c:v>#N/A</c:v>
                </c:pt>
                <c:pt idx="1862">
                  <c:v>#N/A</c:v>
                </c:pt>
                <c:pt idx="1863">
                  <c:v>#N/A</c:v>
                </c:pt>
                <c:pt idx="1864">
                  <c:v>#N/A</c:v>
                </c:pt>
                <c:pt idx="1865">
                  <c:v>#N/A</c:v>
                </c:pt>
                <c:pt idx="1866">
                  <c:v>#N/A</c:v>
                </c:pt>
                <c:pt idx="1867">
                  <c:v>#N/A</c:v>
                </c:pt>
                <c:pt idx="1868">
                  <c:v>#N/A</c:v>
                </c:pt>
                <c:pt idx="1869">
                  <c:v>#N/A</c:v>
                </c:pt>
                <c:pt idx="1870">
                  <c:v>#N/A</c:v>
                </c:pt>
                <c:pt idx="1871">
                  <c:v>#N/A</c:v>
                </c:pt>
                <c:pt idx="1872">
                  <c:v>#N/A</c:v>
                </c:pt>
                <c:pt idx="1873">
                  <c:v>#N/A</c:v>
                </c:pt>
                <c:pt idx="1874">
                  <c:v>#N/A</c:v>
                </c:pt>
                <c:pt idx="1875">
                  <c:v>#N/A</c:v>
                </c:pt>
                <c:pt idx="1876">
                  <c:v>#N/A</c:v>
                </c:pt>
                <c:pt idx="1877">
                  <c:v>#N/A</c:v>
                </c:pt>
                <c:pt idx="1878">
                  <c:v>#N/A</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numCache>
            </c:numRef>
          </c:xVal>
          <c:yVal>
            <c:numRef>
              <c:f>'PDF Record'!$H$30:$H$2015</c:f>
              <c:numCache>
                <c:formatCode>General</c:formatCode>
                <c:ptCount val="198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numCache>
            </c:numRef>
          </c:yVal>
          <c:smooth val="1"/>
          <c:extLst>
            <c:ext xmlns:c16="http://schemas.microsoft.com/office/drawing/2014/chart" uri="{C3380CC4-5D6E-409C-BE32-E72D297353CC}">
              <c16:uniqueId val="{00000000-E0C7-4E93-97B6-4C96499C31B8}"/>
            </c:ext>
          </c:extLst>
        </c:ser>
        <c:ser>
          <c:idx val="1"/>
          <c:order val="1"/>
          <c:tx>
            <c:strRef>
              <c:f>'PDF Record'!$B$8</c:f>
              <c:strCache>
                <c:ptCount val="1"/>
                <c:pt idx="0">
                  <c:v>Date of Record:</c:v>
                </c:pt>
              </c:strCache>
            </c:strRef>
          </c:tx>
          <c:spPr>
            <a:ln w="19050" cap="rnd">
              <a:solidFill>
                <a:schemeClr val="accent6"/>
              </a:solidFill>
              <a:prstDash val="dash"/>
              <a:round/>
            </a:ln>
            <a:effectLst/>
          </c:spPr>
          <c:marker>
            <c:symbol val="none"/>
          </c:marker>
          <c:xVal>
            <c:numRef>
              <c:f>'PDF Record'!$J$17:$J$18</c:f>
              <c:numCache>
                <c:formatCode>[$-F800]dddd\,\ mmmm\ dd\,\ yyyy</c:formatCode>
                <c:ptCount val="2"/>
                <c:pt idx="0">
                  <c:v>46142</c:v>
                </c:pt>
                <c:pt idx="1">
                  <c:v>46142</c:v>
                </c:pt>
              </c:numCache>
            </c:numRef>
          </c:xVal>
          <c:yVal>
            <c:numRef>
              <c:f>'PDF Record'!$K$17:$K$18</c:f>
              <c:numCache>
                <c:formatCode>General</c:formatCode>
                <c:ptCount val="2"/>
                <c:pt idx="0">
                  <c:v>0</c:v>
                </c:pt>
                <c:pt idx="1">
                  <c:v>139</c:v>
                </c:pt>
              </c:numCache>
            </c:numRef>
          </c:yVal>
          <c:smooth val="1"/>
          <c:extLst>
            <c:ext xmlns:c16="http://schemas.microsoft.com/office/drawing/2014/chart" uri="{C3380CC4-5D6E-409C-BE32-E72D297353CC}">
              <c16:uniqueId val="{00000001-E0C7-4E93-97B6-4C96499C31B8}"/>
            </c:ext>
          </c:extLst>
        </c:ser>
        <c:dLbls>
          <c:showLegendKey val="0"/>
          <c:showVal val="0"/>
          <c:showCatName val="0"/>
          <c:showSerName val="0"/>
          <c:showPercent val="0"/>
          <c:showBubbleSize val="0"/>
        </c:dLbls>
        <c:axId val="1927194400"/>
        <c:axId val="1927201888"/>
      </c:scatterChart>
      <c:valAx>
        <c:axId val="1927194400"/>
        <c:scaling>
          <c:orientation val="minMax"/>
        </c:scaling>
        <c:delete val="0"/>
        <c:axPos val="b"/>
        <c:majorGridlines>
          <c:spPr>
            <a:ln w="9525" cap="flat" cmpd="sng" algn="ctr">
              <a:solidFill>
                <a:schemeClr val="tx1">
                  <a:lumMod val="15000"/>
                  <a:lumOff val="85000"/>
                </a:schemeClr>
              </a:solidFill>
              <a:round/>
            </a:ln>
            <a:effectLst/>
          </c:spPr>
        </c:majorGridlines>
        <c:numFmt formatCode="d/m/yy;@"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7201888"/>
        <c:crosses val="autoZero"/>
        <c:crossBetween val="midCat"/>
      </c:valAx>
      <c:valAx>
        <c:axId val="19272018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Cumulative Records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7194400"/>
        <c:crosses val="autoZero"/>
        <c:crossBetween val="midCat"/>
      </c:valAx>
      <c:spPr>
        <a:noFill/>
        <a:ln>
          <a:noFill/>
        </a:ln>
        <a:effectLst/>
      </c:spPr>
    </c:plotArea>
    <c:legend>
      <c:legendPos val="t"/>
      <c:legendEntry>
        <c:idx val="0"/>
        <c:delete val="1"/>
      </c:legendEntry>
      <c:layout>
        <c:manualLayout>
          <c:xMode val="edge"/>
          <c:yMode val="edge"/>
          <c:x val="0.35690742360908589"/>
          <c:y val="6.035665294924554E-2"/>
          <c:w val="0.29167190520937969"/>
          <c:h val="9.2593240659732359E-2"/>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Percentage of Expected Competency</a:t>
            </a:r>
            <a:r>
              <a:rPr lang="en-GB" baseline="0"/>
              <a:t> Achieved</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Sheet2!$B$4:$B$23</c:f>
              <c:strCache>
                <c:ptCount val="20"/>
                <c:pt idx="0">
                  <c:v>Blank</c:v>
                </c:pt>
                <c:pt idx="1">
                  <c:v>James Burnley</c:v>
                </c:pt>
                <c:pt idx="2">
                  <c:v>Karen Venables</c:v>
                </c:pt>
                <c:pt idx="3">
                  <c:v>Thomas O'Brien</c:v>
                </c:pt>
                <c:pt idx="4">
                  <c:v>Andrea Fischer</c:v>
                </c:pt>
                <c:pt idx="5">
                  <c:v>Rachel Wills</c:v>
                </c:pt>
                <c:pt idx="6">
                  <c:v>George Kirby</c:v>
                </c:pt>
                <c:pt idx="7">
                  <c:v>Rikki Lad</c:v>
                </c:pt>
                <c:pt idx="8">
                  <c:v>Tom Hague</c:v>
                </c:pt>
                <c:pt idx="9">
                  <c:v>Hannah Price</c:v>
                </c:pt>
                <c:pt idx="10">
                  <c:v>#REF!</c:v>
                </c:pt>
                <c:pt idx="11">
                  <c:v>Hannah Price</c:v>
                </c:pt>
                <c:pt idx="12">
                  <c:v>#REF!</c:v>
                </c:pt>
                <c:pt idx="13">
                  <c:v>Anitta Thomas</c:v>
                </c:pt>
                <c:pt idx="14">
                  <c:v>#REF!</c:v>
                </c:pt>
                <c:pt idx="15">
                  <c:v>#REF!</c:v>
                </c:pt>
                <c:pt idx="16">
                  <c:v>Preetinder Singh</c:v>
                </c:pt>
                <c:pt idx="17">
                  <c:v>Practioner/Assistant Physicist</c:v>
                </c:pt>
                <c:pt idx="18">
                  <c:v>Route 2 Trainee</c:v>
                </c:pt>
                <c:pt idx="19">
                  <c:v>STP Trainee</c:v>
                </c:pt>
              </c:strCache>
            </c:strRef>
          </c:cat>
          <c:val>
            <c:numRef>
              <c:f>Sheet2!$C$4:$C$14</c:f>
              <c:numCache>
                <c:formatCode>General</c:formatCode>
                <c:ptCount val="11"/>
              </c:numCache>
            </c:numRef>
          </c:val>
          <c:extLst>
            <c:ext xmlns:c16="http://schemas.microsoft.com/office/drawing/2014/chart" uri="{C3380CC4-5D6E-409C-BE32-E72D297353CC}">
              <c16:uniqueId val="{00000000-D1B7-4D2E-93BD-828B8ADBFECC}"/>
            </c:ext>
          </c:extLst>
        </c:ser>
        <c:ser>
          <c:idx val="1"/>
          <c:order val="1"/>
          <c:spPr>
            <a:solidFill>
              <a:schemeClr val="accent2"/>
            </a:solidFill>
            <a:ln>
              <a:noFill/>
            </a:ln>
            <a:effectLst/>
          </c:spPr>
          <c:invertIfNegative val="0"/>
          <c:cat>
            <c:strRef>
              <c:f>Sheet2!$B$4:$B$23</c:f>
              <c:strCache>
                <c:ptCount val="20"/>
                <c:pt idx="0">
                  <c:v>Blank</c:v>
                </c:pt>
                <c:pt idx="1">
                  <c:v>James Burnley</c:v>
                </c:pt>
                <c:pt idx="2">
                  <c:v>Karen Venables</c:v>
                </c:pt>
                <c:pt idx="3">
                  <c:v>Thomas O'Brien</c:v>
                </c:pt>
                <c:pt idx="4">
                  <c:v>Andrea Fischer</c:v>
                </c:pt>
                <c:pt idx="5">
                  <c:v>Rachel Wills</c:v>
                </c:pt>
                <c:pt idx="6">
                  <c:v>George Kirby</c:v>
                </c:pt>
                <c:pt idx="7">
                  <c:v>Rikki Lad</c:v>
                </c:pt>
                <c:pt idx="8">
                  <c:v>Tom Hague</c:v>
                </c:pt>
                <c:pt idx="9">
                  <c:v>Hannah Price</c:v>
                </c:pt>
                <c:pt idx="10">
                  <c:v>#REF!</c:v>
                </c:pt>
                <c:pt idx="11">
                  <c:v>Hannah Price</c:v>
                </c:pt>
                <c:pt idx="12">
                  <c:v>#REF!</c:v>
                </c:pt>
                <c:pt idx="13">
                  <c:v>Anitta Thomas</c:v>
                </c:pt>
                <c:pt idx="14">
                  <c:v>#REF!</c:v>
                </c:pt>
                <c:pt idx="15">
                  <c:v>#REF!</c:v>
                </c:pt>
                <c:pt idx="16">
                  <c:v>Preetinder Singh</c:v>
                </c:pt>
                <c:pt idx="17">
                  <c:v>Practioner/Assistant Physicist</c:v>
                </c:pt>
                <c:pt idx="18">
                  <c:v>Route 2 Trainee</c:v>
                </c:pt>
                <c:pt idx="19">
                  <c:v>STP Trainee</c:v>
                </c:pt>
              </c:strCache>
            </c:strRef>
          </c:cat>
          <c:val>
            <c:numRef>
              <c:f>Sheet2!$D$4:$D$14</c:f>
              <c:numCache>
                <c:formatCode>General</c:formatCode>
                <c:ptCount val="11"/>
              </c:numCache>
            </c:numRef>
          </c:val>
          <c:extLst>
            <c:ext xmlns:c16="http://schemas.microsoft.com/office/drawing/2014/chart" uri="{C3380CC4-5D6E-409C-BE32-E72D297353CC}">
              <c16:uniqueId val="{00000001-D1B7-4D2E-93BD-828B8ADBFECC}"/>
            </c:ext>
          </c:extLst>
        </c:ser>
        <c:ser>
          <c:idx val="2"/>
          <c:order val="2"/>
          <c:spPr>
            <a:solidFill>
              <a:schemeClr val="accent3"/>
            </a:solidFill>
            <a:ln>
              <a:noFill/>
            </a:ln>
            <a:effectLst/>
          </c:spPr>
          <c:invertIfNegative val="0"/>
          <c:cat>
            <c:strRef>
              <c:f>Sheet2!$B$4:$B$23</c:f>
              <c:strCache>
                <c:ptCount val="20"/>
                <c:pt idx="0">
                  <c:v>Blank</c:v>
                </c:pt>
                <c:pt idx="1">
                  <c:v>James Burnley</c:v>
                </c:pt>
                <c:pt idx="2">
                  <c:v>Karen Venables</c:v>
                </c:pt>
                <c:pt idx="3">
                  <c:v>Thomas O'Brien</c:v>
                </c:pt>
                <c:pt idx="4">
                  <c:v>Andrea Fischer</c:v>
                </c:pt>
                <c:pt idx="5">
                  <c:v>Rachel Wills</c:v>
                </c:pt>
                <c:pt idx="6">
                  <c:v>George Kirby</c:v>
                </c:pt>
                <c:pt idx="7">
                  <c:v>Rikki Lad</c:v>
                </c:pt>
                <c:pt idx="8">
                  <c:v>Tom Hague</c:v>
                </c:pt>
                <c:pt idx="9">
                  <c:v>Hannah Price</c:v>
                </c:pt>
                <c:pt idx="10">
                  <c:v>#REF!</c:v>
                </c:pt>
                <c:pt idx="11">
                  <c:v>Hannah Price</c:v>
                </c:pt>
                <c:pt idx="12">
                  <c:v>#REF!</c:v>
                </c:pt>
                <c:pt idx="13">
                  <c:v>Anitta Thomas</c:v>
                </c:pt>
                <c:pt idx="14">
                  <c:v>#REF!</c:v>
                </c:pt>
                <c:pt idx="15">
                  <c:v>#REF!</c:v>
                </c:pt>
                <c:pt idx="16">
                  <c:v>Preetinder Singh</c:v>
                </c:pt>
                <c:pt idx="17">
                  <c:v>Practioner/Assistant Physicist</c:v>
                </c:pt>
                <c:pt idx="18">
                  <c:v>Route 2 Trainee</c:v>
                </c:pt>
                <c:pt idx="19">
                  <c:v>STP Trainee</c:v>
                </c:pt>
              </c:strCache>
            </c:strRef>
          </c:cat>
          <c:val>
            <c:numRef>
              <c:f>Sheet2!$E$4:$E$14</c:f>
              <c:numCache>
                <c:formatCode>General</c:formatCode>
                <c:ptCount val="11"/>
              </c:numCache>
            </c:numRef>
          </c:val>
          <c:extLst>
            <c:ext xmlns:c16="http://schemas.microsoft.com/office/drawing/2014/chart" uri="{C3380CC4-5D6E-409C-BE32-E72D297353CC}">
              <c16:uniqueId val="{00000002-D1B7-4D2E-93BD-828B8ADBFECC}"/>
            </c:ext>
          </c:extLst>
        </c:ser>
        <c:ser>
          <c:idx val="3"/>
          <c:order val="3"/>
          <c:spPr>
            <a:solidFill>
              <a:schemeClr val="accent4"/>
            </a:solidFill>
            <a:ln>
              <a:noFill/>
            </a:ln>
            <a:effectLst/>
          </c:spPr>
          <c:invertIfNegative val="0"/>
          <c:cat>
            <c:strRef>
              <c:f>Sheet2!$B$4:$B$23</c:f>
              <c:strCache>
                <c:ptCount val="20"/>
                <c:pt idx="0">
                  <c:v>Blank</c:v>
                </c:pt>
                <c:pt idx="1">
                  <c:v>James Burnley</c:v>
                </c:pt>
                <c:pt idx="2">
                  <c:v>Karen Venables</c:v>
                </c:pt>
                <c:pt idx="3">
                  <c:v>Thomas O'Brien</c:v>
                </c:pt>
                <c:pt idx="4">
                  <c:v>Andrea Fischer</c:v>
                </c:pt>
                <c:pt idx="5">
                  <c:v>Rachel Wills</c:v>
                </c:pt>
                <c:pt idx="6">
                  <c:v>George Kirby</c:v>
                </c:pt>
                <c:pt idx="7">
                  <c:v>Rikki Lad</c:v>
                </c:pt>
                <c:pt idx="8">
                  <c:v>Tom Hague</c:v>
                </c:pt>
                <c:pt idx="9">
                  <c:v>Hannah Price</c:v>
                </c:pt>
                <c:pt idx="10">
                  <c:v>#REF!</c:v>
                </c:pt>
                <c:pt idx="11">
                  <c:v>Hannah Price</c:v>
                </c:pt>
                <c:pt idx="12">
                  <c:v>#REF!</c:v>
                </c:pt>
                <c:pt idx="13">
                  <c:v>Anitta Thomas</c:v>
                </c:pt>
                <c:pt idx="14">
                  <c:v>#REF!</c:v>
                </c:pt>
                <c:pt idx="15">
                  <c:v>#REF!</c:v>
                </c:pt>
                <c:pt idx="16">
                  <c:v>Preetinder Singh</c:v>
                </c:pt>
                <c:pt idx="17">
                  <c:v>Practioner/Assistant Physicist</c:v>
                </c:pt>
                <c:pt idx="18">
                  <c:v>Route 2 Trainee</c:v>
                </c:pt>
                <c:pt idx="19">
                  <c:v>STP Trainee</c:v>
                </c:pt>
              </c:strCache>
            </c:strRef>
          </c:cat>
          <c:val>
            <c:numRef>
              <c:f>Sheet2!$F$4:$F$14</c:f>
              <c:numCache>
                <c:formatCode>General</c:formatCode>
                <c:ptCount val="11"/>
              </c:numCache>
            </c:numRef>
          </c:val>
          <c:extLst>
            <c:ext xmlns:c16="http://schemas.microsoft.com/office/drawing/2014/chart" uri="{C3380CC4-5D6E-409C-BE32-E72D297353CC}">
              <c16:uniqueId val="{00000003-D1B7-4D2E-93BD-828B8ADBFECC}"/>
            </c:ext>
          </c:extLst>
        </c:ser>
        <c:ser>
          <c:idx val="4"/>
          <c:order val="4"/>
          <c:spPr>
            <a:solidFill>
              <a:schemeClr val="accent5"/>
            </a:solidFill>
            <a:ln>
              <a:noFill/>
            </a:ln>
            <a:effectLst/>
          </c:spPr>
          <c:invertIfNegative val="0"/>
          <c:cat>
            <c:strRef>
              <c:f>Sheet2!$B$4:$B$23</c:f>
              <c:strCache>
                <c:ptCount val="20"/>
                <c:pt idx="0">
                  <c:v>Blank</c:v>
                </c:pt>
                <c:pt idx="1">
                  <c:v>James Burnley</c:v>
                </c:pt>
                <c:pt idx="2">
                  <c:v>Karen Venables</c:v>
                </c:pt>
                <c:pt idx="3">
                  <c:v>Thomas O'Brien</c:v>
                </c:pt>
                <c:pt idx="4">
                  <c:v>Andrea Fischer</c:v>
                </c:pt>
                <c:pt idx="5">
                  <c:v>Rachel Wills</c:v>
                </c:pt>
                <c:pt idx="6">
                  <c:v>George Kirby</c:v>
                </c:pt>
                <c:pt idx="7">
                  <c:v>Rikki Lad</c:v>
                </c:pt>
                <c:pt idx="8">
                  <c:v>Tom Hague</c:v>
                </c:pt>
                <c:pt idx="9">
                  <c:v>Hannah Price</c:v>
                </c:pt>
                <c:pt idx="10">
                  <c:v>#REF!</c:v>
                </c:pt>
                <c:pt idx="11">
                  <c:v>Hannah Price</c:v>
                </c:pt>
                <c:pt idx="12">
                  <c:v>#REF!</c:v>
                </c:pt>
                <c:pt idx="13">
                  <c:v>Anitta Thomas</c:v>
                </c:pt>
                <c:pt idx="14">
                  <c:v>#REF!</c:v>
                </c:pt>
                <c:pt idx="15">
                  <c:v>#REF!</c:v>
                </c:pt>
                <c:pt idx="16">
                  <c:v>Preetinder Singh</c:v>
                </c:pt>
                <c:pt idx="17">
                  <c:v>Practioner/Assistant Physicist</c:v>
                </c:pt>
                <c:pt idx="18">
                  <c:v>Route 2 Trainee</c:v>
                </c:pt>
                <c:pt idx="19">
                  <c:v>STP Trainee</c:v>
                </c:pt>
              </c:strCache>
            </c:strRef>
          </c:cat>
          <c:val>
            <c:numRef>
              <c:f>Sheet2!$G$4:$G$23</c:f>
              <c:numCache>
                <c:formatCode>0%</c:formatCode>
                <c:ptCount val="20"/>
                <c:pt idx="0" formatCode="General">
                  <c:v>0</c:v>
                </c:pt>
                <c:pt idx="1">
                  <c:v>1</c:v>
                </c:pt>
                <c:pt idx="2">
                  <c:v>1</c:v>
                </c:pt>
                <c:pt idx="3">
                  <c:v>0.9438202247191011</c:v>
                </c:pt>
                <c:pt idx="4">
                  <c:v>0.9887640449438202</c:v>
                </c:pt>
                <c:pt idx="5">
                  <c:v>0.67777777777777781</c:v>
                </c:pt>
                <c:pt idx="6">
                  <c:v>0.86046511627906974</c:v>
                </c:pt>
                <c:pt idx="7">
                  <c:v>0.55555555555555558</c:v>
                </c:pt>
                <c:pt idx="8">
                  <c:v>0.48314606741573035</c:v>
                </c:pt>
                <c:pt idx="9">
                  <c:v>0.74712643678160917</c:v>
                </c:pt>
                <c:pt idx="10">
                  <c:v>0</c:v>
                </c:pt>
                <c:pt idx="11" formatCode="General">
                  <c:v>0</c:v>
                </c:pt>
                <c:pt idx="12" formatCode="General">
                  <c:v>0</c:v>
                </c:pt>
                <c:pt idx="13" formatCode="General">
                  <c:v>0.73809523809523814</c:v>
                </c:pt>
                <c:pt idx="14" formatCode="General">
                  <c:v>0</c:v>
                </c:pt>
                <c:pt idx="15" formatCode="General">
                  <c:v>0</c:v>
                </c:pt>
                <c:pt idx="16" formatCode="General">
                  <c:v>0.52873563218390807</c:v>
                </c:pt>
                <c:pt idx="17" formatCode="General">
                  <c:v>0</c:v>
                </c:pt>
                <c:pt idx="18" formatCode="General">
                  <c:v>0</c:v>
                </c:pt>
                <c:pt idx="19" formatCode="General">
                  <c:v>0</c:v>
                </c:pt>
              </c:numCache>
            </c:numRef>
          </c:val>
          <c:extLst>
            <c:ext xmlns:c16="http://schemas.microsoft.com/office/drawing/2014/chart" uri="{C3380CC4-5D6E-409C-BE32-E72D297353CC}">
              <c16:uniqueId val="{00000004-D1B7-4D2E-93BD-828B8ADBFECC}"/>
            </c:ext>
          </c:extLst>
        </c:ser>
        <c:dLbls>
          <c:showLegendKey val="0"/>
          <c:showVal val="0"/>
          <c:showCatName val="0"/>
          <c:showSerName val="0"/>
          <c:showPercent val="0"/>
          <c:showBubbleSize val="0"/>
        </c:dLbls>
        <c:gapWidth val="75"/>
        <c:overlap val="40"/>
        <c:axId val="896152415"/>
        <c:axId val="896154079"/>
      </c:barChart>
      <c:catAx>
        <c:axId val="89615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6154079"/>
        <c:crosses val="autoZero"/>
        <c:auto val="1"/>
        <c:lblAlgn val="ctr"/>
        <c:lblOffset val="100"/>
        <c:noMultiLvlLbl val="0"/>
      </c:catAx>
      <c:valAx>
        <c:axId val="896154079"/>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615241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4.xml"/><Relationship Id="rId5" Type="http://schemas.openxmlformats.org/officeDocument/2006/relationships/chart" Target="../charts/chart3.xml"/><Relationship Id="rId4"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editAs="oneCell">
    <xdr:from>
      <xdr:col>2</xdr:col>
      <xdr:colOff>171450</xdr:colOff>
      <xdr:row>1</xdr:row>
      <xdr:rowOff>285750</xdr:rowOff>
    </xdr:from>
    <xdr:to>
      <xdr:col>4</xdr:col>
      <xdr:colOff>325120</xdr:colOff>
      <xdr:row>1</xdr:row>
      <xdr:rowOff>924560</xdr:rowOff>
    </xdr:to>
    <xdr:pic>
      <xdr:nvPicPr>
        <xdr:cNvPr id="2" name="Picture 1"/>
        <xdr:cNvPicPr/>
      </xdr:nvPicPr>
      <xdr:blipFill>
        <a:blip xmlns:r="http://schemas.openxmlformats.org/officeDocument/2006/relationships" r:embed="rId1"/>
        <a:stretch>
          <a:fillRect/>
        </a:stretch>
      </xdr:blipFill>
      <xdr:spPr>
        <a:xfrm>
          <a:off x="1390650" y="476250"/>
          <a:ext cx="1372870" cy="638810"/>
        </a:xfrm>
        <a:prstGeom prst="rect">
          <a:avLst/>
        </a:prstGeom>
      </xdr:spPr>
    </xdr:pic>
    <xdr:clientData/>
  </xdr:twoCellAnchor>
  <xdr:twoCellAnchor editAs="oneCell">
    <xdr:from>
      <xdr:col>1</xdr:col>
      <xdr:colOff>400050</xdr:colOff>
      <xdr:row>0</xdr:row>
      <xdr:rowOff>95250</xdr:rowOff>
    </xdr:from>
    <xdr:to>
      <xdr:col>5</xdr:col>
      <xdr:colOff>297815</xdr:colOff>
      <xdr:row>1</xdr:row>
      <xdr:rowOff>277542</xdr:rowOff>
    </xdr:to>
    <xdr:pic>
      <xdr:nvPicPr>
        <xdr:cNvPr id="3" name="Picture 2"/>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09650" y="95250"/>
          <a:ext cx="2336165" cy="372792"/>
        </a:xfrm>
        <a:prstGeom prst="rect">
          <a:avLst/>
        </a:prstGeom>
      </xdr:spPr>
    </xdr:pic>
    <xdr:clientData/>
  </xdr:twoCellAnchor>
  <xdr:twoCellAnchor>
    <xdr:from>
      <xdr:col>6</xdr:col>
      <xdr:colOff>0</xdr:colOff>
      <xdr:row>241</xdr:row>
      <xdr:rowOff>123824</xdr:rowOff>
    </xdr:from>
    <xdr:to>
      <xdr:col>13</xdr:col>
      <xdr:colOff>600075</xdr:colOff>
      <xdr:row>258</xdr:row>
      <xdr:rowOff>95249</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476251</xdr:colOff>
      <xdr:row>241</xdr:row>
      <xdr:rowOff>114300</xdr:rowOff>
    </xdr:from>
    <xdr:to>
      <xdr:col>19</xdr:col>
      <xdr:colOff>171451</xdr:colOff>
      <xdr:row>258</xdr:row>
      <xdr:rowOff>76199</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600074</xdr:colOff>
      <xdr:row>241</xdr:row>
      <xdr:rowOff>123825</xdr:rowOff>
    </xdr:from>
    <xdr:to>
      <xdr:col>28</xdr:col>
      <xdr:colOff>9525</xdr:colOff>
      <xdr:row>258</xdr:row>
      <xdr:rowOff>85724</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29</xdr:col>
      <xdr:colOff>581025</xdr:colOff>
      <xdr:row>241</xdr:row>
      <xdr:rowOff>142875</xdr:rowOff>
    </xdr:from>
    <xdr:to>
      <xdr:col>37</xdr:col>
      <xdr:colOff>0</xdr:colOff>
      <xdr:row>258</xdr:row>
      <xdr:rowOff>104774</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457200</xdr:colOff>
          <xdr:row>6</xdr:row>
          <xdr:rowOff>85725</xdr:rowOff>
        </xdr:from>
        <xdr:to>
          <xdr:col>17</xdr:col>
          <xdr:colOff>95250</xdr:colOff>
          <xdr:row>7</xdr:row>
          <xdr:rowOff>142875</xdr:rowOff>
        </xdr:to>
        <xdr:sp macro="" textlink="">
          <xdr:nvSpPr>
            <xdr:cNvPr id="7189" name="Button 21" hidden="1">
              <a:extLst>
                <a:ext uri="{63B3BB69-23CF-44E3-9099-C40C66FF867C}">
                  <a14:compatExt spid="_x0000_s718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Order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447675</xdr:colOff>
          <xdr:row>2</xdr:row>
          <xdr:rowOff>171450</xdr:rowOff>
        </xdr:from>
        <xdr:to>
          <xdr:col>17</xdr:col>
          <xdr:colOff>85725</xdr:colOff>
          <xdr:row>4</xdr:row>
          <xdr:rowOff>38100</xdr:rowOff>
        </xdr:to>
        <xdr:sp macro="" textlink="">
          <xdr:nvSpPr>
            <xdr:cNvPr id="7190" name="Button 22" hidden="1">
              <a:extLst>
                <a:ext uri="{63B3BB69-23CF-44E3-9099-C40C66FF867C}">
                  <a14:compatExt spid="_x0000_s719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Clear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447675</xdr:colOff>
          <xdr:row>4</xdr:row>
          <xdr:rowOff>123825</xdr:rowOff>
        </xdr:from>
        <xdr:to>
          <xdr:col>17</xdr:col>
          <xdr:colOff>85725</xdr:colOff>
          <xdr:row>5</xdr:row>
          <xdr:rowOff>180975</xdr:rowOff>
        </xdr:to>
        <xdr:sp macro="" textlink="">
          <xdr:nvSpPr>
            <xdr:cNvPr id="7191" name="Button 23" hidden="1">
              <a:extLst>
                <a:ext uri="{63B3BB69-23CF-44E3-9099-C40C66FF867C}">
                  <a14:compatExt spid="_x0000_s719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Paste Results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4</xdr:col>
      <xdr:colOff>390525</xdr:colOff>
      <xdr:row>1</xdr:row>
      <xdr:rowOff>0</xdr:rowOff>
    </xdr:from>
    <xdr:to>
      <xdr:col>6</xdr:col>
      <xdr:colOff>544195</xdr:colOff>
      <xdr:row>1</xdr:row>
      <xdr:rowOff>638810</xdr:rowOff>
    </xdr:to>
    <xdr:pic>
      <xdr:nvPicPr>
        <xdr:cNvPr id="4" name="Picture 3"/>
        <xdr:cNvPicPr/>
      </xdr:nvPicPr>
      <xdr:blipFill>
        <a:blip xmlns:r="http://schemas.openxmlformats.org/officeDocument/2006/relationships" r:embed="rId1"/>
        <a:stretch>
          <a:fillRect/>
        </a:stretch>
      </xdr:blipFill>
      <xdr:spPr>
        <a:xfrm>
          <a:off x="3714750" y="190500"/>
          <a:ext cx="1372870" cy="638810"/>
        </a:xfrm>
        <a:prstGeom prst="rect">
          <a:avLst/>
        </a:prstGeom>
      </xdr:spPr>
    </xdr:pic>
    <xdr:clientData/>
  </xdr:twoCellAnchor>
  <xdr:twoCellAnchor editAs="oneCell">
    <xdr:from>
      <xdr:col>0</xdr:col>
      <xdr:colOff>571500</xdr:colOff>
      <xdr:row>1</xdr:row>
      <xdr:rowOff>228600</xdr:rowOff>
    </xdr:from>
    <xdr:to>
      <xdr:col>3</xdr:col>
      <xdr:colOff>97790</xdr:colOff>
      <xdr:row>1</xdr:row>
      <xdr:rowOff>601392</xdr:rowOff>
    </xdr:to>
    <xdr:pic>
      <xdr:nvPicPr>
        <xdr:cNvPr id="5" name="Picture 4"/>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71500" y="419100"/>
          <a:ext cx="2336165" cy="372792"/>
        </a:xfrm>
        <a:prstGeom prst="rect">
          <a:avLst/>
        </a:prstGeom>
      </xdr:spPr>
    </xdr:pic>
    <xdr:clientData/>
  </xdr:twoCellAnchor>
  <xdr:twoCellAnchor>
    <xdr:from>
      <xdr:col>0</xdr:col>
      <xdr:colOff>600075</xdr:colOff>
      <xdr:row>13</xdr:row>
      <xdr:rowOff>38100</xdr:rowOff>
    </xdr:from>
    <xdr:to>
      <xdr:col>6</xdr:col>
      <xdr:colOff>590550</xdr:colOff>
      <xdr:row>25</xdr:row>
      <xdr:rowOff>66675</xdr:rowOff>
    </xdr:to>
    <xdr:graphicFrame macro="">
      <xdr:nvGraphicFramePr>
        <xdr:cNvPr id="9" name="Chart 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533399</xdr:colOff>
      <xdr:row>24</xdr:row>
      <xdr:rowOff>19049</xdr:rowOff>
    </xdr:from>
    <xdr:to>
      <xdr:col>10</xdr:col>
      <xdr:colOff>428625</xdr:colOff>
      <xdr:row>43</xdr:row>
      <xdr:rowOff>180974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1:AU245"/>
  <sheetViews>
    <sheetView tabSelected="1" workbookViewId="0">
      <pane xSplit="6" ySplit="3" topLeftCell="G188" activePane="bottomRight" state="frozen"/>
      <selection pane="topRight" activeCell="G1" sqref="G1"/>
      <selection pane="bottomLeft" activeCell="A4" sqref="A4"/>
      <selection pane="bottomRight" activeCell="A51" activeCellId="21" sqref="A5:XFD5 A7:XFD7 A9:XFD9 A12:XFD12 A14:XFD14 A17:XFD17 A19:XFD19 A21:XFD21 A23:XFD23 A25:XFD25 A27:XFD27 A29:XFD29 A31:XFD31 A33:XFD33 A35:XFD35 A37:XFD37 A40:XFD40 A42:XFD42 A44:XFD44 A46:XFD46 A49:XFD49 A51:XFD51"/>
    </sheetView>
  </sheetViews>
  <sheetFormatPr defaultRowHeight="15" x14ac:dyDescent="0.25"/>
  <cols>
    <col min="1" max="5" width="9.140625" style="16"/>
    <col min="6" max="9" width="9.140625" style="16" customWidth="1"/>
    <col min="10" max="11" width="9.140625" style="16"/>
    <col min="12" max="12" width="0" style="16" hidden="1" customWidth="1"/>
    <col min="13" max="33" width="9.140625" style="16"/>
    <col min="34" max="34" width="0" style="16" hidden="1" customWidth="1"/>
    <col min="35" max="16384" width="9.140625" style="16"/>
  </cols>
  <sheetData>
    <row r="1" spans="2:47" x14ac:dyDescent="0.25">
      <c r="G1" s="82" t="s">
        <v>164</v>
      </c>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7"/>
      <c r="AN1" s="7"/>
      <c r="AO1" s="29"/>
      <c r="AP1" s="188" t="s">
        <v>149</v>
      </c>
      <c r="AQ1" s="189"/>
      <c r="AR1" s="189"/>
      <c r="AS1" s="189"/>
      <c r="AT1" s="189"/>
      <c r="AU1" s="189"/>
    </row>
    <row r="2" spans="2:47" ht="90.75" customHeight="1" x14ac:dyDescent="0.25">
      <c r="B2" s="110" t="s">
        <v>158</v>
      </c>
      <c r="C2" s="111"/>
      <c r="D2" s="111"/>
      <c r="E2" s="111"/>
      <c r="F2" s="112"/>
      <c r="G2" s="35" t="s">
        <v>15</v>
      </c>
      <c r="H2" s="35" t="s">
        <v>41</v>
      </c>
      <c r="I2" s="35" t="s">
        <v>46</v>
      </c>
      <c r="J2" s="35" t="s">
        <v>47</v>
      </c>
      <c r="K2" s="35" t="s">
        <v>48</v>
      </c>
      <c r="L2" s="35" t="s">
        <v>49</v>
      </c>
      <c r="M2" s="59" t="s">
        <v>235</v>
      </c>
      <c r="N2" s="61" t="s">
        <v>237</v>
      </c>
      <c r="P2" s="35" t="s">
        <v>140</v>
      </c>
      <c r="Q2" s="62" t="s">
        <v>238</v>
      </c>
      <c r="R2" s="60" t="s">
        <v>236</v>
      </c>
      <c r="S2" s="65" t="s">
        <v>242</v>
      </c>
      <c r="U2" s="34" t="s">
        <v>157</v>
      </c>
      <c r="V2" s="37" t="s">
        <v>171</v>
      </c>
      <c r="W2" s="38" t="s">
        <v>172</v>
      </c>
      <c r="X2" s="34" t="s">
        <v>143</v>
      </c>
      <c r="Y2" s="39" t="s">
        <v>175</v>
      </c>
      <c r="Z2" s="59" t="s">
        <v>234</v>
      </c>
      <c r="AA2" s="67" t="s">
        <v>162</v>
      </c>
      <c r="AB2" s="67" t="s">
        <v>142</v>
      </c>
      <c r="AC2" s="68"/>
      <c r="AE2" s="58" t="s">
        <v>233</v>
      </c>
      <c r="AF2" s="34" t="s">
        <v>141</v>
      </c>
      <c r="AG2" s="34" t="s">
        <v>163</v>
      </c>
      <c r="AH2" s="37" t="s">
        <v>170</v>
      </c>
      <c r="AI2" s="76" t="s">
        <v>245</v>
      </c>
      <c r="AJ2" s="63" t="s">
        <v>241</v>
      </c>
      <c r="AK2" s="40" t="s">
        <v>232</v>
      </c>
      <c r="AL2" s="66" t="s">
        <v>243</v>
      </c>
      <c r="AM2" s="40"/>
      <c r="AN2" s="63"/>
      <c r="AO2" s="38"/>
      <c r="AP2" s="186" t="s">
        <v>144</v>
      </c>
      <c r="AQ2" s="34" t="s">
        <v>148</v>
      </c>
      <c r="AR2" s="34" t="s">
        <v>145</v>
      </c>
      <c r="AS2" s="34" t="s">
        <v>146</v>
      </c>
      <c r="AT2" s="34" t="s">
        <v>147</v>
      </c>
      <c r="AU2" s="34" t="s">
        <v>19</v>
      </c>
    </row>
    <row r="3" spans="2:47" x14ac:dyDescent="0.25">
      <c r="B3" s="113"/>
      <c r="C3" s="113"/>
      <c r="D3" s="113"/>
      <c r="E3" s="113"/>
      <c r="F3" s="114"/>
      <c r="G3" s="36" t="s">
        <v>19</v>
      </c>
      <c r="H3" s="36" t="s">
        <v>19</v>
      </c>
      <c r="I3" s="36" t="s">
        <v>19</v>
      </c>
      <c r="J3" s="36" t="s">
        <v>19</v>
      </c>
      <c r="K3" s="36" t="s">
        <v>165</v>
      </c>
      <c r="L3" s="36" t="s">
        <v>19</v>
      </c>
      <c r="M3" s="36" t="s">
        <v>19</v>
      </c>
      <c r="N3" s="36" t="s">
        <v>165</v>
      </c>
      <c r="P3" s="36" t="s">
        <v>168</v>
      </c>
      <c r="Q3" s="36" t="s">
        <v>168</v>
      </c>
      <c r="R3" s="36" t="s">
        <v>168</v>
      </c>
      <c r="S3" s="36" t="s">
        <v>168</v>
      </c>
      <c r="U3" s="36" t="s">
        <v>165</v>
      </c>
      <c r="V3" s="36" t="s">
        <v>165</v>
      </c>
      <c r="W3" s="36" t="s">
        <v>165</v>
      </c>
      <c r="X3" s="36" t="s">
        <v>165</v>
      </c>
      <c r="Y3" s="36" t="s">
        <v>165</v>
      </c>
      <c r="Z3" s="36" t="s">
        <v>165</v>
      </c>
      <c r="AA3" s="36" t="s">
        <v>165</v>
      </c>
      <c r="AB3" s="36" t="s">
        <v>165</v>
      </c>
      <c r="AC3" s="69"/>
      <c r="AE3" s="36" t="s">
        <v>167</v>
      </c>
      <c r="AF3" s="36" t="s">
        <v>167</v>
      </c>
      <c r="AG3" s="36" t="s">
        <v>167</v>
      </c>
      <c r="AH3" s="36" t="s">
        <v>168</v>
      </c>
      <c r="AI3" s="36" t="s">
        <v>166</v>
      </c>
      <c r="AJ3" s="36" t="s">
        <v>166</v>
      </c>
      <c r="AK3" s="36" t="s">
        <v>166</v>
      </c>
      <c r="AL3" s="36" t="s">
        <v>244</v>
      </c>
      <c r="AM3" s="36"/>
      <c r="AN3" s="36"/>
      <c r="AO3" s="36"/>
      <c r="AP3" s="187"/>
      <c r="AQ3" s="36" t="s">
        <v>168</v>
      </c>
      <c r="AR3" s="36" t="s">
        <v>167</v>
      </c>
      <c r="AS3" s="36" t="s">
        <v>166</v>
      </c>
      <c r="AT3" s="36" t="s">
        <v>165</v>
      </c>
      <c r="AU3" s="36" t="s">
        <v>19</v>
      </c>
    </row>
    <row r="4" spans="2:47" x14ac:dyDescent="0.25">
      <c r="B4" s="179" t="s">
        <v>126</v>
      </c>
      <c r="C4" s="173" t="s">
        <v>123</v>
      </c>
      <c r="D4" s="174"/>
      <c r="E4" s="174"/>
      <c r="F4" s="175"/>
      <c r="G4" s="15" t="s">
        <v>17</v>
      </c>
      <c r="H4" s="15" t="s">
        <v>17</v>
      </c>
      <c r="I4" s="15" t="s">
        <v>17</v>
      </c>
      <c r="J4" s="15" t="s">
        <v>17</v>
      </c>
      <c r="K4" s="15" t="s">
        <v>17</v>
      </c>
      <c r="L4" s="15" t="s">
        <v>17</v>
      </c>
      <c r="M4" s="15" t="s">
        <v>17</v>
      </c>
      <c r="N4" s="15" t="s">
        <v>17</v>
      </c>
      <c r="P4" s="15" t="s">
        <v>17</v>
      </c>
      <c r="Q4" s="15" t="s">
        <v>17</v>
      </c>
      <c r="R4" s="15" t="s">
        <v>17</v>
      </c>
      <c r="S4" s="15" t="s">
        <v>139</v>
      </c>
      <c r="U4" s="15" t="s">
        <v>17</v>
      </c>
      <c r="V4" s="15" t="s">
        <v>17</v>
      </c>
      <c r="W4" s="15" t="s">
        <v>17</v>
      </c>
      <c r="X4" s="15" t="s">
        <v>17</v>
      </c>
      <c r="Y4" s="15" t="s">
        <v>139</v>
      </c>
      <c r="Z4" s="15" t="s">
        <v>17</v>
      </c>
      <c r="AA4" s="15" t="s">
        <v>17</v>
      </c>
      <c r="AB4" s="15" t="s">
        <v>17</v>
      </c>
      <c r="AC4" s="70"/>
      <c r="AE4" s="15" t="s">
        <v>17</v>
      </c>
      <c r="AF4" s="15" t="s">
        <v>17</v>
      </c>
      <c r="AG4" s="15" t="s">
        <v>17</v>
      </c>
      <c r="AH4" s="15" t="s">
        <v>17</v>
      </c>
      <c r="AI4" s="15" t="s">
        <v>17</v>
      </c>
      <c r="AJ4" s="15" t="s">
        <v>139</v>
      </c>
      <c r="AK4" s="15" t="s">
        <v>139</v>
      </c>
      <c r="AL4" s="15" t="s">
        <v>139</v>
      </c>
      <c r="AM4" s="15"/>
      <c r="AN4" s="15"/>
      <c r="AO4" s="15"/>
      <c r="AP4" s="15"/>
      <c r="AQ4" s="15" t="s">
        <v>139</v>
      </c>
      <c r="AR4" s="15" t="s">
        <v>139</v>
      </c>
      <c r="AS4" s="15" t="s">
        <v>139</v>
      </c>
      <c r="AT4" s="15" t="s">
        <v>139</v>
      </c>
      <c r="AU4" s="15" t="s">
        <v>139</v>
      </c>
    </row>
    <row r="5" spans="2:47" ht="15.75" hidden="1" customHeight="1" x14ac:dyDescent="0.3">
      <c r="B5" s="180"/>
      <c r="C5" s="176"/>
      <c r="D5" s="177"/>
      <c r="E5" s="177"/>
      <c r="F5" s="178"/>
      <c r="G5" s="26"/>
      <c r="H5" s="26"/>
      <c r="I5" s="26"/>
      <c r="J5" s="26"/>
      <c r="K5" s="26"/>
      <c r="L5" s="26"/>
      <c r="M5" s="26"/>
      <c r="N5" s="26"/>
      <c r="P5" s="26"/>
      <c r="Q5" s="26"/>
      <c r="R5" s="26"/>
      <c r="S5" s="26"/>
      <c r="U5" s="26"/>
      <c r="V5" s="26"/>
      <c r="W5" s="26"/>
      <c r="X5" s="26"/>
      <c r="Y5" s="26"/>
      <c r="Z5" s="26"/>
      <c r="AA5" s="26"/>
      <c r="AB5" s="26"/>
      <c r="AC5" s="71"/>
      <c r="AE5" s="26"/>
      <c r="AF5" s="26"/>
      <c r="AG5" s="26"/>
      <c r="AH5" s="26"/>
      <c r="AI5" s="26"/>
      <c r="AJ5" s="26"/>
      <c r="AK5" s="26"/>
      <c r="AL5" s="26"/>
      <c r="AM5" s="26"/>
      <c r="AN5" s="26"/>
      <c r="AO5" s="26"/>
      <c r="AP5" s="26"/>
      <c r="AQ5" s="26"/>
      <c r="AR5" s="26"/>
      <c r="AS5" s="26"/>
      <c r="AT5" s="26"/>
      <c r="AU5" s="26"/>
    </row>
    <row r="6" spans="2:47" x14ac:dyDescent="0.25">
      <c r="B6" s="180"/>
      <c r="C6" s="173" t="s">
        <v>161</v>
      </c>
      <c r="D6" s="174"/>
      <c r="E6" s="174"/>
      <c r="F6" s="175"/>
      <c r="G6" s="15" t="s">
        <v>17</v>
      </c>
      <c r="H6" s="15" t="s">
        <v>17</v>
      </c>
      <c r="I6" s="15" t="s">
        <v>17</v>
      </c>
      <c r="J6" s="15" t="s">
        <v>17</v>
      </c>
      <c r="K6" s="15" t="s">
        <v>17</v>
      </c>
      <c r="L6" s="15" t="s">
        <v>17</v>
      </c>
      <c r="M6" s="13" t="s">
        <v>17</v>
      </c>
      <c r="N6" s="15" t="s">
        <v>17</v>
      </c>
      <c r="P6" s="15" t="s">
        <v>17</v>
      </c>
      <c r="Q6" s="15" t="s">
        <v>17</v>
      </c>
      <c r="R6" s="15" t="s">
        <v>17</v>
      </c>
      <c r="S6" s="15"/>
      <c r="U6" s="15" t="s">
        <v>17</v>
      </c>
      <c r="V6" s="15" t="s">
        <v>17</v>
      </c>
      <c r="W6" s="15" t="s">
        <v>17</v>
      </c>
      <c r="X6" s="15" t="s">
        <v>17</v>
      </c>
      <c r="Y6" s="15" t="s">
        <v>139</v>
      </c>
      <c r="Z6" s="13" t="s">
        <v>17</v>
      </c>
      <c r="AA6" s="15" t="s">
        <v>17</v>
      </c>
      <c r="AB6" s="15" t="s">
        <v>17</v>
      </c>
      <c r="AC6" s="72"/>
      <c r="AE6" s="15" t="s">
        <v>17</v>
      </c>
      <c r="AF6" s="15" t="s">
        <v>17</v>
      </c>
      <c r="AG6" s="15" t="s">
        <v>17</v>
      </c>
      <c r="AH6" s="15"/>
      <c r="AI6" s="15" t="s">
        <v>139</v>
      </c>
      <c r="AJ6" s="15" t="s">
        <v>139</v>
      </c>
      <c r="AK6" s="15"/>
      <c r="AL6" s="15"/>
      <c r="AM6" s="15"/>
      <c r="AN6" s="15"/>
      <c r="AO6" s="15"/>
      <c r="AP6" s="15"/>
      <c r="AQ6" s="15"/>
      <c r="AR6" s="15" t="s">
        <v>139</v>
      </c>
      <c r="AS6" s="15" t="s">
        <v>139</v>
      </c>
      <c r="AT6" s="15" t="s">
        <v>139</v>
      </c>
      <c r="AU6" s="15" t="s">
        <v>139</v>
      </c>
    </row>
    <row r="7" spans="2:47" ht="15.75" hidden="1" customHeight="1" x14ac:dyDescent="0.3">
      <c r="B7" s="180"/>
      <c r="C7" s="176"/>
      <c r="D7" s="177"/>
      <c r="E7" s="177"/>
      <c r="F7" s="178"/>
      <c r="G7" s="26"/>
      <c r="H7" s="26"/>
      <c r="I7" s="26"/>
      <c r="J7" s="26"/>
      <c r="K7" s="26"/>
      <c r="L7" s="26"/>
      <c r="M7" s="26"/>
      <c r="N7" s="26"/>
      <c r="P7" s="26"/>
      <c r="Q7" s="26"/>
      <c r="R7" s="26"/>
      <c r="S7" s="26"/>
      <c r="U7" s="26"/>
      <c r="V7" s="26"/>
      <c r="W7" s="26"/>
      <c r="X7" s="26"/>
      <c r="Y7" s="26"/>
      <c r="Z7" s="26"/>
      <c r="AA7" s="26"/>
      <c r="AB7" s="26"/>
      <c r="AC7" s="71"/>
      <c r="AE7" s="26"/>
      <c r="AF7" s="26"/>
      <c r="AG7" s="26"/>
      <c r="AH7" s="26"/>
      <c r="AI7" s="26"/>
      <c r="AJ7" s="26"/>
      <c r="AK7" s="26"/>
      <c r="AL7" s="26"/>
      <c r="AM7" s="26"/>
      <c r="AN7" s="26"/>
      <c r="AO7" s="26"/>
      <c r="AP7" s="26"/>
      <c r="AQ7" s="26"/>
      <c r="AR7" s="26"/>
      <c r="AS7" s="26"/>
      <c r="AT7" s="26"/>
      <c r="AU7" s="26"/>
    </row>
    <row r="8" spans="2:47" x14ac:dyDescent="0.25">
      <c r="B8" s="181"/>
      <c r="C8" s="173" t="s">
        <v>125</v>
      </c>
      <c r="D8" s="174"/>
      <c r="E8" s="174"/>
      <c r="F8" s="175"/>
      <c r="G8" s="15" t="s">
        <v>17</v>
      </c>
      <c r="H8" s="15" t="s">
        <v>17</v>
      </c>
      <c r="I8" s="15" t="s">
        <v>17</v>
      </c>
      <c r="J8" s="15" t="s">
        <v>17</v>
      </c>
      <c r="K8" s="15" t="s">
        <v>17</v>
      </c>
      <c r="L8" s="15" t="s">
        <v>17</v>
      </c>
      <c r="M8" s="13" t="s">
        <v>17</v>
      </c>
      <c r="N8" s="15" t="s">
        <v>17</v>
      </c>
      <c r="P8" s="15" t="s">
        <v>17</v>
      </c>
      <c r="Q8" s="15" t="s">
        <v>17</v>
      </c>
      <c r="R8" s="15" t="s">
        <v>17</v>
      </c>
      <c r="S8" s="15" t="s">
        <v>139</v>
      </c>
      <c r="U8" s="15" t="s">
        <v>17</v>
      </c>
      <c r="V8" s="15" t="s">
        <v>17</v>
      </c>
      <c r="W8" s="15" t="s">
        <v>17</v>
      </c>
      <c r="X8" s="15" t="s">
        <v>17</v>
      </c>
      <c r="Y8" s="15" t="s">
        <v>139</v>
      </c>
      <c r="Z8" s="15" t="s">
        <v>17</v>
      </c>
      <c r="AA8" s="15" t="s">
        <v>17</v>
      </c>
      <c r="AB8" s="15" t="s">
        <v>17</v>
      </c>
      <c r="AC8" s="70"/>
      <c r="AE8" s="15" t="s">
        <v>17</v>
      </c>
      <c r="AF8" s="15" t="s">
        <v>17</v>
      </c>
      <c r="AG8" s="15" t="s">
        <v>17</v>
      </c>
      <c r="AH8" s="15" t="s">
        <v>17</v>
      </c>
      <c r="AI8" s="15" t="s">
        <v>17</v>
      </c>
      <c r="AJ8" s="15" t="s">
        <v>139</v>
      </c>
      <c r="AK8" s="15" t="s">
        <v>139</v>
      </c>
      <c r="AL8" s="15" t="s">
        <v>139</v>
      </c>
      <c r="AM8" s="15"/>
      <c r="AN8" s="15"/>
      <c r="AO8" s="15"/>
      <c r="AP8" s="15"/>
      <c r="AQ8" s="15" t="s">
        <v>139</v>
      </c>
      <c r="AR8" s="15" t="s">
        <v>139</v>
      </c>
      <c r="AS8" s="15" t="s">
        <v>139</v>
      </c>
      <c r="AT8" s="15" t="s">
        <v>139</v>
      </c>
      <c r="AU8" s="15" t="s">
        <v>139</v>
      </c>
    </row>
    <row r="9" spans="2:47" ht="15.75" hidden="1" customHeight="1" x14ac:dyDescent="0.3">
      <c r="B9" s="182"/>
      <c r="C9" s="176"/>
      <c r="D9" s="177"/>
      <c r="E9" s="177"/>
      <c r="F9" s="178"/>
      <c r="G9" s="26"/>
      <c r="H9" s="26"/>
      <c r="I9" s="26"/>
      <c r="J9" s="26"/>
      <c r="K9" s="26"/>
      <c r="L9" s="26"/>
      <c r="M9" s="26"/>
      <c r="N9" s="26"/>
      <c r="P9" s="26"/>
      <c r="Q9" s="26"/>
      <c r="R9" s="26"/>
      <c r="S9" s="26"/>
      <c r="U9" s="26"/>
      <c r="V9" s="26"/>
      <c r="W9" s="26"/>
      <c r="X9" s="26"/>
      <c r="Y9" s="26"/>
      <c r="Z9" s="26"/>
      <c r="AA9" s="26"/>
      <c r="AB9" s="26"/>
      <c r="AC9" s="71"/>
      <c r="AE9" s="26"/>
      <c r="AF9" s="26"/>
      <c r="AG9" s="26"/>
      <c r="AH9" s="26"/>
      <c r="AI9" s="26"/>
      <c r="AJ9" s="26"/>
      <c r="AK9" s="26"/>
      <c r="AL9" s="26"/>
      <c r="AM9" s="26"/>
      <c r="AN9" s="26"/>
      <c r="AO9" s="26"/>
      <c r="AP9" s="26"/>
      <c r="AQ9" s="26"/>
      <c r="AR9" s="26"/>
      <c r="AS9" s="26"/>
      <c r="AT9" s="26"/>
      <c r="AU9" s="26"/>
    </row>
    <row r="10" spans="2:47" x14ac:dyDescent="0.25">
      <c r="B10" s="17" t="s">
        <v>61</v>
      </c>
      <c r="C10" s="18" t="s">
        <v>62</v>
      </c>
      <c r="D10" s="19">
        <f>COUNTA(C4:F9)</f>
        <v>3</v>
      </c>
      <c r="E10" s="19" t="s">
        <v>63</v>
      </c>
      <c r="F10" s="19">
        <f>COUNTIF(G6:G9,"X")</f>
        <v>2</v>
      </c>
      <c r="G10" s="20" t="str">
        <f>IF(ISBLANK(G4),"",IF((COUNTIF(G4:G9,"x"))/(COUNTIF(G4:G8,"x")+COUNTIF(G4:G8,"a")+COUNTIF(G4:G8,"t"))=1,_xlfn.UNICHAR(10003),(COUNTIF(G4:G9,"x"))/(COUNTIF(G4:G8,"x")+COUNTIF(G4:G8,"a")+COUNTIF(G4:G8,"t"))))</f>
        <v>✓</v>
      </c>
      <c r="H10" s="20" t="str">
        <f>IF(ISBLANK(H4),"",IF((COUNTIF(H4:H9,"X"))/(COUNTIF(H4:H8,"x")+COUNTIF(H4:H8,"a")+COUNTIF(H4:H8,"t"))=1,_xlfn.UNICHAR(10003),(COUNTIF(H4:H9,"X"))/(COUNTIF(H4:H8,"x")+COUNTIF(H4:H8,"a")+COUNTIF(H4:H8,"t"))))</f>
        <v>✓</v>
      </c>
      <c r="I10" s="20" t="str">
        <f t="shared" ref="I10:AF10" si="0">IF(ISBLANK(I4),"",IF((COUNTIF(I4:I9,"X"))/(COUNTIF(I4:I8,"x")+COUNTIF(I4:I8,"a")+COUNTIF(I4:I8,"t"))=1,_xlfn.UNICHAR(10003),(COUNTIF(I4:I9,"X"))/(COUNTIF(I4:I8,"x")+COUNTIF(I4:I8,"a")+COUNTIF(I4:I8,"t"))))</f>
        <v>✓</v>
      </c>
      <c r="J10" s="20" t="str">
        <f t="shared" si="0"/>
        <v>✓</v>
      </c>
      <c r="K10" s="20" t="str">
        <f t="shared" si="0"/>
        <v>✓</v>
      </c>
      <c r="L10" s="20" t="str">
        <f t="shared" si="0"/>
        <v>✓</v>
      </c>
      <c r="M10" s="20" t="str">
        <f t="shared" ref="M10:N10" si="1">IF(ISBLANK(M4),"",IF((COUNTIF(M4:M9,"X"))/$D10=1,_xlfn.UNICHAR(10003),(COUNTIF(M4:M9,"X"))/$D10))</f>
        <v>✓</v>
      </c>
      <c r="N10" s="20" t="str">
        <f t="shared" si="1"/>
        <v>✓</v>
      </c>
      <c r="P10" s="20" t="str">
        <f t="shared" si="0"/>
        <v>✓</v>
      </c>
      <c r="Q10" s="20" t="str">
        <f t="shared" ref="Q10" si="2">IF(ISBLANK(Q4),"",IF((COUNTIF(Q4:Q9,"X"))/$D10=1,_xlfn.UNICHAR(10003),(COUNTIF(Q4:Q9,"X"))/$D10))</f>
        <v>✓</v>
      </c>
      <c r="R10" s="20" t="str">
        <f t="shared" ref="R10:S10" si="3">IF(ISBLANK(R4),"",IF((COUNTIF(R4:R9,"X"))/$D10=1,_xlfn.UNICHAR(10003),(COUNTIF(R4:R9,"X"))/$D10))</f>
        <v>✓</v>
      </c>
      <c r="S10" s="20">
        <f t="shared" si="3"/>
        <v>0</v>
      </c>
      <c r="U10" s="20" t="str">
        <f t="shared" ref="U10:V10" si="4">IF(ISBLANK(U4),"",IF((COUNTIF(U4:U9,"X"))/$D10=1,_xlfn.UNICHAR(10003),(COUNTIF(U4:U9,"X"))/$D10))</f>
        <v>✓</v>
      </c>
      <c r="V10" s="20" t="str">
        <f t="shared" si="4"/>
        <v>✓</v>
      </c>
      <c r="W10" s="20" t="str">
        <f>IF(ISBLANK(W4),"",IF((COUNTIF(W4:W9,"X"))/$D10=1,_xlfn.UNICHAR(10003),(COUNTIF(W4:W9,"X"))/$D10))</f>
        <v>✓</v>
      </c>
      <c r="X10" s="20" t="str">
        <f>IF(ISBLANK(X4),"",IF((COUNTIF(X4:X9,"X"))/(COUNTIF(X4:X8,"x")+COUNTIF(X4:X8,"a")+COUNTIF(X4:X8,"t"))=1,_xlfn.UNICHAR(10003),(COUNTIF(X4:X9,"X"))/(COUNTIF(X4:X8,"x")+COUNTIF(X4:X8,"a")+COUNTIF(X4:X8,"t"))))</f>
        <v>✓</v>
      </c>
      <c r="Y10" s="20">
        <f t="shared" ref="Y10:AA10" si="5">IF(ISBLANK(Y4),"",IF((COUNTIF(Y4:Y9,"X"))/$D10=1,_xlfn.UNICHAR(10003),(COUNTIF(Y4:Y9,"X"))/$D10))</f>
        <v>0</v>
      </c>
      <c r="Z10" s="20" t="str">
        <f t="shared" si="5"/>
        <v>✓</v>
      </c>
      <c r="AA10" s="20" t="str">
        <f t="shared" si="5"/>
        <v>✓</v>
      </c>
      <c r="AB10" s="20" t="str">
        <f>IF(ISBLANK(AB4),"",IF((COUNTIF(AB4:AB9,"X"))/(COUNTIF(AB4:AB8,"x")+COUNTIF(AB4:AB8,"a")+COUNTIF(AB4:AB8,"t"))=1,_xlfn.UNICHAR(10003),(COUNTIF(AB4:AB9,"X"))/(COUNTIF(AB4:AB8,"x")+COUNTIF(AB4:AB8,"a")+COUNTIF(AB4:AB8,"t"))))</f>
        <v>✓</v>
      </c>
      <c r="AC10" s="73"/>
      <c r="AE10" s="20" t="str">
        <f t="shared" si="0"/>
        <v>✓</v>
      </c>
      <c r="AF10" s="20" t="str">
        <f t="shared" si="0"/>
        <v>✓</v>
      </c>
      <c r="AG10" s="20" t="str">
        <f t="shared" ref="AG10:AI10" si="6">IF(ISBLANK(AG4),"",IF((COUNTIF(AG4:AG9,"X"))/$D10=1,_xlfn.UNICHAR(10003),(COUNTIF(AG4:AG9,"X"))/$D10))</f>
        <v>✓</v>
      </c>
      <c r="AH10" s="20">
        <f t="shared" si="6"/>
        <v>0.66666666666666663</v>
      </c>
      <c r="AI10" s="20">
        <f t="shared" si="6"/>
        <v>0.66666666666666663</v>
      </c>
      <c r="AJ10" s="20">
        <f t="shared" ref="AJ10" si="7">IF(ISBLANK(AJ4),"",IF((COUNTIF(AJ4:AJ9,"X"))/$D10=1,_xlfn.UNICHAR(10003),(COUNTIF(AJ4:AJ9,"X"))/$D10))</f>
        <v>0</v>
      </c>
      <c r="AK10" s="20">
        <f t="shared" ref="AK10:AL10" si="8">IF(ISBLANK(AK4),"",IF((COUNTIF(AK4:AK9,"X"))/$D10=1,_xlfn.UNICHAR(10003),(COUNTIF(AK4:AK9,"X"))/$D10))</f>
        <v>0</v>
      </c>
      <c r="AL10" s="20">
        <f t="shared" si="8"/>
        <v>0</v>
      </c>
      <c r="AM10" s="20"/>
      <c r="AN10" s="20"/>
      <c r="AO10" s="20"/>
      <c r="AP10" s="20" t="str">
        <f t="shared" ref="AP10:AR10" si="9">IF(ISBLANK(AP4),"",IF((COUNTIF(AP4:AP9,"X"))/$D10=1,_xlfn.UNICHAR(10003),(COUNTIF(AP4:AP9,"X"))/$D10))</f>
        <v/>
      </c>
      <c r="AQ10" s="20">
        <f t="shared" ref="AQ10" si="10">IF(ISBLANK(AQ4),"",IF((COUNTIF(AQ4:AQ9,"X"))/$D10=1,_xlfn.UNICHAR(10003),(COUNTIF(AQ4:AQ9,"X"))/$D10))</f>
        <v>0</v>
      </c>
      <c r="AR10" s="20">
        <f t="shared" si="9"/>
        <v>0</v>
      </c>
      <c r="AS10" s="20">
        <f t="shared" ref="AS10:AT10" si="11">IF(ISBLANK(AS4),"",IF((COUNTIF(AS4:AS9,"X"))/$D10=1,_xlfn.UNICHAR(10003),(COUNTIF(AS4:AS9,"X"))/$D10))</f>
        <v>0</v>
      </c>
      <c r="AT10" s="20">
        <f t="shared" si="11"/>
        <v>0</v>
      </c>
      <c r="AU10" s="20">
        <f t="shared" ref="AU10" si="12">IF(ISBLANK(AU4),"",IF((COUNTIF(AU4:AU9,"X"))/$D10=1,_xlfn.UNICHAR(10003),(COUNTIF(AU4:AU9,"X"))/$D10))</f>
        <v>0</v>
      </c>
    </row>
    <row r="11" spans="2:47" x14ac:dyDescent="0.25">
      <c r="B11" s="95" t="s">
        <v>56</v>
      </c>
      <c r="C11" s="126" t="s">
        <v>55</v>
      </c>
      <c r="D11" s="127"/>
      <c r="E11" s="127"/>
      <c r="F11" s="128"/>
      <c r="G11" s="13" t="s">
        <v>17</v>
      </c>
      <c r="H11" s="13" t="s">
        <v>17</v>
      </c>
      <c r="I11" s="13" t="s">
        <v>17</v>
      </c>
      <c r="J11" s="13" t="s">
        <v>17</v>
      </c>
      <c r="K11" s="13" t="s">
        <v>17</v>
      </c>
      <c r="L11" s="13" t="s">
        <v>17</v>
      </c>
      <c r="M11" s="13" t="s">
        <v>17</v>
      </c>
      <c r="N11" s="13" t="s">
        <v>17</v>
      </c>
      <c r="P11" s="13" t="s">
        <v>17</v>
      </c>
      <c r="Q11" s="13"/>
      <c r="R11" s="13" t="s">
        <v>17</v>
      </c>
      <c r="S11" s="13"/>
      <c r="U11" s="13" t="s">
        <v>17</v>
      </c>
      <c r="V11" s="13" t="s">
        <v>17</v>
      </c>
      <c r="W11" s="13" t="s">
        <v>17</v>
      </c>
      <c r="X11" s="13" t="s">
        <v>17</v>
      </c>
      <c r="Y11" s="13" t="s">
        <v>139</v>
      </c>
      <c r="Z11" s="13" t="s">
        <v>17</v>
      </c>
      <c r="AA11" s="13" t="s">
        <v>17</v>
      </c>
      <c r="AB11" s="13" t="s">
        <v>17</v>
      </c>
      <c r="AC11" s="72"/>
      <c r="AE11" s="13" t="s">
        <v>17</v>
      </c>
      <c r="AF11" s="13" t="s">
        <v>17</v>
      </c>
      <c r="AG11" s="13" t="s">
        <v>17</v>
      </c>
      <c r="AH11" s="13"/>
      <c r="AI11" s="13" t="s">
        <v>18</v>
      </c>
      <c r="AJ11" s="13" t="s">
        <v>139</v>
      </c>
      <c r="AK11" s="13"/>
      <c r="AL11" s="13"/>
      <c r="AM11" s="13"/>
      <c r="AN11" s="13"/>
      <c r="AO11" s="13"/>
      <c r="AP11" s="13"/>
      <c r="AQ11" s="13"/>
      <c r="AR11" s="13" t="s">
        <v>139</v>
      </c>
      <c r="AS11" s="13" t="s">
        <v>139</v>
      </c>
      <c r="AT11" s="13" t="s">
        <v>139</v>
      </c>
      <c r="AU11" s="13" t="s">
        <v>139</v>
      </c>
    </row>
    <row r="12" spans="2:47" ht="15.75" hidden="1" customHeight="1" x14ac:dyDescent="0.3">
      <c r="B12" s="96"/>
      <c r="C12" s="129"/>
      <c r="D12" s="130"/>
      <c r="E12" s="130"/>
      <c r="F12" s="131"/>
      <c r="G12" s="27"/>
      <c r="H12" s="27"/>
      <c r="I12" s="27"/>
      <c r="J12" s="27"/>
      <c r="K12" s="27"/>
      <c r="L12" s="27"/>
      <c r="M12" s="27"/>
      <c r="N12" s="27"/>
      <c r="P12" s="27"/>
      <c r="Q12" s="27"/>
      <c r="R12" s="27"/>
      <c r="S12" s="27"/>
      <c r="U12" s="27"/>
      <c r="V12" s="27"/>
      <c r="W12" s="27"/>
      <c r="X12" s="27"/>
      <c r="Y12" s="27"/>
      <c r="Z12" s="27"/>
      <c r="AA12" s="27"/>
      <c r="AB12" s="27">
        <v>45595</v>
      </c>
      <c r="AC12" s="74"/>
      <c r="AE12" s="27"/>
      <c r="AF12" s="27"/>
      <c r="AG12" s="27"/>
      <c r="AH12" s="27"/>
      <c r="AI12" s="27"/>
      <c r="AJ12" s="27"/>
      <c r="AK12" s="27"/>
      <c r="AL12" s="27"/>
      <c r="AM12" s="27"/>
      <c r="AN12" s="27"/>
      <c r="AO12" s="27"/>
      <c r="AP12" s="27"/>
      <c r="AQ12" s="27"/>
      <c r="AR12" s="27"/>
      <c r="AS12" s="27"/>
      <c r="AT12" s="27"/>
      <c r="AU12" s="27"/>
    </row>
    <row r="13" spans="2:47" x14ac:dyDescent="0.25">
      <c r="B13" s="96"/>
      <c r="C13" s="126" t="s">
        <v>67</v>
      </c>
      <c r="D13" s="127"/>
      <c r="E13" s="127"/>
      <c r="F13" s="128"/>
      <c r="G13" s="13" t="s">
        <v>17</v>
      </c>
      <c r="H13" s="13" t="s">
        <v>17</v>
      </c>
      <c r="I13" s="13" t="s">
        <v>17</v>
      </c>
      <c r="J13" s="13" t="s">
        <v>139</v>
      </c>
      <c r="K13" s="13" t="s">
        <v>17</v>
      </c>
      <c r="L13" s="13" t="s">
        <v>139</v>
      </c>
      <c r="M13" s="13" t="s">
        <v>139</v>
      </c>
      <c r="N13" s="13" t="s">
        <v>139</v>
      </c>
      <c r="P13" s="13" t="s">
        <v>139</v>
      </c>
      <c r="Q13" s="13"/>
      <c r="R13" s="13"/>
      <c r="S13" s="13"/>
      <c r="U13" s="13" t="s">
        <v>139</v>
      </c>
      <c r="V13" s="13" t="s">
        <v>139</v>
      </c>
      <c r="W13" s="13" t="s">
        <v>139</v>
      </c>
      <c r="X13" s="13" t="s">
        <v>139</v>
      </c>
      <c r="Y13" s="13" t="s">
        <v>139</v>
      </c>
      <c r="Z13" s="13" t="s">
        <v>139</v>
      </c>
      <c r="AA13" s="13" t="s">
        <v>17</v>
      </c>
      <c r="AB13" s="13" t="s">
        <v>139</v>
      </c>
      <c r="AC13" s="72"/>
      <c r="AE13" s="13" t="s">
        <v>139</v>
      </c>
      <c r="AF13" s="13" t="s">
        <v>17</v>
      </c>
      <c r="AG13" s="13" t="s">
        <v>139</v>
      </c>
      <c r="AH13" s="13"/>
      <c r="AI13" s="13" t="s">
        <v>139</v>
      </c>
      <c r="AJ13" s="13" t="s">
        <v>139</v>
      </c>
      <c r="AK13" s="13"/>
      <c r="AL13" s="13"/>
      <c r="AM13" s="13"/>
      <c r="AN13" s="13"/>
      <c r="AO13" s="13"/>
      <c r="AP13" s="13"/>
      <c r="AQ13" s="13"/>
      <c r="AR13" s="13" t="s">
        <v>139</v>
      </c>
      <c r="AS13" s="13" t="s">
        <v>139</v>
      </c>
      <c r="AT13" s="13" t="s">
        <v>139</v>
      </c>
      <c r="AU13" s="13" t="s">
        <v>139</v>
      </c>
    </row>
    <row r="14" spans="2:47" ht="15.75" hidden="1" customHeight="1" x14ac:dyDescent="0.3">
      <c r="B14" s="96"/>
      <c r="C14" s="129"/>
      <c r="D14" s="130"/>
      <c r="E14" s="130"/>
      <c r="F14" s="131"/>
      <c r="G14" s="27"/>
      <c r="H14" s="27"/>
      <c r="I14" s="27"/>
      <c r="J14" s="27"/>
      <c r="K14" s="27"/>
      <c r="L14" s="27"/>
      <c r="M14" s="27"/>
      <c r="N14" s="27"/>
      <c r="P14" s="27"/>
      <c r="Q14" s="27"/>
      <c r="R14" s="27"/>
      <c r="S14" s="27"/>
      <c r="U14" s="27"/>
      <c r="V14" s="27"/>
      <c r="W14" s="27"/>
      <c r="X14" s="27"/>
      <c r="Y14" s="27"/>
      <c r="Z14" s="27"/>
      <c r="AA14" s="27"/>
      <c r="AB14" s="27"/>
      <c r="AC14" s="74"/>
      <c r="AE14" s="27"/>
      <c r="AF14" s="27"/>
      <c r="AG14" s="27"/>
      <c r="AH14" s="27"/>
      <c r="AI14" s="27"/>
      <c r="AJ14" s="27"/>
      <c r="AK14" s="27"/>
      <c r="AL14" s="27"/>
      <c r="AM14" s="27"/>
      <c r="AN14" s="27"/>
      <c r="AO14" s="27"/>
      <c r="AP14" s="27"/>
      <c r="AQ14" s="27"/>
      <c r="AR14" s="27"/>
      <c r="AS14" s="27"/>
      <c r="AT14" s="27"/>
      <c r="AU14" s="27"/>
    </row>
    <row r="15" spans="2:47" ht="15.75" customHeight="1" x14ac:dyDescent="0.25">
      <c r="B15" s="17" t="s">
        <v>61</v>
      </c>
      <c r="C15" s="18" t="s">
        <v>62</v>
      </c>
      <c r="D15" s="19">
        <f>COUNTA(C11:F14)</f>
        <v>2</v>
      </c>
      <c r="E15" s="19" t="s">
        <v>63</v>
      </c>
      <c r="F15" s="19">
        <f>COUNTIF(G11:G14,"X")</f>
        <v>2</v>
      </c>
      <c r="G15" s="20" t="str">
        <f>IF(ISBLANK(G11),"",IF((COUNTIF(G11:G14,"X"))/(COUNTIF(G11:G13,"x")+COUNTIF(G11:G13,"a")+COUNTIF(G11:G13,"t"))=1,_xlfn.UNICHAR(10003),(COUNTIF(G11:G14,"X"))/(COUNTIF(G11:G13,"x")+COUNTIF(G11:G13,"a")+COUNTIF(G11:G13,"t"))))</f>
        <v>✓</v>
      </c>
      <c r="H15" s="20" t="str">
        <f t="shared" ref="H15:AF15" si="13">IF(ISBLANK(H11),"",IF((COUNTIF(H11:H14,"X"))/(COUNTIF(H11:H13,"x")+COUNTIF(H11:H13,"a")+COUNTIF(H11:H13,"t"))=1,_xlfn.UNICHAR(10003),(COUNTIF(H11:H14,"X"))/(COUNTIF(H11:H13,"x")+COUNTIF(H11:H13,"a")+COUNTIF(H11:H13,"t"))))</f>
        <v>✓</v>
      </c>
      <c r="I15" s="20" t="str">
        <f t="shared" si="13"/>
        <v>✓</v>
      </c>
      <c r="J15" s="20">
        <f t="shared" si="13"/>
        <v>0.5</v>
      </c>
      <c r="K15" s="20" t="str">
        <f t="shared" si="13"/>
        <v>✓</v>
      </c>
      <c r="L15" s="20">
        <f t="shared" si="13"/>
        <v>0.5</v>
      </c>
      <c r="M15" s="20">
        <f t="shared" ref="M15:N15" si="14">IF(ISBLANK(M11),"",IF((COUNTIF(M11:M14,"X"))/$D15=1,_xlfn.UNICHAR(10003),(COUNTIF(M11:M14,"X"))/$D15))</f>
        <v>0.5</v>
      </c>
      <c r="N15" s="20">
        <f t="shared" si="14"/>
        <v>0.5</v>
      </c>
      <c r="P15" s="20">
        <f t="shared" si="13"/>
        <v>0.5</v>
      </c>
      <c r="Q15" s="20" t="str">
        <f t="shared" ref="Q15" si="15">IF(ISBLANK(Q11),"",IF((COUNTIF(Q11:Q14,"X"))/$D15=1,_xlfn.UNICHAR(10003),(COUNTIF(Q11:Q14,"X"))/$D15))</f>
        <v/>
      </c>
      <c r="R15" s="20">
        <f t="shared" ref="R15:S15" si="16">IF(ISBLANK(R11),"",IF((COUNTIF(R11:R14,"X"))/$D15=1,_xlfn.UNICHAR(10003),(COUNTIF(R11:R14,"X"))/$D15))</f>
        <v>0.5</v>
      </c>
      <c r="S15" s="20" t="str">
        <f t="shared" si="16"/>
        <v/>
      </c>
      <c r="U15" s="20">
        <f t="shared" ref="U15:V15" si="17">IF(ISBLANK(U11),"",IF((COUNTIF(U11:U14,"X"))/$D15=1,_xlfn.UNICHAR(10003),(COUNTIF(U11:U14,"X"))/$D15))</f>
        <v>0.5</v>
      </c>
      <c r="V15" s="20">
        <f t="shared" si="17"/>
        <v>0.5</v>
      </c>
      <c r="W15" s="20">
        <f>IF(ISBLANK(W11),"",IF((COUNTIF(W11:W14,"X"))/$D15=1,_xlfn.UNICHAR(10003),(COUNTIF(W11:W14,"X"))/$D15))</f>
        <v>0.5</v>
      </c>
      <c r="X15" s="20">
        <f>IF(ISBLANK(X11),"",IF((COUNTIF(X11:X14,"X"))/(COUNTIF(X11:X13,"x")+COUNTIF(X11:X13,"a")+COUNTIF(X11:X13,"t"))=1,_xlfn.UNICHAR(10003),(COUNTIF(X11:X14,"X"))/(COUNTIF(X11:X13,"x")+COUNTIF(X11:X13,"a")+COUNTIF(X11:X13,"t"))))</f>
        <v>0.5</v>
      </c>
      <c r="Y15" s="20">
        <f t="shared" ref="Y15:AA15" si="18">IF(ISBLANK(Y11),"",IF((COUNTIF(Y11:Y14,"X"))/$D15=1,_xlfn.UNICHAR(10003),(COUNTIF(Y11:Y14,"X"))/$D15))</f>
        <v>0</v>
      </c>
      <c r="Z15" s="20">
        <f t="shared" si="18"/>
        <v>0.5</v>
      </c>
      <c r="AA15" s="20" t="str">
        <f t="shared" si="18"/>
        <v>✓</v>
      </c>
      <c r="AB15" s="20">
        <f>IF(ISBLANK(AB11),"",IF((COUNTIF(AB11:AB14,"X"))/(COUNTIF(AB11:AB13,"x")+COUNTIF(AB11:AB13,"a")+COUNTIF(AB11:AB13,"t"))=1,_xlfn.UNICHAR(10003),(COUNTIF(AB11:AB14,"X"))/(COUNTIF(AB11:AB13,"x")+COUNTIF(AB11:AB13,"a")+COUNTIF(AB11:AB13,"t"))))</f>
        <v>0.5</v>
      </c>
      <c r="AC15" s="73"/>
      <c r="AE15" s="20">
        <f t="shared" si="13"/>
        <v>0.5</v>
      </c>
      <c r="AF15" s="20" t="str">
        <f t="shared" si="13"/>
        <v>✓</v>
      </c>
      <c r="AG15" s="20">
        <f t="shared" ref="AG15:AI15" si="19">IF(ISBLANK(AG11),"",IF((COUNTIF(AG11:AG14,"X"))/$D15=1,_xlfn.UNICHAR(10003),(COUNTIF(AG11:AG14,"X"))/$D15))</f>
        <v>0.5</v>
      </c>
      <c r="AH15" s="20" t="str">
        <f t="shared" si="19"/>
        <v/>
      </c>
      <c r="AI15" s="20">
        <f t="shared" si="19"/>
        <v>0</v>
      </c>
      <c r="AJ15" s="20">
        <f t="shared" ref="AJ15" si="20">IF(ISBLANK(AJ11),"",IF((COUNTIF(AJ11:AJ14,"X"))/$D15=1,_xlfn.UNICHAR(10003),(COUNTIF(AJ11:AJ14,"X"))/$D15))</f>
        <v>0</v>
      </c>
      <c r="AK15" s="20" t="str">
        <f t="shared" ref="AK15:AL15" si="21">IF(ISBLANK(AK11),"",IF((COUNTIF(AK11:AK14,"X"))/$D15=1,_xlfn.UNICHAR(10003),(COUNTIF(AK11:AK14,"X"))/$D15))</f>
        <v/>
      </c>
      <c r="AL15" s="20" t="str">
        <f t="shared" si="21"/>
        <v/>
      </c>
      <c r="AM15" s="20"/>
      <c r="AN15" s="20"/>
      <c r="AO15" s="20"/>
      <c r="AP15" s="20" t="str">
        <f t="shared" ref="AP15:AR15" si="22">IF(ISBLANK(AP11),"",IF((COUNTIF(AP11:AP14,"X"))/$D15=1,_xlfn.UNICHAR(10003),(COUNTIF(AP11:AP14,"X"))/$D15))</f>
        <v/>
      </c>
      <c r="AQ15" s="20" t="str">
        <f t="shared" ref="AQ15" si="23">IF(ISBLANK(AQ11),"",IF((COUNTIF(AQ11:AQ14,"X"))/$D15=1,_xlfn.UNICHAR(10003),(COUNTIF(AQ11:AQ14,"X"))/$D15))</f>
        <v/>
      </c>
      <c r="AR15" s="20">
        <f t="shared" si="22"/>
        <v>0</v>
      </c>
      <c r="AS15" s="20">
        <f t="shared" ref="AS15:AT15" si="24">IF(ISBLANK(AS11),"",IF((COUNTIF(AS11:AS14,"X"))/$D15=1,_xlfn.UNICHAR(10003),(COUNTIF(AS11:AS14,"X"))/$D15))</f>
        <v>0</v>
      </c>
      <c r="AT15" s="20">
        <f t="shared" si="24"/>
        <v>0</v>
      </c>
      <c r="AU15" s="20">
        <f t="shared" ref="AU15" si="25">IF(ISBLANK(AU11),"",IF((COUNTIF(AU11:AU14,"X"))/$D15=1,_xlfn.UNICHAR(10003),(COUNTIF(AU11:AU14,"X"))/$D15))</f>
        <v>0</v>
      </c>
    </row>
    <row r="16" spans="2:47" x14ac:dyDescent="0.25">
      <c r="B16" s="165" t="s">
        <v>37</v>
      </c>
      <c r="C16" s="86" t="s">
        <v>22</v>
      </c>
      <c r="D16" s="87"/>
      <c r="E16" s="87"/>
      <c r="F16" s="88"/>
      <c r="G16" s="13" t="s">
        <v>17</v>
      </c>
      <c r="H16" s="13" t="s">
        <v>17</v>
      </c>
      <c r="I16" s="13" t="s">
        <v>17</v>
      </c>
      <c r="J16" s="13" t="s">
        <v>17</v>
      </c>
      <c r="K16" s="13" t="s">
        <v>17</v>
      </c>
      <c r="L16" s="13" t="s">
        <v>17</v>
      </c>
      <c r="M16" s="13" t="s">
        <v>17</v>
      </c>
      <c r="N16" s="13" t="s">
        <v>17</v>
      </c>
      <c r="P16" s="13" t="s">
        <v>17</v>
      </c>
      <c r="Q16" s="13" t="s">
        <v>17</v>
      </c>
      <c r="R16" s="13" t="s">
        <v>17</v>
      </c>
      <c r="S16" s="13" t="s">
        <v>139</v>
      </c>
      <c r="U16" s="13" t="s">
        <v>17</v>
      </c>
      <c r="V16" s="13" t="s">
        <v>17</v>
      </c>
      <c r="W16" s="13" t="s">
        <v>17</v>
      </c>
      <c r="X16" s="13" t="s">
        <v>17</v>
      </c>
      <c r="Y16" s="13" t="s">
        <v>17</v>
      </c>
      <c r="Z16" s="13" t="s">
        <v>17</v>
      </c>
      <c r="AA16" s="13" t="s">
        <v>17</v>
      </c>
      <c r="AB16" s="13" t="s">
        <v>17</v>
      </c>
      <c r="AC16" s="72"/>
      <c r="AE16" s="13" t="s">
        <v>17</v>
      </c>
      <c r="AF16" s="13" t="s">
        <v>17</v>
      </c>
      <c r="AG16" s="13" t="s">
        <v>17</v>
      </c>
      <c r="AH16" s="13" t="s">
        <v>139</v>
      </c>
      <c r="AI16" s="13" t="s">
        <v>18</v>
      </c>
      <c r="AJ16" s="13" t="s">
        <v>139</v>
      </c>
      <c r="AK16" s="13" t="s">
        <v>139</v>
      </c>
      <c r="AL16" s="13" t="s">
        <v>139</v>
      </c>
      <c r="AM16" s="13"/>
      <c r="AN16" s="13"/>
      <c r="AO16" s="13"/>
      <c r="AP16" s="13"/>
      <c r="AQ16" s="13" t="s">
        <v>139</v>
      </c>
      <c r="AR16" s="13" t="s">
        <v>139</v>
      </c>
      <c r="AS16" s="13" t="s">
        <v>139</v>
      </c>
      <c r="AT16" s="13" t="s">
        <v>139</v>
      </c>
      <c r="AU16" s="13" t="s">
        <v>139</v>
      </c>
    </row>
    <row r="17" spans="2:47" ht="15.75" hidden="1" customHeight="1" x14ac:dyDescent="0.3">
      <c r="B17" s="166"/>
      <c r="C17" s="89"/>
      <c r="D17" s="90"/>
      <c r="E17" s="90"/>
      <c r="F17" s="91"/>
      <c r="G17" s="27"/>
      <c r="H17" s="27"/>
      <c r="I17" s="27"/>
      <c r="J17" s="27"/>
      <c r="K17" s="27">
        <v>43252</v>
      </c>
      <c r="L17" s="27"/>
      <c r="M17" s="27">
        <v>46023</v>
      </c>
      <c r="N17" s="27"/>
      <c r="P17" s="27"/>
      <c r="Q17" s="27"/>
      <c r="R17" s="27"/>
      <c r="S17" s="27"/>
      <c r="U17" s="27"/>
      <c r="V17" s="27"/>
      <c r="W17" s="27"/>
      <c r="X17" s="27"/>
      <c r="Y17" s="27">
        <v>45231</v>
      </c>
      <c r="Z17" s="27">
        <v>45901</v>
      </c>
      <c r="AA17" s="27"/>
      <c r="AB17" s="27"/>
      <c r="AC17" s="74"/>
      <c r="AE17" s="27"/>
      <c r="AF17" s="27"/>
      <c r="AG17" s="27"/>
      <c r="AH17" s="27"/>
      <c r="AI17" s="27"/>
      <c r="AJ17" s="27"/>
      <c r="AK17" s="27"/>
      <c r="AL17" s="13"/>
      <c r="AM17" s="27"/>
      <c r="AN17" s="27"/>
      <c r="AO17" s="27"/>
      <c r="AP17" s="27"/>
      <c r="AQ17" s="27"/>
      <c r="AR17" s="27"/>
      <c r="AS17" s="27"/>
      <c r="AT17" s="27"/>
      <c r="AU17" s="27"/>
    </row>
    <row r="18" spans="2:47" x14ac:dyDescent="0.25">
      <c r="B18" s="166"/>
      <c r="C18" s="86" t="s">
        <v>42</v>
      </c>
      <c r="D18" s="144"/>
      <c r="E18" s="144"/>
      <c r="F18" s="145"/>
      <c r="G18" s="13" t="s">
        <v>17</v>
      </c>
      <c r="H18" s="13" t="s">
        <v>17</v>
      </c>
      <c r="I18" s="13" t="s">
        <v>17</v>
      </c>
      <c r="J18" s="13" t="s">
        <v>17</v>
      </c>
      <c r="K18" s="13" t="s">
        <v>17</v>
      </c>
      <c r="L18" s="13" t="s">
        <v>17</v>
      </c>
      <c r="M18" s="13" t="s">
        <v>17</v>
      </c>
      <c r="N18" s="13" t="s">
        <v>17</v>
      </c>
      <c r="P18" s="13" t="s">
        <v>17</v>
      </c>
      <c r="Q18" s="13" t="s">
        <v>17</v>
      </c>
      <c r="R18" s="13" t="s">
        <v>17</v>
      </c>
      <c r="S18" s="13" t="s">
        <v>139</v>
      </c>
      <c r="U18" s="13" t="s">
        <v>17</v>
      </c>
      <c r="V18" s="13" t="s">
        <v>17</v>
      </c>
      <c r="W18" s="13" t="s">
        <v>17</v>
      </c>
      <c r="X18" s="13" t="s">
        <v>17</v>
      </c>
      <c r="Y18" s="13" t="s">
        <v>17</v>
      </c>
      <c r="Z18" s="13" t="s">
        <v>17</v>
      </c>
      <c r="AA18" s="13" t="s">
        <v>17</v>
      </c>
      <c r="AB18" s="13" t="s">
        <v>17</v>
      </c>
      <c r="AC18" s="72"/>
      <c r="AE18" s="13" t="s">
        <v>17</v>
      </c>
      <c r="AF18" s="13" t="s">
        <v>17</v>
      </c>
      <c r="AG18" s="13" t="s">
        <v>17</v>
      </c>
      <c r="AH18" s="13" t="s">
        <v>139</v>
      </c>
      <c r="AI18" s="13" t="s">
        <v>139</v>
      </c>
      <c r="AJ18" s="13" t="s">
        <v>139</v>
      </c>
      <c r="AK18" s="13"/>
      <c r="AL18" s="13"/>
      <c r="AM18" s="13"/>
      <c r="AN18" s="13"/>
      <c r="AO18" s="13"/>
      <c r="AP18" s="13"/>
      <c r="AQ18" s="13" t="s">
        <v>139</v>
      </c>
      <c r="AR18" s="13" t="s">
        <v>139</v>
      </c>
      <c r="AS18" s="13" t="s">
        <v>139</v>
      </c>
      <c r="AT18" s="13" t="s">
        <v>139</v>
      </c>
      <c r="AU18" s="13" t="s">
        <v>139</v>
      </c>
    </row>
    <row r="19" spans="2:47" ht="15.75" hidden="1" customHeight="1" x14ac:dyDescent="0.3">
      <c r="B19" s="166"/>
      <c r="C19" s="146"/>
      <c r="D19" s="147"/>
      <c r="E19" s="147"/>
      <c r="F19" s="148"/>
      <c r="G19" s="27"/>
      <c r="H19" s="27"/>
      <c r="I19" s="27"/>
      <c r="J19" s="27"/>
      <c r="K19" s="27">
        <v>43252</v>
      </c>
      <c r="L19" s="27"/>
      <c r="M19" s="27">
        <v>46023</v>
      </c>
      <c r="N19" s="27"/>
      <c r="P19" s="27"/>
      <c r="Q19" s="27"/>
      <c r="R19" s="27"/>
      <c r="S19" s="27"/>
      <c r="U19" s="27"/>
      <c r="V19" s="27"/>
      <c r="W19" s="27"/>
      <c r="X19" s="27"/>
      <c r="Y19" s="27">
        <v>45231</v>
      </c>
      <c r="Z19" s="27">
        <v>45901</v>
      </c>
      <c r="AA19" s="27"/>
      <c r="AB19" s="27"/>
      <c r="AC19" s="74"/>
      <c r="AE19" s="27"/>
      <c r="AF19" s="27"/>
      <c r="AG19" s="27"/>
      <c r="AH19" s="27"/>
      <c r="AI19" s="27"/>
      <c r="AJ19" s="27"/>
      <c r="AK19" s="27"/>
      <c r="AL19" s="13"/>
      <c r="AM19" s="27"/>
      <c r="AN19" s="27"/>
      <c r="AO19" s="27"/>
      <c r="AP19" s="27"/>
      <c r="AQ19" s="27"/>
      <c r="AR19" s="27"/>
      <c r="AS19" s="27"/>
      <c r="AT19" s="27"/>
      <c r="AU19" s="27"/>
    </row>
    <row r="20" spans="2:47" x14ac:dyDescent="0.25">
      <c r="B20" s="166"/>
      <c r="C20" s="86" t="s">
        <v>43</v>
      </c>
      <c r="D20" s="144"/>
      <c r="E20" s="144"/>
      <c r="F20" s="145"/>
      <c r="G20" s="13" t="s">
        <v>17</v>
      </c>
      <c r="H20" s="13" t="s">
        <v>17</v>
      </c>
      <c r="I20" s="13" t="s">
        <v>17</v>
      </c>
      <c r="J20" s="13" t="s">
        <v>17</v>
      </c>
      <c r="K20" s="13" t="s">
        <v>17</v>
      </c>
      <c r="L20" s="13" t="s">
        <v>17</v>
      </c>
      <c r="M20" s="13" t="s">
        <v>17</v>
      </c>
      <c r="N20" s="13" t="s">
        <v>17</v>
      </c>
      <c r="P20" s="13" t="s">
        <v>17</v>
      </c>
      <c r="Q20" s="13" t="s">
        <v>17</v>
      </c>
      <c r="R20" s="13" t="s">
        <v>17</v>
      </c>
      <c r="S20" s="13" t="s">
        <v>139</v>
      </c>
      <c r="U20" s="13" t="s">
        <v>17</v>
      </c>
      <c r="V20" s="13" t="s">
        <v>17</v>
      </c>
      <c r="W20" s="13" t="s">
        <v>17</v>
      </c>
      <c r="X20" s="13" t="s">
        <v>17</v>
      </c>
      <c r="Y20" s="13" t="s">
        <v>17</v>
      </c>
      <c r="Z20" s="13" t="s">
        <v>17</v>
      </c>
      <c r="AA20" s="13" t="s">
        <v>17</v>
      </c>
      <c r="AB20" s="13" t="s">
        <v>17</v>
      </c>
      <c r="AC20" s="72"/>
      <c r="AE20" s="13" t="s">
        <v>17</v>
      </c>
      <c r="AF20" s="13" t="s">
        <v>17</v>
      </c>
      <c r="AG20" s="13" t="s">
        <v>17</v>
      </c>
      <c r="AH20" s="13" t="s">
        <v>139</v>
      </c>
      <c r="AI20" s="13" t="s">
        <v>17</v>
      </c>
      <c r="AJ20" s="13" t="s">
        <v>139</v>
      </c>
      <c r="AK20" s="13" t="s">
        <v>139</v>
      </c>
      <c r="AL20" s="13"/>
      <c r="AM20" s="13"/>
      <c r="AN20" s="13"/>
      <c r="AO20" s="13"/>
      <c r="AP20" s="13"/>
      <c r="AQ20" s="13" t="s">
        <v>139</v>
      </c>
      <c r="AR20" s="13" t="s">
        <v>139</v>
      </c>
      <c r="AS20" s="13" t="s">
        <v>139</v>
      </c>
      <c r="AT20" s="13" t="s">
        <v>139</v>
      </c>
      <c r="AU20" s="13" t="s">
        <v>139</v>
      </c>
    </row>
    <row r="21" spans="2:47" ht="15.75" hidden="1" customHeight="1" x14ac:dyDescent="0.3">
      <c r="B21" s="166"/>
      <c r="C21" s="146"/>
      <c r="D21" s="147"/>
      <c r="E21" s="147"/>
      <c r="F21" s="148"/>
      <c r="G21" s="27"/>
      <c r="H21" s="27"/>
      <c r="I21" s="27"/>
      <c r="J21" s="27"/>
      <c r="K21" s="27">
        <v>43252</v>
      </c>
      <c r="L21" s="27"/>
      <c r="M21" s="27">
        <v>46023</v>
      </c>
      <c r="N21" s="27"/>
      <c r="P21" s="27"/>
      <c r="Q21" s="27"/>
      <c r="R21" s="27"/>
      <c r="S21" s="27"/>
      <c r="U21" s="27"/>
      <c r="V21" s="27"/>
      <c r="W21" s="27"/>
      <c r="X21" s="27"/>
      <c r="Y21" s="27">
        <v>45231</v>
      </c>
      <c r="Z21" s="27">
        <v>45901</v>
      </c>
      <c r="AA21" s="27"/>
      <c r="AB21" s="27"/>
      <c r="AC21" s="74"/>
      <c r="AE21" s="27"/>
      <c r="AF21" s="27"/>
      <c r="AG21" s="27"/>
      <c r="AH21" s="27"/>
      <c r="AI21" s="27"/>
      <c r="AJ21" s="27"/>
      <c r="AK21" s="27"/>
      <c r="AL21" s="13"/>
      <c r="AM21" s="27"/>
      <c r="AN21" s="27"/>
      <c r="AO21" s="27"/>
      <c r="AP21" s="27"/>
      <c r="AQ21" s="27"/>
      <c r="AR21" s="27"/>
      <c r="AS21" s="27"/>
      <c r="AT21" s="27"/>
      <c r="AU21" s="27"/>
    </row>
    <row r="22" spans="2:47" x14ac:dyDescent="0.25">
      <c r="B22" s="166"/>
      <c r="C22" s="86" t="s">
        <v>44</v>
      </c>
      <c r="D22" s="144"/>
      <c r="E22" s="144"/>
      <c r="F22" s="145"/>
      <c r="G22" s="13" t="s">
        <v>17</v>
      </c>
      <c r="H22" s="13" t="s">
        <v>17</v>
      </c>
      <c r="I22" s="13" t="s">
        <v>17</v>
      </c>
      <c r="J22" s="13" t="s">
        <v>17</v>
      </c>
      <c r="K22" s="13" t="s">
        <v>17</v>
      </c>
      <c r="L22" s="13" t="s">
        <v>17</v>
      </c>
      <c r="M22" s="13" t="s">
        <v>17</v>
      </c>
      <c r="N22" s="13" t="s">
        <v>17</v>
      </c>
      <c r="P22" s="13" t="s">
        <v>17</v>
      </c>
      <c r="Q22" s="13" t="s">
        <v>17</v>
      </c>
      <c r="R22" s="13" t="s">
        <v>17</v>
      </c>
      <c r="S22" s="13" t="s">
        <v>139</v>
      </c>
      <c r="U22" s="13" t="s">
        <v>17</v>
      </c>
      <c r="V22" s="13" t="s">
        <v>17</v>
      </c>
      <c r="W22" s="13" t="s">
        <v>17</v>
      </c>
      <c r="X22" s="13" t="s">
        <v>17</v>
      </c>
      <c r="Y22" s="13" t="s">
        <v>17</v>
      </c>
      <c r="Z22" s="13" t="s">
        <v>17</v>
      </c>
      <c r="AA22" s="13" t="s">
        <v>17</v>
      </c>
      <c r="AB22" s="13" t="s">
        <v>17</v>
      </c>
      <c r="AC22" s="72"/>
      <c r="AE22" s="13" t="s">
        <v>17</v>
      </c>
      <c r="AF22" s="13" t="s">
        <v>17</v>
      </c>
      <c r="AG22" s="13" t="s">
        <v>17</v>
      </c>
      <c r="AH22" s="13" t="s">
        <v>139</v>
      </c>
      <c r="AI22" s="13" t="s">
        <v>17</v>
      </c>
      <c r="AJ22" s="13" t="s">
        <v>139</v>
      </c>
      <c r="AK22" s="13" t="s">
        <v>139</v>
      </c>
      <c r="AL22" s="13"/>
      <c r="AM22" s="13"/>
      <c r="AN22" s="13"/>
      <c r="AO22" s="13"/>
      <c r="AP22" s="13"/>
      <c r="AQ22" s="13" t="s">
        <v>139</v>
      </c>
      <c r="AR22" s="13" t="s">
        <v>139</v>
      </c>
      <c r="AS22" s="13" t="s">
        <v>139</v>
      </c>
      <c r="AT22" s="13" t="s">
        <v>139</v>
      </c>
      <c r="AU22" s="13" t="s">
        <v>139</v>
      </c>
    </row>
    <row r="23" spans="2:47" ht="15.75" hidden="1" customHeight="1" x14ac:dyDescent="0.3">
      <c r="B23" s="166"/>
      <c r="C23" s="146"/>
      <c r="D23" s="147"/>
      <c r="E23" s="147"/>
      <c r="F23" s="148"/>
      <c r="G23" s="27"/>
      <c r="H23" s="27"/>
      <c r="I23" s="27"/>
      <c r="J23" s="27"/>
      <c r="K23" s="27">
        <v>43252</v>
      </c>
      <c r="L23" s="27"/>
      <c r="M23" s="27">
        <v>46023</v>
      </c>
      <c r="N23" s="27"/>
      <c r="P23" s="27"/>
      <c r="Q23" s="27"/>
      <c r="R23" s="27"/>
      <c r="S23" s="27"/>
      <c r="U23" s="27"/>
      <c r="V23" s="27"/>
      <c r="W23" s="27"/>
      <c r="X23" s="27"/>
      <c r="Y23" s="27">
        <v>45231</v>
      </c>
      <c r="Z23" s="27">
        <v>45901</v>
      </c>
      <c r="AA23" s="27"/>
      <c r="AB23" s="27"/>
      <c r="AC23" s="74"/>
      <c r="AE23" s="27"/>
      <c r="AF23" s="27"/>
      <c r="AG23" s="27"/>
      <c r="AH23" s="27"/>
      <c r="AI23" s="27"/>
      <c r="AJ23" s="27"/>
      <c r="AK23" s="27"/>
      <c r="AL23" s="13"/>
      <c r="AM23" s="27"/>
      <c r="AN23" s="27"/>
      <c r="AO23" s="27"/>
      <c r="AP23" s="27"/>
      <c r="AQ23" s="27"/>
      <c r="AR23" s="27"/>
      <c r="AS23" s="27"/>
      <c r="AT23" s="27"/>
      <c r="AU23" s="27"/>
    </row>
    <row r="24" spans="2:47" x14ac:dyDescent="0.25">
      <c r="B24" s="166"/>
      <c r="C24" s="86" t="s">
        <v>52</v>
      </c>
      <c r="D24" s="144"/>
      <c r="E24" s="144"/>
      <c r="F24" s="145"/>
      <c r="G24" s="13" t="s">
        <v>17</v>
      </c>
      <c r="H24" s="13" t="s">
        <v>17</v>
      </c>
      <c r="I24" s="13" t="s">
        <v>17</v>
      </c>
      <c r="J24" s="13" t="s">
        <v>17</v>
      </c>
      <c r="K24" s="13" t="s">
        <v>17</v>
      </c>
      <c r="L24" s="13" t="s">
        <v>17</v>
      </c>
      <c r="M24" s="13" t="s">
        <v>17</v>
      </c>
      <c r="N24" s="13" t="s">
        <v>17</v>
      </c>
      <c r="P24" s="13" t="s">
        <v>17</v>
      </c>
      <c r="Q24" s="13" t="s">
        <v>17</v>
      </c>
      <c r="R24" s="13" t="s">
        <v>17</v>
      </c>
      <c r="S24" s="13" t="s">
        <v>139</v>
      </c>
      <c r="U24" s="13" t="s">
        <v>17</v>
      </c>
      <c r="V24" s="13" t="s">
        <v>17</v>
      </c>
      <c r="W24" s="13" t="s">
        <v>17</v>
      </c>
      <c r="X24" s="13" t="s">
        <v>17</v>
      </c>
      <c r="Y24" s="13" t="s">
        <v>17</v>
      </c>
      <c r="Z24" s="13" t="s">
        <v>17</v>
      </c>
      <c r="AA24" s="13" t="s">
        <v>17</v>
      </c>
      <c r="AB24" s="13" t="s">
        <v>17</v>
      </c>
      <c r="AC24" s="72"/>
      <c r="AE24" s="13" t="s">
        <v>17</v>
      </c>
      <c r="AF24" s="13" t="s">
        <v>17</v>
      </c>
      <c r="AG24" s="13" t="s">
        <v>17</v>
      </c>
      <c r="AH24" s="13" t="s">
        <v>139</v>
      </c>
      <c r="AI24" s="13" t="s">
        <v>139</v>
      </c>
      <c r="AJ24" s="13" t="s">
        <v>139</v>
      </c>
      <c r="AK24" s="13"/>
      <c r="AL24" s="13"/>
      <c r="AM24" s="13"/>
      <c r="AN24" s="13"/>
      <c r="AO24" s="13"/>
      <c r="AP24" s="13"/>
      <c r="AQ24" s="13" t="s">
        <v>139</v>
      </c>
      <c r="AR24" s="13" t="s">
        <v>139</v>
      </c>
      <c r="AS24" s="13" t="s">
        <v>139</v>
      </c>
      <c r="AT24" s="13" t="s">
        <v>139</v>
      </c>
      <c r="AU24" s="13" t="s">
        <v>139</v>
      </c>
    </row>
    <row r="25" spans="2:47" ht="15.75" hidden="1" customHeight="1" x14ac:dyDescent="0.3">
      <c r="B25" s="166"/>
      <c r="C25" s="146"/>
      <c r="D25" s="147"/>
      <c r="E25" s="147"/>
      <c r="F25" s="148"/>
      <c r="G25" s="27"/>
      <c r="H25" s="27"/>
      <c r="I25" s="27"/>
      <c r="J25" s="27"/>
      <c r="K25" s="27">
        <v>43252</v>
      </c>
      <c r="L25" s="27"/>
      <c r="M25" s="27">
        <v>46023</v>
      </c>
      <c r="N25" s="27"/>
      <c r="P25" s="27"/>
      <c r="Q25" s="27"/>
      <c r="R25" s="27"/>
      <c r="S25" s="27"/>
      <c r="U25" s="27"/>
      <c r="V25" s="27"/>
      <c r="W25" s="27"/>
      <c r="X25" s="27"/>
      <c r="Y25" s="27">
        <v>45231</v>
      </c>
      <c r="Z25" s="27">
        <v>45901</v>
      </c>
      <c r="AA25" s="27"/>
      <c r="AB25" s="27"/>
      <c r="AC25" s="74"/>
      <c r="AE25" s="27"/>
      <c r="AF25" s="27"/>
      <c r="AG25" s="27"/>
      <c r="AH25" s="27"/>
      <c r="AI25" s="27"/>
      <c r="AJ25" s="27"/>
      <c r="AK25" s="27"/>
      <c r="AL25" s="13"/>
      <c r="AM25" s="27"/>
      <c r="AN25" s="27"/>
      <c r="AO25" s="27"/>
      <c r="AP25" s="27"/>
      <c r="AQ25" s="27"/>
      <c r="AR25" s="27"/>
      <c r="AS25" s="27"/>
      <c r="AT25" s="27"/>
      <c r="AU25" s="27"/>
    </row>
    <row r="26" spans="2:47" x14ac:dyDescent="0.25">
      <c r="B26" s="166"/>
      <c r="C26" s="86" t="s">
        <v>53</v>
      </c>
      <c r="D26" s="144"/>
      <c r="E26" s="144"/>
      <c r="F26" s="145"/>
      <c r="G26" s="13" t="s">
        <v>17</v>
      </c>
      <c r="H26" s="13" t="s">
        <v>17</v>
      </c>
      <c r="I26" s="13" t="s">
        <v>17</v>
      </c>
      <c r="J26" s="13" t="s">
        <v>17</v>
      </c>
      <c r="K26" s="13" t="s">
        <v>17</v>
      </c>
      <c r="L26" s="13" t="s">
        <v>17</v>
      </c>
      <c r="M26" s="13" t="s">
        <v>17</v>
      </c>
      <c r="N26" s="13" t="s">
        <v>17</v>
      </c>
      <c r="P26" s="13" t="s">
        <v>17</v>
      </c>
      <c r="Q26" s="13" t="s">
        <v>17</v>
      </c>
      <c r="R26" s="13" t="s">
        <v>17</v>
      </c>
      <c r="S26" s="13" t="s">
        <v>139</v>
      </c>
      <c r="U26" s="13" t="s">
        <v>17</v>
      </c>
      <c r="V26" s="13" t="s">
        <v>17</v>
      </c>
      <c r="W26" s="13" t="s">
        <v>17</v>
      </c>
      <c r="X26" s="13" t="s">
        <v>17</v>
      </c>
      <c r="Y26" s="13" t="s">
        <v>17</v>
      </c>
      <c r="Z26" s="13" t="s">
        <v>17</v>
      </c>
      <c r="AA26" s="13" t="s">
        <v>17</v>
      </c>
      <c r="AB26" s="13" t="s">
        <v>17</v>
      </c>
      <c r="AC26" s="72"/>
      <c r="AE26" s="13" t="s">
        <v>17</v>
      </c>
      <c r="AF26" s="13" t="s">
        <v>17</v>
      </c>
      <c r="AG26" s="13" t="s">
        <v>17</v>
      </c>
      <c r="AH26" s="13" t="s">
        <v>139</v>
      </c>
      <c r="AI26" s="13" t="s">
        <v>18</v>
      </c>
      <c r="AJ26" s="13" t="s">
        <v>139</v>
      </c>
      <c r="AK26" s="13" t="s">
        <v>139</v>
      </c>
      <c r="AL26" s="13"/>
      <c r="AM26" s="13"/>
      <c r="AN26" s="13"/>
      <c r="AO26" s="13"/>
      <c r="AP26" s="13"/>
      <c r="AQ26" s="13" t="s">
        <v>139</v>
      </c>
      <c r="AR26" s="13" t="s">
        <v>139</v>
      </c>
      <c r="AS26" s="13" t="s">
        <v>139</v>
      </c>
      <c r="AT26" s="13" t="s">
        <v>139</v>
      </c>
      <c r="AU26" s="13" t="s">
        <v>139</v>
      </c>
    </row>
    <row r="27" spans="2:47" ht="15.75" hidden="1" customHeight="1" x14ac:dyDescent="0.3">
      <c r="B27" s="166"/>
      <c r="C27" s="146"/>
      <c r="D27" s="147"/>
      <c r="E27" s="147"/>
      <c r="F27" s="148"/>
      <c r="G27" s="27"/>
      <c r="H27" s="27"/>
      <c r="I27" s="27"/>
      <c r="J27" s="27"/>
      <c r="K27" s="27">
        <v>43252</v>
      </c>
      <c r="L27" s="27"/>
      <c r="M27" s="27">
        <v>46023</v>
      </c>
      <c r="N27" s="27"/>
      <c r="P27" s="27"/>
      <c r="Q27" s="27"/>
      <c r="R27" s="27"/>
      <c r="S27" s="27"/>
      <c r="U27" s="27"/>
      <c r="V27" s="27"/>
      <c r="W27" s="27"/>
      <c r="X27" s="27"/>
      <c r="Y27" s="27">
        <v>45231</v>
      </c>
      <c r="Z27" s="27">
        <v>45901</v>
      </c>
      <c r="AA27" s="27"/>
      <c r="AB27" s="27"/>
      <c r="AC27" s="74"/>
      <c r="AE27" s="27"/>
      <c r="AF27" s="27"/>
      <c r="AG27" s="27"/>
      <c r="AH27" s="27"/>
      <c r="AI27" s="27"/>
      <c r="AJ27" s="27"/>
      <c r="AK27" s="27"/>
      <c r="AL27" s="13"/>
      <c r="AM27" s="27"/>
      <c r="AN27" s="27"/>
      <c r="AO27" s="27"/>
      <c r="AP27" s="27"/>
      <c r="AQ27" s="27"/>
      <c r="AR27" s="27"/>
      <c r="AS27" s="27"/>
      <c r="AT27" s="27"/>
      <c r="AU27" s="27"/>
    </row>
    <row r="28" spans="2:47" x14ac:dyDescent="0.25">
      <c r="B28" s="166"/>
      <c r="C28" s="86" t="s">
        <v>54</v>
      </c>
      <c r="D28" s="144"/>
      <c r="E28" s="144"/>
      <c r="F28" s="145"/>
      <c r="G28" s="13" t="s">
        <v>17</v>
      </c>
      <c r="H28" s="13" t="s">
        <v>17</v>
      </c>
      <c r="I28" s="13" t="s">
        <v>17</v>
      </c>
      <c r="J28" s="13" t="s">
        <v>17</v>
      </c>
      <c r="K28" s="13" t="s">
        <v>17</v>
      </c>
      <c r="L28" s="13" t="s">
        <v>17</v>
      </c>
      <c r="M28" s="13" t="s">
        <v>17</v>
      </c>
      <c r="N28" s="13" t="s">
        <v>18</v>
      </c>
      <c r="P28" s="13" t="s">
        <v>17</v>
      </c>
      <c r="Q28" s="13" t="s">
        <v>17</v>
      </c>
      <c r="R28" s="13" t="s">
        <v>17</v>
      </c>
      <c r="S28" s="13" t="s">
        <v>139</v>
      </c>
      <c r="U28" s="13" t="s">
        <v>17</v>
      </c>
      <c r="V28" s="13" t="s">
        <v>17</v>
      </c>
      <c r="W28" s="13" t="s">
        <v>18</v>
      </c>
      <c r="X28" s="13" t="s">
        <v>17</v>
      </c>
      <c r="Y28" s="13" t="s">
        <v>17</v>
      </c>
      <c r="Z28" s="13" t="s">
        <v>17</v>
      </c>
      <c r="AA28" s="13" t="s">
        <v>17</v>
      </c>
      <c r="AB28" s="13" t="s">
        <v>17</v>
      </c>
      <c r="AC28" s="72"/>
      <c r="AE28" s="13" t="s">
        <v>17</v>
      </c>
      <c r="AF28" s="13" t="s">
        <v>17</v>
      </c>
      <c r="AG28" s="13" t="s">
        <v>17</v>
      </c>
      <c r="AH28" s="13" t="s">
        <v>139</v>
      </c>
      <c r="AI28" s="13" t="s">
        <v>18</v>
      </c>
      <c r="AJ28" s="13" t="s">
        <v>139</v>
      </c>
      <c r="AK28" s="13"/>
      <c r="AL28" s="13"/>
      <c r="AM28" s="13"/>
      <c r="AN28" s="13"/>
      <c r="AO28" s="13"/>
      <c r="AP28" s="13"/>
      <c r="AQ28" s="13" t="s">
        <v>139</v>
      </c>
      <c r="AR28" s="13" t="s">
        <v>139</v>
      </c>
      <c r="AS28" s="13" t="s">
        <v>139</v>
      </c>
      <c r="AT28" s="13" t="s">
        <v>139</v>
      </c>
      <c r="AU28" s="13" t="s">
        <v>139</v>
      </c>
    </row>
    <row r="29" spans="2:47" ht="15.75" hidden="1" customHeight="1" x14ac:dyDescent="0.3">
      <c r="B29" s="166"/>
      <c r="C29" s="146"/>
      <c r="D29" s="147"/>
      <c r="E29" s="147"/>
      <c r="F29" s="148"/>
      <c r="G29" s="27"/>
      <c r="H29" s="27"/>
      <c r="I29" s="27"/>
      <c r="J29" s="27"/>
      <c r="K29" s="27">
        <v>43252</v>
      </c>
      <c r="L29" s="27"/>
      <c r="M29" s="27">
        <v>46023</v>
      </c>
      <c r="N29" s="27"/>
      <c r="P29" s="27"/>
      <c r="Q29" s="27"/>
      <c r="R29" s="27"/>
      <c r="S29" s="27"/>
      <c r="U29" s="27"/>
      <c r="V29" s="27"/>
      <c r="W29" s="27"/>
      <c r="X29" s="27"/>
      <c r="Y29" s="27">
        <v>45231</v>
      </c>
      <c r="Z29" s="27">
        <v>45901</v>
      </c>
      <c r="AA29" s="27"/>
      <c r="AB29" s="27">
        <v>45595</v>
      </c>
      <c r="AC29" s="74"/>
      <c r="AE29" s="27"/>
      <c r="AF29" s="27"/>
      <c r="AG29" s="27"/>
      <c r="AH29" s="27"/>
      <c r="AI29" s="27"/>
      <c r="AJ29" s="27"/>
      <c r="AK29" s="27"/>
      <c r="AL29" s="13"/>
      <c r="AM29" s="27"/>
      <c r="AN29" s="27"/>
      <c r="AO29" s="27"/>
      <c r="AP29" s="27"/>
      <c r="AQ29" s="27"/>
      <c r="AR29" s="27"/>
      <c r="AS29" s="27"/>
      <c r="AT29" s="27"/>
      <c r="AU29" s="27"/>
    </row>
    <row r="30" spans="2:47" x14ac:dyDescent="0.25">
      <c r="B30" s="166"/>
      <c r="C30" s="86" t="s">
        <v>60</v>
      </c>
      <c r="D30" s="144"/>
      <c r="E30" s="144"/>
      <c r="F30" s="145"/>
      <c r="G30" s="13" t="s">
        <v>17</v>
      </c>
      <c r="H30" s="13" t="s">
        <v>17</v>
      </c>
      <c r="I30" s="13" t="s">
        <v>17</v>
      </c>
      <c r="J30" s="13" t="s">
        <v>17</v>
      </c>
      <c r="K30" s="13" t="s">
        <v>17</v>
      </c>
      <c r="L30" s="13" t="s">
        <v>17</v>
      </c>
      <c r="M30" s="13" t="s">
        <v>17</v>
      </c>
      <c r="N30" s="13" t="s">
        <v>17</v>
      </c>
      <c r="P30" s="13" t="s">
        <v>17</v>
      </c>
      <c r="Q30" s="13" t="s">
        <v>17</v>
      </c>
      <c r="R30" s="13" t="s">
        <v>17</v>
      </c>
      <c r="S30" s="13" t="s">
        <v>139</v>
      </c>
      <c r="U30" s="13" t="s">
        <v>17</v>
      </c>
      <c r="V30" s="13" t="s">
        <v>17</v>
      </c>
      <c r="W30" s="13" t="s">
        <v>17</v>
      </c>
      <c r="X30" s="13" t="s">
        <v>17</v>
      </c>
      <c r="Y30" s="13" t="s">
        <v>17</v>
      </c>
      <c r="Z30" s="13" t="s">
        <v>17</v>
      </c>
      <c r="AA30" s="13" t="s">
        <v>17</v>
      </c>
      <c r="AB30" s="13" t="s">
        <v>17</v>
      </c>
      <c r="AC30" s="72"/>
      <c r="AE30" s="13" t="s">
        <v>17</v>
      </c>
      <c r="AF30" s="13" t="s">
        <v>17</v>
      </c>
      <c r="AG30" s="13" t="s">
        <v>17</v>
      </c>
      <c r="AH30" s="13" t="s">
        <v>139</v>
      </c>
      <c r="AI30" s="13" t="s">
        <v>139</v>
      </c>
      <c r="AJ30" s="13" t="s">
        <v>139</v>
      </c>
      <c r="AK30" s="13"/>
      <c r="AL30" s="13"/>
      <c r="AM30" s="13"/>
      <c r="AN30" s="13"/>
      <c r="AO30" s="13"/>
      <c r="AP30" s="13"/>
      <c r="AQ30" s="13" t="s">
        <v>139</v>
      </c>
      <c r="AR30" s="13" t="s">
        <v>139</v>
      </c>
      <c r="AS30" s="13" t="s">
        <v>139</v>
      </c>
      <c r="AT30" s="13" t="s">
        <v>139</v>
      </c>
      <c r="AU30" s="13" t="s">
        <v>139</v>
      </c>
    </row>
    <row r="31" spans="2:47" ht="15.75" hidden="1" customHeight="1" x14ac:dyDescent="0.3">
      <c r="B31" s="166"/>
      <c r="C31" s="146"/>
      <c r="D31" s="147"/>
      <c r="E31" s="147"/>
      <c r="F31" s="148"/>
      <c r="G31" s="27"/>
      <c r="H31" s="27"/>
      <c r="I31" s="27"/>
      <c r="J31" s="27"/>
      <c r="K31" s="27">
        <v>43252</v>
      </c>
      <c r="L31" s="27"/>
      <c r="M31" s="27">
        <v>46023</v>
      </c>
      <c r="N31" s="27"/>
      <c r="P31" s="27"/>
      <c r="Q31" s="27"/>
      <c r="R31" s="27"/>
      <c r="S31" s="27"/>
      <c r="U31" s="27"/>
      <c r="V31" s="27"/>
      <c r="W31" s="27"/>
      <c r="X31" s="27"/>
      <c r="Y31" s="27">
        <v>45231</v>
      </c>
      <c r="Z31" s="27">
        <v>45901</v>
      </c>
      <c r="AA31" s="27"/>
      <c r="AB31" s="27"/>
      <c r="AC31" s="74"/>
      <c r="AE31" s="27"/>
      <c r="AF31" s="27"/>
      <c r="AG31" s="27"/>
      <c r="AH31" s="27"/>
      <c r="AI31" s="27"/>
      <c r="AJ31" s="27"/>
      <c r="AK31" s="27"/>
      <c r="AL31" s="13"/>
      <c r="AM31" s="27"/>
      <c r="AN31" s="27"/>
      <c r="AO31" s="27"/>
      <c r="AP31" s="27"/>
      <c r="AQ31" s="27"/>
      <c r="AR31" s="27"/>
      <c r="AS31" s="27"/>
      <c r="AT31" s="27"/>
      <c r="AU31" s="27"/>
    </row>
    <row r="32" spans="2:47" x14ac:dyDescent="0.25">
      <c r="B32" s="166"/>
      <c r="C32" s="86" t="s">
        <v>59</v>
      </c>
      <c r="D32" s="144"/>
      <c r="E32" s="144"/>
      <c r="F32" s="145"/>
      <c r="G32" s="13" t="s">
        <v>17</v>
      </c>
      <c r="H32" s="13" t="s">
        <v>17</v>
      </c>
      <c r="I32" s="13" t="s">
        <v>17</v>
      </c>
      <c r="J32" s="13" t="s">
        <v>17</v>
      </c>
      <c r="K32" s="13" t="s">
        <v>17</v>
      </c>
      <c r="L32" s="13" t="s">
        <v>17</v>
      </c>
      <c r="M32" s="13" t="s">
        <v>17</v>
      </c>
      <c r="N32" s="13" t="s">
        <v>17</v>
      </c>
      <c r="P32" s="13" t="s">
        <v>17</v>
      </c>
      <c r="Q32" s="13" t="s">
        <v>17</v>
      </c>
      <c r="R32" s="13" t="s">
        <v>17</v>
      </c>
      <c r="S32" s="13" t="s">
        <v>139</v>
      </c>
      <c r="U32" s="13" t="s">
        <v>17</v>
      </c>
      <c r="V32" s="13" t="s">
        <v>17</v>
      </c>
      <c r="W32" s="13" t="s">
        <v>17</v>
      </c>
      <c r="X32" s="13" t="s">
        <v>17</v>
      </c>
      <c r="Y32" s="13" t="s">
        <v>17</v>
      </c>
      <c r="Z32" s="13" t="s">
        <v>17</v>
      </c>
      <c r="AA32" s="13" t="s">
        <v>17</v>
      </c>
      <c r="AB32" s="13" t="s">
        <v>17</v>
      </c>
      <c r="AC32" s="72"/>
      <c r="AE32" s="13" t="s">
        <v>17</v>
      </c>
      <c r="AF32" s="13" t="s">
        <v>17</v>
      </c>
      <c r="AG32" s="13" t="s">
        <v>17</v>
      </c>
      <c r="AH32" s="13" t="s">
        <v>139</v>
      </c>
      <c r="AI32" s="13" t="s">
        <v>17</v>
      </c>
      <c r="AJ32" s="13" t="s">
        <v>139</v>
      </c>
      <c r="AK32" s="13" t="s">
        <v>139</v>
      </c>
      <c r="AL32" s="13" t="s">
        <v>139</v>
      </c>
      <c r="AM32" s="13"/>
      <c r="AN32" s="13"/>
      <c r="AO32" s="13"/>
      <c r="AP32" s="13"/>
      <c r="AQ32" s="13" t="s">
        <v>139</v>
      </c>
      <c r="AR32" s="13" t="s">
        <v>139</v>
      </c>
      <c r="AS32" s="13" t="s">
        <v>139</v>
      </c>
      <c r="AT32" s="13" t="s">
        <v>139</v>
      </c>
      <c r="AU32" s="13" t="s">
        <v>139</v>
      </c>
    </row>
    <row r="33" spans="2:47" ht="15.75" hidden="1" customHeight="1" x14ac:dyDescent="0.3">
      <c r="B33" s="166"/>
      <c r="C33" s="146"/>
      <c r="D33" s="147"/>
      <c r="E33" s="147"/>
      <c r="F33" s="148"/>
      <c r="G33" s="27"/>
      <c r="H33" s="27"/>
      <c r="I33" s="27"/>
      <c r="J33" s="27"/>
      <c r="K33" s="27">
        <v>43252</v>
      </c>
      <c r="L33" s="27"/>
      <c r="M33" s="27">
        <v>46023</v>
      </c>
      <c r="N33" s="27"/>
      <c r="P33" s="27"/>
      <c r="Q33" s="27"/>
      <c r="R33" s="27"/>
      <c r="S33" s="27"/>
      <c r="U33" s="27"/>
      <c r="V33" s="27"/>
      <c r="W33" s="27"/>
      <c r="X33" s="27"/>
      <c r="Y33" s="27">
        <v>45231</v>
      </c>
      <c r="Z33" s="27">
        <v>45901</v>
      </c>
      <c r="AA33" s="27"/>
      <c r="AB33" s="27"/>
      <c r="AC33" s="74"/>
      <c r="AE33" s="27"/>
      <c r="AF33" s="27"/>
      <c r="AG33" s="27"/>
      <c r="AH33" s="27"/>
      <c r="AI33" s="27"/>
      <c r="AJ33" s="27"/>
      <c r="AK33" s="27"/>
      <c r="AL33" s="13"/>
      <c r="AM33" s="27"/>
      <c r="AN33" s="27"/>
      <c r="AO33" s="27"/>
      <c r="AP33" s="27"/>
      <c r="AQ33" s="27"/>
      <c r="AR33" s="27"/>
      <c r="AS33" s="27"/>
      <c r="AT33" s="27"/>
      <c r="AU33" s="27"/>
    </row>
    <row r="34" spans="2:47" x14ac:dyDescent="0.25">
      <c r="B34" s="166"/>
      <c r="C34" s="86" t="s">
        <v>57</v>
      </c>
      <c r="D34" s="144"/>
      <c r="E34" s="144"/>
      <c r="F34" s="145"/>
      <c r="G34" s="13" t="s">
        <v>17</v>
      </c>
      <c r="H34" s="13" t="s">
        <v>17</v>
      </c>
      <c r="I34" s="13" t="s">
        <v>17</v>
      </c>
      <c r="J34" s="13" t="s">
        <v>17</v>
      </c>
      <c r="K34" s="13" t="s">
        <v>17</v>
      </c>
      <c r="L34" s="13" t="s">
        <v>17</v>
      </c>
      <c r="M34" s="13" t="s">
        <v>17</v>
      </c>
      <c r="N34" s="13" t="s">
        <v>18</v>
      </c>
      <c r="P34" s="13" t="s">
        <v>17</v>
      </c>
      <c r="Q34" s="13" t="s">
        <v>17</v>
      </c>
      <c r="R34" s="13" t="s">
        <v>17</v>
      </c>
      <c r="S34" s="13" t="s">
        <v>139</v>
      </c>
      <c r="U34" s="13" t="s">
        <v>17</v>
      </c>
      <c r="V34" s="13" t="s">
        <v>17</v>
      </c>
      <c r="W34" s="13" t="s">
        <v>17</v>
      </c>
      <c r="X34" s="13" t="s">
        <v>17</v>
      </c>
      <c r="Y34" s="13" t="s">
        <v>17</v>
      </c>
      <c r="Z34" s="13" t="s">
        <v>17</v>
      </c>
      <c r="AA34" s="13" t="s">
        <v>17</v>
      </c>
      <c r="AB34" s="13" t="s">
        <v>17</v>
      </c>
      <c r="AC34" s="72"/>
      <c r="AE34" s="13" t="s">
        <v>18</v>
      </c>
      <c r="AF34" s="13" t="s">
        <v>17</v>
      </c>
      <c r="AG34" s="13" t="s">
        <v>17</v>
      </c>
      <c r="AH34" s="13" t="s">
        <v>139</v>
      </c>
      <c r="AI34" s="13" t="s">
        <v>139</v>
      </c>
      <c r="AJ34" s="13" t="s">
        <v>139</v>
      </c>
      <c r="AK34" s="13"/>
      <c r="AL34" s="13"/>
      <c r="AM34" s="13"/>
      <c r="AN34" s="13"/>
      <c r="AO34" s="13"/>
      <c r="AP34" s="13"/>
      <c r="AQ34" s="13" t="s">
        <v>139</v>
      </c>
      <c r="AR34" s="13" t="s">
        <v>139</v>
      </c>
      <c r="AS34" s="13" t="s">
        <v>139</v>
      </c>
      <c r="AT34" s="13" t="s">
        <v>139</v>
      </c>
      <c r="AU34" s="13" t="s">
        <v>139</v>
      </c>
    </row>
    <row r="35" spans="2:47" ht="15.75" hidden="1" customHeight="1" x14ac:dyDescent="0.3">
      <c r="B35" s="166"/>
      <c r="C35" s="146"/>
      <c r="D35" s="147"/>
      <c r="E35" s="147"/>
      <c r="F35" s="148"/>
      <c r="G35" s="27"/>
      <c r="H35" s="27"/>
      <c r="I35" s="27"/>
      <c r="J35" s="27"/>
      <c r="K35" s="27">
        <v>43252</v>
      </c>
      <c r="L35" s="27"/>
      <c r="M35" s="27">
        <v>46023</v>
      </c>
      <c r="N35" s="27"/>
      <c r="P35" s="27"/>
      <c r="Q35" s="27"/>
      <c r="R35" s="27"/>
      <c r="S35" s="27"/>
      <c r="U35" s="27"/>
      <c r="V35" s="27"/>
      <c r="W35" s="27"/>
      <c r="X35" s="27"/>
      <c r="Y35" s="27">
        <v>45231</v>
      </c>
      <c r="Z35" s="27">
        <v>45901</v>
      </c>
      <c r="AA35" s="27"/>
      <c r="AB35" s="27"/>
      <c r="AC35" s="74"/>
      <c r="AE35" s="27"/>
      <c r="AF35" s="27"/>
      <c r="AG35" s="27"/>
      <c r="AH35" s="27"/>
      <c r="AI35" s="27"/>
      <c r="AJ35" s="27"/>
      <c r="AK35" s="27"/>
      <c r="AL35" s="13"/>
      <c r="AM35" s="27"/>
      <c r="AN35" s="27"/>
      <c r="AO35" s="27"/>
      <c r="AP35" s="27"/>
      <c r="AQ35" s="27"/>
      <c r="AR35" s="27"/>
      <c r="AS35" s="27"/>
      <c r="AT35" s="27"/>
      <c r="AU35" s="27"/>
    </row>
    <row r="36" spans="2:47" x14ac:dyDescent="0.25">
      <c r="B36" s="166"/>
      <c r="C36" s="86" t="s">
        <v>58</v>
      </c>
      <c r="D36" s="144"/>
      <c r="E36" s="144"/>
      <c r="F36" s="145"/>
      <c r="G36" s="13" t="s">
        <v>17</v>
      </c>
      <c r="H36" s="13" t="s">
        <v>17</v>
      </c>
      <c r="I36" s="13" t="s">
        <v>17</v>
      </c>
      <c r="J36" s="13" t="s">
        <v>17</v>
      </c>
      <c r="K36" s="13" t="s">
        <v>17</v>
      </c>
      <c r="L36" s="13" t="s">
        <v>17</v>
      </c>
      <c r="M36" s="13" t="s">
        <v>17</v>
      </c>
      <c r="N36" s="13" t="s">
        <v>17</v>
      </c>
      <c r="P36" s="13" t="s">
        <v>17</v>
      </c>
      <c r="Q36" s="13" t="s">
        <v>17</v>
      </c>
      <c r="R36" s="13" t="s">
        <v>17</v>
      </c>
      <c r="S36" s="13" t="s">
        <v>139</v>
      </c>
      <c r="U36" s="13" t="s">
        <v>17</v>
      </c>
      <c r="V36" s="13" t="s">
        <v>17</v>
      </c>
      <c r="W36" s="13" t="s">
        <v>17</v>
      </c>
      <c r="X36" s="13" t="s">
        <v>17</v>
      </c>
      <c r="Y36" s="13" t="s">
        <v>17</v>
      </c>
      <c r="Z36" s="13" t="s">
        <v>17</v>
      </c>
      <c r="AA36" s="13" t="s">
        <v>17</v>
      </c>
      <c r="AB36" s="13" t="s">
        <v>17</v>
      </c>
      <c r="AC36" s="72"/>
      <c r="AE36" s="13" t="s">
        <v>17</v>
      </c>
      <c r="AF36" s="13" t="s">
        <v>17</v>
      </c>
      <c r="AG36" s="13" t="s">
        <v>17</v>
      </c>
      <c r="AH36" s="13" t="s">
        <v>17</v>
      </c>
      <c r="AI36" s="13" t="s">
        <v>17</v>
      </c>
      <c r="AJ36" s="13" t="s">
        <v>139</v>
      </c>
      <c r="AK36" s="13" t="s">
        <v>139</v>
      </c>
      <c r="AL36" s="13" t="s">
        <v>139</v>
      </c>
      <c r="AM36" s="13"/>
      <c r="AN36" s="13"/>
      <c r="AO36" s="13"/>
      <c r="AP36" s="13"/>
      <c r="AQ36" s="13" t="s">
        <v>139</v>
      </c>
      <c r="AR36" s="13" t="s">
        <v>139</v>
      </c>
      <c r="AS36" s="13" t="s">
        <v>139</v>
      </c>
      <c r="AT36" s="13" t="s">
        <v>139</v>
      </c>
      <c r="AU36" s="13" t="s">
        <v>139</v>
      </c>
    </row>
    <row r="37" spans="2:47" ht="15.75" hidden="1" customHeight="1" x14ac:dyDescent="0.3">
      <c r="B37" s="183"/>
      <c r="C37" s="146"/>
      <c r="D37" s="147"/>
      <c r="E37" s="147"/>
      <c r="F37" s="148"/>
      <c r="G37" s="27"/>
      <c r="H37" s="27"/>
      <c r="I37" s="27"/>
      <c r="J37" s="27"/>
      <c r="K37" s="27">
        <v>43252</v>
      </c>
      <c r="L37" s="27"/>
      <c r="M37" s="27">
        <v>46023</v>
      </c>
      <c r="N37" s="27"/>
      <c r="P37" s="27"/>
      <c r="Q37" s="27"/>
      <c r="R37" s="27"/>
      <c r="S37" s="27"/>
      <c r="U37" s="27"/>
      <c r="V37" s="27"/>
      <c r="W37" s="27"/>
      <c r="X37" s="27"/>
      <c r="Y37" s="27">
        <v>43466</v>
      </c>
      <c r="Z37" s="27">
        <v>45901</v>
      </c>
      <c r="AA37" s="27"/>
      <c r="AB37" s="27"/>
      <c r="AC37" s="74"/>
      <c r="AE37" s="27"/>
      <c r="AF37" s="27"/>
      <c r="AG37" s="27"/>
      <c r="AH37" s="27"/>
      <c r="AI37" s="27"/>
      <c r="AJ37" s="27"/>
      <c r="AK37" s="27"/>
      <c r="AL37" s="27"/>
      <c r="AM37" s="27"/>
      <c r="AN37" s="27"/>
      <c r="AO37" s="27"/>
      <c r="AP37" s="27"/>
      <c r="AQ37" s="27"/>
      <c r="AR37" s="27"/>
      <c r="AS37" s="27"/>
      <c r="AT37" s="27"/>
      <c r="AU37" s="27"/>
    </row>
    <row r="38" spans="2:47" x14ac:dyDescent="0.25">
      <c r="B38" s="17" t="s">
        <v>61</v>
      </c>
      <c r="C38" s="18" t="s">
        <v>62</v>
      </c>
      <c r="D38" s="19">
        <f>COUNTA(C16:F37)</f>
        <v>11</v>
      </c>
      <c r="E38" s="19" t="s">
        <v>63</v>
      </c>
      <c r="F38" s="19">
        <f>COUNTIF(G16:G37,"X")</f>
        <v>11</v>
      </c>
      <c r="G38" s="20" t="str">
        <f t="shared" ref="G38:L38" si="26">IF(ISBLANK(G16),"",IF((COUNTIF(G16:G37,"X"))/(COUNTIF(G16:G36,"x")+COUNTIF(G16:G36,"a")+COUNTIF(G16:G36,"t"))=1,_xlfn.UNICHAR(10003),(COUNTIF(G16:G37,"X"))/(COUNTIF(G16:G36,"x")+COUNTIF(G16:G36,"a")+COUNTIF(G16:G36,"t"))))</f>
        <v>✓</v>
      </c>
      <c r="H38" s="20" t="str">
        <f t="shared" si="26"/>
        <v>✓</v>
      </c>
      <c r="I38" s="20" t="str">
        <f t="shared" si="26"/>
        <v>✓</v>
      </c>
      <c r="J38" s="20" t="str">
        <f t="shared" si="26"/>
        <v>✓</v>
      </c>
      <c r="K38" s="20" t="str">
        <f t="shared" si="26"/>
        <v>✓</v>
      </c>
      <c r="L38" s="20" t="str">
        <f t="shared" si="26"/>
        <v>✓</v>
      </c>
      <c r="M38" s="20" t="str">
        <f>IF(ISBLANK(M16),"",IF((COUNTIF(M16:M37,"X"))/$D38=1,_xlfn.UNICHAR(10003),(COUNTIF(M16:M37,"X"))/$D38))</f>
        <v>✓</v>
      </c>
      <c r="N38" s="20">
        <f>IF(ISBLANK(N16),"",IF((COUNTIF(N16:N37,"X"))/$D38=1,_xlfn.UNICHAR(10003),(COUNTIF(N16:N37,"X"))/$D38))</f>
        <v>0.81818181818181823</v>
      </c>
      <c r="P38" s="20" t="str">
        <f>IF(ISBLANK(P16),"",IF((COUNTIF(P16:P37,"X"))/(COUNTIF(P16:P36,"x")+COUNTIF(P16:P36,"a")+COUNTIF(P16:P36,"t"))=1,_xlfn.UNICHAR(10003),(COUNTIF(P16:P37,"X"))/(COUNTIF(P16:P36,"x")+COUNTIF(P16:P36,"a")+COUNTIF(P16:P36,"t"))))</f>
        <v>✓</v>
      </c>
      <c r="Q38" s="20" t="s">
        <v>17</v>
      </c>
      <c r="R38" s="20" t="str">
        <f>IF(ISBLANK(R16),"",IF((COUNTIF(R16:R37,"X"))/$D38=1,_xlfn.UNICHAR(10003),(COUNTIF(R16:R37,"X"))/$D38))</f>
        <v>✓</v>
      </c>
      <c r="S38" s="20">
        <f>IF(ISBLANK(S16),"",IF((COUNTIF(S16:S37,"X"))/$D38=1,_xlfn.UNICHAR(10003),(COUNTIF(S16:S37,"X"))/$D38))</f>
        <v>0</v>
      </c>
      <c r="U38" s="20" t="str">
        <f>IF(ISBLANK(U16),"",IF((COUNTIF(U16:U37,"X"))/$D38=1,_xlfn.UNICHAR(10003),(COUNTIF(U16:U37,"X"))/$D38))</f>
        <v>✓</v>
      </c>
      <c r="V38" s="20" t="str">
        <f>IF(ISBLANK(V16),"",IF((COUNTIF(V16:V37,"X"))/$D38=1,_xlfn.UNICHAR(10003),(COUNTIF(V16:V37,"X"))/$D38))</f>
        <v>✓</v>
      </c>
      <c r="W38" s="20">
        <f>IF(ISBLANK(W16),"",IF((COUNTIF(W16:W37,"X"))/$D38=1,_xlfn.UNICHAR(10003),(COUNTIF(W16:W37,"X"))/$D38))</f>
        <v>0.90909090909090906</v>
      </c>
      <c r="X38" s="20" t="str">
        <f>IF(ISBLANK(X16),"",IF((COUNTIF(X16:X37,"X"))/(COUNTIF(X16:X36,"x")+COUNTIF(X16:X36,"a")+COUNTIF(X16:X36,"t"))=1,_xlfn.UNICHAR(10003),(COUNTIF(X16:X37,"X"))/(COUNTIF(X16:X36,"x")+COUNTIF(X16:X36,"a")+COUNTIF(X16:X36,"t"))))</f>
        <v>✓</v>
      </c>
      <c r="Y38" s="20" t="str">
        <f>IF(ISBLANK(Y16),"",IF((COUNTIF(Y16:Y37,"X"))/$D38=1,_xlfn.UNICHAR(10003),(COUNTIF(Y16:Y37,"X"))/$D38))</f>
        <v>✓</v>
      </c>
      <c r="Z38" s="20" t="str">
        <f>IF(ISBLANK(Z16),"",IF((COUNTIF(Z16:Z37,"X"))/$D38=1,_xlfn.UNICHAR(10003),(COUNTIF(Z16:Z37,"X"))/$D38))</f>
        <v>✓</v>
      </c>
      <c r="AA38" s="20" t="str">
        <f>IF(ISBLANK(AA16),"",IF((COUNTIF(AA16:AA37,"X"))/$D38=1,_xlfn.UNICHAR(10003),(COUNTIF(AA16:AA37,"X"))/$D38))</f>
        <v>✓</v>
      </c>
      <c r="AB38" s="20" t="str">
        <f>IF(ISBLANK(AB16),"",IF((COUNTIF(AB16:AB37,"X"))/(COUNTIF(AB16:AB36,"x")+COUNTIF(AB16:AB36,"a")+COUNTIF(AB16:AB36,"t"))=1,_xlfn.UNICHAR(10003),(COUNTIF(AB16:AB37,"X"))/(COUNTIF(AB16:AB36,"x")+COUNTIF(AB16:AB36,"a")+COUNTIF(AB16:AB36,"t"))))</f>
        <v>✓</v>
      </c>
      <c r="AC38" s="73"/>
      <c r="AE38" s="20">
        <f>IF(ISBLANK(AE16),"",IF((COUNTIF(AE16:AE37,"X"))/$D38=1,_xlfn.UNICHAR(10003),(COUNTIF(AE16:AE37,"X"))/$D38))</f>
        <v>0.90909090909090906</v>
      </c>
      <c r="AF38" s="20" t="str">
        <f>IF(ISBLANK(AF16),"",IF((COUNTIF(AF16:AF37,"X"))/(COUNTIF(AF16:AF36,"x")+COUNTIF(AF16:AF36,"a")+COUNTIF(AF16:AF36,"t"))=1,_xlfn.UNICHAR(10003),(COUNTIF(AF16:AF37,"X"))/(COUNTIF(AF16:AF36,"x")+COUNTIF(AF16:AF36,"a")+COUNTIF(AF16:AF36,"t"))))</f>
        <v>✓</v>
      </c>
      <c r="AG38" s="20" t="str">
        <f t="shared" ref="AG38:AL38" si="27">IF(ISBLANK(AG16),"",IF((COUNTIF(AG16:AG37,"X"))/$D38=1,_xlfn.UNICHAR(10003),(COUNTIF(AG16:AG37,"X"))/$D38))</f>
        <v>✓</v>
      </c>
      <c r="AH38" s="20">
        <f t="shared" si="27"/>
        <v>9.0909090909090912E-2</v>
      </c>
      <c r="AI38" s="20">
        <f t="shared" si="27"/>
        <v>0.36363636363636365</v>
      </c>
      <c r="AJ38" s="20">
        <f t="shared" si="27"/>
        <v>0</v>
      </c>
      <c r="AK38" s="20">
        <f t="shared" si="27"/>
        <v>0</v>
      </c>
      <c r="AL38" s="20">
        <f t="shared" si="27"/>
        <v>0</v>
      </c>
      <c r="AM38" s="20"/>
      <c r="AN38" s="20"/>
      <c r="AO38" s="20"/>
      <c r="AP38" s="20" t="str">
        <f t="shared" ref="AP38:AU38" si="28">IF(ISBLANK(AP16),"",IF((COUNTIF(AP16:AP37,"X"))/$D38=1,_xlfn.UNICHAR(10003),(COUNTIF(AP16:AP37,"X"))/$D38))</f>
        <v/>
      </c>
      <c r="AQ38" s="20">
        <f t="shared" si="28"/>
        <v>0</v>
      </c>
      <c r="AR38" s="20">
        <f t="shared" si="28"/>
        <v>0</v>
      </c>
      <c r="AS38" s="20">
        <f t="shared" si="28"/>
        <v>0</v>
      </c>
      <c r="AT38" s="20">
        <f t="shared" si="28"/>
        <v>0</v>
      </c>
      <c r="AU38" s="20">
        <f t="shared" si="28"/>
        <v>0</v>
      </c>
    </row>
    <row r="39" spans="2:47" x14ac:dyDescent="0.25">
      <c r="B39" s="149" t="s">
        <v>38</v>
      </c>
      <c r="C39" s="132" t="s">
        <v>64</v>
      </c>
      <c r="D39" s="133"/>
      <c r="E39" s="133"/>
      <c r="F39" s="134"/>
      <c r="G39" s="14" t="s">
        <v>21</v>
      </c>
      <c r="H39" s="14" t="s">
        <v>17</v>
      </c>
      <c r="I39" s="14" t="s">
        <v>17</v>
      </c>
      <c r="J39" s="14" t="s">
        <v>17</v>
      </c>
      <c r="K39" s="14" t="s">
        <v>17</v>
      </c>
      <c r="L39" s="14" t="s">
        <v>17</v>
      </c>
      <c r="M39" s="14" t="s">
        <v>139</v>
      </c>
      <c r="N39" s="14" t="s">
        <v>17</v>
      </c>
      <c r="P39" s="14" t="s">
        <v>17</v>
      </c>
      <c r="Q39" s="14"/>
      <c r="R39" s="14"/>
      <c r="S39" s="14"/>
      <c r="U39" s="14" t="s">
        <v>17</v>
      </c>
      <c r="V39" s="14" t="s">
        <v>17</v>
      </c>
      <c r="W39" s="14" t="s">
        <v>17</v>
      </c>
      <c r="X39" s="14" t="s">
        <v>17</v>
      </c>
      <c r="Y39" s="14" t="s">
        <v>17</v>
      </c>
      <c r="Z39" s="13" t="s">
        <v>17</v>
      </c>
      <c r="AA39" s="14" t="s">
        <v>17</v>
      </c>
      <c r="AB39" s="13" t="s">
        <v>17</v>
      </c>
      <c r="AC39" s="72"/>
      <c r="AE39" s="14" t="s">
        <v>17</v>
      </c>
      <c r="AF39" s="14" t="s">
        <v>17</v>
      </c>
      <c r="AG39" s="14" t="s">
        <v>17</v>
      </c>
      <c r="AH39" s="14"/>
      <c r="AI39" s="14"/>
      <c r="AJ39" s="14"/>
      <c r="AK39" s="14"/>
      <c r="AL39" s="14"/>
      <c r="AM39" s="14"/>
      <c r="AN39" s="14"/>
      <c r="AO39" s="14"/>
      <c r="AP39" s="14"/>
      <c r="AQ39" s="14"/>
      <c r="AR39" s="14"/>
      <c r="AS39" s="14"/>
      <c r="AT39" s="14" t="s">
        <v>139</v>
      </c>
      <c r="AU39" s="14" t="s">
        <v>139</v>
      </c>
    </row>
    <row r="40" spans="2:47" ht="15.75" hidden="1" customHeight="1" x14ac:dyDescent="0.3">
      <c r="B40" s="150"/>
      <c r="C40" s="135"/>
      <c r="D40" s="136"/>
      <c r="E40" s="136"/>
      <c r="F40" s="137"/>
      <c r="G40" s="27"/>
      <c r="H40" s="27"/>
      <c r="I40" s="27"/>
      <c r="J40" s="27"/>
      <c r="K40" s="27">
        <v>43586</v>
      </c>
      <c r="L40" s="27"/>
      <c r="M40" s="27"/>
      <c r="N40" s="27"/>
      <c r="P40" s="27"/>
      <c r="Q40" s="27"/>
      <c r="R40" s="27"/>
      <c r="S40" s="27"/>
      <c r="U40" s="27"/>
      <c r="V40" s="27"/>
      <c r="W40" s="27"/>
      <c r="X40" s="27"/>
      <c r="Y40" s="27"/>
      <c r="Z40" s="27"/>
      <c r="AA40" s="27"/>
      <c r="AB40" s="27"/>
      <c r="AC40" s="74"/>
      <c r="AE40" s="27"/>
      <c r="AF40" s="27"/>
      <c r="AG40" s="27"/>
      <c r="AH40" s="27"/>
      <c r="AI40" s="27"/>
      <c r="AJ40" s="27"/>
      <c r="AK40" s="27"/>
      <c r="AL40" s="27"/>
      <c r="AM40" s="27"/>
      <c r="AN40" s="27"/>
      <c r="AO40" s="27"/>
      <c r="AP40" s="27"/>
      <c r="AQ40" s="27"/>
      <c r="AR40" s="27"/>
      <c r="AS40" s="27"/>
      <c r="AT40" s="27"/>
      <c r="AU40" s="27"/>
    </row>
    <row r="41" spans="2:47" x14ac:dyDescent="0.25">
      <c r="B41" s="150"/>
      <c r="C41" s="132" t="s">
        <v>65</v>
      </c>
      <c r="D41" s="133"/>
      <c r="E41" s="133"/>
      <c r="F41" s="134"/>
      <c r="G41" s="13" t="s">
        <v>21</v>
      </c>
      <c r="H41" s="13" t="s">
        <v>17</v>
      </c>
      <c r="I41" s="13" t="s">
        <v>17</v>
      </c>
      <c r="J41" s="13" t="s">
        <v>17</v>
      </c>
      <c r="K41" s="13" t="s">
        <v>17</v>
      </c>
      <c r="L41" s="13" t="s">
        <v>17</v>
      </c>
      <c r="M41" s="13" t="s">
        <v>139</v>
      </c>
      <c r="N41" s="13" t="s">
        <v>17</v>
      </c>
      <c r="P41" s="13" t="s">
        <v>17</v>
      </c>
      <c r="Q41" s="13"/>
      <c r="R41" s="13"/>
      <c r="S41" s="13"/>
      <c r="U41" s="13" t="s">
        <v>17</v>
      </c>
      <c r="V41" s="13" t="s">
        <v>17</v>
      </c>
      <c r="W41" s="13" t="s">
        <v>18</v>
      </c>
      <c r="X41" s="13" t="s">
        <v>17</v>
      </c>
      <c r="Y41" s="13" t="s">
        <v>17</v>
      </c>
      <c r="Z41" s="13" t="s">
        <v>17</v>
      </c>
      <c r="AA41" s="13" t="s">
        <v>17</v>
      </c>
      <c r="AB41" s="13" t="s">
        <v>17</v>
      </c>
      <c r="AC41" s="72"/>
      <c r="AE41" s="13" t="s">
        <v>17</v>
      </c>
      <c r="AF41" s="13" t="s">
        <v>17</v>
      </c>
      <c r="AG41" s="13" t="s">
        <v>17</v>
      </c>
      <c r="AH41" s="13"/>
      <c r="AI41" s="13"/>
      <c r="AJ41" s="13"/>
      <c r="AK41" s="13"/>
      <c r="AL41" s="13"/>
      <c r="AM41" s="13"/>
      <c r="AN41" s="13"/>
      <c r="AO41" s="13"/>
      <c r="AP41" s="13"/>
      <c r="AQ41" s="13"/>
      <c r="AR41" s="13"/>
      <c r="AS41" s="13"/>
      <c r="AT41" s="13" t="s">
        <v>139</v>
      </c>
      <c r="AU41" s="13" t="s">
        <v>139</v>
      </c>
    </row>
    <row r="42" spans="2:47" ht="15.75" hidden="1" customHeight="1" x14ac:dyDescent="0.3">
      <c r="B42" s="150"/>
      <c r="C42" s="135"/>
      <c r="D42" s="136"/>
      <c r="E42" s="136"/>
      <c r="F42" s="137"/>
      <c r="G42" s="27"/>
      <c r="H42" s="27"/>
      <c r="I42" s="27"/>
      <c r="J42" s="27"/>
      <c r="K42" s="27">
        <v>43586</v>
      </c>
      <c r="L42" s="27"/>
      <c r="M42" s="27"/>
      <c r="N42" s="27"/>
      <c r="P42" s="27"/>
      <c r="Q42" s="27"/>
      <c r="R42" s="27"/>
      <c r="S42" s="27"/>
      <c r="U42" s="27"/>
      <c r="V42" s="27"/>
      <c r="W42" s="27"/>
      <c r="X42" s="27"/>
      <c r="Y42" s="27"/>
      <c r="Z42" s="27"/>
      <c r="AA42" s="27"/>
      <c r="AB42" s="27"/>
      <c r="AC42" s="74"/>
      <c r="AE42" s="27"/>
      <c r="AF42" s="27"/>
      <c r="AG42" s="27"/>
      <c r="AH42" s="27"/>
      <c r="AI42" s="27"/>
      <c r="AJ42" s="27"/>
      <c r="AK42" s="27"/>
      <c r="AL42" s="27"/>
      <c r="AM42" s="27"/>
      <c r="AN42" s="27"/>
      <c r="AO42" s="27"/>
      <c r="AP42" s="27"/>
      <c r="AQ42" s="27"/>
      <c r="AR42" s="27"/>
      <c r="AS42" s="27"/>
      <c r="AT42" s="27"/>
      <c r="AU42" s="27"/>
    </row>
    <row r="43" spans="2:47" x14ac:dyDescent="0.25">
      <c r="B43" s="150"/>
      <c r="C43" s="132" t="s">
        <v>66</v>
      </c>
      <c r="D43" s="133"/>
      <c r="E43" s="133"/>
      <c r="F43" s="134"/>
      <c r="G43" s="13" t="s">
        <v>21</v>
      </c>
      <c r="H43" s="13" t="s">
        <v>17</v>
      </c>
      <c r="I43" s="13" t="s">
        <v>17</v>
      </c>
      <c r="J43" s="13" t="s">
        <v>17</v>
      </c>
      <c r="K43" s="13" t="s">
        <v>17</v>
      </c>
      <c r="L43" s="13" t="s">
        <v>17</v>
      </c>
      <c r="M43" s="13" t="s">
        <v>139</v>
      </c>
      <c r="N43" s="13" t="s">
        <v>18</v>
      </c>
      <c r="P43" s="13" t="s">
        <v>17</v>
      </c>
      <c r="Q43" s="13"/>
      <c r="R43" s="13"/>
      <c r="S43" s="13"/>
      <c r="U43" s="13" t="s">
        <v>17</v>
      </c>
      <c r="V43" s="13" t="s">
        <v>17</v>
      </c>
      <c r="W43" s="13" t="s">
        <v>18</v>
      </c>
      <c r="X43" s="13" t="s">
        <v>18</v>
      </c>
      <c r="Y43" s="13" t="s">
        <v>17</v>
      </c>
      <c r="Z43" s="13" t="s">
        <v>17</v>
      </c>
      <c r="AA43" s="13" t="s">
        <v>17</v>
      </c>
      <c r="AB43" s="13" t="s">
        <v>17</v>
      </c>
      <c r="AC43" s="72"/>
      <c r="AE43" s="13" t="s">
        <v>17</v>
      </c>
      <c r="AF43" s="13" t="s">
        <v>17</v>
      </c>
      <c r="AG43" s="13" t="s">
        <v>17</v>
      </c>
      <c r="AH43" s="13"/>
      <c r="AI43" s="13"/>
      <c r="AJ43" s="13"/>
      <c r="AK43" s="13"/>
      <c r="AL43" s="13"/>
      <c r="AM43" s="13"/>
      <c r="AN43" s="13"/>
      <c r="AO43" s="13"/>
      <c r="AP43" s="13"/>
      <c r="AQ43" s="13"/>
      <c r="AR43" s="13"/>
      <c r="AS43" s="13"/>
      <c r="AT43" s="13" t="s">
        <v>139</v>
      </c>
      <c r="AU43" s="13" t="s">
        <v>139</v>
      </c>
    </row>
    <row r="44" spans="2:47" ht="15.75" hidden="1" customHeight="1" x14ac:dyDescent="0.3">
      <c r="B44" s="150"/>
      <c r="C44" s="135"/>
      <c r="D44" s="136"/>
      <c r="E44" s="136"/>
      <c r="F44" s="137"/>
      <c r="G44" s="27"/>
      <c r="H44" s="27"/>
      <c r="I44" s="27"/>
      <c r="J44" s="27"/>
      <c r="K44" s="27">
        <v>43586</v>
      </c>
      <c r="L44" s="27"/>
      <c r="M44" s="27"/>
      <c r="N44" s="27"/>
      <c r="P44" s="27"/>
      <c r="Q44" s="27"/>
      <c r="R44" s="27"/>
      <c r="S44" s="27"/>
      <c r="U44" s="27"/>
      <c r="V44" s="27"/>
      <c r="W44" s="27"/>
      <c r="X44" s="27"/>
      <c r="Y44" s="27"/>
      <c r="Z44" s="27"/>
      <c r="AA44" s="27"/>
      <c r="AB44" s="27"/>
      <c r="AC44" s="74"/>
      <c r="AE44" s="27"/>
      <c r="AF44" s="27"/>
      <c r="AG44" s="27"/>
      <c r="AH44" s="27"/>
      <c r="AI44" s="27"/>
      <c r="AJ44" s="27"/>
      <c r="AK44" s="27"/>
      <c r="AL44" s="27"/>
      <c r="AM44" s="27"/>
      <c r="AN44" s="27"/>
      <c r="AO44" s="27"/>
      <c r="AP44" s="27"/>
      <c r="AQ44" s="27"/>
      <c r="AR44" s="27"/>
      <c r="AS44" s="27"/>
      <c r="AT44" s="27"/>
      <c r="AU44" s="27"/>
    </row>
    <row r="45" spans="2:47" x14ac:dyDescent="0.25">
      <c r="B45" s="150"/>
      <c r="C45" s="132" t="s">
        <v>57</v>
      </c>
      <c r="D45" s="133"/>
      <c r="E45" s="133"/>
      <c r="F45" s="134"/>
      <c r="G45" s="13" t="s">
        <v>21</v>
      </c>
      <c r="H45" s="13" t="s">
        <v>17</v>
      </c>
      <c r="I45" s="13" t="s">
        <v>17</v>
      </c>
      <c r="J45" s="13" t="s">
        <v>17</v>
      </c>
      <c r="K45" s="13" t="s">
        <v>17</v>
      </c>
      <c r="L45" s="13" t="s">
        <v>17</v>
      </c>
      <c r="M45" s="13" t="s">
        <v>139</v>
      </c>
      <c r="N45" s="13" t="s">
        <v>18</v>
      </c>
      <c r="P45" s="13" t="s">
        <v>17</v>
      </c>
      <c r="Q45" s="13"/>
      <c r="R45" s="13"/>
      <c r="S45" s="13"/>
      <c r="U45" s="13" t="s">
        <v>17</v>
      </c>
      <c r="V45" s="13" t="s">
        <v>17</v>
      </c>
      <c r="W45" s="13" t="s">
        <v>17</v>
      </c>
      <c r="X45" s="13" t="s">
        <v>17</v>
      </c>
      <c r="Y45" s="13" t="s">
        <v>17</v>
      </c>
      <c r="Z45" s="13" t="s">
        <v>17</v>
      </c>
      <c r="AA45" s="13" t="s">
        <v>17</v>
      </c>
      <c r="AB45" s="13" t="s">
        <v>17</v>
      </c>
      <c r="AC45" s="72"/>
      <c r="AE45" s="13" t="s">
        <v>17</v>
      </c>
      <c r="AF45" s="13" t="s">
        <v>17</v>
      </c>
      <c r="AG45" s="13" t="s">
        <v>17</v>
      </c>
      <c r="AH45" s="13"/>
      <c r="AI45" s="13"/>
      <c r="AJ45" s="13"/>
      <c r="AK45" s="13"/>
      <c r="AL45" s="13"/>
      <c r="AM45" s="13"/>
      <c r="AN45" s="13"/>
      <c r="AO45" s="13"/>
      <c r="AP45" s="13"/>
      <c r="AQ45" s="13"/>
      <c r="AR45" s="13"/>
      <c r="AS45" s="13"/>
      <c r="AT45" s="13" t="s">
        <v>139</v>
      </c>
      <c r="AU45" s="13" t="s">
        <v>139</v>
      </c>
    </row>
    <row r="46" spans="2:47" ht="15.75" hidden="1" customHeight="1" x14ac:dyDescent="0.3">
      <c r="B46" s="150"/>
      <c r="C46" s="135"/>
      <c r="D46" s="136"/>
      <c r="E46" s="136"/>
      <c r="F46" s="137"/>
      <c r="G46" s="27"/>
      <c r="H46" s="27"/>
      <c r="I46" s="27"/>
      <c r="J46" s="27"/>
      <c r="K46" s="27">
        <v>43586</v>
      </c>
      <c r="L46" s="27"/>
      <c r="M46" s="27"/>
      <c r="N46" s="27"/>
      <c r="P46" s="27"/>
      <c r="Q46" s="27"/>
      <c r="R46" s="27"/>
      <c r="S46" s="27"/>
      <c r="U46" s="27"/>
      <c r="V46" s="27"/>
      <c r="W46" s="27"/>
      <c r="X46" s="27"/>
      <c r="Y46" s="27"/>
      <c r="Z46" s="27"/>
      <c r="AA46" s="27"/>
      <c r="AB46" s="27"/>
      <c r="AC46" s="74"/>
      <c r="AE46" s="27"/>
      <c r="AF46" s="27"/>
      <c r="AG46" s="27"/>
      <c r="AH46" s="27"/>
      <c r="AI46" s="27"/>
      <c r="AJ46" s="27"/>
      <c r="AK46" s="27"/>
      <c r="AL46" s="27"/>
      <c r="AM46" s="27"/>
      <c r="AN46" s="27"/>
      <c r="AO46" s="27"/>
      <c r="AP46" s="27"/>
      <c r="AQ46" s="27"/>
      <c r="AR46" s="27"/>
      <c r="AS46" s="27"/>
      <c r="AT46" s="27"/>
      <c r="AU46" s="27"/>
    </row>
    <row r="47" spans="2:47" x14ac:dyDescent="0.25">
      <c r="B47" s="17" t="s">
        <v>61</v>
      </c>
      <c r="C47" s="18" t="s">
        <v>62</v>
      </c>
      <c r="D47" s="19">
        <f>COUNTA(C39:F46)</f>
        <v>4</v>
      </c>
      <c r="E47" s="19" t="s">
        <v>63</v>
      </c>
      <c r="F47" s="19">
        <f>COUNTIF(G23:G46,"X")</f>
        <v>11</v>
      </c>
      <c r="G47" s="20" t="str">
        <f>IF(ISBLANK(G39),"",IF((COUNTIF(G39:G46,"X"))/(COUNTIF(G39:G45,"x")+COUNTIF(G39:G45,"a")+COUNTIF(G39:G45,"t"))=1,_xlfn.UNICHAR(10003),(COUNTIF(G39:G46,"X"))/(COUNTIF(G39:G45,"x")+COUNTIF(G39:G45,"a")+COUNTIF(G39:G45,"t"))))</f>
        <v>✓</v>
      </c>
      <c r="H47" s="20" t="str">
        <f t="shared" ref="H47:AF47" si="29">IF(ISBLANK(H39),"",IF((COUNTIF(H39:H46,"X"))/(COUNTIF(H39:H45,"x")+COUNTIF(H39:H45,"a")+COUNTIF(H39:H45,"t"))=1,_xlfn.UNICHAR(10003),(COUNTIF(H39:H46,"X"))/(COUNTIF(H39:H45,"x")+COUNTIF(H39:H45,"a")+COUNTIF(H39:H45,"t"))))</f>
        <v>✓</v>
      </c>
      <c r="I47" s="20" t="str">
        <f t="shared" si="29"/>
        <v>✓</v>
      </c>
      <c r="J47" s="20" t="str">
        <f t="shared" si="29"/>
        <v>✓</v>
      </c>
      <c r="K47" s="20" t="str">
        <f t="shared" si="29"/>
        <v>✓</v>
      </c>
      <c r="L47" s="20" t="str">
        <f t="shared" si="29"/>
        <v>✓</v>
      </c>
      <c r="M47" s="20">
        <f t="shared" ref="M47:N47" si="30">IF(ISBLANK(M39),"",IF((COUNTIF(M39:M46,"X"))/$D47=1,_xlfn.UNICHAR(10003),(COUNTIF(M39:M46,"X"))/$D47))</f>
        <v>0</v>
      </c>
      <c r="N47" s="20">
        <f t="shared" si="30"/>
        <v>0.5</v>
      </c>
      <c r="P47" s="20" t="str">
        <f t="shared" si="29"/>
        <v>✓</v>
      </c>
      <c r="Q47" s="20" t="str">
        <f t="shared" ref="Q47" si="31">IF(ISBLANK(Q39),"",IF((COUNTIF(Q39:Q46,"X"))/$D47=1,_xlfn.UNICHAR(10003),(COUNTIF(Q39:Q46,"X"))/$D47))</f>
        <v/>
      </c>
      <c r="R47" s="20" t="str">
        <f t="shared" ref="R47:S47" si="32">IF(ISBLANK(R39),"",IF((COUNTIF(R39:R46,"X"))/$D47=1,_xlfn.UNICHAR(10003),(COUNTIF(R39:R46,"X"))/$D47))</f>
        <v/>
      </c>
      <c r="S47" s="20" t="str">
        <f t="shared" si="32"/>
        <v/>
      </c>
      <c r="U47" s="20" t="str">
        <f t="shared" ref="U47:V47" si="33">IF(ISBLANK(U39),"",IF((COUNTIF(U39:U46,"X"))/$D47=1,_xlfn.UNICHAR(10003),(COUNTIF(U39:U46,"X"))/$D47))</f>
        <v>✓</v>
      </c>
      <c r="V47" s="20" t="str">
        <f t="shared" si="33"/>
        <v>✓</v>
      </c>
      <c r="W47" s="20">
        <f>IF(ISBLANK(W39),"",IF((COUNTIF(W39:W46,"X"))/$D47=1,_xlfn.UNICHAR(10003),(COUNTIF(W39:W46,"X"))/$D47))</f>
        <v>0.5</v>
      </c>
      <c r="X47" s="20">
        <f>IF(ISBLANK(X39),"",IF((COUNTIF(X39:X46,"X"))/(COUNTIF(X39:X45,"x")+COUNTIF(X39:X45,"a")+COUNTIF(X39:X45,"t"))=1,_xlfn.UNICHAR(10003),(COUNTIF(X39:X46,"X"))/(COUNTIF(X39:X45,"x")+COUNTIF(X39:X45,"a")+COUNTIF(X39:X45,"t"))))</f>
        <v>0.75</v>
      </c>
      <c r="Y47" s="20" t="str">
        <f t="shared" ref="Y47:AB47" si="34">IF(ISBLANK(Y39),"",IF((COUNTIF(Y39:Y46,"X"))/$D47=1,_xlfn.UNICHAR(10003),(COUNTIF(Y39:Y46,"X"))/$D47))</f>
        <v>✓</v>
      </c>
      <c r="Z47" s="20" t="str">
        <f t="shared" si="34"/>
        <v>✓</v>
      </c>
      <c r="AA47" s="20" t="str">
        <f t="shared" si="34"/>
        <v>✓</v>
      </c>
      <c r="AB47" s="20" t="str">
        <f t="shared" si="34"/>
        <v>✓</v>
      </c>
      <c r="AC47" s="73"/>
      <c r="AE47" s="20" t="str">
        <f t="shared" ref="AE47" si="35">IF(ISBLANK(AE39),"",IF((COUNTIF(AE39:AE46,"X"))/$D47=1,_xlfn.UNICHAR(10003),(COUNTIF(AE39:AE46,"X"))/$D47))</f>
        <v>✓</v>
      </c>
      <c r="AF47" s="20" t="str">
        <f t="shared" si="29"/>
        <v>✓</v>
      </c>
      <c r="AG47" s="20" t="str">
        <f t="shared" ref="AG47:AJ47" si="36">IF(ISBLANK(AG39),"",IF((COUNTIF(AG39:AG46,"X"))/$D47=1,_xlfn.UNICHAR(10003),(COUNTIF(AG39:AG46,"X"))/$D47))</f>
        <v>✓</v>
      </c>
      <c r="AH47" s="20" t="str">
        <f t="shared" si="36"/>
        <v/>
      </c>
      <c r="AI47" s="20" t="str">
        <f t="shared" si="36"/>
        <v/>
      </c>
      <c r="AJ47" s="20" t="str">
        <f t="shared" si="36"/>
        <v/>
      </c>
      <c r="AK47" s="20" t="str">
        <f t="shared" ref="AK47:AL47" si="37">IF(ISBLANK(AK39),"",IF((COUNTIF(AK39:AK46,"X"))/$D47=1,_xlfn.UNICHAR(10003),(COUNTIF(AK39:AK46,"X"))/$D47))</f>
        <v/>
      </c>
      <c r="AL47" s="20" t="str">
        <f t="shared" si="37"/>
        <v/>
      </c>
      <c r="AM47" s="20"/>
      <c r="AN47" s="20"/>
      <c r="AO47" s="20"/>
      <c r="AP47" s="20" t="str">
        <f t="shared" ref="AP47:AR47" si="38">IF(ISBLANK(AP39),"",IF((COUNTIF(AP39:AP46,"X"))/$D47=1,_xlfn.UNICHAR(10003),(COUNTIF(AP39:AP46,"X"))/$D47))</f>
        <v/>
      </c>
      <c r="AQ47" s="20" t="str">
        <f t="shared" ref="AQ47" si="39">IF(ISBLANK(AQ39),"",IF((COUNTIF(AQ39:AQ46,"X"))/$D47=1,_xlfn.UNICHAR(10003),(COUNTIF(AQ39:AQ46,"X"))/$D47))</f>
        <v/>
      </c>
      <c r="AR47" s="20" t="str">
        <f t="shared" si="38"/>
        <v/>
      </c>
      <c r="AS47" s="20" t="str">
        <f t="shared" ref="AS47:AT47" si="40">IF(ISBLANK(AS39),"",IF((COUNTIF(AS39:AS46,"X"))/$D47=1,_xlfn.UNICHAR(10003),(COUNTIF(AS39:AS46,"X"))/$D47))</f>
        <v/>
      </c>
      <c r="AT47" s="20">
        <f t="shared" si="40"/>
        <v>0</v>
      </c>
      <c r="AU47" s="20">
        <f t="shared" ref="AU47" si="41">IF(ISBLANK(AU39),"",IF((COUNTIF(AU39:AU46,"X"))/$D47=1,_xlfn.UNICHAR(10003),(COUNTIF(AU39:AU46,"X"))/$D47))</f>
        <v>0</v>
      </c>
    </row>
    <row r="48" spans="2:47" ht="15" customHeight="1" x14ac:dyDescent="0.25">
      <c r="B48" s="151" t="s">
        <v>45</v>
      </c>
      <c r="C48" s="138" t="s">
        <v>22</v>
      </c>
      <c r="D48" s="154"/>
      <c r="E48" s="154"/>
      <c r="F48" s="155"/>
      <c r="G48" s="13" t="s">
        <v>17</v>
      </c>
      <c r="H48" s="13" t="s">
        <v>17</v>
      </c>
      <c r="I48" s="13" t="s">
        <v>17</v>
      </c>
      <c r="J48" s="13" t="s">
        <v>17</v>
      </c>
      <c r="K48" s="13" t="s">
        <v>17</v>
      </c>
      <c r="L48" s="13" t="s">
        <v>17</v>
      </c>
      <c r="M48" s="13" t="s">
        <v>139</v>
      </c>
      <c r="N48" s="13" t="s">
        <v>17</v>
      </c>
      <c r="P48" s="13" t="s">
        <v>18</v>
      </c>
      <c r="Q48" s="13" t="s">
        <v>17</v>
      </c>
      <c r="R48" s="13" t="s">
        <v>139</v>
      </c>
      <c r="S48" s="13" t="s">
        <v>139</v>
      </c>
      <c r="U48" s="13" t="s">
        <v>17</v>
      </c>
      <c r="V48" s="13" t="s">
        <v>139</v>
      </c>
      <c r="W48" s="13" t="s">
        <v>139</v>
      </c>
      <c r="X48" s="13" t="s">
        <v>17</v>
      </c>
      <c r="Y48" s="13" t="s">
        <v>17</v>
      </c>
      <c r="Z48" s="13" t="s">
        <v>139</v>
      </c>
      <c r="AA48" s="13" t="s">
        <v>17</v>
      </c>
      <c r="AB48" s="13" t="s">
        <v>17</v>
      </c>
      <c r="AC48" s="72"/>
      <c r="AE48" s="13" t="s">
        <v>139</v>
      </c>
      <c r="AF48" s="13" t="s">
        <v>17</v>
      </c>
      <c r="AG48" s="13" t="s">
        <v>17</v>
      </c>
      <c r="AH48" s="13" t="s">
        <v>139</v>
      </c>
      <c r="AI48" s="13" t="s">
        <v>139</v>
      </c>
      <c r="AJ48" s="13" t="s">
        <v>139</v>
      </c>
      <c r="AK48" s="13"/>
      <c r="AL48" s="13"/>
      <c r="AM48" s="13"/>
      <c r="AN48" s="13"/>
      <c r="AO48" s="13"/>
      <c r="AP48" s="13"/>
      <c r="AQ48" s="13" t="s">
        <v>139</v>
      </c>
      <c r="AR48" s="13" t="s">
        <v>139</v>
      </c>
      <c r="AS48" s="13" t="s">
        <v>139</v>
      </c>
      <c r="AT48" s="13" t="s">
        <v>139</v>
      </c>
      <c r="AU48" s="13" t="s">
        <v>139</v>
      </c>
    </row>
    <row r="49" spans="2:47" ht="15.75" hidden="1" customHeight="1" x14ac:dyDescent="0.3">
      <c r="B49" s="152"/>
      <c r="C49" s="156"/>
      <c r="D49" s="157"/>
      <c r="E49" s="157"/>
      <c r="F49" s="158"/>
      <c r="G49" s="27"/>
      <c r="H49" s="27"/>
      <c r="I49" s="27"/>
      <c r="J49" s="27"/>
      <c r="K49" s="27" t="s">
        <v>293</v>
      </c>
      <c r="L49" s="27"/>
      <c r="M49" s="27"/>
      <c r="N49" s="27"/>
      <c r="P49" s="27"/>
      <c r="Q49" s="27"/>
      <c r="R49" s="27"/>
      <c r="S49" s="27"/>
      <c r="U49" s="27"/>
      <c r="V49" s="27"/>
      <c r="W49" s="27"/>
      <c r="X49" s="27"/>
      <c r="Y49" s="27"/>
      <c r="Z49" s="27"/>
      <c r="AA49" s="27"/>
      <c r="AB49" s="27"/>
      <c r="AC49" s="74"/>
      <c r="AE49" s="27"/>
      <c r="AF49" s="27"/>
      <c r="AG49" s="27"/>
      <c r="AH49" s="27"/>
      <c r="AI49" s="27"/>
      <c r="AJ49" s="27"/>
      <c r="AK49" s="27"/>
      <c r="AL49" s="27"/>
      <c r="AM49" s="27"/>
      <c r="AN49" s="27"/>
      <c r="AO49" s="27"/>
      <c r="AP49" s="27"/>
      <c r="AQ49" s="27"/>
      <c r="AR49" s="27"/>
      <c r="AS49" s="27"/>
      <c r="AT49" s="27"/>
      <c r="AU49" s="27"/>
    </row>
    <row r="50" spans="2:47" x14ac:dyDescent="0.25">
      <c r="B50" s="152"/>
      <c r="C50" s="138" t="s">
        <v>68</v>
      </c>
      <c r="D50" s="154"/>
      <c r="E50" s="154"/>
      <c r="F50" s="155"/>
      <c r="G50" s="13" t="s">
        <v>17</v>
      </c>
      <c r="H50" s="13" t="s">
        <v>17</v>
      </c>
      <c r="I50" s="13" t="s">
        <v>17</v>
      </c>
      <c r="J50" s="13" t="s">
        <v>17</v>
      </c>
      <c r="K50" s="13" t="s">
        <v>17</v>
      </c>
      <c r="L50" s="13" t="s">
        <v>17</v>
      </c>
      <c r="M50" s="13" t="s">
        <v>139</v>
      </c>
      <c r="N50" s="13" t="s">
        <v>139</v>
      </c>
      <c r="P50" s="13" t="s">
        <v>18</v>
      </c>
      <c r="Q50" s="13" t="s">
        <v>139</v>
      </c>
      <c r="R50" s="13" t="s">
        <v>139</v>
      </c>
      <c r="S50" s="13" t="s">
        <v>139</v>
      </c>
      <c r="U50" s="13" t="s">
        <v>17</v>
      </c>
      <c r="V50" s="13" t="s">
        <v>139</v>
      </c>
      <c r="W50" s="13" t="s">
        <v>139</v>
      </c>
      <c r="X50" s="13" t="s">
        <v>17</v>
      </c>
      <c r="Y50" s="13" t="s">
        <v>17</v>
      </c>
      <c r="Z50" s="13" t="s">
        <v>18</v>
      </c>
      <c r="AA50" s="13" t="s">
        <v>17</v>
      </c>
      <c r="AB50" s="13" t="s">
        <v>17</v>
      </c>
      <c r="AC50" s="72"/>
      <c r="AE50" s="13" t="s">
        <v>139</v>
      </c>
      <c r="AF50" s="13" t="s">
        <v>17</v>
      </c>
      <c r="AG50" s="13" t="s">
        <v>139</v>
      </c>
      <c r="AH50" s="13" t="s">
        <v>139</v>
      </c>
      <c r="AI50" s="13" t="s">
        <v>18</v>
      </c>
      <c r="AJ50" s="13" t="s">
        <v>139</v>
      </c>
      <c r="AK50" s="13"/>
      <c r="AL50" s="13"/>
      <c r="AM50" s="13"/>
      <c r="AN50" s="13"/>
      <c r="AO50" s="13"/>
      <c r="AP50" s="13"/>
      <c r="AQ50" s="13" t="s">
        <v>139</v>
      </c>
      <c r="AR50" s="13" t="s">
        <v>139</v>
      </c>
      <c r="AS50" s="13" t="s">
        <v>139</v>
      </c>
      <c r="AT50" s="13" t="s">
        <v>139</v>
      </c>
      <c r="AU50" s="13" t="s">
        <v>139</v>
      </c>
    </row>
    <row r="51" spans="2:47" ht="15.75" hidden="1" customHeight="1" x14ac:dyDescent="0.3">
      <c r="B51" s="152"/>
      <c r="C51" s="156"/>
      <c r="D51" s="157"/>
      <c r="E51" s="157"/>
      <c r="F51" s="158"/>
      <c r="G51" s="27"/>
      <c r="H51" s="27"/>
      <c r="I51" s="27"/>
      <c r="J51" s="27"/>
      <c r="K51" s="27">
        <v>44470</v>
      </c>
      <c r="L51" s="27"/>
      <c r="M51" s="27"/>
      <c r="N51" s="27"/>
      <c r="P51" s="27"/>
      <c r="Q51" s="27"/>
      <c r="R51" s="27"/>
      <c r="S51" s="27"/>
      <c r="U51" s="27"/>
      <c r="V51" s="27"/>
      <c r="W51" s="27"/>
      <c r="X51" s="27"/>
      <c r="Y51" s="27"/>
      <c r="Z51" s="27"/>
      <c r="AA51" s="27"/>
      <c r="AB51" s="27"/>
      <c r="AC51" s="74"/>
      <c r="AE51" s="27"/>
      <c r="AF51" s="27"/>
      <c r="AG51" s="27"/>
      <c r="AH51" s="27"/>
      <c r="AI51" s="27"/>
      <c r="AJ51" s="27"/>
      <c r="AK51" s="27"/>
      <c r="AL51" s="27"/>
      <c r="AM51" s="27"/>
      <c r="AN51" s="27"/>
      <c r="AO51" s="27"/>
      <c r="AP51" s="27"/>
      <c r="AQ51" s="27"/>
      <c r="AR51" s="27"/>
      <c r="AS51" s="27"/>
      <c r="AT51" s="27"/>
      <c r="AU51" s="27"/>
    </row>
    <row r="52" spans="2:47" x14ac:dyDescent="0.25">
      <c r="B52" s="152"/>
      <c r="C52" s="138" t="s">
        <v>69</v>
      </c>
      <c r="D52" s="139"/>
      <c r="E52" s="139"/>
      <c r="F52" s="140"/>
      <c r="G52" s="13" t="s">
        <v>17</v>
      </c>
      <c r="H52" s="13" t="s">
        <v>17</v>
      </c>
      <c r="I52" s="13" t="s">
        <v>17</v>
      </c>
      <c r="J52" s="13" t="s">
        <v>17</v>
      </c>
      <c r="K52" s="13" t="s">
        <v>17</v>
      </c>
      <c r="L52" s="13" t="s">
        <v>17</v>
      </c>
      <c r="M52" s="13" t="s">
        <v>139</v>
      </c>
      <c r="N52" s="13" t="s">
        <v>139</v>
      </c>
      <c r="P52" s="13" t="s">
        <v>18</v>
      </c>
      <c r="Q52" s="13" t="s">
        <v>139</v>
      </c>
      <c r="R52" s="13" t="s">
        <v>139</v>
      </c>
      <c r="S52" s="13" t="s">
        <v>139</v>
      </c>
      <c r="U52" s="13" t="s">
        <v>17</v>
      </c>
      <c r="V52" s="13" t="s">
        <v>139</v>
      </c>
      <c r="W52" s="13" t="s">
        <v>139</v>
      </c>
      <c r="X52" s="13" t="s">
        <v>17</v>
      </c>
      <c r="Y52" s="13" t="s">
        <v>17</v>
      </c>
      <c r="Z52" s="13" t="s">
        <v>18</v>
      </c>
      <c r="AA52" s="13" t="s">
        <v>17</v>
      </c>
      <c r="AB52" s="13" t="s">
        <v>18</v>
      </c>
      <c r="AC52" s="72"/>
      <c r="AE52" s="13" t="s">
        <v>139</v>
      </c>
      <c r="AF52" s="13" t="s">
        <v>17</v>
      </c>
      <c r="AG52" s="13" t="s">
        <v>139</v>
      </c>
      <c r="AH52" s="13" t="s">
        <v>139</v>
      </c>
      <c r="AI52" s="13" t="s">
        <v>139</v>
      </c>
      <c r="AJ52" s="13" t="s">
        <v>139</v>
      </c>
      <c r="AK52" s="13"/>
      <c r="AL52" s="13"/>
      <c r="AM52" s="13"/>
      <c r="AN52" s="13"/>
      <c r="AO52" s="13"/>
      <c r="AP52" s="13"/>
      <c r="AQ52" s="13" t="s">
        <v>139</v>
      </c>
      <c r="AR52" s="13" t="s">
        <v>139</v>
      </c>
      <c r="AS52" s="13" t="s">
        <v>139</v>
      </c>
      <c r="AT52" s="13" t="s">
        <v>139</v>
      </c>
      <c r="AU52" s="13" t="s">
        <v>139</v>
      </c>
    </row>
    <row r="53" spans="2:47" ht="15.75" hidden="1" customHeight="1" x14ac:dyDescent="0.3">
      <c r="B53" s="152"/>
      <c r="C53" s="141"/>
      <c r="D53" s="142"/>
      <c r="E53" s="142"/>
      <c r="F53" s="143"/>
      <c r="G53" s="27"/>
      <c r="H53" s="27"/>
      <c r="I53" s="27"/>
      <c r="J53" s="27"/>
      <c r="K53" s="27">
        <v>44896</v>
      </c>
      <c r="L53" s="27"/>
      <c r="M53" s="27"/>
      <c r="N53" s="27"/>
      <c r="P53" s="27"/>
      <c r="Q53" s="27"/>
      <c r="R53" s="27"/>
      <c r="S53" s="27"/>
      <c r="U53" s="27"/>
      <c r="V53" s="27"/>
      <c r="W53" s="27"/>
      <c r="X53" s="27"/>
      <c r="Y53" s="27"/>
      <c r="Z53" s="27"/>
      <c r="AA53" s="27"/>
      <c r="AB53" s="27"/>
      <c r="AC53" s="74"/>
      <c r="AE53" s="27"/>
      <c r="AF53" s="27"/>
      <c r="AG53" s="27"/>
      <c r="AH53" s="27"/>
      <c r="AI53" s="27"/>
      <c r="AJ53" s="27"/>
      <c r="AK53" s="27"/>
      <c r="AL53" s="27"/>
      <c r="AM53" s="27"/>
      <c r="AN53" s="27"/>
      <c r="AO53" s="27"/>
      <c r="AP53" s="27"/>
      <c r="AQ53" s="27"/>
      <c r="AR53" s="27"/>
      <c r="AS53" s="27"/>
      <c r="AT53" s="27"/>
      <c r="AU53" s="27"/>
    </row>
    <row r="54" spans="2:47" x14ac:dyDescent="0.25">
      <c r="B54" s="152"/>
      <c r="C54" s="138" t="s">
        <v>70</v>
      </c>
      <c r="D54" s="139"/>
      <c r="E54" s="139"/>
      <c r="F54" s="140"/>
      <c r="G54" s="13" t="s">
        <v>17</v>
      </c>
      <c r="H54" s="13" t="s">
        <v>17</v>
      </c>
      <c r="I54" s="13" t="s">
        <v>17</v>
      </c>
      <c r="J54" s="13" t="s">
        <v>17</v>
      </c>
      <c r="K54" s="13" t="s">
        <v>17</v>
      </c>
      <c r="L54" s="13" t="s">
        <v>17</v>
      </c>
      <c r="M54" s="13" t="s">
        <v>139</v>
      </c>
      <c r="N54" s="13" t="s">
        <v>139</v>
      </c>
      <c r="P54" s="13" t="s">
        <v>18</v>
      </c>
      <c r="Q54" s="13" t="s">
        <v>18</v>
      </c>
      <c r="R54" s="13" t="s">
        <v>18</v>
      </c>
      <c r="S54" s="13" t="s">
        <v>139</v>
      </c>
      <c r="U54" s="13" t="s">
        <v>17</v>
      </c>
      <c r="V54" s="13" t="s">
        <v>139</v>
      </c>
      <c r="W54" s="13" t="s">
        <v>139</v>
      </c>
      <c r="X54" s="13" t="s">
        <v>17</v>
      </c>
      <c r="Y54" s="13" t="s">
        <v>17</v>
      </c>
      <c r="Z54" s="13" t="s">
        <v>18</v>
      </c>
      <c r="AA54" s="13" t="s">
        <v>17</v>
      </c>
      <c r="AB54" s="13" t="s">
        <v>18</v>
      </c>
      <c r="AC54" s="72"/>
      <c r="AE54" s="13" t="s">
        <v>139</v>
      </c>
      <c r="AF54" s="13" t="s">
        <v>17</v>
      </c>
      <c r="AG54" s="13" t="s">
        <v>139</v>
      </c>
      <c r="AH54" s="13" t="s">
        <v>139</v>
      </c>
      <c r="AI54" s="13" t="s">
        <v>139</v>
      </c>
      <c r="AJ54" s="13" t="s">
        <v>139</v>
      </c>
      <c r="AK54" s="13"/>
      <c r="AL54" s="13"/>
      <c r="AM54" s="13"/>
      <c r="AN54" s="13"/>
      <c r="AO54" s="13"/>
      <c r="AP54" s="13"/>
      <c r="AQ54" s="13" t="s">
        <v>139</v>
      </c>
      <c r="AR54" s="13" t="s">
        <v>139</v>
      </c>
      <c r="AS54" s="13" t="s">
        <v>139</v>
      </c>
      <c r="AT54" s="13" t="s">
        <v>139</v>
      </c>
      <c r="AU54" s="13" t="s">
        <v>139</v>
      </c>
    </row>
    <row r="55" spans="2:47" ht="15.75" hidden="1" customHeight="1" x14ac:dyDescent="0.3">
      <c r="B55" s="152"/>
      <c r="C55" s="141"/>
      <c r="D55" s="142"/>
      <c r="E55" s="142"/>
      <c r="F55" s="143"/>
      <c r="G55" s="27"/>
      <c r="H55" s="27"/>
      <c r="I55" s="27"/>
      <c r="J55" s="27"/>
      <c r="K55" s="27" t="s">
        <v>293</v>
      </c>
      <c r="L55" s="27"/>
      <c r="M55" s="27"/>
      <c r="N55" s="27"/>
      <c r="P55" s="27"/>
      <c r="Q55" s="27"/>
      <c r="R55" s="27"/>
      <c r="S55" s="27"/>
      <c r="U55" s="27"/>
      <c r="V55" s="27"/>
      <c r="W55" s="27"/>
      <c r="X55" s="27"/>
      <c r="Y55" s="27"/>
      <c r="Z55" s="27"/>
      <c r="AA55" s="27"/>
      <c r="AB55" s="27"/>
      <c r="AC55" s="74"/>
      <c r="AE55" s="27"/>
      <c r="AF55" s="27"/>
      <c r="AG55" s="27"/>
      <c r="AH55" s="27"/>
      <c r="AI55" s="27"/>
      <c r="AJ55" s="27"/>
      <c r="AK55" s="27"/>
      <c r="AL55" s="27"/>
      <c r="AM55" s="27"/>
      <c r="AN55" s="27"/>
      <c r="AO55" s="27"/>
      <c r="AP55" s="27"/>
      <c r="AQ55" s="27"/>
      <c r="AR55" s="27"/>
      <c r="AS55" s="27"/>
      <c r="AT55" s="27"/>
      <c r="AU55" s="27"/>
    </row>
    <row r="56" spans="2:47" x14ac:dyDescent="0.25">
      <c r="B56" s="152"/>
      <c r="C56" s="138" t="s">
        <v>71</v>
      </c>
      <c r="D56" s="139"/>
      <c r="E56" s="139"/>
      <c r="F56" s="140"/>
      <c r="G56" s="13" t="s">
        <v>17</v>
      </c>
      <c r="H56" s="13" t="s">
        <v>17</v>
      </c>
      <c r="I56" s="13" t="s">
        <v>17</v>
      </c>
      <c r="J56" s="13" t="s">
        <v>17</v>
      </c>
      <c r="K56" s="13" t="s">
        <v>17</v>
      </c>
      <c r="L56" s="13" t="s">
        <v>17</v>
      </c>
      <c r="M56" s="13" t="s">
        <v>139</v>
      </c>
      <c r="N56" s="13" t="s">
        <v>17</v>
      </c>
      <c r="P56" s="13" t="s">
        <v>18</v>
      </c>
      <c r="Q56" s="13" t="s">
        <v>17</v>
      </c>
      <c r="R56" s="13" t="s">
        <v>17</v>
      </c>
      <c r="S56" s="13" t="s">
        <v>139</v>
      </c>
      <c r="U56" s="13" t="s">
        <v>17</v>
      </c>
      <c r="V56" s="13" t="s">
        <v>17</v>
      </c>
      <c r="W56" s="13" t="s">
        <v>17</v>
      </c>
      <c r="X56" s="13" t="s">
        <v>17</v>
      </c>
      <c r="Y56" s="13" t="s">
        <v>17</v>
      </c>
      <c r="Z56" s="13" t="s">
        <v>17</v>
      </c>
      <c r="AA56" s="13" t="s">
        <v>17</v>
      </c>
      <c r="AB56" s="13" t="s">
        <v>17</v>
      </c>
      <c r="AC56" s="72"/>
      <c r="AE56" s="13" t="s">
        <v>17</v>
      </c>
      <c r="AF56" s="13" t="s">
        <v>17</v>
      </c>
      <c r="AG56" s="13" t="s">
        <v>17</v>
      </c>
      <c r="AH56" s="13" t="s">
        <v>139</v>
      </c>
      <c r="AI56" s="13" t="s">
        <v>139</v>
      </c>
      <c r="AJ56" s="13" t="s">
        <v>139</v>
      </c>
      <c r="AK56" s="13"/>
      <c r="AL56" s="13"/>
      <c r="AM56" s="13"/>
      <c r="AN56" s="13"/>
      <c r="AO56" s="13"/>
      <c r="AP56" s="13"/>
      <c r="AQ56" s="13" t="s">
        <v>139</v>
      </c>
      <c r="AR56" s="13" t="s">
        <v>139</v>
      </c>
      <c r="AS56" s="13" t="s">
        <v>139</v>
      </c>
      <c r="AT56" s="13" t="s">
        <v>139</v>
      </c>
      <c r="AU56" s="13" t="s">
        <v>139</v>
      </c>
    </row>
    <row r="57" spans="2:47" ht="15.75" hidden="1" customHeight="1" x14ac:dyDescent="0.3">
      <c r="B57" s="152"/>
      <c r="C57" s="141"/>
      <c r="D57" s="142"/>
      <c r="E57" s="142"/>
      <c r="F57" s="143"/>
      <c r="G57" s="27"/>
      <c r="H57" s="27"/>
      <c r="I57" s="27"/>
      <c r="J57" s="27"/>
      <c r="K57" s="27" t="s">
        <v>293</v>
      </c>
      <c r="L57" s="27"/>
      <c r="M57" s="27"/>
      <c r="N57" s="27"/>
      <c r="P57" s="27"/>
      <c r="Q57" s="27"/>
      <c r="R57" s="27"/>
      <c r="S57" s="27"/>
      <c r="U57" s="27"/>
      <c r="V57" s="27"/>
      <c r="W57" s="27"/>
      <c r="X57" s="27"/>
      <c r="Y57" s="27"/>
      <c r="Z57" s="27"/>
      <c r="AA57" s="27"/>
      <c r="AB57" s="27"/>
      <c r="AC57" s="74"/>
      <c r="AE57" s="27"/>
      <c r="AF57" s="27"/>
      <c r="AG57" s="27"/>
      <c r="AH57" s="27"/>
      <c r="AI57" s="27"/>
      <c r="AJ57" s="27"/>
      <c r="AK57" s="27"/>
      <c r="AL57" s="27"/>
      <c r="AM57" s="27"/>
      <c r="AN57" s="27"/>
      <c r="AO57" s="27"/>
      <c r="AP57" s="27"/>
      <c r="AQ57" s="27"/>
      <c r="AR57" s="27"/>
      <c r="AS57" s="27"/>
      <c r="AT57" s="27"/>
      <c r="AU57" s="27"/>
    </row>
    <row r="58" spans="2:47" x14ac:dyDescent="0.25">
      <c r="B58" s="152"/>
      <c r="C58" s="138" t="s">
        <v>72</v>
      </c>
      <c r="D58" s="139"/>
      <c r="E58" s="139"/>
      <c r="F58" s="140"/>
      <c r="G58" s="13" t="s">
        <v>17</v>
      </c>
      <c r="H58" s="13" t="s">
        <v>17</v>
      </c>
      <c r="I58" s="13" t="s">
        <v>17</v>
      </c>
      <c r="J58" s="13" t="s">
        <v>17</v>
      </c>
      <c r="K58" s="13" t="s">
        <v>17</v>
      </c>
      <c r="L58" s="13" t="s">
        <v>17</v>
      </c>
      <c r="M58" s="13" t="s">
        <v>139</v>
      </c>
      <c r="N58" s="13" t="s">
        <v>139</v>
      </c>
      <c r="P58" s="13" t="s">
        <v>18</v>
      </c>
      <c r="Q58" s="13" t="s">
        <v>139</v>
      </c>
      <c r="R58" s="13" t="s">
        <v>139</v>
      </c>
      <c r="S58" s="13" t="s">
        <v>139</v>
      </c>
      <c r="U58" s="13" t="s">
        <v>17</v>
      </c>
      <c r="V58" s="13" t="s">
        <v>139</v>
      </c>
      <c r="W58" s="13" t="s">
        <v>17</v>
      </c>
      <c r="X58" s="13" t="s">
        <v>17</v>
      </c>
      <c r="Y58" s="13" t="s">
        <v>18</v>
      </c>
      <c r="Z58" s="13" t="s">
        <v>139</v>
      </c>
      <c r="AA58" s="13" t="s">
        <v>17</v>
      </c>
      <c r="AB58" s="13" t="s">
        <v>17</v>
      </c>
      <c r="AC58" s="72"/>
      <c r="AE58" s="13" t="s">
        <v>139</v>
      </c>
      <c r="AF58" s="13" t="s">
        <v>17</v>
      </c>
      <c r="AG58" s="13" t="s">
        <v>17</v>
      </c>
      <c r="AH58" s="13" t="s">
        <v>139</v>
      </c>
      <c r="AI58" s="13" t="s">
        <v>139</v>
      </c>
      <c r="AJ58" s="13" t="s">
        <v>139</v>
      </c>
      <c r="AK58" s="13"/>
      <c r="AL58" s="13"/>
      <c r="AM58" s="13"/>
      <c r="AN58" s="13"/>
      <c r="AO58" s="13"/>
      <c r="AP58" s="13"/>
      <c r="AQ58" s="13" t="s">
        <v>139</v>
      </c>
      <c r="AR58" s="13" t="s">
        <v>139</v>
      </c>
      <c r="AS58" s="13" t="s">
        <v>139</v>
      </c>
      <c r="AT58" s="13" t="s">
        <v>139</v>
      </c>
      <c r="AU58" s="13" t="s">
        <v>139</v>
      </c>
    </row>
    <row r="59" spans="2:47" ht="15.75" hidden="1" customHeight="1" x14ac:dyDescent="0.3">
      <c r="B59" s="153"/>
      <c r="C59" s="141"/>
      <c r="D59" s="142"/>
      <c r="E59" s="142"/>
      <c r="F59" s="143"/>
      <c r="G59" s="27"/>
      <c r="H59" s="27"/>
      <c r="I59" s="27"/>
      <c r="J59" s="27"/>
      <c r="K59" s="27" t="s">
        <v>293</v>
      </c>
      <c r="L59" s="27"/>
      <c r="M59" s="27"/>
      <c r="N59" s="27"/>
      <c r="P59" s="27"/>
      <c r="Q59" s="27"/>
      <c r="R59" s="27"/>
      <c r="S59" s="27"/>
      <c r="U59" s="27"/>
      <c r="V59" s="27"/>
      <c r="W59" s="27"/>
      <c r="X59" s="27"/>
      <c r="Y59" s="27"/>
      <c r="Z59" s="27"/>
      <c r="AA59" s="27"/>
      <c r="AB59" s="27"/>
      <c r="AC59" s="74"/>
      <c r="AE59" s="27"/>
      <c r="AF59" s="27"/>
      <c r="AG59" s="27"/>
      <c r="AH59" s="27"/>
      <c r="AI59" s="27"/>
      <c r="AJ59" s="27"/>
      <c r="AK59" s="27"/>
      <c r="AL59" s="27"/>
      <c r="AM59" s="27"/>
      <c r="AN59" s="27"/>
      <c r="AO59" s="27"/>
      <c r="AP59" s="27"/>
      <c r="AQ59" s="27"/>
      <c r="AR59" s="27"/>
      <c r="AS59" s="27"/>
      <c r="AT59" s="27"/>
      <c r="AU59" s="27"/>
    </row>
    <row r="60" spans="2:47" x14ac:dyDescent="0.25">
      <c r="B60" s="78"/>
      <c r="C60" s="86" t="s">
        <v>30</v>
      </c>
      <c r="D60" s="144"/>
      <c r="E60" s="144"/>
      <c r="F60" s="145"/>
      <c r="G60" s="13" t="s">
        <v>17</v>
      </c>
      <c r="H60" s="13" t="s">
        <v>17</v>
      </c>
      <c r="I60" s="13" t="s">
        <v>17</v>
      </c>
      <c r="J60" s="13" t="s">
        <v>17</v>
      </c>
      <c r="K60" s="13" t="s">
        <v>17</v>
      </c>
      <c r="L60" s="13" t="s">
        <v>17</v>
      </c>
      <c r="M60" s="13" t="s">
        <v>18</v>
      </c>
      <c r="N60" s="13" t="s">
        <v>17</v>
      </c>
      <c r="P60" s="13" t="s">
        <v>17</v>
      </c>
      <c r="Q60" s="13" t="s">
        <v>17</v>
      </c>
      <c r="R60" s="13" t="s">
        <v>17</v>
      </c>
      <c r="S60" s="13" t="s">
        <v>139</v>
      </c>
      <c r="U60" s="13" t="s">
        <v>17</v>
      </c>
      <c r="V60" s="13" t="s">
        <v>17</v>
      </c>
      <c r="W60" s="13" t="s">
        <v>17</v>
      </c>
      <c r="X60" s="13" t="s">
        <v>17</v>
      </c>
      <c r="Y60" s="13" t="s">
        <v>17</v>
      </c>
      <c r="Z60" s="13" t="s">
        <v>17</v>
      </c>
      <c r="AA60" s="13" t="s">
        <v>17</v>
      </c>
      <c r="AB60" s="13" t="s">
        <v>17</v>
      </c>
      <c r="AC60" s="72"/>
      <c r="AE60" s="13" t="s">
        <v>17</v>
      </c>
      <c r="AF60" s="13" t="s">
        <v>17</v>
      </c>
      <c r="AG60" s="13" t="s">
        <v>17</v>
      </c>
      <c r="AH60" s="13" t="s">
        <v>139</v>
      </c>
      <c r="AI60" s="13" t="s">
        <v>18</v>
      </c>
      <c r="AJ60" s="13" t="s">
        <v>139</v>
      </c>
      <c r="AK60" s="13" t="s">
        <v>139</v>
      </c>
      <c r="AL60" s="13" t="s">
        <v>139</v>
      </c>
      <c r="AM60" s="13"/>
      <c r="AN60" s="13"/>
      <c r="AO60" s="13"/>
      <c r="AP60" s="13"/>
      <c r="AQ60" s="13" t="s">
        <v>139</v>
      </c>
      <c r="AR60" s="13" t="s">
        <v>139</v>
      </c>
      <c r="AS60" s="13" t="s">
        <v>139</v>
      </c>
      <c r="AT60" s="13" t="s">
        <v>139</v>
      </c>
      <c r="AU60" s="13" t="s">
        <v>139</v>
      </c>
    </row>
    <row r="61" spans="2:47" ht="15.75" hidden="1" customHeight="1" x14ac:dyDescent="0.3">
      <c r="B61" s="78"/>
      <c r="C61" s="146"/>
      <c r="D61" s="147"/>
      <c r="E61" s="147"/>
      <c r="F61" s="148"/>
      <c r="G61" s="27"/>
      <c r="H61" s="27"/>
      <c r="I61" s="27"/>
      <c r="J61" s="27"/>
      <c r="K61" s="27">
        <v>43252</v>
      </c>
      <c r="L61" s="27"/>
      <c r="M61" s="27"/>
      <c r="N61" s="27"/>
      <c r="P61" s="27"/>
      <c r="Q61" s="27"/>
      <c r="R61" s="27"/>
      <c r="S61" s="27"/>
      <c r="U61" s="27"/>
      <c r="V61" s="27"/>
      <c r="W61" s="27"/>
      <c r="X61" s="27"/>
      <c r="Y61" s="27"/>
      <c r="Z61" s="27"/>
      <c r="AA61" s="27"/>
      <c r="AB61" s="27"/>
      <c r="AC61" s="74"/>
      <c r="AE61" s="27"/>
      <c r="AF61" s="27"/>
      <c r="AG61" s="27"/>
      <c r="AH61" s="27"/>
      <c r="AI61" s="27"/>
      <c r="AJ61" s="27"/>
      <c r="AK61" s="27"/>
      <c r="AL61" s="13"/>
      <c r="AM61" s="27"/>
      <c r="AN61" s="27"/>
      <c r="AO61" s="27"/>
      <c r="AP61" s="27"/>
      <c r="AQ61" s="27"/>
      <c r="AR61" s="27"/>
      <c r="AS61" s="27"/>
      <c r="AT61" s="27"/>
      <c r="AU61" s="27"/>
    </row>
    <row r="62" spans="2:47" x14ac:dyDescent="0.25">
      <c r="B62" s="17" t="s">
        <v>61</v>
      </c>
      <c r="C62" s="18" t="s">
        <v>62</v>
      </c>
      <c r="D62" s="19">
        <f>COUNTA(C48:F61)</f>
        <v>7</v>
      </c>
      <c r="E62" s="19" t="s">
        <v>63</v>
      </c>
      <c r="F62" s="19">
        <f>COUNTIF(G36:G59,"X")</f>
        <v>11</v>
      </c>
      <c r="G62" s="20" t="str">
        <f>IF(ISBLANK(G48),"",IF((COUNTIF(G48:G60,"X"))/(COUNTIF(G48:G60,"x")+COUNTIF(G48:G60,"a")+COUNTIF(G48:G60,"t"))=1,_xlfn.UNICHAR(10003),(COUNTIF(G48:G60,"X"))/(COUNTIF(G48:G60,"x")+COUNTIF(G48:G60,"a")+COUNTIF(G48:G60,"t"))))</f>
        <v>✓</v>
      </c>
      <c r="H62" s="20" t="str">
        <f t="shared" ref="H62:N62" si="42">IF(ISBLANK(H48),"",IF((COUNTIF(H48:H60,"X"))/(COUNTIF(H48:H60,"x")+COUNTIF(H48:H60,"a")+COUNTIF(H48:H60,"t"))=1,_xlfn.UNICHAR(10003),(COUNTIF(H48:H60,"X"))/(COUNTIF(H48:H60,"x")+COUNTIF(H48:H60,"a")+COUNTIF(H48:H60,"t"))))</f>
        <v>✓</v>
      </c>
      <c r="I62" s="20" t="str">
        <f t="shared" si="42"/>
        <v>✓</v>
      </c>
      <c r="J62" s="20" t="str">
        <f t="shared" si="42"/>
        <v>✓</v>
      </c>
      <c r="K62" s="20" t="str">
        <f t="shared" si="42"/>
        <v>✓</v>
      </c>
      <c r="L62" s="20" t="str">
        <f t="shared" si="42"/>
        <v>✓</v>
      </c>
      <c r="M62" s="20">
        <f t="shared" si="42"/>
        <v>0</v>
      </c>
      <c r="N62" s="20">
        <f t="shared" si="42"/>
        <v>0.42857142857142855</v>
      </c>
      <c r="P62" s="20">
        <f>IF(ISBLANK(P48),"",IF((COUNTIF(P48:P61,"X"))/$D62=1,_xlfn.UNICHAR(10003),(COUNTIF(P48:P61,"X"))/$D62))</f>
        <v>0.14285714285714285</v>
      </c>
      <c r="Q62" s="20">
        <f t="shared" ref="Q62:S62" si="43">IF(ISBLANK(Q48),"",IF((COUNTIF(Q48:Q61,"X"))/$D62=1,_xlfn.UNICHAR(10003),(COUNTIF(Q48:Q61,"X"))/$D62))</f>
        <v>0.42857142857142855</v>
      </c>
      <c r="R62" s="20">
        <f t="shared" si="43"/>
        <v>0.2857142857142857</v>
      </c>
      <c r="S62" s="20">
        <f t="shared" si="43"/>
        <v>0</v>
      </c>
      <c r="U62" s="20" t="str">
        <f>IF(ISBLANK(U48),"",IF((COUNTIF(U48:U61,"X"))/$D62=1,_xlfn.UNICHAR(10003),(COUNTIF(U48:U61,"X"))/$D62))</f>
        <v>✓</v>
      </c>
      <c r="V62" s="20">
        <f t="shared" ref="V62:AB62" si="44">IF(ISBLANK(V48),"",IF((COUNTIF(V48:V61,"X"))/$D62=1,_xlfn.UNICHAR(10003),(COUNTIF(V48:V61,"X"))/$D62))</f>
        <v>0.2857142857142857</v>
      </c>
      <c r="W62" s="20">
        <f t="shared" si="44"/>
        <v>0.42857142857142855</v>
      </c>
      <c r="X62" s="20" t="str">
        <f t="shared" si="44"/>
        <v>✓</v>
      </c>
      <c r="Y62" s="20">
        <f t="shared" si="44"/>
        <v>0.8571428571428571</v>
      </c>
      <c r="Z62" s="20">
        <f t="shared" si="44"/>
        <v>0.2857142857142857</v>
      </c>
      <c r="AA62" s="20" t="str">
        <f t="shared" si="44"/>
        <v>✓</v>
      </c>
      <c r="AB62" s="20">
        <f t="shared" si="44"/>
        <v>0.7142857142857143</v>
      </c>
      <c r="AC62" s="73"/>
      <c r="AE62" s="20">
        <f>IF(ISBLANK(AE48),"",IF((COUNTIF(AE48:AE61,"X"))/$D62=1,_xlfn.UNICHAR(10003),(COUNTIF(AE48:AE61,"X"))/$D62))</f>
        <v>0.2857142857142857</v>
      </c>
      <c r="AF62" s="20" t="str">
        <f t="shared" ref="AF62:AJ62" si="45">IF(ISBLANK(AF48),"",IF((COUNTIF(AF48:AF61,"X"))/$D62=1,_xlfn.UNICHAR(10003),(COUNTIF(AF48:AF61,"X"))/$D62))</f>
        <v>✓</v>
      </c>
      <c r="AG62" s="20">
        <f t="shared" si="45"/>
        <v>0.5714285714285714</v>
      </c>
      <c r="AH62" s="20">
        <f t="shared" si="45"/>
        <v>0</v>
      </c>
      <c r="AI62" s="20">
        <f t="shared" si="45"/>
        <v>0</v>
      </c>
      <c r="AJ62" s="20">
        <f t="shared" si="45"/>
        <v>0</v>
      </c>
      <c r="AK62" s="20" t="str">
        <f>IF(ISBLANK(AK48),"",IF((COUNTIF(AK48:AK61,"X"))/$D62=1,_xlfn.UNICHAR(10003),(COUNTIF(AK48:AK61,"X"))/$D62))</f>
        <v/>
      </c>
      <c r="AL62" s="20" t="str">
        <f t="shared" ref="AL62" si="46">IF(ISBLANK(AL48),"",IF((COUNTIF(AL48:AL61,"X"))/$D62=1,_xlfn.UNICHAR(10003),(COUNTIF(AL48:AL61,"X"))/$D62))</f>
        <v/>
      </c>
      <c r="AM62" s="20"/>
      <c r="AN62" s="20"/>
      <c r="AO62" s="20"/>
      <c r="AP62" s="20" t="str">
        <f t="shared" ref="AP62" si="47">IF(ISBLANK(AP48),"",IF((COUNTIF(AP48:AP59,"X"))/$D62=1,_xlfn.UNICHAR(10003),(COUNTIF(AP48:AP59,"X"))/$D62))</f>
        <v/>
      </c>
      <c r="AQ62" s="20">
        <f>IF(ISBLANK(AQ48),"",IF((COUNTIF(AQ48:AQ61,"X"))/$D62=1,_xlfn.UNICHAR(10003),(COUNTIF(AQ48:AQ61,"X"))/$D62))</f>
        <v>0</v>
      </c>
      <c r="AR62" s="20">
        <f t="shared" ref="AR62:AU62" si="48">IF(ISBLANK(AR48),"",IF((COUNTIF(AR48:AR61,"X"))/$D62=1,_xlfn.UNICHAR(10003),(COUNTIF(AR48:AR61,"X"))/$D62))</f>
        <v>0</v>
      </c>
      <c r="AS62" s="20">
        <f t="shared" si="48"/>
        <v>0</v>
      </c>
      <c r="AT62" s="20">
        <f t="shared" si="48"/>
        <v>0</v>
      </c>
      <c r="AU62" s="20">
        <f t="shared" si="48"/>
        <v>0</v>
      </c>
    </row>
    <row r="63" spans="2:47" x14ac:dyDescent="0.25">
      <c r="B63" s="116" t="s">
        <v>73</v>
      </c>
      <c r="C63" s="120" t="s">
        <v>74</v>
      </c>
      <c r="D63" s="121"/>
      <c r="E63" s="121"/>
      <c r="F63" s="122"/>
      <c r="G63" s="13" t="s">
        <v>17</v>
      </c>
      <c r="H63" s="13" t="s">
        <v>17</v>
      </c>
      <c r="I63" s="13" t="s">
        <v>17</v>
      </c>
      <c r="J63" s="13" t="s">
        <v>139</v>
      </c>
      <c r="K63" s="13" t="s">
        <v>17</v>
      </c>
      <c r="L63" s="13" t="s">
        <v>17</v>
      </c>
      <c r="M63" s="13" t="s">
        <v>17</v>
      </c>
      <c r="N63" s="13" t="s">
        <v>17</v>
      </c>
      <c r="P63" s="13"/>
      <c r="Q63" s="13"/>
      <c r="R63" s="13"/>
      <c r="S63" s="13"/>
      <c r="U63" s="13" t="s">
        <v>139</v>
      </c>
      <c r="V63" s="13" t="s">
        <v>139</v>
      </c>
      <c r="W63" s="13" t="s">
        <v>139</v>
      </c>
      <c r="X63" s="13" t="s">
        <v>139</v>
      </c>
      <c r="Y63" s="13" t="s">
        <v>139</v>
      </c>
      <c r="Z63" s="13" t="s">
        <v>139</v>
      </c>
      <c r="AA63" s="13"/>
      <c r="AB63" s="13" t="s">
        <v>139</v>
      </c>
      <c r="AC63" s="72"/>
      <c r="AE63" s="13"/>
      <c r="AF63" s="13"/>
      <c r="AG63" s="13"/>
      <c r="AH63" s="13"/>
      <c r="AI63" s="13"/>
      <c r="AJ63" s="13"/>
      <c r="AK63" s="13"/>
      <c r="AL63" s="13"/>
      <c r="AM63" s="13"/>
      <c r="AN63" s="13"/>
      <c r="AO63" s="13"/>
      <c r="AP63" s="13"/>
      <c r="AQ63" s="13"/>
      <c r="AR63" s="13"/>
      <c r="AS63" s="13"/>
      <c r="AT63" s="13" t="s">
        <v>139</v>
      </c>
      <c r="AU63" s="13" t="s">
        <v>139</v>
      </c>
    </row>
    <row r="64" spans="2:47" ht="15.75" hidden="1" customHeight="1" x14ac:dyDescent="0.3">
      <c r="B64" s="117"/>
      <c r="C64" s="123"/>
      <c r="D64" s="124"/>
      <c r="E64" s="124"/>
      <c r="F64" s="125"/>
      <c r="G64" s="27"/>
      <c r="H64" s="27"/>
      <c r="I64" s="27"/>
      <c r="J64" s="27"/>
      <c r="K64" s="27">
        <v>44562</v>
      </c>
      <c r="L64" s="27"/>
      <c r="M64" s="27"/>
      <c r="N64" s="27"/>
      <c r="P64" s="27"/>
      <c r="Q64" s="27"/>
      <c r="R64" s="27"/>
      <c r="S64" s="27"/>
      <c r="U64" s="27"/>
      <c r="V64" s="27"/>
      <c r="W64" s="27"/>
      <c r="X64" s="27"/>
      <c r="Y64" s="27"/>
      <c r="Z64" s="27"/>
      <c r="AA64" s="27"/>
      <c r="AB64" s="27"/>
      <c r="AC64" s="74"/>
      <c r="AE64" s="27"/>
      <c r="AF64" s="27"/>
      <c r="AG64" s="27"/>
      <c r="AH64" s="27"/>
      <c r="AI64" s="27"/>
      <c r="AJ64" s="27"/>
      <c r="AK64" s="27"/>
      <c r="AL64" s="27"/>
      <c r="AM64" s="27"/>
      <c r="AN64" s="27"/>
      <c r="AO64" s="27"/>
      <c r="AP64" s="27"/>
      <c r="AQ64" s="27"/>
      <c r="AR64" s="27"/>
      <c r="AS64" s="27"/>
      <c r="AT64" s="27"/>
      <c r="AU64" s="27"/>
    </row>
    <row r="65" spans="2:47" x14ac:dyDescent="0.25">
      <c r="B65" s="117"/>
      <c r="C65" s="120" t="s">
        <v>75</v>
      </c>
      <c r="D65" s="121"/>
      <c r="E65" s="121"/>
      <c r="F65" s="122"/>
      <c r="G65" s="13" t="s">
        <v>17</v>
      </c>
      <c r="H65" s="13" t="s">
        <v>17</v>
      </c>
      <c r="I65" s="13" t="s">
        <v>17</v>
      </c>
      <c r="J65" s="13" t="s">
        <v>139</v>
      </c>
      <c r="K65" s="13" t="s">
        <v>17</v>
      </c>
      <c r="L65" s="13" t="s">
        <v>18</v>
      </c>
      <c r="M65" s="13" t="s">
        <v>139</v>
      </c>
      <c r="N65" s="13" t="s">
        <v>139</v>
      </c>
      <c r="P65" s="13"/>
      <c r="Q65" s="13"/>
      <c r="R65" s="13"/>
      <c r="S65" s="13"/>
      <c r="U65" s="13" t="s">
        <v>139</v>
      </c>
      <c r="V65" s="13" t="s">
        <v>139</v>
      </c>
      <c r="W65" s="13" t="s">
        <v>139</v>
      </c>
      <c r="X65" s="13" t="s">
        <v>139</v>
      </c>
      <c r="Y65" s="13" t="s">
        <v>139</v>
      </c>
      <c r="Z65" s="13" t="s">
        <v>139</v>
      </c>
      <c r="AA65" s="13"/>
      <c r="AB65" s="13" t="s">
        <v>139</v>
      </c>
      <c r="AC65" s="72"/>
      <c r="AE65" s="13"/>
      <c r="AF65" s="13"/>
      <c r="AG65" s="13"/>
      <c r="AH65" s="13"/>
      <c r="AI65" s="13"/>
      <c r="AJ65" s="13"/>
      <c r="AK65" s="13"/>
      <c r="AL65" s="13"/>
      <c r="AM65" s="13"/>
      <c r="AN65" s="13"/>
      <c r="AO65" s="13"/>
      <c r="AP65" s="13"/>
      <c r="AQ65" s="13"/>
      <c r="AR65" s="13"/>
      <c r="AS65" s="13"/>
      <c r="AT65" s="13" t="s">
        <v>139</v>
      </c>
      <c r="AU65" s="13" t="s">
        <v>139</v>
      </c>
    </row>
    <row r="66" spans="2:47" ht="15.75" hidden="1" customHeight="1" x14ac:dyDescent="0.3">
      <c r="B66" s="117"/>
      <c r="C66" s="123"/>
      <c r="D66" s="124"/>
      <c r="E66" s="124"/>
      <c r="F66" s="125"/>
      <c r="G66" s="27"/>
      <c r="H66" s="27"/>
      <c r="I66" s="27"/>
      <c r="J66" s="27"/>
      <c r="K66" s="27" t="s">
        <v>293</v>
      </c>
      <c r="L66" s="27"/>
      <c r="M66" s="27"/>
      <c r="N66" s="27"/>
      <c r="P66" s="27"/>
      <c r="Q66" s="27"/>
      <c r="R66" s="27"/>
      <c r="S66" s="27"/>
      <c r="U66" s="27"/>
      <c r="V66" s="27"/>
      <c r="W66" s="27"/>
      <c r="X66" s="27"/>
      <c r="Y66" s="27"/>
      <c r="Z66" s="27"/>
      <c r="AA66" s="27"/>
      <c r="AB66" s="27"/>
      <c r="AC66" s="74"/>
      <c r="AE66" s="27"/>
      <c r="AF66" s="27"/>
      <c r="AG66" s="27"/>
      <c r="AH66" s="27"/>
      <c r="AI66" s="27"/>
      <c r="AJ66" s="27"/>
      <c r="AK66" s="27"/>
      <c r="AL66" s="27"/>
      <c r="AM66" s="27"/>
      <c r="AN66" s="27"/>
      <c r="AO66" s="27"/>
      <c r="AP66" s="27"/>
      <c r="AQ66" s="27"/>
      <c r="AR66" s="27"/>
      <c r="AS66" s="27"/>
      <c r="AT66" s="27"/>
      <c r="AU66" s="27"/>
    </row>
    <row r="67" spans="2:47" x14ac:dyDescent="0.25">
      <c r="B67" s="118"/>
      <c r="C67" s="120" t="s">
        <v>81</v>
      </c>
      <c r="D67" s="121"/>
      <c r="E67" s="121"/>
      <c r="F67" s="122"/>
      <c r="G67" s="13" t="s">
        <v>17</v>
      </c>
      <c r="H67" s="13" t="s">
        <v>17</v>
      </c>
      <c r="I67" s="13" t="s">
        <v>18</v>
      </c>
      <c r="J67" s="13" t="s">
        <v>139</v>
      </c>
      <c r="K67" s="13" t="s">
        <v>17</v>
      </c>
      <c r="L67" s="13" t="s">
        <v>18</v>
      </c>
      <c r="M67" s="13" t="s">
        <v>139</v>
      </c>
      <c r="N67" s="13" t="s">
        <v>18</v>
      </c>
      <c r="P67" s="13"/>
      <c r="Q67" s="13"/>
      <c r="R67" s="13"/>
      <c r="S67" s="13"/>
      <c r="U67" s="13"/>
      <c r="V67" s="13"/>
      <c r="W67" s="13"/>
      <c r="X67" s="13"/>
      <c r="Y67" s="13"/>
      <c r="Z67" s="13"/>
      <c r="AA67" s="13"/>
      <c r="AB67" s="13"/>
      <c r="AC67" s="72"/>
      <c r="AE67" s="13"/>
      <c r="AF67" s="13"/>
      <c r="AG67" s="13"/>
      <c r="AH67" s="13"/>
      <c r="AI67" s="13"/>
      <c r="AJ67" s="13"/>
      <c r="AK67" s="13"/>
      <c r="AL67" s="13"/>
      <c r="AM67" s="13"/>
      <c r="AN67" s="13"/>
      <c r="AO67" s="13"/>
      <c r="AP67" s="13"/>
      <c r="AQ67" s="13"/>
      <c r="AR67" s="13"/>
      <c r="AS67" s="13"/>
      <c r="AT67" s="13"/>
      <c r="AU67" s="13" t="s">
        <v>139</v>
      </c>
    </row>
    <row r="68" spans="2:47" ht="15.75" hidden="1" customHeight="1" x14ac:dyDescent="0.3">
      <c r="B68" s="119"/>
      <c r="C68" s="123"/>
      <c r="D68" s="124"/>
      <c r="E68" s="124"/>
      <c r="F68" s="125"/>
      <c r="G68" s="27"/>
      <c r="H68" s="27"/>
      <c r="I68" s="27"/>
      <c r="J68" s="27"/>
      <c r="K68" s="27">
        <v>44927</v>
      </c>
      <c r="L68" s="27"/>
      <c r="M68" s="27"/>
      <c r="N68" s="27"/>
      <c r="P68" s="27"/>
      <c r="Q68" s="27"/>
      <c r="R68" s="27"/>
      <c r="S68" s="27"/>
      <c r="U68" s="27"/>
      <c r="V68" s="27"/>
      <c r="W68" s="27"/>
      <c r="X68" s="27"/>
      <c r="Y68" s="27"/>
      <c r="Z68" s="27"/>
      <c r="AA68" s="27"/>
      <c r="AB68" s="27"/>
      <c r="AC68" s="74"/>
      <c r="AE68" s="27"/>
      <c r="AF68" s="27"/>
      <c r="AG68" s="27"/>
      <c r="AH68" s="27"/>
      <c r="AI68" s="27"/>
      <c r="AJ68" s="27"/>
      <c r="AK68" s="27"/>
      <c r="AL68" s="27"/>
      <c r="AM68" s="27"/>
      <c r="AN68" s="27"/>
      <c r="AO68" s="27"/>
      <c r="AP68" s="27"/>
      <c r="AQ68" s="27"/>
      <c r="AR68" s="27"/>
      <c r="AS68" s="27"/>
      <c r="AT68" s="27"/>
      <c r="AU68" s="27"/>
    </row>
    <row r="69" spans="2:47" x14ac:dyDescent="0.25">
      <c r="B69" s="21" t="s">
        <v>61</v>
      </c>
      <c r="C69" s="22" t="s">
        <v>62</v>
      </c>
      <c r="D69" s="23">
        <f>COUNTA(C63:F68)</f>
        <v>3</v>
      </c>
      <c r="E69" s="23" t="s">
        <v>63</v>
      </c>
      <c r="F69" s="23">
        <f>COUNTIF(G41:G66,"X")</f>
        <v>12</v>
      </c>
      <c r="G69" s="20" t="str">
        <f>IF(ISBLANK(G63),"",IF((COUNTIF(G63:G68,"X"))/(COUNTIF(G63:G67,"x")+COUNTIF(G63:G67,"a")+COUNTIF(G63:G67,"t"))=1,_xlfn.UNICHAR(10003),(COUNTIF(G63:G68,"X"))/(COUNTIF(G63:G67,"x")+COUNTIF(G63:G67,"a")+COUNTIF(G63:G67,"t"))))</f>
        <v>✓</v>
      </c>
      <c r="H69" s="20" t="str">
        <f t="shared" ref="H69:AF69" si="49">IF(ISBLANK(H63),"",IF((COUNTIF(H63:H68,"X"))/(COUNTIF(H63:H67,"x")+COUNTIF(H63:H67,"a")+COUNTIF(H63:H67,"t"))=1,_xlfn.UNICHAR(10003),(COUNTIF(H63:H68,"X"))/(COUNTIF(H63:H67,"x")+COUNTIF(H63:H67,"a")+COUNTIF(H63:H67,"t"))))</f>
        <v>✓</v>
      </c>
      <c r="I69" s="20">
        <f t="shared" si="49"/>
        <v>0.66666666666666663</v>
      </c>
      <c r="J69" s="20">
        <f t="shared" si="49"/>
        <v>0</v>
      </c>
      <c r="K69" s="20" t="str">
        <f t="shared" si="49"/>
        <v>✓</v>
      </c>
      <c r="L69" s="20">
        <f t="shared" si="49"/>
        <v>0.33333333333333331</v>
      </c>
      <c r="M69" s="20">
        <f t="shared" ref="M69:N69" si="50">IF(ISBLANK(M63),"",IF((COUNTIF(M63:M68,"X"))/$D69=1,_xlfn.UNICHAR(10003),(COUNTIF(M63:M68,"X"))/$D69))</f>
        <v>0.33333333333333331</v>
      </c>
      <c r="N69" s="20">
        <f t="shared" si="50"/>
        <v>0.33333333333333331</v>
      </c>
      <c r="P69" s="20" t="str">
        <f t="shared" si="49"/>
        <v/>
      </c>
      <c r="Q69" s="20" t="str">
        <f t="shared" ref="Q69" si="51">IF(ISBLANK(Q63),"",IF((COUNTIF(Q63:Q68,"X"))/$D69=1,_xlfn.UNICHAR(10003),(COUNTIF(Q63:Q68,"X"))/$D69))</f>
        <v/>
      </c>
      <c r="R69" s="20" t="str">
        <f t="shared" ref="R69:S69" si="52">IF(ISBLANK(R63),"",IF((COUNTIF(R63:R68,"X"))/$D69=1,_xlfn.UNICHAR(10003),(COUNTIF(R63:R68,"X"))/$D69))</f>
        <v/>
      </c>
      <c r="S69" s="20" t="str">
        <f t="shared" si="52"/>
        <v/>
      </c>
      <c r="U69" s="20">
        <f t="shared" ref="U69:V69" si="53">IF(ISBLANK(U63),"",IF((COUNTIF(U63:U68,"X"))/$D69=1,_xlfn.UNICHAR(10003),(COUNTIF(U63:U68,"X"))/$D69))</f>
        <v>0</v>
      </c>
      <c r="V69" s="20">
        <f t="shared" si="53"/>
        <v>0</v>
      </c>
      <c r="W69" s="20">
        <f>IF(ISBLANK(W63),"",IF((COUNTIF(W63:W68,"X"))/$D69=1,_xlfn.UNICHAR(10003),(COUNTIF(W63:W68,"X"))/$D69))</f>
        <v>0</v>
      </c>
      <c r="X69" s="20">
        <f t="shared" si="49"/>
        <v>0</v>
      </c>
      <c r="Y69" s="20">
        <f t="shared" ref="Y69:AA69" si="54">IF(ISBLANK(Y63),"",IF((COUNTIF(Y63:Y68,"X"))/$D69=1,_xlfn.UNICHAR(10003),(COUNTIF(Y63:Y68,"X"))/$D69))</f>
        <v>0</v>
      </c>
      <c r="Z69" s="20">
        <f t="shared" si="54"/>
        <v>0</v>
      </c>
      <c r="AA69" s="20" t="str">
        <f t="shared" si="54"/>
        <v/>
      </c>
      <c r="AB69" s="20">
        <f>IF(ISBLANK(AB63),"",IF((COUNTIF(AB63:AB68,"X"))/(COUNTIF(AB63:AB67,"x")+COUNTIF(AB63:AB67,"a")+COUNTIF(AB63:AB67,"t"))=1,_xlfn.UNICHAR(10003),(COUNTIF(AB63:AB68,"X"))/(COUNTIF(AB63:AB67,"x")+COUNTIF(AB63:AB67,"a")+COUNTIF(AB63:AB67,"t"))))</f>
        <v>0</v>
      </c>
      <c r="AC69" s="73"/>
      <c r="AE69" s="20" t="str">
        <f t="shared" ref="AE69" si="55">IF(ISBLANK(AE63),"",IF((COUNTIF(AE63:AE68,"X"))/$D69=1,_xlfn.UNICHAR(10003),(COUNTIF(AE63:AE68,"X"))/$D69))</f>
        <v/>
      </c>
      <c r="AF69" s="20" t="str">
        <f t="shared" si="49"/>
        <v/>
      </c>
      <c r="AG69" s="20" t="str">
        <f t="shared" ref="AG69:AI69" si="56">IF(ISBLANK(AG63),"",IF((COUNTIF(AG63:AG68,"X"))/$D69=1,_xlfn.UNICHAR(10003),(COUNTIF(AG63:AG68,"X"))/$D69))</f>
        <v/>
      </c>
      <c r="AH69" s="20" t="str">
        <f t="shared" si="56"/>
        <v/>
      </c>
      <c r="AI69" s="20" t="str">
        <f t="shared" si="56"/>
        <v/>
      </c>
      <c r="AJ69" s="20" t="str">
        <f t="shared" ref="AJ69" si="57">IF(ISBLANK(AJ63),"",IF((COUNTIF(AJ63:AJ68,"X"))/$D69=1,_xlfn.UNICHAR(10003),(COUNTIF(AJ63:AJ68,"X"))/$D69))</f>
        <v/>
      </c>
      <c r="AK69" s="20" t="str">
        <f t="shared" ref="AK69:AL69" si="58">IF(ISBLANK(AK63),"",IF((COUNTIF(AK63:AK68,"X"))/$D69=1,_xlfn.UNICHAR(10003),(COUNTIF(AK63:AK68,"X"))/$D69))</f>
        <v/>
      </c>
      <c r="AL69" s="20" t="str">
        <f t="shared" si="58"/>
        <v/>
      </c>
      <c r="AM69" s="20"/>
      <c r="AN69" s="20"/>
      <c r="AO69" s="20"/>
      <c r="AP69" s="20" t="str">
        <f t="shared" ref="AP69:AR69" si="59">IF(ISBLANK(AP63),"",IF((COUNTIF(AP63:AP68,"X"))/$D69=1,_xlfn.UNICHAR(10003),(COUNTIF(AP63:AP68,"X"))/$D69))</f>
        <v/>
      </c>
      <c r="AQ69" s="20" t="str">
        <f t="shared" ref="AQ69" si="60">IF(ISBLANK(AQ63),"",IF((COUNTIF(AQ63:AQ68,"X"))/$D69=1,_xlfn.UNICHAR(10003),(COUNTIF(AQ63:AQ68,"X"))/$D69))</f>
        <v/>
      </c>
      <c r="AR69" s="20" t="str">
        <f t="shared" si="59"/>
        <v/>
      </c>
      <c r="AS69" s="20" t="str">
        <f t="shared" ref="AS69:AT69" si="61">IF(ISBLANK(AS63),"",IF((COUNTIF(AS63:AS68,"X"))/$D69=1,_xlfn.UNICHAR(10003),(COUNTIF(AS63:AS68,"X"))/$D69))</f>
        <v/>
      </c>
      <c r="AT69" s="20">
        <f t="shared" si="61"/>
        <v>0</v>
      </c>
      <c r="AU69" s="20">
        <f t="shared" ref="AU69" si="62">IF(ISBLANK(AU63),"",IF((COUNTIF(AU63:AU68,"X"))/$D69=1,_xlfn.UNICHAR(10003),(COUNTIF(AU63:AU68,"X"))/$D69))</f>
        <v>0</v>
      </c>
    </row>
    <row r="71" spans="2:47" x14ac:dyDescent="0.25">
      <c r="B71" s="21" t="s">
        <v>121</v>
      </c>
      <c r="C71" s="22" t="s">
        <v>62</v>
      </c>
      <c r="D71" s="23">
        <f>SUM(D69,D62,D47,D38,D15,D10)</f>
        <v>30</v>
      </c>
      <c r="E71" s="23"/>
      <c r="F71" s="23"/>
      <c r="G71" s="20" t="str">
        <f t="shared" ref="G71:N71" si="63">IF(ISBLANK(G4),"",IF((COUNTIF(G4:G69,"X"))/$D71=1,_xlfn.UNICHAR(10003),(COUNTIF(G4:G69,"X"))/$D71))</f>
        <v>✓</v>
      </c>
      <c r="H71" s="20" t="str">
        <f t="shared" si="63"/>
        <v>✓</v>
      </c>
      <c r="I71" s="20">
        <f t="shared" si="63"/>
        <v>0.96666666666666667</v>
      </c>
      <c r="J71" s="20">
        <f t="shared" si="63"/>
        <v>0.8666666666666667</v>
      </c>
      <c r="K71" s="20" t="str">
        <f t="shared" si="63"/>
        <v>✓</v>
      </c>
      <c r="L71" s="20">
        <f t="shared" si="63"/>
        <v>0.9</v>
      </c>
      <c r="M71" s="20">
        <f t="shared" si="63"/>
        <v>0.53333333333333333</v>
      </c>
      <c r="N71" s="20">
        <f t="shared" si="63"/>
        <v>0.6333333333333333</v>
      </c>
      <c r="P71" s="20">
        <f>IF(ISBLANK(P4),"",IF((COUNTIF(P4:P69,"X"))/$D71=1,_xlfn.UNICHAR(10003),(COUNTIF(P4:P69,"X"))/$D71))</f>
        <v>0.66666666666666663</v>
      </c>
      <c r="Q71" s="20">
        <f>IF(ISBLANK(Q4),"",IF((COUNTIF(Q4:Q69,"X"))/$D71=1,_xlfn.UNICHAR(10003),(COUNTIF(Q4:Q69,"X"))/$D71))</f>
        <v>0.6</v>
      </c>
      <c r="R71" s="20">
        <f>IF(ISBLANK(R4),"",IF((COUNTIF(R4:R69,"X"))/$D71=1,_xlfn.UNICHAR(10003),(COUNTIF(R4:R69,"X"))/$D71))</f>
        <v>0.56666666666666665</v>
      </c>
      <c r="S71" s="20">
        <f>IF(ISBLANK(S4),"",IF((COUNTIF(S4:S69,"X"))/$D71=1,_xlfn.UNICHAR(10003),(COUNTIF(S4:S69,"X"))/$D71))</f>
        <v>0</v>
      </c>
      <c r="U71" s="20">
        <f t="shared" ref="U71:AB71" si="64">IF(ISBLANK(U4),"",IF((COUNTIF(U4:U69,"X"))/$D71=1,_xlfn.UNICHAR(10003),(COUNTIF(U4:U69,"X"))/$D71))</f>
        <v>0.8666666666666667</v>
      </c>
      <c r="V71" s="20">
        <f t="shared" si="64"/>
        <v>0.7</v>
      </c>
      <c r="W71" s="20">
        <f t="shared" si="64"/>
        <v>0.6333333333333333</v>
      </c>
      <c r="X71" s="20">
        <f t="shared" si="64"/>
        <v>0.83333333333333337</v>
      </c>
      <c r="Y71" s="20">
        <f t="shared" si="64"/>
        <v>0.7</v>
      </c>
      <c r="Z71" s="20">
        <f t="shared" si="64"/>
        <v>0.7</v>
      </c>
      <c r="AA71" s="20">
        <f t="shared" si="64"/>
        <v>0.9</v>
      </c>
      <c r="AB71" s="20">
        <f t="shared" si="64"/>
        <v>0.8</v>
      </c>
      <c r="AC71" s="73"/>
      <c r="AE71" s="20">
        <f t="shared" ref="AE71:AL71" si="65">IF(ISBLANK(AE4),"",IF((COUNTIF(AE4:AE69,"X"))/$D71=1,_xlfn.UNICHAR(10003),(COUNTIF(AE4:AE69,"X"))/$D71))</f>
        <v>0.66666666666666663</v>
      </c>
      <c r="AF71" s="20">
        <f t="shared" si="65"/>
        <v>0.9</v>
      </c>
      <c r="AG71" s="20">
        <f t="shared" si="65"/>
        <v>0.76666666666666672</v>
      </c>
      <c r="AH71" s="20">
        <f t="shared" si="65"/>
        <v>0.1</v>
      </c>
      <c r="AI71" s="20">
        <f t="shared" si="65"/>
        <v>0.2</v>
      </c>
      <c r="AJ71" s="20">
        <f t="shared" si="65"/>
        <v>0</v>
      </c>
      <c r="AK71" s="20">
        <f t="shared" si="65"/>
        <v>0</v>
      </c>
      <c r="AL71" s="20">
        <f t="shared" si="65"/>
        <v>0</v>
      </c>
      <c r="AM71" s="20"/>
      <c r="AN71" s="20"/>
      <c r="AO71" s="20"/>
      <c r="AP71" s="20" t="str">
        <f t="shared" ref="AP71:AU71" si="66">IF(ISBLANK(AP4),"",IF((COUNTIF(AP4:AP69,"X"))/$D71=1,_xlfn.UNICHAR(10003),(COUNTIF(AP4:AP69,"X"))/$D71))</f>
        <v/>
      </c>
      <c r="AQ71" s="20">
        <f t="shared" si="66"/>
        <v>0</v>
      </c>
      <c r="AR71" s="20">
        <f t="shared" si="66"/>
        <v>0</v>
      </c>
      <c r="AS71" s="20">
        <f t="shared" si="66"/>
        <v>0</v>
      </c>
      <c r="AT71" s="20">
        <f t="shared" si="66"/>
        <v>0</v>
      </c>
      <c r="AU71" s="20">
        <f t="shared" si="66"/>
        <v>0</v>
      </c>
    </row>
    <row r="72" spans="2:47" x14ac:dyDescent="0.25">
      <c r="B72" s="98" t="s">
        <v>150</v>
      </c>
      <c r="C72" s="99"/>
      <c r="D72" s="99"/>
      <c r="E72" s="99"/>
      <c r="F72" s="100"/>
      <c r="G72" s="20" t="str">
        <f t="shared" ref="G72:N72" si="67">IF(ISBLANK(G4),"",IF((COUNTIF(G4:G69,"X"))/(COUNTIF(G4:G69,"x")+COUNTIF(G4:G69,"a")+COUNTIF(G4:G69,"t"))=1,_xlfn.UNICHAR(10003),(COUNTIF(G4:G69,"X"))/(COUNTIF(G4:G69,"x")+COUNTIF(G4:G69,"a")+COUNTIF(G4:G69,"t"))))</f>
        <v>✓</v>
      </c>
      <c r="H72" s="20" t="str">
        <f t="shared" si="67"/>
        <v>✓</v>
      </c>
      <c r="I72" s="20">
        <f t="shared" si="67"/>
        <v>0.96666666666666667</v>
      </c>
      <c r="J72" s="20">
        <f t="shared" si="67"/>
        <v>0.8666666666666667</v>
      </c>
      <c r="K72" s="20" t="str">
        <f t="shared" si="67"/>
        <v>✓</v>
      </c>
      <c r="L72" s="20">
        <f t="shared" si="67"/>
        <v>0.9</v>
      </c>
      <c r="M72" s="20">
        <f t="shared" si="67"/>
        <v>0.53333333333333333</v>
      </c>
      <c r="N72" s="20">
        <f t="shared" si="67"/>
        <v>0.6333333333333333</v>
      </c>
      <c r="P72" s="20">
        <f>IF(ISBLANK(P4),"",IF((COUNTIF(P4:P69,"X"))/(COUNTIF(P4:P69,"x")+COUNTIF(P4:P69,"a")+COUNTIF(P4:P69,"t"))=1,_xlfn.UNICHAR(10003),(COUNTIF(P4:P69,"X"))/(COUNTIF(P4:P69,"x")+COUNTIF(P4:P69,"a")+COUNTIF(P4:P69,"t"))))</f>
        <v>0.7407407407407407</v>
      </c>
      <c r="Q72" s="20">
        <f>IF(ISBLANK(Q4),"",IF((COUNTIF(Q4:Q69,"X"))/(COUNTIF(Q4:Q69,"x")+COUNTIF(Q4:Q69,"a")+COUNTIF(Q4:Q69,"t"))=1,_xlfn.UNICHAR(10003),(COUNTIF(Q4:Q69,"X"))/(COUNTIF(Q4:Q69,"x")+COUNTIF(Q4:Q69,"a")+COUNTIF(Q4:Q69,"t"))))</f>
        <v>0.81818181818181823</v>
      </c>
      <c r="R72" s="20">
        <f>IF(ISBLANK(R4),"",IF((COUNTIF(R4:R69,"X"))/(COUNTIF(R4:R69,"x")+COUNTIF(R4:R69,"a")+COUNTIF(R4:R69,"t"))=1,_xlfn.UNICHAR(10003),(COUNTIF(R4:R69,"X"))/(COUNTIF(R4:R69,"x")+COUNTIF(R4:R69,"a")+COUNTIF(R4:R69,"t"))))</f>
        <v>0.77272727272727271</v>
      </c>
      <c r="S72" s="20">
        <f>IF(ISBLANK(S4),"",IF((COUNTIF(S4:S69,"X"))/(COUNTIF(S4:S69,"x")+COUNTIF(S4:S69,"a")+COUNTIF(S4:S69,"t"))=1,_xlfn.UNICHAR(10003),(COUNTIF(S4:S69,"X"))/(COUNTIF(S4:S69,"x")+COUNTIF(S4:S69,"a")+COUNTIF(S4:S69,"t"))))</f>
        <v>0</v>
      </c>
      <c r="U72" s="20">
        <f t="shared" ref="U72:AB72" si="68">IF(ISBLANK(U4),"",IF((COUNTIF(U4:U69,"X"))/(COUNTIF(U4:U69,"x")+COUNTIF(U4:U69,"a")+COUNTIF(U4:U69,"t"))=1,_xlfn.UNICHAR(10003),(COUNTIF(U4:U69,"X"))/(COUNTIF(U4:U69,"x")+COUNTIF(U4:U69,"a")+COUNTIF(U4:U69,"t"))))</f>
        <v>0.89655172413793105</v>
      </c>
      <c r="V72" s="20">
        <f t="shared" si="68"/>
        <v>0.72413793103448276</v>
      </c>
      <c r="W72" s="20">
        <f t="shared" si="68"/>
        <v>0.65517241379310343</v>
      </c>
      <c r="X72" s="20">
        <f t="shared" si="68"/>
        <v>0.86206896551724133</v>
      </c>
      <c r="Y72" s="20">
        <f t="shared" si="68"/>
        <v>0.72413793103448276</v>
      </c>
      <c r="Z72" s="20">
        <f t="shared" si="68"/>
        <v>0.72413793103448276</v>
      </c>
      <c r="AA72" s="20" t="str">
        <f t="shared" si="68"/>
        <v>✓</v>
      </c>
      <c r="AB72" s="20">
        <f t="shared" si="68"/>
        <v>0.82758620689655171</v>
      </c>
      <c r="AC72" s="73"/>
      <c r="AE72" s="20">
        <f t="shared" ref="AE72:AL72" si="69">IF(ISBLANK(AE4),"",IF((COUNTIF(AE4:AE69,"X"))/(COUNTIF(AE4:AE69,"x")+COUNTIF(AE4:AE69,"a")+COUNTIF(AE4:AE69,"t"))=1,_xlfn.UNICHAR(10003),(COUNTIF(AE4:AE69,"X"))/(COUNTIF(AE4:AE69,"x")+COUNTIF(AE4:AE69,"a")+COUNTIF(AE4:AE69,"t"))))</f>
        <v>0.7407407407407407</v>
      </c>
      <c r="AF72" s="20" t="str">
        <f t="shared" si="69"/>
        <v>✓</v>
      </c>
      <c r="AG72" s="20">
        <f t="shared" si="69"/>
        <v>0.85185185185185186</v>
      </c>
      <c r="AH72" s="20">
        <f t="shared" si="69"/>
        <v>0.15</v>
      </c>
      <c r="AI72" s="20">
        <f t="shared" si="69"/>
        <v>0.2608695652173913</v>
      </c>
      <c r="AJ72" s="20">
        <f t="shared" si="69"/>
        <v>0</v>
      </c>
      <c r="AK72" s="20">
        <f t="shared" si="69"/>
        <v>0</v>
      </c>
      <c r="AL72" s="20">
        <f t="shared" si="69"/>
        <v>0</v>
      </c>
      <c r="AM72" s="20"/>
      <c r="AN72" s="20"/>
      <c r="AO72" s="20"/>
      <c r="AP72" s="20" t="str">
        <f t="shared" ref="AP72:AU72" si="70">IF(ISBLANK(AP4),"",IF((COUNTIF(AP4:AP69,"X"))/(COUNTIF(AP4:AP69,"x")+COUNTIF(AP4:AP69,"a")+COUNTIF(AP4:AP69,"t"))=1,_xlfn.UNICHAR(10003),(COUNTIF(AP4:AP69,"X"))/(COUNTIF(AP4:AP69,"x")+COUNTIF(AP4:AP69,"a")+COUNTIF(AP4:AP69,"t"))))</f>
        <v/>
      </c>
      <c r="AQ72" s="20">
        <f t="shared" si="70"/>
        <v>0</v>
      </c>
      <c r="AR72" s="20">
        <f t="shared" si="70"/>
        <v>0</v>
      </c>
      <c r="AS72" s="20">
        <f t="shared" si="70"/>
        <v>0</v>
      </c>
      <c r="AT72" s="20">
        <f t="shared" si="70"/>
        <v>0</v>
      </c>
      <c r="AU72" s="20">
        <f t="shared" si="70"/>
        <v>0</v>
      </c>
    </row>
    <row r="74" spans="2:47" x14ac:dyDescent="0.25">
      <c r="B74" s="179" t="s">
        <v>127</v>
      </c>
      <c r="C74" s="173" t="s">
        <v>123</v>
      </c>
      <c r="D74" s="174"/>
      <c r="E74" s="174"/>
      <c r="F74" s="175"/>
      <c r="G74" s="15" t="s">
        <v>17</v>
      </c>
      <c r="H74" s="15" t="s">
        <v>17</v>
      </c>
      <c r="I74" s="15" t="s">
        <v>139</v>
      </c>
      <c r="J74" s="15" t="s">
        <v>139</v>
      </c>
      <c r="K74" s="15" t="s">
        <v>17</v>
      </c>
      <c r="L74" s="15" t="s">
        <v>17</v>
      </c>
      <c r="M74" s="15" t="s">
        <v>17</v>
      </c>
      <c r="N74" s="15" t="s">
        <v>17</v>
      </c>
      <c r="P74" s="15" t="s">
        <v>139</v>
      </c>
      <c r="Q74" s="15" t="s">
        <v>18</v>
      </c>
      <c r="R74" s="15" t="s">
        <v>17</v>
      </c>
      <c r="S74" s="15" t="s">
        <v>139</v>
      </c>
      <c r="U74" s="15" t="s">
        <v>17</v>
      </c>
      <c r="V74" s="15" t="s">
        <v>17</v>
      </c>
      <c r="W74" s="15" t="s">
        <v>17</v>
      </c>
      <c r="X74" s="15" t="s">
        <v>17</v>
      </c>
      <c r="Y74" s="15" t="s">
        <v>17</v>
      </c>
      <c r="Z74" s="15" t="s">
        <v>17</v>
      </c>
      <c r="AA74" s="15" t="s">
        <v>17</v>
      </c>
      <c r="AB74" s="15" t="s">
        <v>139</v>
      </c>
      <c r="AC74" s="70"/>
      <c r="AE74" s="15" t="s">
        <v>17</v>
      </c>
      <c r="AF74" s="15" t="s">
        <v>17</v>
      </c>
      <c r="AG74" s="15" t="s">
        <v>17</v>
      </c>
      <c r="AH74" s="15" t="s">
        <v>17</v>
      </c>
      <c r="AI74" s="15" t="s">
        <v>139</v>
      </c>
      <c r="AJ74" s="15" t="s">
        <v>139</v>
      </c>
      <c r="AK74" s="15" t="s">
        <v>139</v>
      </c>
      <c r="AL74" s="15" t="s">
        <v>139</v>
      </c>
      <c r="AM74" s="15"/>
      <c r="AN74" s="15"/>
      <c r="AO74" s="15"/>
      <c r="AP74" s="15"/>
      <c r="AQ74" s="15" t="s">
        <v>139</v>
      </c>
      <c r="AR74" s="15" t="s">
        <v>139</v>
      </c>
      <c r="AS74" s="15" t="s">
        <v>139</v>
      </c>
      <c r="AT74" s="15" t="s">
        <v>139</v>
      </c>
      <c r="AU74" s="15" t="s">
        <v>139</v>
      </c>
    </row>
    <row r="75" spans="2:47" ht="15.75" hidden="1" customHeight="1" x14ac:dyDescent="0.3">
      <c r="B75" s="180"/>
      <c r="C75" s="176"/>
      <c r="D75" s="177"/>
      <c r="E75" s="177"/>
      <c r="F75" s="178"/>
      <c r="G75" s="26"/>
      <c r="H75" s="26"/>
      <c r="I75" s="26"/>
      <c r="J75" s="26"/>
      <c r="K75" s="26">
        <v>45383</v>
      </c>
      <c r="L75" s="26"/>
      <c r="M75" s="26"/>
      <c r="N75" s="26"/>
      <c r="P75" s="26"/>
      <c r="Q75" s="26"/>
      <c r="R75" s="26"/>
      <c r="S75" s="26"/>
      <c r="U75" s="26"/>
      <c r="V75" s="26"/>
      <c r="W75" s="26"/>
      <c r="X75" s="26"/>
      <c r="Y75" s="26"/>
      <c r="Z75" s="26"/>
      <c r="AA75" s="26"/>
      <c r="AB75" s="26"/>
      <c r="AC75" s="71"/>
      <c r="AE75" s="26"/>
      <c r="AF75" s="26"/>
      <c r="AG75" s="26"/>
      <c r="AH75" s="26"/>
      <c r="AI75" s="26"/>
      <c r="AJ75" s="26"/>
      <c r="AK75" s="26"/>
      <c r="AL75" s="26"/>
      <c r="AM75" s="26"/>
      <c r="AN75" s="26"/>
      <c r="AO75" s="26"/>
      <c r="AP75" s="26"/>
      <c r="AQ75" s="26"/>
      <c r="AR75" s="26"/>
      <c r="AS75" s="26"/>
      <c r="AT75" s="26"/>
      <c r="AU75" s="26"/>
    </row>
    <row r="76" spans="2:47" x14ac:dyDescent="0.25">
      <c r="B76" s="180"/>
      <c r="C76" s="173" t="s">
        <v>161</v>
      </c>
      <c r="D76" s="174"/>
      <c r="E76" s="174"/>
      <c r="F76" s="175"/>
      <c r="G76" s="15" t="s">
        <v>17</v>
      </c>
      <c r="H76" s="15" t="s">
        <v>17</v>
      </c>
      <c r="I76" s="15" t="s">
        <v>139</v>
      </c>
      <c r="J76" s="15" t="s">
        <v>139</v>
      </c>
      <c r="K76" s="15" t="s">
        <v>17</v>
      </c>
      <c r="L76" s="15" t="s">
        <v>17</v>
      </c>
      <c r="M76" s="15" t="s">
        <v>17</v>
      </c>
      <c r="N76" s="15" t="s">
        <v>17</v>
      </c>
      <c r="P76" s="15" t="s">
        <v>139</v>
      </c>
      <c r="Q76" s="15"/>
      <c r="R76" s="15"/>
      <c r="S76" s="15"/>
      <c r="U76" s="15" t="s">
        <v>17</v>
      </c>
      <c r="V76" s="15" t="s">
        <v>17</v>
      </c>
      <c r="W76" s="15" t="s">
        <v>17</v>
      </c>
      <c r="X76" s="15" t="s">
        <v>17</v>
      </c>
      <c r="Y76" s="15" t="s">
        <v>17</v>
      </c>
      <c r="Z76" s="15" t="s">
        <v>17</v>
      </c>
      <c r="AA76" s="15" t="s">
        <v>17</v>
      </c>
      <c r="AB76" s="15" t="s">
        <v>139</v>
      </c>
      <c r="AC76" s="70"/>
      <c r="AE76" s="15" t="s">
        <v>17</v>
      </c>
      <c r="AF76" s="15" t="s">
        <v>17</v>
      </c>
      <c r="AG76" s="15" t="s">
        <v>17</v>
      </c>
      <c r="AH76" s="15"/>
      <c r="AI76" s="15" t="s">
        <v>139</v>
      </c>
      <c r="AJ76" s="15" t="s">
        <v>139</v>
      </c>
      <c r="AK76" s="15"/>
      <c r="AL76" s="15"/>
      <c r="AM76" s="15"/>
      <c r="AN76" s="15"/>
      <c r="AO76" s="15"/>
      <c r="AP76" s="15"/>
      <c r="AQ76" s="15"/>
      <c r="AR76" s="15" t="s">
        <v>139</v>
      </c>
      <c r="AS76" s="15" t="s">
        <v>139</v>
      </c>
      <c r="AT76" s="15" t="s">
        <v>139</v>
      </c>
      <c r="AU76" s="15" t="s">
        <v>139</v>
      </c>
    </row>
    <row r="77" spans="2:47" ht="15.75" hidden="1" customHeight="1" x14ac:dyDescent="0.3">
      <c r="B77" s="180"/>
      <c r="C77" s="176"/>
      <c r="D77" s="177"/>
      <c r="E77" s="177"/>
      <c r="F77" s="178"/>
      <c r="G77" s="26"/>
      <c r="H77" s="26"/>
      <c r="I77" s="26"/>
      <c r="J77" s="26"/>
      <c r="K77" s="26">
        <v>45383</v>
      </c>
      <c r="L77" s="26"/>
      <c r="M77" s="26"/>
      <c r="N77" s="26"/>
      <c r="P77" s="26"/>
      <c r="Q77" s="26"/>
      <c r="R77" s="26"/>
      <c r="S77" s="26"/>
      <c r="U77" s="26"/>
      <c r="V77" s="26"/>
      <c r="W77" s="26"/>
      <c r="X77" s="26"/>
      <c r="Y77" s="26"/>
      <c r="Z77" s="26"/>
      <c r="AA77" s="26"/>
      <c r="AB77" s="26"/>
      <c r="AC77" s="71"/>
      <c r="AE77" s="26"/>
      <c r="AF77" s="26"/>
      <c r="AG77" s="26"/>
      <c r="AH77" s="26"/>
      <c r="AI77" s="26"/>
      <c r="AJ77" s="26"/>
      <c r="AK77" s="26"/>
      <c r="AL77" s="26"/>
      <c r="AM77" s="26"/>
      <c r="AN77" s="26"/>
      <c r="AO77" s="26"/>
      <c r="AP77" s="26"/>
      <c r="AQ77" s="26"/>
      <c r="AR77" s="26"/>
      <c r="AS77" s="26"/>
      <c r="AT77" s="26"/>
      <c r="AU77" s="26"/>
    </row>
    <row r="78" spans="2:47" x14ac:dyDescent="0.25">
      <c r="B78" s="181"/>
      <c r="C78" s="173" t="s">
        <v>125</v>
      </c>
      <c r="D78" s="174"/>
      <c r="E78" s="174"/>
      <c r="F78" s="175"/>
      <c r="G78" s="15" t="s">
        <v>17</v>
      </c>
      <c r="H78" s="15" t="s">
        <v>17</v>
      </c>
      <c r="I78" s="15" t="s">
        <v>139</v>
      </c>
      <c r="J78" s="15" t="s">
        <v>139</v>
      </c>
      <c r="K78" s="15" t="s">
        <v>17</v>
      </c>
      <c r="L78" s="15" t="s">
        <v>17</v>
      </c>
      <c r="M78" s="15" t="s">
        <v>17</v>
      </c>
      <c r="N78" s="15" t="s">
        <v>17</v>
      </c>
      <c r="P78" s="15" t="s">
        <v>139</v>
      </c>
      <c r="Q78" s="15" t="s">
        <v>18</v>
      </c>
      <c r="R78" s="15" t="s">
        <v>17</v>
      </c>
      <c r="S78" s="15" t="s">
        <v>139</v>
      </c>
      <c r="U78" s="15" t="s">
        <v>17</v>
      </c>
      <c r="V78" s="15" t="s">
        <v>17</v>
      </c>
      <c r="W78" s="15" t="s">
        <v>17</v>
      </c>
      <c r="X78" s="15" t="s">
        <v>17</v>
      </c>
      <c r="Y78" s="15" t="s">
        <v>17</v>
      </c>
      <c r="Z78" s="15" t="s">
        <v>17</v>
      </c>
      <c r="AA78" s="15" t="s">
        <v>17</v>
      </c>
      <c r="AB78" s="15" t="s">
        <v>139</v>
      </c>
      <c r="AC78" s="70"/>
      <c r="AE78" s="15" t="s">
        <v>17</v>
      </c>
      <c r="AF78" s="15" t="s">
        <v>17</v>
      </c>
      <c r="AG78" s="15" t="s">
        <v>17</v>
      </c>
      <c r="AH78" s="15" t="s">
        <v>17</v>
      </c>
      <c r="AI78" s="15" t="s">
        <v>139</v>
      </c>
      <c r="AJ78" s="15" t="s">
        <v>139</v>
      </c>
      <c r="AK78" s="15" t="s">
        <v>139</v>
      </c>
      <c r="AL78" s="15" t="s">
        <v>139</v>
      </c>
      <c r="AM78" s="15"/>
      <c r="AN78" s="15"/>
      <c r="AO78" s="15"/>
      <c r="AP78" s="15"/>
      <c r="AQ78" s="15" t="s">
        <v>139</v>
      </c>
      <c r="AR78" s="15" t="s">
        <v>139</v>
      </c>
      <c r="AS78" s="15" t="s">
        <v>139</v>
      </c>
      <c r="AT78" s="15" t="s">
        <v>139</v>
      </c>
      <c r="AU78" s="15" t="s">
        <v>139</v>
      </c>
    </row>
    <row r="79" spans="2:47" ht="15.75" hidden="1" customHeight="1" x14ac:dyDescent="0.3">
      <c r="B79" s="182"/>
      <c r="C79" s="176"/>
      <c r="D79" s="177"/>
      <c r="E79" s="177"/>
      <c r="F79" s="178"/>
      <c r="G79" s="28"/>
      <c r="H79" s="28"/>
      <c r="I79" s="28"/>
      <c r="J79" s="28"/>
      <c r="K79" s="26">
        <v>45383</v>
      </c>
      <c r="L79" s="28"/>
      <c r="M79" s="28"/>
      <c r="N79" s="28"/>
      <c r="P79" s="28"/>
      <c r="Q79" s="28"/>
      <c r="R79" s="28"/>
      <c r="S79" s="28"/>
      <c r="U79" s="28"/>
      <c r="V79" s="28"/>
      <c r="W79" s="28"/>
      <c r="X79" s="28"/>
      <c r="Y79" s="28"/>
      <c r="Z79" s="28"/>
      <c r="AA79" s="28"/>
      <c r="AB79" s="28"/>
      <c r="AC79" s="75"/>
      <c r="AE79" s="28"/>
      <c r="AF79" s="28"/>
      <c r="AG79" s="28"/>
      <c r="AH79" s="28"/>
      <c r="AI79" s="28"/>
      <c r="AJ79" s="28"/>
      <c r="AK79" s="28"/>
      <c r="AL79" s="28"/>
      <c r="AM79" s="28"/>
      <c r="AN79" s="28"/>
      <c r="AO79" s="28"/>
      <c r="AP79" s="28"/>
      <c r="AQ79" s="28"/>
      <c r="AR79" s="28"/>
      <c r="AS79" s="28"/>
      <c r="AT79" s="28"/>
      <c r="AU79" s="28"/>
    </row>
    <row r="80" spans="2:47" x14ac:dyDescent="0.25">
      <c r="B80" s="17" t="s">
        <v>61</v>
      </c>
      <c r="C80" s="18" t="s">
        <v>62</v>
      </c>
      <c r="D80" s="19">
        <f>COUNTA(C74:F79)</f>
        <v>3</v>
      </c>
      <c r="E80" s="19"/>
      <c r="F80" s="19"/>
      <c r="G80" s="20" t="str">
        <f>IF(ISBLANK(G74),"",IF((COUNTIF(G74:G79,"X"))/(COUNTIF(G74:G78,"x")+COUNTIF(G74:G78,"a")+COUNTIF(G74:G78,"t"))=1,_xlfn.UNICHAR(10003),(COUNTIF(G74:G79,"X"))/(COUNTIF(G74:G78,"x")+COUNTIF(G74:G78,"a")+COUNTIF(G74:G78,"t"))))</f>
        <v>✓</v>
      </c>
      <c r="H80" s="20" t="str">
        <f t="shared" ref="H80:AF80" si="71">IF(ISBLANK(H74),"",IF((COUNTIF(H74:H79,"X"))/(COUNTIF(H74:H78,"x")+COUNTIF(H74:H78,"a")+COUNTIF(H74:H78,"t"))=1,_xlfn.UNICHAR(10003),(COUNTIF(H74:H79,"X"))/(COUNTIF(H74:H78,"x")+COUNTIF(H74:H78,"a")+COUNTIF(H74:H78,"t"))))</f>
        <v>✓</v>
      </c>
      <c r="I80" s="20">
        <f t="shared" si="71"/>
        <v>0</v>
      </c>
      <c r="J80" s="20">
        <f t="shared" si="71"/>
        <v>0</v>
      </c>
      <c r="K80" s="20" t="str">
        <f t="shared" si="71"/>
        <v>✓</v>
      </c>
      <c r="L80" s="20" t="str">
        <f t="shared" si="71"/>
        <v>✓</v>
      </c>
      <c r="M80" s="20" t="str">
        <f t="shared" ref="M80:N80" si="72">IF(ISBLANK(M74),"",IF((COUNTIF(M74:M79,"X"))/$D80=1,_xlfn.UNICHAR(10003),(COUNTIF(M74:M79,"X"))/$D80))</f>
        <v>✓</v>
      </c>
      <c r="N80" s="20" t="str">
        <f t="shared" si="72"/>
        <v>✓</v>
      </c>
      <c r="P80" s="20">
        <f t="shared" si="71"/>
        <v>0</v>
      </c>
      <c r="Q80" s="20">
        <f t="shared" ref="Q80" si="73">IF(ISBLANK(Q74),"",IF((COUNTIF(Q74:Q79,"X"))/$D80=1,_xlfn.UNICHAR(10003),(COUNTIF(Q74:Q79,"X"))/$D80))</f>
        <v>0</v>
      </c>
      <c r="R80" s="20">
        <f t="shared" ref="R80:S80" si="74">IF(ISBLANK(R74),"",IF((COUNTIF(R74:R79,"X"))/$D80=1,_xlfn.UNICHAR(10003),(COUNTIF(R74:R79,"X"))/$D80))</f>
        <v>0.66666666666666663</v>
      </c>
      <c r="S80" s="20">
        <f t="shared" si="74"/>
        <v>0</v>
      </c>
      <c r="U80" s="20" t="str">
        <f t="shared" ref="U80:V80" si="75">IF(ISBLANK(U74),"",IF((COUNTIF(U74:U79,"X"))/$D80=1,_xlfn.UNICHAR(10003),(COUNTIF(U74:U79,"X"))/$D80))</f>
        <v>✓</v>
      </c>
      <c r="V80" s="20" t="str">
        <f t="shared" si="75"/>
        <v>✓</v>
      </c>
      <c r="W80" s="20" t="str">
        <f>IF(ISBLANK(W74),"",IF((COUNTIF(W74:W79,"X"))/$D80=1,_xlfn.UNICHAR(10003),(COUNTIF(W74:W79,"X"))/$D80))</f>
        <v>✓</v>
      </c>
      <c r="X80" s="20" t="str">
        <f>IF(ISBLANK(X74),"",IF((COUNTIF(X74:X79,"X"))/(COUNTIF(X74:X78,"x")+COUNTIF(X74:X78,"a")+COUNTIF(X74:X78,"t"))=1,_xlfn.UNICHAR(10003),(COUNTIF(X74:X79,"X"))/(COUNTIF(X74:X78,"x")+COUNTIF(X74:X78,"a")+COUNTIF(X74:X78,"t"))))</f>
        <v>✓</v>
      </c>
      <c r="Y80" s="20" t="str">
        <f t="shared" ref="Y80:AA80" si="76">IF(ISBLANK(Y74),"",IF((COUNTIF(Y74:Y79,"X"))/$D80=1,_xlfn.UNICHAR(10003),(COUNTIF(Y74:Y79,"X"))/$D80))</f>
        <v>✓</v>
      </c>
      <c r="Z80" s="20" t="str">
        <f t="shared" si="76"/>
        <v>✓</v>
      </c>
      <c r="AA80" s="20" t="str">
        <f t="shared" si="76"/>
        <v>✓</v>
      </c>
      <c r="AB80" s="20">
        <f>IF(ISBLANK(AB74),"",IF((COUNTIF(AB74:AB79,"X"))/(COUNTIF(AB74:AB78,"x")+COUNTIF(AB74:AB78,"a")+COUNTIF(AB74:AB78,"t"))=1,_xlfn.UNICHAR(10003),(COUNTIF(AB74:AB79,"X"))/(COUNTIF(AB74:AB78,"x")+COUNTIF(AB74:AB78,"a")+COUNTIF(AB74:AB78,"t"))))</f>
        <v>0</v>
      </c>
      <c r="AC80" s="73"/>
      <c r="AE80" s="20" t="str">
        <f t="shared" ref="AE80" si="77">IF(ISBLANK(AE74),"",IF((COUNTIF(AE74:AE79,"X"))/$D80=1,_xlfn.UNICHAR(10003),(COUNTIF(AE74:AE79,"X"))/$D80))</f>
        <v>✓</v>
      </c>
      <c r="AF80" s="20" t="str">
        <f t="shared" si="71"/>
        <v>✓</v>
      </c>
      <c r="AG80" s="20" t="str">
        <f t="shared" ref="AG80:AI80" si="78">IF(ISBLANK(AG74),"",IF((COUNTIF(AG74:AG79,"X"))/$D80=1,_xlfn.UNICHAR(10003),(COUNTIF(AG74:AG79,"X"))/$D80))</f>
        <v>✓</v>
      </c>
      <c r="AH80" s="20">
        <f t="shared" si="78"/>
        <v>0.66666666666666663</v>
      </c>
      <c r="AI80" s="20">
        <f t="shared" si="78"/>
        <v>0</v>
      </c>
      <c r="AJ80" s="20">
        <f t="shared" ref="AJ80" si="79">IF(ISBLANK(AJ74),"",IF((COUNTIF(AJ74:AJ79,"X"))/$D80=1,_xlfn.UNICHAR(10003),(COUNTIF(AJ74:AJ79,"X"))/$D80))</f>
        <v>0</v>
      </c>
      <c r="AK80" s="20">
        <f t="shared" ref="AK80:AL80" si="80">IF(ISBLANK(AK74),"",IF((COUNTIF(AK74:AK79,"X"))/$D80=1,_xlfn.UNICHAR(10003),(COUNTIF(AK74:AK79,"X"))/$D80))</f>
        <v>0</v>
      </c>
      <c r="AL80" s="20">
        <f t="shared" si="80"/>
        <v>0</v>
      </c>
      <c r="AM80" s="20"/>
      <c r="AN80" s="20"/>
      <c r="AO80" s="20"/>
      <c r="AP80" s="20" t="str">
        <f t="shared" ref="AP80:AR80" si="81">IF(ISBLANK(AP74),"",IF((COUNTIF(AP74:AP79,"X"))/$D80=1,_xlfn.UNICHAR(10003),(COUNTIF(AP74:AP79,"X"))/$D80))</f>
        <v/>
      </c>
      <c r="AQ80" s="20">
        <f t="shared" ref="AQ80" si="82">IF(ISBLANK(AQ74),"",IF((COUNTIF(AQ74:AQ79,"X"))/$D80=1,_xlfn.UNICHAR(10003),(COUNTIF(AQ74:AQ79,"X"))/$D80))</f>
        <v>0</v>
      </c>
      <c r="AR80" s="20">
        <f t="shared" si="81"/>
        <v>0</v>
      </c>
      <c r="AS80" s="20">
        <f t="shared" ref="AS80:AT80" si="83">IF(ISBLANK(AS74),"",IF((COUNTIF(AS74:AS79,"X"))/$D80=1,_xlfn.UNICHAR(10003),(COUNTIF(AS74:AS79,"X"))/$D80))</f>
        <v>0</v>
      </c>
      <c r="AT80" s="20">
        <f t="shared" si="83"/>
        <v>0</v>
      </c>
      <c r="AU80" s="20">
        <f t="shared" ref="AU80" si="84">IF(ISBLANK(AU74),"",IF((COUNTIF(AU74:AU79,"X"))/$D80=1,_xlfn.UNICHAR(10003),(COUNTIF(AU74:AU79,"X"))/$D80))</f>
        <v>0</v>
      </c>
    </row>
    <row r="81" spans="2:47" x14ac:dyDescent="0.25">
      <c r="B81" s="95" t="s">
        <v>51</v>
      </c>
      <c r="C81" s="126" t="s">
        <v>55</v>
      </c>
      <c r="D81" s="127"/>
      <c r="E81" s="127"/>
      <c r="F81" s="128"/>
      <c r="G81" s="13" t="s">
        <v>17</v>
      </c>
      <c r="H81" s="13" t="s">
        <v>17</v>
      </c>
      <c r="I81" s="13" t="s">
        <v>139</v>
      </c>
      <c r="J81" s="13" t="s">
        <v>139</v>
      </c>
      <c r="K81" s="13" t="s">
        <v>17</v>
      </c>
      <c r="L81" s="13" t="s">
        <v>17</v>
      </c>
      <c r="M81" s="13" t="s">
        <v>17</v>
      </c>
      <c r="N81" s="13" t="s">
        <v>17</v>
      </c>
      <c r="P81" s="13" t="s">
        <v>139</v>
      </c>
      <c r="Q81" s="13"/>
      <c r="R81" s="13"/>
      <c r="S81" s="13"/>
      <c r="U81" s="13" t="s">
        <v>17</v>
      </c>
      <c r="V81" s="13" t="s">
        <v>17</v>
      </c>
      <c r="W81" s="13" t="s">
        <v>17</v>
      </c>
      <c r="X81" s="13" t="s">
        <v>17</v>
      </c>
      <c r="Y81" s="13" t="s">
        <v>17</v>
      </c>
      <c r="Z81" s="13" t="s">
        <v>17</v>
      </c>
      <c r="AA81" s="13" t="s">
        <v>17</v>
      </c>
      <c r="AB81" s="13" t="s">
        <v>139</v>
      </c>
      <c r="AC81" s="72"/>
      <c r="AE81" s="13" t="s">
        <v>17</v>
      </c>
      <c r="AF81" s="13" t="s">
        <v>17</v>
      </c>
      <c r="AG81" s="13" t="s">
        <v>17</v>
      </c>
      <c r="AH81" s="13"/>
      <c r="AI81" s="13" t="s">
        <v>139</v>
      </c>
      <c r="AJ81" s="13" t="s">
        <v>139</v>
      </c>
      <c r="AK81" s="13"/>
      <c r="AL81" s="13"/>
      <c r="AM81" s="13"/>
      <c r="AN81" s="13"/>
      <c r="AO81" s="13"/>
      <c r="AP81" s="13"/>
      <c r="AQ81" s="13"/>
      <c r="AR81" s="13" t="s">
        <v>139</v>
      </c>
      <c r="AS81" s="13" t="s">
        <v>139</v>
      </c>
      <c r="AT81" s="13" t="s">
        <v>139</v>
      </c>
      <c r="AU81" s="13" t="s">
        <v>139</v>
      </c>
    </row>
    <row r="82" spans="2:47" ht="15.75" hidden="1" customHeight="1" x14ac:dyDescent="0.3">
      <c r="B82" s="96"/>
      <c r="C82" s="129"/>
      <c r="D82" s="130"/>
      <c r="E82" s="130"/>
      <c r="F82" s="131"/>
      <c r="G82" s="27"/>
      <c r="H82" s="27"/>
      <c r="I82" s="27"/>
      <c r="J82" s="27"/>
      <c r="K82" s="26">
        <v>45383</v>
      </c>
      <c r="L82" s="27"/>
      <c r="M82" s="27"/>
      <c r="N82" s="27"/>
      <c r="P82" s="27"/>
      <c r="Q82" s="27"/>
      <c r="R82" s="27"/>
      <c r="S82" s="27"/>
      <c r="U82" s="27"/>
      <c r="V82" s="27"/>
      <c r="W82" s="27"/>
      <c r="X82" s="27"/>
      <c r="Y82" s="27"/>
      <c r="Z82" s="27"/>
      <c r="AA82" s="27"/>
      <c r="AB82" s="27"/>
      <c r="AC82" s="74"/>
      <c r="AE82" s="27"/>
      <c r="AF82" s="27"/>
      <c r="AG82" s="27"/>
      <c r="AH82" s="27"/>
      <c r="AI82" s="27"/>
      <c r="AJ82" s="27"/>
      <c r="AK82" s="27"/>
      <c r="AL82" s="27"/>
      <c r="AM82" s="27"/>
      <c r="AN82" s="27"/>
      <c r="AO82" s="27"/>
      <c r="AP82" s="27"/>
      <c r="AQ82" s="27"/>
      <c r="AR82" s="27"/>
      <c r="AS82" s="27"/>
      <c r="AT82" s="27"/>
      <c r="AU82" s="27"/>
    </row>
    <row r="83" spans="2:47" x14ac:dyDescent="0.25">
      <c r="B83" s="96"/>
      <c r="C83" s="126" t="s">
        <v>67</v>
      </c>
      <c r="D83" s="127"/>
      <c r="E83" s="127"/>
      <c r="F83" s="128"/>
      <c r="G83" s="13" t="s">
        <v>17</v>
      </c>
      <c r="H83" s="13" t="s">
        <v>17</v>
      </c>
      <c r="I83" s="13" t="s">
        <v>139</v>
      </c>
      <c r="J83" s="13" t="s">
        <v>139</v>
      </c>
      <c r="K83" s="13" t="s">
        <v>17</v>
      </c>
      <c r="L83" s="13" t="s">
        <v>17</v>
      </c>
      <c r="M83" s="13" t="s">
        <v>139</v>
      </c>
      <c r="N83" s="13" t="s">
        <v>139</v>
      </c>
      <c r="P83" s="13" t="s">
        <v>139</v>
      </c>
      <c r="Q83" s="13"/>
      <c r="R83" s="13"/>
      <c r="S83" s="13"/>
      <c r="U83" s="13" t="s">
        <v>17</v>
      </c>
      <c r="V83" s="13" t="s">
        <v>139</v>
      </c>
      <c r="W83" s="13" t="s">
        <v>18</v>
      </c>
      <c r="X83" s="13" t="s">
        <v>139</v>
      </c>
      <c r="Y83" s="13" t="s">
        <v>139</v>
      </c>
      <c r="Z83" s="13" t="s">
        <v>139</v>
      </c>
      <c r="AA83" s="13" t="s">
        <v>17</v>
      </c>
      <c r="AB83" s="13" t="s">
        <v>139</v>
      </c>
      <c r="AC83" s="72"/>
      <c r="AE83" s="13" t="s">
        <v>18</v>
      </c>
      <c r="AF83" s="13" t="s">
        <v>17</v>
      </c>
      <c r="AG83" s="13" t="s">
        <v>18</v>
      </c>
      <c r="AH83" s="13"/>
      <c r="AI83" s="13" t="s">
        <v>139</v>
      </c>
      <c r="AJ83" s="13" t="s">
        <v>139</v>
      </c>
      <c r="AK83" s="13"/>
      <c r="AL83" s="13"/>
      <c r="AM83" s="13"/>
      <c r="AN83" s="13"/>
      <c r="AO83" s="13"/>
      <c r="AP83" s="13"/>
      <c r="AQ83" s="13"/>
      <c r="AR83" s="13" t="s">
        <v>139</v>
      </c>
      <c r="AS83" s="13" t="s">
        <v>139</v>
      </c>
      <c r="AT83" s="13" t="s">
        <v>139</v>
      </c>
      <c r="AU83" s="13" t="s">
        <v>139</v>
      </c>
    </row>
    <row r="84" spans="2:47" ht="15.75" hidden="1" customHeight="1" x14ac:dyDescent="0.3">
      <c r="B84" s="96"/>
      <c r="C84" s="129"/>
      <c r="D84" s="130"/>
      <c r="E84" s="130"/>
      <c r="F84" s="131"/>
      <c r="G84" s="27"/>
      <c r="H84" s="27"/>
      <c r="I84" s="27"/>
      <c r="J84" s="27"/>
      <c r="K84" s="26">
        <v>45383</v>
      </c>
      <c r="L84" s="27"/>
      <c r="M84" s="27"/>
      <c r="N84" s="27"/>
      <c r="P84" s="27"/>
      <c r="Q84" s="27"/>
      <c r="R84" s="27"/>
      <c r="S84" s="27"/>
      <c r="U84" s="27"/>
      <c r="V84" s="27"/>
      <c r="W84" s="27"/>
      <c r="X84" s="27"/>
      <c r="Y84" s="27"/>
      <c r="Z84" s="27"/>
      <c r="AA84" s="27"/>
      <c r="AB84" s="27"/>
      <c r="AC84" s="74"/>
      <c r="AE84" s="27"/>
      <c r="AF84" s="27"/>
      <c r="AG84" s="27"/>
      <c r="AH84" s="27"/>
      <c r="AI84" s="27"/>
      <c r="AJ84" s="27"/>
      <c r="AK84" s="27"/>
      <c r="AL84" s="27"/>
      <c r="AM84" s="27"/>
      <c r="AN84" s="27"/>
      <c r="AO84" s="27"/>
      <c r="AP84" s="27"/>
      <c r="AQ84" s="27"/>
      <c r="AR84" s="27"/>
      <c r="AS84" s="27"/>
      <c r="AT84" s="27"/>
      <c r="AU84" s="27"/>
    </row>
    <row r="85" spans="2:47" x14ac:dyDescent="0.25">
      <c r="B85" s="96"/>
      <c r="C85" s="126" t="s">
        <v>76</v>
      </c>
      <c r="D85" s="127"/>
      <c r="E85" s="127"/>
      <c r="F85" s="128"/>
      <c r="G85" s="13" t="s">
        <v>17</v>
      </c>
      <c r="H85" s="13" t="s">
        <v>17</v>
      </c>
      <c r="I85" s="13" t="s">
        <v>139</v>
      </c>
      <c r="J85" s="13" t="s">
        <v>139</v>
      </c>
      <c r="K85" s="13" t="s">
        <v>17</v>
      </c>
      <c r="L85" s="13" t="s">
        <v>17</v>
      </c>
      <c r="M85" s="13" t="s">
        <v>139</v>
      </c>
      <c r="N85" s="13" t="s">
        <v>18</v>
      </c>
      <c r="P85" s="13" t="s">
        <v>139</v>
      </c>
      <c r="Q85" s="13"/>
      <c r="R85" s="13"/>
      <c r="S85" s="13"/>
      <c r="U85" s="13" t="s">
        <v>139</v>
      </c>
      <c r="V85" s="13" t="s">
        <v>139</v>
      </c>
      <c r="W85" s="13" t="s">
        <v>18</v>
      </c>
      <c r="X85" s="13" t="s">
        <v>17</v>
      </c>
      <c r="Y85" s="13" t="s">
        <v>139</v>
      </c>
      <c r="Z85" s="13" t="s">
        <v>139</v>
      </c>
      <c r="AA85" s="13" t="s">
        <v>18</v>
      </c>
      <c r="AB85" s="13" t="s">
        <v>139</v>
      </c>
      <c r="AC85" s="72"/>
      <c r="AE85" s="13" t="s">
        <v>139</v>
      </c>
      <c r="AF85" s="13" t="s">
        <v>17</v>
      </c>
      <c r="AG85" s="13" t="s">
        <v>139</v>
      </c>
      <c r="AH85" s="13"/>
      <c r="AI85" s="13" t="s">
        <v>139</v>
      </c>
      <c r="AJ85" s="13" t="s">
        <v>139</v>
      </c>
      <c r="AK85" s="13"/>
      <c r="AL85" s="13"/>
      <c r="AM85" s="13"/>
      <c r="AN85" s="13"/>
      <c r="AO85" s="13"/>
      <c r="AP85" s="13"/>
      <c r="AQ85" s="13"/>
      <c r="AR85" s="13" t="s">
        <v>139</v>
      </c>
      <c r="AS85" s="13" t="s">
        <v>139</v>
      </c>
      <c r="AT85" s="13" t="s">
        <v>139</v>
      </c>
      <c r="AU85" s="13" t="s">
        <v>139</v>
      </c>
    </row>
    <row r="86" spans="2:47" ht="15.75" customHeight="1" x14ac:dyDescent="0.3">
      <c r="B86" s="97"/>
      <c r="C86" s="129"/>
      <c r="D86" s="130"/>
      <c r="E86" s="130"/>
      <c r="F86" s="131"/>
      <c r="G86" s="27"/>
      <c r="H86" s="27"/>
      <c r="I86" s="27"/>
      <c r="J86" s="27"/>
      <c r="K86" s="27"/>
      <c r="L86" s="27"/>
      <c r="M86" s="27"/>
      <c r="N86" s="27"/>
      <c r="P86" s="27"/>
      <c r="Q86" s="27"/>
      <c r="R86" s="27"/>
      <c r="S86" s="27"/>
      <c r="U86" s="27"/>
      <c r="V86" s="27"/>
      <c r="W86" s="27"/>
      <c r="X86" s="27"/>
      <c r="Y86" s="27"/>
      <c r="Z86" s="27"/>
      <c r="AA86" s="27"/>
      <c r="AB86" s="27"/>
      <c r="AC86" s="74"/>
      <c r="AE86" s="27"/>
      <c r="AF86" s="27"/>
      <c r="AG86" s="27"/>
      <c r="AH86" s="27"/>
      <c r="AI86" s="27"/>
      <c r="AJ86" s="27"/>
      <c r="AK86" s="27"/>
      <c r="AL86" s="27"/>
      <c r="AM86" s="27"/>
      <c r="AN86" s="27"/>
      <c r="AO86" s="27"/>
      <c r="AP86" s="27"/>
      <c r="AQ86" s="27"/>
      <c r="AR86" s="27"/>
      <c r="AS86" s="27"/>
      <c r="AT86" s="27"/>
      <c r="AU86" s="27"/>
    </row>
    <row r="87" spans="2:47" x14ac:dyDescent="0.25">
      <c r="B87" s="17" t="s">
        <v>61</v>
      </c>
      <c r="C87" s="18" t="s">
        <v>62</v>
      </c>
      <c r="D87" s="19">
        <f>COUNTA(C81:F86)</f>
        <v>3</v>
      </c>
      <c r="E87" s="19"/>
      <c r="F87" s="19"/>
      <c r="G87" s="20" t="str">
        <f>IF(ISBLANK(G81),"",IF((COUNTIF(G81:G86,"X"))/(COUNTIF(G81:G85,"x")+COUNTIF(G81:G85,"a")+COUNTIF(G81:G85,"t"))=1,_xlfn.UNICHAR(10003),(COUNTIF(G81:G86,"X"))/(COUNTIF(G81:G85,"x")+COUNTIF(G81:G85,"a")+COUNTIF(G81:G85,"t"))))</f>
        <v>✓</v>
      </c>
      <c r="H87" s="20" t="str">
        <f t="shared" ref="H87:AF87" si="85">IF(ISBLANK(H81),"",IF((COUNTIF(H81:H86,"X"))/(COUNTIF(H81:H85,"x")+COUNTIF(H81:H85,"a")+COUNTIF(H81:H85,"t"))=1,_xlfn.UNICHAR(10003),(COUNTIF(H81:H86,"X"))/(COUNTIF(H81:H85,"x")+COUNTIF(H81:H85,"a")+COUNTIF(H81:H85,"t"))))</f>
        <v>✓</v>
      </c>
      <c r="I87" s="20">
        <f t="shared" si="85"/>
        <v>0</v>
      </c>
      <c r="J87" s="20">
        <f t="shared" si="85"/>
        <v>0</v>
      </c>
      <c r="K87" s="20" t="str">
        <f t="shared" si="85"/>
        <v>✓</v>
      </c>
      <c r="L87" s="20" t="str">
        <f t="shared" si="85"/>
        <v>✓</v>
      </c>
      <c r="M87" s="20">
        <f t="shared" ref="M87:N87" si="86">IF(ISBLANK(M81),"",IF((COUNTIF(M81:M86,"X"))/$D87=1,_xlfn.UNICHAR(10003),(COUNTIF(M81:M86,"X"))/$D87))</f>
        <v>0.33333333333333331</v>
      </c>
      <c r="N87" s="20">
        <f t="shared" si="86"/>
        <v>0.33333333333333331</v>
      </c>
      <c r="P87" s="20">
        <f t="shared" si="85"/>
        <v>0</v>
      </c>
      <c r="Q87" s="20" t="str">
        <f t="shared" ref="Q87" si="87">IF(ISBLANK(Q81),"",IF((COUNTIF(Q81:Q86,"X"))/$D87=1,_xlfn.UNICHAR(10003),(COUNTIF(Q81:Q86,"X"))/$D87))</f>
        <v/>
      </c>
      <c r="R87" s="20" t="str">
        <f t="shared" ref="R87:S87" si="88">IF(ISBLANK(R81),"",IF((COUNTIF(R81:R86,"X"))/$D87=1,_xlfn.UNICHAR(10003),(COUNTIF(R81:R86,"X"))/$D87))</f>
        <v/>
      </c>
      <c r="S87" s="20" t="str">
        <f t="shared" si="88"/>
        <v/>
      </c>
      <c r="U87" s="20">
        <f t="shared" ref="U87:V87" si="89">IF(ISBLANK(U81),"",IF((COUNTIF(U81:U86,"X"))/$D87=1,_xlfn.UNICHAR(10003),(COUNTIF(U81:U86,"X"))/$D87))</f>
        <v>0.66666666666666663</v>
      </c>
      <c r="V87" s="20">
        <f t="shared" si="89"/>
        <v>0.33333333333333331</v>
      </c>
      <c r="W87" s="20">
        <f>IF(ISBLANK(W81),"",IF((COUNTIF(W81:W86,"X"))/$D87=1,_xlfn.UNICHAR(10003),(COUNTIF(W81:W86,"X"))/$D87))</f>
        <v>0.33333333333333331</v>
      </c>
      <c r="X87" s="20">
        <f>IF(ISBLANK(X81),"",IF((COUNTIF(X81:X86,"X"))/(COUNTIF(X81:X85,"x")+COUNTIF(X81:X85,"a")+COUNTIF(X81:X85,"t"))=1,_xlfn.UNICHAR(10003),(COUNTIF(X81:X86,"X"))/(COUNTIF(X81:X85,"x")+COUNTIF(X81:X85,"a")+COUNTIF(X81:X85,"t"))))</f>
        <v>0.66666666666666663</v>
      </c>
      <c r="Y87" s="20">
        <f t="shared" ref="Y87:AA87" si="90">IF(ISBLANK(Y81),"",IF((COUNTIF(Y81:Y86,"X"))/$D87=1,_xlfn.UNICHAR(10003),(COUNTIF(Y81:Y86,"X"))/$D87))</f>
        <v>0.33333333333333331</v>
      </c>
      <c r="Z87" s="20">
        <f t="shared" si="90"/>
        <v>0.33333333333333331</v>
      </c>
      <c r="AA87" s="20">
        <f t="shared" si="90"/>
        <v>0.66666666666666663</v>
      </c>
      <c r="AB87" s="20">
        <f>IF(ISBLANK(AB81),"",IF((COUNTIF(AB81:AB86,"X"))/(COUNTIF(AB81:AB85,"x")+COUNTIF(AB81:AB85,"a")+COUNTIF(AB81:AB85,"t"))=1,_xlfn.UNICHAR(10003),(COUNTIF(AB81:AB86,"X"))/(COUNTIF(AB81:AB85,"x")+COUNTIF(AB81:AB85,"a")+COUNTIF(AB81:AB85,"t"))))</f>
        <v>0</v>
      </c>
      <c r="AC87" s="73"/>
      <c r="AE87" s="20">
        <f t="shared" ref="AE87" si="91">IF(ISBLANK(AE81),"",IF((COUNTIF(AE81:AE86,"X"))/$D87=1,_xlfn.UNICHAR(10003),(COUNTIF(AE81:AE86,"X"))/$D87))</f>
        <v>0.33333333333333331</v>
      </c>
      <c r="AF87" s="20" t="str">
        <f t="shared" si="85"/>
        <v>✓</v>
      </c>
      <c r="AG87" s="20">
        <f t="shared" ref="AG87:AI87" si="92">IF(ISBLANK(AG81),"",IF((COUNTIF(AG81:AG86,"X"))/$D87=1,_xlfn.UNICHAR(10003),(COUNTIF(AG81:AG86,"X"))/$D87))</f>
        <v>0.33333333333333331</v>
      </c>
      <c r="AH87" s="20" t="str">
        <f t="shared" si="92"/>
        <v/>
      </c>
      <c r="AI87" s="20">
        <f t="shared" si="92"/>
        <v>0</v>
      </c>
      <c r="AJ87" s="20">
        <f t="shared" ref="AJ87" si="93">IF(ISBLANK(AJ81),"",IF((COUNTIF(AJ81:AJ86,"X"))/$D87=1,_xlfn.UNICHAR(10003),(COUNTIF(AJ81:AJ86,"X"))/$D87))</f>
        <v>0</v>
      </c>
      <c r="AK87" s="20" t="str">
        <f t="shared" ref="AK87:AL87" si="94">IF(ISBLANK(AK81),"",IF((COUNTIF(AK81:AK86,"X"))/$D87=1,_xlfn.UNICHAR(10003),(COUNTIF(AK81:AK86,"X"))/$D87))</f>
        <v/>
      </c>
      <c r="AL87" s="20" t="str">
        <f t="shared" si="94"/>
        <v/>
      </c>
      <c r="AM87" s="20"/>
      <c r="AN87" s="20"/>
      <c r="AO87" s="20"/>
      <c r="AP87" s="20" t="str">
        <f t="shared" ref="AP87:AR87" si="95">IF(ISBLANK(AP81),"",IF((COUNTIF(AP81:AP86,"X"))/$D87=1,_xlfn.UNICHAR(10003),(COUNTIF(AP81:AP86,"X"))/$D87))</f>
        <v/>
      </c>
      <c r="AQ87" s="20" t="str">
        <f t="shared" ref="AQ87" si="96">IF(ISBLANK(AQ81),"",IF((COUNTIF(AQ81:AQ86,"X"))/$D87=1,_xlfn.UNICHAR(10003),(COUNTIF(AQ81:AQ86,"X"))/$D87))</f>
        <v/>
      </c>
      <c r="AR87" s="20">
        <f t="shared" si="95"/>
        <v>0</v>
      </c>
      <c r="AS87" s="20">
        <f t="shared" ref="AS87:AT87" si="97">IF(ISBLANK(AS81),"",IF((COUNTIF(AS81:AS86,"X"))/$D87=1,_xlfn.UNICHAR(10003),(COUNTIF(AS81:AS86,"X"))/$D87))</f>
        <v>0</v>
      </c>
      <c r="AT87" s="20">
        <f t="shared" si="97"/>
        <v>0</v>
      </c>
      <c r="AU87" s="20">
        <f t="shared" ref="AU87" si="98">IF(ISBLANK(AU81),"",IF((COUNTIF(AU81:AU86,"X"))/$D87=1,_xlfn.UNICHAR(10003),(COUNTIF(AU81:AU86,"X"))/$D87))</f>
        <v>0</v>
      </c>
    </row>
    <row r="88" spans="2:47" x14ac:dyDescent="0.25">
      <c r="B88" s="165" t="s">
        <v>39</v>
      </c>
      <c r="C88" s="86" t="s">
        <v>22</v>
      </c>
      <c r="D88" s="144"/>
      <c r="E88" s="144"/>
      <c r="F88" s="145"/>
      <c r="G88" s="13" t="s">
        <v>17</v>
      </c>
      <c r="H88" s="13" t="s">
        <v>17</v>
      </c>
      <c r="I88" s="13" t="s">
        <v>139</v>
      </c>
      <c r="J88" s="13" t="s">
        <v>139</v>
      </c>
      <c r="K88" s="13" t="s">
        <v>17</v>
      </c>
      <c r="L88" s="13" t="s">
        <v>17</v>
      </c>
      <c r="M88" s="13" t="s">
        <v>17</v>
      </c>
      <c r="N88" s="13" t="s">
        <v>17</v>
      </c>
      <c r="P88" s="13" t="s">
        <v>139</v>
      </c>
      <c r="Q88" s="13" t="s">
        <v>139</v>
      </c>
      <c r="R88" s="13" t="s">
        <v>139</v>
      </c>
      <c r="S88" s="13" t="s">
        <v>139</v>
      </c>
      <c r="U88" s="13" t="s">
        <v>17</v>
      </c>
      <c r="V88" s="13" t="s">
        <v>17</v>
      </c>
      <c r="W88" s="13" t="s">
        <v>17</v>
      </c>
      <c r="X88" s="13" t="s">
        <v>17</v>
      </c>
      <c r="Y88" s="13" t="s">
        <v>17</v>
      </c>
      <c r="Z88" s="13" t="s">
        <v>17</v>
      </c>
      <c r="AA88" s="13" t="s">
        <v>17</v>
      </c>
      <c r="AB88" s="13" t="s">
        <v>139</v>
      </c>
      <c r="AC88" s="72"/>
      <c r="AE88" s="13" t="s">
        <v>17</v>
      </c>
      <c r="AF88" s="13" t="s">
        <v>17</v>
      </c>
      <c r="AG88" s="13" t="s">
        <v>17</v>
      </c>
      <c r="AH88" s="13" t="s">
        <v>139</v>
      </c>
      <c r="AI88" s="13" t="s">
        <v>139</v>
      </c>
      <c r="AJ88" s="13" t="s">
        <v>139</v>
      </c>
      <c r="AK88" s="13" t="s">
        <v>139</v>
      </c>
      <c r="AL88" s="13" t="s">
        <v>139</v>
      </c>
      <c r="AM88" s="13"/>
      <c r="AN88" s="13"/>
      <c r="AO88" s="13"/>
      <c r="AP88" s="13"/>
      <c r="AQ88" s="13" t="s">
        <v>139</v>
      </c>
      <c r="AR88" s="13" t="s">
        <v>139</v>
      </c>
      <c r="AS88" s="13" t="s">
        <v>139</v>
      </c>
      <c r="AT88" s="13" t="s">
        <v>139</v>
      </c>
      <c r="AU88" s="13" t="s">
        <v>139</v>
      </c>
    </row>
    <row r="89" spans="2:47" ht="15.75" hidden="1" customHeight="1" x14ac:dyDescent="0.3">
      <c r="B89" s="166"/>
      <c r="C89" s="146"/>
      <c r="D89" s="147"/>
      <c r="E89" s="147"/>
      <c r="F89" s="148"/>
      <c r="G89" s="27"/>
      <c r="H89" s="27"/>
      <c r="I89" s="27"/>
      <c r="J89" s="27"/>
      <c r="K89" s="26">
        <v>45383</v>
      </c>
      <c r="L89" s="27"/>
      <c r="M89" s="27"/>
      <c r="N89" s="27"/>
      <c r="P89" s="27"/>
      <c r="Q89" s="27"/>
      <c r="R89" s="27"/>
      <c r="S89" s="27"/>
      <c r="U89" s="27"/>
      <c r="V89" s="27"/>
      <c r="W89" s="27"/>
      <c r="X89" s="27"/>
      <c r="Y89" s="27"/>
      <c r="Z89" s="27"/>
      <c r="AA89" s="27"/>
      <c r="AB89" s="27"/>
      <c r="AC89" s="74"/>
      <c r="AE89" s="27"/>
      <c r="AF89" s="27"/>
      <c r="AG89" s="27"/>
      <c r="AH89" s="27"/>
      <c r="AI89" s="27"/>
      <c r="AJ89" s="27"/>
      <c r="AK89" s="27"/>
      <c r="AL89" s="27"/>
      <c r="AM89" s="27"/>
      <c r="AN89" s="27"/>
      <c r="AO89" s="27"/>
      <c r="AP89" s="27"/>
      <c r="AQ89" s="27"/>
      <c r="AR89" s="27"/>
      <c r="AS89" s="27"/>
      <c r="AT89" s="27"/>
      <c r="AU89" s="27"/>
    </row>
    <row r="90" spans="2:47" x14ac:dyDescent="0.25">
      <c r="B90" s="166"/>
      <c r="C90" s="86" t="s">
        <v>52</v>
      </c>
      <c r="D90" s="144"/>
      <c r="E90" s="144"/>
      <c r="F90" s="145"/>
      <c r="G90" s="13" t="s">
        <v>17</v>
      </c>
      <c r="H90" s="13" t="s">
        <v>17</v>
      </c>
      <c r="I90" s="13" t="s">
        <v>139</v>
      </c>
      <c r="J90" s="13" t="s">
        <v>139</v>
      </c>
      <c r="K90" s="13" t="s">
        <v>17</v>
      </c>
      <c r="L90" s="13" t="s">
        <v>17</v>
      </c>
      <c r="M90" s="13" t="s">
        <v>17</v>
      </c>
      <c r="N90" s="13" t="s">
        <v>17</v>
      </c>
      <c r="P90" s="13" t="s">
        <v>139</v>
      </c>
      <c r="Q90" s="13" t="s">
        <v>139</v>
      </c>
      <c r="R90" s="13" t="s">
        <v>139</v>
      </c>
      <c r="S90" s="13" t="s">
        <v>139</v>
      </c>
      <c r="U90" s="13" t="s">
        <v>17</v>
      </c>
      <c r="V90" s="13" t="s">
        <v>17</v>
      </c>
      <c r="W90" s="13" t="s">
        <v>17</v>
      </c>
      <c r="X90" s="13" t="s">
        <v>17</v>
      </c>
      <c r="Y90" s="13" t="s">
        <v>17</v>
      </c>
      <c r="Z90" s="13" t="s">
        <v>18</v>
      </c>
      <c r="AA90" s="13" t="s">
        <v>17</v>
      </c>
      <c r="AB90" s="13" t="s">
        <v>139</v>
      </c>
      <c r="AC90" s="72"/>
      <c r="AE90" s="13" t="s">
        <v>17</v>
      </c>
      <c r="AF90" s="13" t="s">
        <v>17</v>
      </c>
      <c r="AG90" s="13" t="s">
        <v>17</v>
      </c>
      <c r="AH90" s="13" t="s">
        <v>139</v>
      </c>
      <c r="AI90" s="13" t="s">
        <v>139</v>
      </c>
      <c r="AJ90" s="13" t="s">
        <v>139</v>
      </c>
      <c r="AK90" s="13"/>
      <c r="AL90" s="13"/>
      <c r="AM90" s="13"/>
      <c r="AN90" s="13"/>
      <c r="AO90" s="13"/>
      <c r="AP90" s="13"/>
      <c r="AQ90" s="13" t="s">
        <v>139</v>
      </c>
      <c r="AR90" s="13" t="s">
        <v>139</v>
      </c>
      <c r="AS90" s="13" t="s">
        <v>139</v>
      </c>
      <c r="AT90" s="13" t="s">
        <v>139</v>
      </c>
      <c r="AU90" s="13" t="s">
        <v>139</v>
      </c>
    </row>
    <row r="91" spans="2:47" ht="15.75" hidden="1" customHeight="1" x14ac:dyDescent="0.3">
      <c r="B91" s="166"/>
      <c r="C91" s="146"/>
      <c r="D91" s="147"/>
      <c r="E91" s="147"/>
      <c r="F91" s="148"/>
      <c r="G91" s="27"/>
      <c r="H91" s="27"/>
      <c r="I91" s="27"/>
      <c r="J91" s="27"/>
      <c r="K91" s="26">
        <v>45383</v>
      </c>
      <c r="L91" s="27"/>
      <c r="M91" s="27"/>
      <c r="N91" s="27"/>
      <c r="P91" s="27"/>
      <c r="Q91" s="27"/>
      <c r="R91" s="27"/>
      <c r="S91" s="27"/>
      <c r="U91" s="27"/>
      <c r="V91" s="27"/>
      <c r="W91" s="27"/>
      <c r="X91" s="27"/>
      <c r="Y91" s="27"/>
      <c r="Z91" s="27"/>
      <c r="AA91" s="27"/>
      <c r="AB91" s="27"/>
      <c r="AC91" s="74"/>
      <c r="AE91" s="27"/>
      <c r="AF91" s="27"/>
      <c r="AG91" s="27"/>
      <c r="AH91" s="27"/>
      <c r="AI91" s="27"/>
      <c r="AJ91" s="27"/>
      <c r="AK91" s="27"/>
      <c r="AL91" s="27"/>
      <c r="AM91" s="27"/>
      <c r="AN91" s="27"/>
      <c r="AO91" s="27"/>
      <c r="AP91" s="27"/>
      <c r="AQ91" s="27"/>
      <c r="AR91" s="27"/>
      <c r="AS91" s="27"/>
      <c r="AT91" s="27"/>
      <c r="AU91" s="27"/>
    </row>
    <row r="92" spans="2:47" x14ac:dyDescent="0.25">
      <c r="B92" s="166"/>
      <c r="C92" s="86" t="s">
        <v>77</v>
      </c>
      <c r="D92" s="144"/>
      <c r="E92" s="144"/>
      <c r="F92" s="145"/>
      <c r="G92" s="13" t="s">
        <v>17</v>
      </c>
      <c r="H92" s="13" t="s">
        <v>17</v>
      </c>
      <c r="I92" s="13" t="s">
        <v>139</v>
      </c>
      <c r="J92" s="13" t="s">
        <v>139</v>
      </c>
      <c r="K92" s="13" t="s">
        <v>17</v>
      </c>
      <c r="L92" s="13" t="s">
        <v>17</v>
      </c>
      <c r="M92" s="13" t="s">
        <v>17</v>
      </c>
      <c r="N92" s="13" t="s">
        <v>17</v>
      </c>
      <c r="P92" s="13" t="s">
        <v>139</v>
      </c>
      <c r="Q92" s="13" t="s">
        <v>139</v>
      </c>
      <c r="R92" s="13" t="s">
        <v>139</v>
      </c>
      <c r="S92" s="13" t="s">
        <v>139</v>
      </c>
      <c r="U92" s="13" t="s">
        <v>17</v>
      </c>
      <c r="V92" s="13" t="s">
        <v>17</v>
      </c>
      <c r="W92" s="13" t="s">
        <v>17</v>
      </c>
      <c r="X92" s="13" t="s">
        <v>17</v>
      </c>
      <c r="Y92" s="13" t="s">
        <v>17</v>
      </c>
      <c r="Z92" s="13" t="s">
        <v>17</v>
      </c>
      <c r="AA92" s="13" t="s">
        <v>17</v>
      </c>
      <c r="AB92" s="13" t="s">
        <v>139</v>
      </c>
      <c r="AC92" s="72"/>
      <c r="AE92" s="13" t="s">
        <v>17</v>
      </c>
      <c r="AF92" s="13" t="s">
        <v>17</v>
      </c>
      <c r="AG92" s="13" t="s">
        <v>17</v>
      </c>
      <c r="AH92" s="13" t="s">
        <v>139</v>
      </c>
      <c r="AI92" s="13" t="s">
        <v>139</v>
      </c>
      <c r="AJ92" s="13" t="s">
        <v>139</v>
      </c>
      <c r="AK92" s="13" t="s">
        <v>139</v>
      </c>
      <c r="AL92" s="13"/>
      <c r="AM92" s="13"/>
      <c r="AN92" s="13"/>
      <c r="AO92" s="13"/>
      <c r="AP92" s="13"/>
      <c r="AQ92" s="13" t="s">
        <v>139</v>
      </c>
      <c r="AR92" s="13" t="s">
        <v>139</v>
      </c>
      <c r="AS92" s="13" t="s">
        <v>139</v>
      </c>
      <c r="AT92" s="13" t="s">
        <v>139</v>
      </c>
      <c r="AU92" s="13" t="s">
        <v>139</v>
      </c>
    </row>
    <row r="93" spans="2:47" ht="15.75" hidden="1" customHeight="1" x14ac:dyDescent="0.3">
      <c r="B93" s="166"/>
      <c r="C93" s="146"/>
      <c r="D93" s="147"/>
      <c r="E93" s="147"/>
      <c r="F93" s="148"/>
      <c r="G93" s="27"/>
      <c r="H93" s="27"/>
      <c r="I93" s="27"/>
      <c r="J93" s="27"/>
      <c r="K93" s="26">
        <v>45383</v>
      </c>
      <c r="L93" s="27"/>
      <c r="M93" s="27"/>
      <c r="N93" s="27"/>
      <c r="P93" s="27"/>
      <c r="Q93" s="27"/>
      <c r="R93" s="27"/>
      <c r="S93" s="27"/>
      <c r="U93" s="27"/>
      <c r="V93" s="27"/>
      <c r="W93" s="27"/>
      <c r="X93" s="27"/>
      <c r="Y93" s="27"/>
      <c r="Z93" s="27"/>
      <c r="AA93" s="27"/>
      <c r="AB93" s="27"/>
      <c r="AC93" s="74"/>
      <c r="AE93" s="27"/>
      <c r="AF93" s="27"/>
      <c r="AG93" s="27"/>
      <c r="AH93" s="27"/>
      <c r="AI93" s="27"/>
      <c r="AJ93" s="27"/>
      <c r="AK93" s="27"/>
      <c r="AL93" s="27"/>
      <c r="AM93" s="27"/>
      <c r="AN93" s="27"/>
      <c r="AO93" s="27"/>
      <c r="AP93" s="27"/>
      <c r="AQ93" s="27"/>
      <c r="AR93" s="27"/>
      <c r="AS93" s="27"/>
      <c r="AT93" s="27"/>
      <c r="AU93" s="27"/>
    </row>
    <row r="94" spans="2:47" x14ac:dyDescent="0.25">
      <c r="B94" s="166"/>
      <c r="C94" s="86" t="s">
        <v>78</v>
      </c>
      <c r="D94" s="144"/>
      <c r="E94" s="144"/>
      <c r="F94" s="145"/>
      <c r="G94" s="13" t="s">
        <v>17</v>
      </c>
      <c r="H94" s="13" t="s">
        <v>17</v>
      </c>
      <c r="I94" s="13" t="s">
        <v>139</v>
      </c>
      <c r="J94" s="13" t="s">
        <v>139</v>
      </c>
      <c r="K94" s="13" t="s">
        <v>17</v>
      </c>
      <c r="L94" s="13" t="s">
        <v>17</v>
      </c>
      <c r="M94" s="13" t="s">
        <v>17</v>
      </c>
      <c r="N94" s="13" t="s">
        <v>18</v>
      </c>
      <c r="P94" s="13" t="s">
        <v>139</v>
      </c>
      <c r="Q94" s="13" t="s">
        <v>139</v>
      </c>
      <c r="R94" s="13" t="s">
        <v>139</v>
      </c>
      <c r="S94" s="13" t="s">
        <v>139</v>
      </c>
      <c r="U94" s="13" t="s">
        <v>17</v>
      </c>
      <c r="V94" s="13" t="s">
        <v>17</v>
      </c>
      <c r="W94" s="13" t="s">
        <v>18</v>
      </c>
      <c r="X94" s="13" t="s">
        <v>17</v>
      </c>
      <c r="Y94" s="13" t="s">
        <v>139</v>
      </c>
      <c r="Z94" s="13" t="s">
        <v>18</v>
      </c>
      <c r="AA94" s="13" t="s">
        <v>17</v>
      </c>
      <c r="AB94" s="13" t="s">
        <v>139</v>
      </c>
      <c r="AC94" s="72"/>
      <c r="AE94" s="13" t="s">
        <v>139</v>
      </c>
      <c r="AF94" s="13" t="s">
        <v>17</v>
      </c>
      <c r="AG94" s="13" t="s">
        <v>139</v>
      </c>
      <c r="AH94" s="13" t="s">
        <v>139</v>
      </c>
      <c r="AI94" s="13" t="s">
        <v>139</v>
      </c>
      <c r="AJ94" s="13" t="s">
        <v>139</v>
      </c>
      <c r="AK94" s="13"/>
      <c r="AL94" s="13"/>
      <c r="AM94" s="13"/>
      <c r="AN94" s="13"/>
      <c r="AO94" s="13"/>
      <c r="AP94" s="13"/>
      <c r="AQ94" s="13" t="s">
        <v>139</v>
      </c>
      <c r="AR94" s="13" t="s">
        <v>139</v>
      </c>
      <c r="AS94" s="13" t="s">
        <v>139</v>
      </c>
      <c r="AT94" s="13" t="s">
        <v>139</v>
      </c>
      <c r="AU94" s="13" t="s">
        <v>139</v>
      </c>
    </row>
    <row r="95" spans="2:47" ht="15.75" hidden="1" customHeight="1" x14ac:dyDescent="0.3">
      <c r="B95" s="166"/>
      <c r="C95" s="146"/>
      <c r="D95" s="147"/>
      <c r="E95" s="147"/>
      <c r="F95" s="148"/>
      <c r="G95" s="27"/>
      <c r="H95" s="27"/>
      <c r="I95" s="27"/>
      <c r="J95" s="27"/>
      <c r="K95" s="27"/>
      <c r="L95" s="27"/>
      <c r="M95" s="27"/>
      <c r="N95" s="27"/>
      <c r="P95" s="27"/>
      <c r="Q95" s="27"/>
      <c r="R95" s="27"/>
      <c r="S95" s="27"/>
      <c r="U95" s="27"/>
      <c r="V95" s="27"/>
      <c r="W95" s="27"/>
      <c r="X95" s="27"/>
      <c r="Y95" s="27"/>
      <c r="Z95" s="27"/>
      <c r="AA95" s="27"/>
      <c r="AB95" s="27"/>
      <c r="AC95" s="74"/>
      <c r="AE95" s="27"/>
      <c r="AF95" s="27"/>
      <c r="AG95" s="27"/>
      <c r="AH95" s="27"/>
      <c r="AI95" s="27"/>
      <c r="AJ95" s="27"/>
      <c r="AK95" s="27"/>
      <c r="AL95" s="27"/>
      <c r="AM95" s="27"/>
      <c r="AN95" s="27"/>
      <c r="AO95" s="27"/>
      <c r="AP95" s="27"/>
      <c r="AQ95" s="27"/>
      <c r="AR95" s="27"/>
      <c r="AS95" s="27"/>
      <c r="AT95" s="27"/>
      <c r="AU95" s="27"/>
    </row>
    <row r="96" spans="2:47" x14ac:dyDescent="0.25">
      <c r="B96" s="167"/>
      <c r="C96" s="86" t="s">
        <v>79</v>
      </c>
      <c r="D96" s="144"/>
      <c r="E96" s="144"/>
      <c r="F96" s="145"/>
      <c r="G96" s="13" t="s">
        <v>17</v>
      </c>
      <c r="H96" s="13" t="s">
        <v>17</v>
      </c>
      <c r="I96" s="13" t="s">
        <v>139</v>
      </c>
      <c r="J96" s="13" t="s">
        <v>139</v>
      </c>
      <c r="K96" s="13" t="s">
        <v>17</v>
      </c>
      <c r="L96" s="13" t="s">
        <v>17</v>
      </c>
      <c r="M96" s="13" t="s">
        <v>17</v>
      </c>
      <c r="N96" s="13" t="s">
        <v>17</v>
      </c>
      <c r="P96" s="13" t="s">
        <v>139</v>
      </c>
      <c r="Q96" s="13" t="s">
        <v>139</v>
      </c>
      <c r="R96" s="13" t="s">
        <v>139</v>
      </c>
      <c r="S96" s="13" t="s">
        <v>139</v>
      </c>
      <c r="U96" s="13" t="s">
        <v>17</v>
      </c>
      <c r="V96" s="13" t="s">
        <v>17</v>
      </c>
      <c r="W96" s="13" t="s">
        <v>17</v>
      </c>
      <c r="X96" s="13" t="s">
        <v>17</v>
      </c>
      <c r="Y96" s="13" t="s">
        <v>17</v>
      </c>
      <c r="Z96" s="13" t="s">
        <v>17</v>
      </c>
      <c r="AA96" s="13" t="s">
        <v>17</v>
      </c>
      <c r="AB96" s="13" t="s">
        <v>139</v>
      </c>
      <c r="AC96" s="72"/>
      <c r="AE96" s="13" t="s">
        <v>17</v>
      </c>
      <c r="AF96" s="13" t="s">
        <v>17</v>
      </c>
      <c r="AG96" s="13" t="s">
        <v>17</v>
      </c>
      <c r="AH96" s="13" t="s">
        <v>139</v>
      </c>
      <c r="AI96" s="13" t="s">
        <v>139</v>
      </c>
      <c r="AJ96" s="13" t="s">
        <v>139</v>
      </c>
      <c r="AK96" s="13" t="s">
        <v>139</v>
      </c>
      <c r="AL96" s="13"/>
      <c r="AM96" s="13"/>
      <c r="AN96" s="13"/>
      <c r="AO96" s="13"/>
      <c r="AP96" s="13"/>
      <c r="AQ96" s="13" t="s">
        <v>139</v>
      </c>
      <c r="AR96" s="13" t="s">
        <v>139</v>
      </c>
      <c r="AS96" s="13" t="s">
        <v>139</v>
      </c>
      <c r="AT96" s="13" t="s">
        <v>139</v>
      </c>
      <c r="AU96" s="13" t="s">
        <v>139</v>
      </c>
    </row>
    <row r="97" spans="2:47" ht="15.75" hidden="1" customHeight="1" x14ac:dyDescent="0.3">
      <c r="B97" s="167"/>
      <c r="C97" s="146"/>
      <c r="D97" s="147"/>
      <c r="E97" s="147"/>
      <c r="F97" s="148"/>
      <c r="G97" s="27"/>
      <c r="H97" s="27"/>
      <c r="I97" s="27"/>
      <c r="J97" s="27"/>
      <c r="K97" s="26">
        <v>45383</v>
      </c>
      <c r="L97" s="27"/>
      <c r="M97" s="27"/>
      <c r="N97" s="27"/>
      <c r="P97" s="27"/>
      <c r="Q97" s="27"/>
      <c r="R97" s="27"/>
      <c r="S97" s="27"/>
      <c r="U97" s="27"/>
      <c r="V97" s="27"/>
      <c r="W97" s="27"/>
      <c r="X97" s="27"/>
      <c r="Y97" s="27"/>
      <c r="Z97" s="27"/>
      <c r="AA97" s="27"/>
      <c r="AB97" s="27"/>
      <c r="AC97" s="74"/>
      <c r="AE97" s="27"/>
      <c r="AF97" s="27"/>
      <c r="AG97" s="27"/>
      <c r="AH97" s="27"/>
      <c r="AI97" s="27"/>
      <c r="AJ97" s="27"/>
      <c r="AK97" s="27"/>
      <c r="AL97" s="27"/>
      <c r="AM97" s="27"/>
      <c r="AN97" s="27"/>
      <c r="AO97" s="27"/>
      <c r="AP97" s="27"/>
      <c r="AQ97" s="27"/>
      <c r="AR97" s="27"/>
      <c r="AS97" s="27"/>
      <c r="AT97" s="27"/>
      <c r="AU97" s="27"/>
    </row>
    <row r="98" spans="2:47" x14ac:dyDescent="0.25">
      <c r="B98" s="167"/>
      <c r="C98" s="86" t="s">
        <v>80</v>
      </c>
      <c r="D98" s="144"/>
      <c r="E98" s="144"/>
      <c r="F98" s="145"/>
      <c r="G98" s="13" t="s">
        <v>17</v>
      </c>
      <c r="H98" s="13" t="s">
        <v>17</v>
      </c>
      <c r="I98" s="13" t="s">
        <v>139</v>
      </c>
      <c r="J98" s="13" t="s">
        <v>139</v>
      </c>
      <c r="K98" s="13" t="s">
        <v>17</v>
      </c>
      <c r="L98" s="13" t="s">
        <v>17</v>
      </c>
      <c r="M98" s="13" t="s">
        <v>17</v>
      </c>
      <c r="N98" s="13" t="s">
        <v>17</v>
      </c>
      <c r="P98" s="13" t="s">
        <v>139</v>
      </c>
      <c r="Q98" s="13" t="s">
        <v>139</v>
      </c>
      <c r="R98" s="13" t="s">
        <v>139</v>
      </c>
      <c r="S98" s="13" t="s">
        <v>139</v>
      </c>
      <c r="U98" s="13" t="s">
        <v>17</v>
      </c>
      <c r="V98" s="13" t="s">
        <v>17</v>
      </c>
      <c r="W98" s="13" t="s">
        <v>17</v>
      </c>
      <c r="X98" s="13" t="s">
        <v>17</v>
      </c>
      <c r="Y98" s="13" t="s">
        <v>17</v>
      </c>
      <c r="Z98" s="13" t="s">
        <v>17</v>
      </c>
      <c r="AA98" s="13" t="s">
        <v>17</v>
      </c>
      <c r="AB98" s="13" t="s">
        <v>139</v>
      </c>
      <c r="AC98" s="72"/>
      <c r="AE98" s="13" t="s">
        <v>17</v>
      </c>
      <c r="AF98" s="13" t="s">
        <v>17</v>
      </c>
      <c r="AG98" s="13" t="s">
        <v>17</v>
      </c>
      <c r="AH98" s="13" t="s">
        <v>139</v>
      </c>
      <c r="AI98" s="13" t="s">
        <v>139</v>
      </c>
      <c r="AJ98" s="13" t="s">
        <v>139</v>
      </c>
      <c r="AK98" s="13" t="s">
        <v>139</v>
      </c>
      <c r="AL98" s="13"/>
      <c r="AM98" s="13"/>
      <c r="AN98" s="13"/>
      <c r="AO98" s="13"/>
      <c r="AP98" s="13"/>
      <c r="AQ98" s="13" t="s">
        <v>139</v>
      </c>
      <c r="AR98" s="13" t="s">
        <v>139</v>
      </c>
      <c r="AS98" s="13" t="s">
        <v>139</v>
      </c>
      <c r="AT98" s="13" t="s">
        <v>139</v>
      </c>
      <c r="AU98" s="13" t="s">
        <v>139</v>
      </c>
    </row>
    <row r="99" spans="2:47" ht="15.75" hidden="1" customHeight="1" x14ac:dyDescent="0.3">
      <c r="B99" s="167"/>
      <c r="C99" s="146"/>
      <c r="D99" s="147"/>
      <c r="E99" s="147"/>
      <c r="F99" s="148"/>
      <c r="G99" s="27"/>
      <c r="H99" s="27"/>
      <c r="I99" s="27"/>
      <c r="J99" s="27"/>
      <c r="K99" s="26">
        <v>45383</v>
      </c>
      <c r="L99" s="27"/>
      <c r="M99" s="27"/>
      <c r="N99" s="27"/>
      <c r="P99" s="27"/>
      <c r="Q99" s="27"/>
      <c r="R99" s="27"/>
      <c r="S99" s="27"/>
      <c r="U99" s="27"/>
      <c r="V99" s="27"/>
      <c r="W99" s="27"/>
      <c r="X99" s="27"/>
      <c r="Y99" s="27"/>
      <c r="Z99" s="27"/>
      <c r="AA99" s="27"/>
      <c r="AB99" s="27"/>
      <c r="AC99" s="74"/>
      <c r="AE99" s="27"/>
      <c r="AF99" s="27"/>
      <c r="AG99" s="27"/>
      <c r="AH99" s="27"/>
      <c r="AI99" s="27"/>
      <c r="AJ99" s="27"/>
      <c r="AK99" s="27"/>
      <c r="AL99" s="27"/>
      <c r="AM99" s="27"/>
      <c r="AN99" s="27"/>
      <c r="AO99" s="27"/>
      <c r="AP99" s="27"/>
      <c r="AQ99" s="27"/>
      <c r="AR99" s="27"/>
      <c r="AS99" s="27"/>
      <c r="AT99" s="27"/>
      <c r="AU99" s="27"/>
    </row>
    <row r="100" spans="2:47" x14ac:dyDescent="0.25">
      <c r="B100" s="167"/>
      <c r="C100" s="86" t="s">
        <v>82</v>
      </c>
      <c r="D100" s="144"/>
      <c r="E100" s="144"/>
      <c r="F100" s="145"/>
      <c r="G100" s="13" t="s">
        <v>17</v>
      </c>
      <c r="H100" s="13" t="s">
        <v>17</v>
      </c>
      <c r="I100" s="13" t="s">
        <v>139</v>
      </c>
      <c r="J100" s="13" t="s">
        <v>139</v>
      </c>
      <c r="K100" s="13" t="s">
        <v>17</v>
      </c>
      <c r="L100" s="13" t="s">
        <v>17</v>
      </c>
      <c r="M100" s="13" t="s">
        <v>17</v>
      </c>
      <c r="N100" s="13" t="s">
        <v>17</v>
      </c>
      <c r="P100" s="13" t="s">
        <v>139</v>
      </c>
      <c r="Q100" s="13" t="s">
        <v>139</v>
      </c>
      <c r="R100" s="13" t="s">
        <v>139</v>
      </c>
      <c r="S100" s="13" t="s">
        <v>139</v>
      </c>
      <c r="U100" s="13" t="s">
        <v>17</v>
      </c>
      <c r="V100" s="13" t="s">
        <v>17</v>
      </c>
      <c r="W100" s="13" t="s">
        <v>17</v>
      </c>
      <c r="X100" s="13" t="s">
        <v>17</v>
      </c>
      <c r="Y100" s="13" t="s">
        <v>17</v>
      </c>
      <c r="Z100" s="13" t="s">
        <v>17</v>
      </c>
      <c r="AA100" s="13" t="s">
        <v>17</v>
      </c>
      <c r="AB100" s="13" t="s">
        <v>17</v>
      </c>
      <c r="AC100" s="72"/>
      <c r="AE100" s="13" t="s">
        <v>18</v>
      </c>
      <c r="AF100" s="13" t="s">
        <v>17</v>
      </c>
      <c r="AG100" s="13" t="s">
        <v>17</v>
      </c>
      <c r="AH100" s="13" t="s">
        <v>139</v>
      </c>
      <c r="AI100" s="13" t="s">
        <v>139</v>
      </c>
      <c r="AJ100" s="13" t="s">
        <v>139</v>
      </c>
      <c r="AK100" s="13" t="s">
        <v>139</v>
      </c>
      <c r="AL100" s="13" t="s">
        <v>139</v>
      </c>
      <c r="AM100" s="13"/>
      <c r="AN100" s="13"/>
      <c r="AO100" s="13"/>
      <c r="AP100" s="13"/>
      <c r="AQ100" s="13" t="s">
        <v>139</v>
      </c>
      <c r="AR100" s="13" t="s">
        <v>139</v>
      </c>
      <c r="AS100" s="13" t="s">
        <v>139</v>
      </c>
      <c r="AT100" s="13" t="s">
        <v>139</v>
      </c>
      <c r="AU100" s="13" t="s">
        <v>139</v>
      </c>
    </row>
    <row r="101" spans="2:47" ht="15.75" hidden="1" customHeight="1" x14ac:dyDescent="0.3">
      <c r="B101" s="167"/>
      <c r="C101" s="146"/>
      <c r="D101" s="147"/>
      <c r="E101" s="147"/>
      <c r="F101" s="148"/>
      <c r="G101" s="27"/>
      <c r="H101" s="27"/>
      <c r="I101" s="27"/>
      <c r="J101" s="27"/>
      <c r="K101" s="26">
        <v>45383</v>
      </c>
      <c r="L101" s="27"/>
      <c r="M101" s="27"/>
      <c r="N101" s="27"/>
      <c r="P101" s="27"/>
      <c r="Q101" s="27"/>
      <c r="R101" s="27"/>
      <c r="S101" s="27"/>
      <c r="U101" s="27"/>
      <c r="V101" s="27"/>
      <c r="W101" s="27"/>
      <c r="X101" s="27"/>
      <c r="Y101" s="27"/>
      <c r="Z101" s="27"/>
      <c r="AA101" s="27"/>
      <c r="AB101" s="27"/>
      <c r="AC101" s="74"/>
      <c r="AE101" s="27"/>
      <c r="AF101" s="27"/>
      <c r="AG101" s="27"/>
      <c r="AH101" s="27"/>
      <c r="AI101" s="27"/>
      <c r="AJ101" s="27"/>
      <c r="AK101" s="27"/>
      <c r="AL101" s="27"/>
      <c r="AM101" s="27"/>
      <c r="AN101" s="27"/>
      <c r="AO101" s="27"/>
      <c r="AP101" s="27"/>
      <c r="AQ101" s="27"/>
      <c r="AR101" s="27"/>
      <c r="AS101" s="27"/>
      <c r="AT101" s="27"/>
      <c r="AU101" s="27"/>
    </row>
    <row r="102" spans="2:47" x14ac:dyDescent="0.25">
      <c r="B102" s="167"/>
      <c r="C102" s="86" t="s">
        <v>83</v>
      </c>
      <c r="D102" s="144"/>
      <c r="E102" s="144"/>
      <c r="F102" s="145"/>
      <c r="G102" s="13" t="s">
        <v>21</v>
      </c>
      <c r="H102" s="13" t="s">
        <v>17</v>
      </c>
      <c r="I102" s="13" t="s">
        <v>139</v>
      </c>
      <c r="J102" s="13" t="s">
        <v>139</v>
      </c>
      <c r="K102" s="13" t="s">
        <v>17</v>
      </c>
      <c r="L102" s="13" t="s">
        <v>17</v>
      </c>
      <c r="M102" s="13" t="s">
        <v>17</v>
      </c>
      <c r="N102" s="13" t="s">
        <v>17</v>
      </c>
      <c r="P102" s="13" t="s">
        <v>139</v>
      </c>
      <c r="Q102" s="13" t="s">
        <v>139</v>
      </c>
      <c r="R102" s="13" t="s">
        <v>139</v>
      </c>
      <c r="S102" s="13" t="s">
        <v>139</v>
      </c>
      <c r="U102" s="13" t="s">
        <v>17</v>
      </c>
      <c r="V102" s="13" t="s">
        <v>17</v>
      </c>
      <c r="W102" s="13" t="s">
        <v>17</v>
      </c>
      <c r="X102" s="13" t="s">
        <v>17</v>
      </c>
      <c r="Y102" s="13" t="s">
        <v>18</v>
      </c>
      <c r="Z102" s="13" t="s">
        <v>17</v>
      </c>
      <c r="AA102" s="13" t="s">
        <v>17</v>
      </c>
      <c r="AB102" s="13" t="s">
        <v>17</v>
      </c>
      <c r="AC102" s="72"/>
      <c r="AE102" s="13" t="s">
        <v>18</v>
      </c>
      <c r="AF102" s="13" t="s">
        <v>17</v>
      </c>
      <c r="AG102" s="13" t="s">
        <v>17</v>
      </c>
      <c r="AH102" s="13" t="s">
        <v>139</v>
      </c>
      <c r="AI102" s="13" t="s">
        <v>139</v>
      </c>
      <c r="AJ102" s="13" t="s">
        <v>139</v>
      </c>
      <c r="AK102" s="13" t="s">
        <v>139</v>
      </c>
      <c r="AL102" s="13"/>
      <c r="AM102" s="13"/>
      <c r="AN102" s="13"/>
      <c r="AO102" s="13"/>
      <c r="AP102" s="13"/>
      <c r="AQ102" s="13" t="s">
        <v>139</v>
      </c>
      <c r="AR102" s="13" t="s">
        <v>139</v>
      </c>
      <c r="AS102" s="13" t="s">
        <v>139</v>
      </c>
      <c r="AT102" s="13" t="s">
        <v>139</v>
      </c>
      <c r="AU102" s="13" t="s">
        <v>139</v>
      </c>
    </row>
    <row r="103" spans="2:47" ht="15.75" hidden="1" customHeight="1" x14ac:dyDescent="0.3">
      <c r="B103" s="168"/>
      <c r="C103" s="146"/>
      <c r="D103" s="147"/>
      <c r="E103" s="147"/>
      <c r="F103" s="148"/>
      <c r="G103" s="27"/>
      <c r="H103" s="27"/>
      <c r="I103" s="27"/>
      <c r="J103" s="27"/>
      <c r="K103" s="26">
        <v>45383</v>
      </c>
      <c r="L103" s="27"/>
      <c r="M103" s="27"/>
      <c r="N103" s="27"/>
      <c r="P103" s="27"/>
      <c r="Q103" s="27"/>
      <c r="R103" s="27"/>
      <c r="S103" s="27"/>
      <c r="U103" s="27"/>
      <c r="V103" s="27"/>
      <c r="W103" s="27"/>
      <c r="X103" s="27"/>
      <c r="Y103" s="27"/>
      <c r="Z103" s="27"/>
      <c r="AA103" s="27"/>
      <c r="AB103" s="27"/>
      <c r="AC103" s="74"/>
      <c r="AE103" s="27"/>
      <c r="AF103" s="27"/>
      <c r="AG103" s="27"/>
      <c r="AH103" s="27"/>
      <c r="AI103" s="27"/>
      <c r="AJ103" s="27"/>
      <c r="AK103" s="27"/>
      <c r="AL103" s="27"/>
      <c r="AM103" s="27"/>
      <c r="AN103" s="27"/>
      <c r="AO103" s="27"/>
      <c r="AP103" s="27"/>
      <c r="AQ103" s="27"/>
      <c r="AR103" s="27"/>
      <c r="AS103" s="27"/>
      <c r="AT103" s="27"/>
      <c r="AU103" s="27"/>
    </row>
    <row r="104" spans="2:47" x14ac:dyDescent="0.25">
      <c r="B104" s="17" t="s">
        <v>61</v>
      </c>
      <c r="C104" s="18" t="s">
        <v>62</v>
      </c>
      <c r="D104" s="19">
        <f>COUNTA(C88:F103)</f>
        <v>8</v>
      </c>
      <c r="E104" s="19"/>
      <c r="F104" s="19"/>
      <c r="G104" s="20" t="str">
        <f>IF(ISBLANK(G88),"",IF((COUNTIF(G88:G103,"X"))/(COUNTIF(G88:G102,"x")+COUNTIF(G88:G102,"a")+COUNTIF(G88:G102,"t"))=1,_xlfn.UNICHAR(10003),(COUNTIF(G88:G103,"X"))/(COUNTIF(G88:G102,"x")+COUNTIF(G88:G102,"a")+COUNTIF(G88:G102,"t"))))</f>
        <v>✓</v>
      </c>
      <c r="H104" s="20" t="str">
        <f t="shared" ref="H104:AF104" si="99">IF(ISBLANK(H88),"",IF((COUNTIF(H88:H103,"X"))/(COUNTIF(H88:H102,"x")+COUNTIF(H88:H102,"a")+COUNTIF(H88:H102,"t"))=1,_xlfn.UNICHAR(10003),(COUNTIF(H88:H103,"X"))/(COUNTIF(H88:H102,"x")+COUNTIF(H88:H102,"a")+COUNTIF(H88:H102,"t"))))</f>
        <v>✓</v>
      </c>
      <c r="I104" s="20">
        <f t="shared" si="99"/>
        <v>0</v>
      </c>
      <c r="J104" s="20">
        <f t="shared" si="99"/>
        <v>0</v>
      </c>
      <c r="K104" s="20" t="str">
        <f t="shared" si="99"/>
        <v>✓</v>
      </c>
      <c r="L104" s="20" t="str">
        <f t="shared" si="99"/>
        <v>✓</v>
      </c>
      <c r="M104" s="20" t="str">
        <f t="shared" ref="M104:N104" si="100">IF(ISBLANK(M88),"",IF((COUNTIF(M88:M103,"X"))/$D104=1,_xlfn.UNICHAR(10003),(COUNTIF(M88:M103,"X"))/$D104))</f>
        <v>✓</v>
      </c>
      <c r="N104" s="20">
        <f t="shared" si="100"/>
        <v>0.875</v>
      </c>
      <c r="P104" s="20">
        <f t="shared" si="99"/>
        <v>0</v>
      </c>
      <c r="Q104" s="20">
        <f t="shared" ref="Q104" si="101">IF(ISBLANK(Q88),"",IF((COUNTIF(Q88:Q103,"X"))/$D104=1,_xlfn.UNICHAR(10003),(COUNTIF(Q88:Q103,"X"))/$D104))</f>
        <v>0</v>
      </c>
      <c r="R104" s="20">
        <f t="shared" ref="R104:S104" si="102">IF(ISBLANK(R88),"",IF((COUNTIF(R88:R103,"X"))/$D104=1,_xlfn.UNICHAR(10003),(COUNTIF(R88:R103,"X"))/$D104))</f>
        <v>0</v>
      </c>
      <c r="S104" s="20">
        <f t="shared" si="102"/>
        <v>0</v>
      </c>
      <c r="U104" s="20" t="str">
        <f t="shared" ref="U104:V104" si="103">IF(ISBLANK(U88),"",IF((COUNTIF(U88:U103,"X"))/$D104=1,_xlfn.UNICHAR(10003),(COUNTIF(U88:U103,"X"))/$D104))</f>
        <v>✓</v>
      </c>
      <c r="V104" s="20" t="str">
        <f t="shared" si="103"/>
        <v>✓</v>
      </c>
      <c r="W104" s="20">
        <f>IF(ISBLANK(W88),"",IF((COUNTIF(W88:W103,"X"))/$D104=1,_xlfn.UNICHAR(10003),(COUNTIF(W88:W103,"X"))/$D104))</f>
        <v>0.875</v>
      </c>
      <c r="X104" s="20" t="str">
        <f>IF(ISBLANK(X88),"",IF((COUNTIF(X88:X103,"X"))/(COUNTIF(X88:X102,"x")+COUNTIF(X88:X102,"a")+COUNTIF(X88:X102,"t"))=1,_xlfn.UNICHAR(10003),(COUNTIF(X88:X103,"X"))/(COUNTIF(X88:X102,"x")+COUNTIF(X88:X102,"a")+COUNTIF(X88:X102,"t"))))</f>
        <v>✓</v>
      </c>
      <c r="Y104" s="20">
        <f t="shared" ref="Y104:AA104" si="104">IF(ISBLANK(Y88),"",IF((COUNTIF(Y88:Y103,"X"))/$D104=1,_xlfn.UNICHAR(10003),(COUNTIF(Y88:Y103,"X"))/$D104))</f>
        <v>0.75</v>
      </c>
      <c r="Z104" s="20">
        <f t="shared" si="104"/>
        <v>0.75</v>
      </c>
      <c r="AA104" s="20" t="str">
        <f t="shared" si="104"/>
        <v>✓</v>
      </c>
      <c r="AB104" s="20">
        <f>IF(ISBLANK(AB88),"",IF((COUNTIF(AB88:AB103,"X"))/(COUNTIF(AB88:AB102,"x")+COUNTIF(AB88:AB102,"a")+COUNTIF(AB88:AB102,"t"))=1,_xlfn.UNICHAR(10003),(COUNTIF(AB88:AB103,"X"))/(COUNTIF(AB88:AB102,"x")+COUNTIF(AB88:AB102,"a")+COUNTIF(AB88:AB102,"t"))))</f>
        <v>0.25</v>
      </c>
      <c r="AC104" s="73"/>
      <c r="AE104" s="20">
        <f t="shared" ref="AE104" si="105">IF(ISBLANK(AE88),"",IF((COUNTIF(AE88:AE103,"X"))/$D104=1,_xlfn.UNICHAR(10003),(COUNTIF(AE88:AE103,"X"))/$D104))</f>
        <v>0.625</v>
      </c>
      <c r="AF104" s="20" t="str">
        <f t="shared" si="99"/>
        <v>✓</v>
      </c>
      <c r="AG104" s="20">
        <f t="shared" ref="AG104:AI104" si="106">IF(ISBLANK(AG88),"",IF((COUNTIF(AG88:AG103,"X"))/$D104=1,_xlfn.UNICHAR(10003),(COUNTIF(AG88:AG103,"X"))/$D104))</f>
        <v>0.875</v>
      </c>
      <c r="AH104" s="20">
        <f t="shared" si="106"/>
        <v>0</v>
      </c>
      <c r="AI104" s="20">
        <f t="shared" si="106"/>
        <v>0</v>
      </c>
      <c r="AJ104" s="20">
        <f t="shared" ref="AJ104" si="107">IF(ISBLANK(AJ88),"",IF((COUNTIF(AJ88:AJ103,"X"))/$D104=1,_xlfn.UNICHAR(10003),(COUNTIF(AJ88:AJ103,"X"))/$D104))</f>
        <v>0</v>
      </c>
      <c r="AK104" s="20">
        <f t="shared" ref="AK104:AL104" si="108">IF(ISBLANK(AK88),"",IF((COUNTIF(AK88:AK103,"X"))/$D104=1,_xlfn.UNICHAR(10003),(COUNTIF(AK88:AK103,"X"))/$D104))</f>
        <v>0</v>
      </c>
      <c r="AL104" s="20">
        <f t="shared" si="108"/>
        <v>0</v>
      </c>
      <c r="AM104" s="20"/>
      <c r="AN104" s="20"/>
      <c r="AO104" s="20"/>
      <c r="AP104" s="20" t="str">
        <f t="shared" ref="AP104:AR104" si="109">IF(ISBLANK(AP88),"",IF((COUNTIF(AP88:AP103,"X"))/$D104=1,_xlfn.UNICHAR(10003),(COUNTIF(AP88:AP103,"X"))/$D104))</f>
        <v/>
      </c>
      <c r="AQ104" s="20">
        <f t="shared" ref="AQ104" si="110">IF(ISBLANK(AQ88),"",IF((COUNTIF(AQ88:AQ103,"X"))/$D104=1,_xlfn.UNICHAR(10003),(COUNTIF(AQ88:AQ103,"X"))/$D104))</f>
        <v>0</v>
      </c>
      <c r="AR104" s="20">
        <f t="shared" si="109"/>
        <v>0</v>
      </c>
      <c r="AS104" s="20">
        <f t="shared" ref="AS104:AT104" si="111">IF(ISBLANK(AS88),"",IF((COUNTIF(AS88:AS103,"X"))/$D104=1,_xlfn.UNICHAR(10003),(COUNTIF(AS88:AS103,"X"))/$D104))</f>
        <v>0</v>
      </c>
      <c r="AT104" s="20">
        <f t="shared" si="111"/>
        <v>0</v>
      </c>
      <c r="AU104" s="20">
        <f t="shared" ref="AU104" si="112">IF(ISBLANK(AU88),"",IF((COUNTIF(AU88:AU103,"X"))/$D104=1,_xlfn.UNICHAR(10003),(COUNTIF(AU88:AU103,"X"))/$D104))</f>
        <v>0</v>
      </c>
    </row>
    <row r="105" spans="2:47" x14ac:dyDescent="0.25">
      <c r="B105" s="149" t="s">
        <v>40</v>
      </c>
      <c r="C105" s="159" t="s">
        <v>52</v>
      </c>
      <c r="D105" s="160"/>
      <c r="E105" s="160"/>
      <c r="F105" s="161"/>
      <c r="G105" s="13" t="s">
        <v>21</v>
      </c>
      <c r="H105" s="13" t="s">
        <v>17</v>
      </c>
      <c r="I105" s="13" t="s">
        <v>139</v>
      </c>
      <c r="J105" s="13" t="s">
        <v>139</v>
      </c>
      <c r="K105" s="13" t="s">
        <v>17</v>
      </c>
      <c r="L105" s="13" t="s">
        <v>17</v>
      </c>
      <c r="M105" s="13" t="s">
        <v>17</v>
      </c>
      <c r="N105" s="13" t="s">
        <v>17</v>
      </c>
      <c r="P105" s="13" t="s">
        <v>139</v>
      </c>
      <c r="Q105" s="13"/>
      <c r="R105" s="13"/>
      <c r="S105" s="13"/>
      <c r="U105" s="13" t="s">
        <v>17</v>
      </c>
      <c r="V105" s="13" t="s">
        <v>17</v>
      </c>
      <c r="W105" s="13" t="s">
        <v>17</v>
      </c>
      <c r="X105" s="13" t="s">
        <v>17</v>
      </c>
      <c r="Y105" s="13" t="s">
        <v>17</v>
      </c>
      <c r="Z105" s="13" t="s">
        <v>18</v>
      </c>
      <c r="AA105" s="13" t="s">
        <v>17</v>
      </c>
      <c r="AB105" s="13" t="s">
        <v>139</v>
      </c>
      <c r="AC105" s="72"/>
      <c r="AE105" s="13" t="s">
        <v>17</v>
      </c>
      <c r="AF105" s="13" t="s">
        <v>17</v>
      </c>
      <c r="AG105" s="13" t="s">
        <v>17</v>
      </c>
      <c r="AH105" s="13"/>
      <c r="AI105" s="13"/>
      <c r="AJ105" s="13"/>
      <c r="AK105" s="13"/>
      <c r="AL105" s="13"/>
      <c r="AM105" s="13"/>
      <c r="AN105" s="13"/>
      <c r="AO105" s="13"/>
      <c r="AP105" s="13"/>
      <c r="AQ105" s="13"/>
      <c r="AR105" s="13"/>
      <c r="AS105" s="13"/>
      <c r="AT105" s="13" t="s">
        <v>139</v>
      </c>
      <c r="AU105" s="13" t="s">
        <v>139</v>
      </c>
    </row>
    <row r="106" spans="2:47" ht="15.75" hidden="1" customHeight="1" x14ac:dyDescent="0.3">
      <c r="B106" s="150"/>
      <c r="C106" s="162"/>
      <c r="D106" s="163"/>
      <c r="E106" s="163"/>
      <c r="F106" s="164"/>
      <c r="G106" s="27"/>
      <c r="H106" s="27"/>
      <c r="I106" s="27"/>
      <c r="J106" s="27"/>
      <c r="K106" s="26">
        <v>45383</v>
      </c>
      <c r="L106" s="27"/>
      <c r="M106" s="27"/>
      <c r="N106" s="27"/>
      <c r="P106" s="27"/>
      <c r="Q106" s="27"/>
      <c r="R106" s="27"/>
      <c r="S106" s="27"/>
      <c r="U106" s="27"/>
      <c r="V106" s="27"/>
      <c r="W106" s="27"/>
      <c r="X106" s="27"/>
      <c r="Y106" s="27"/>
      <c r="Z106" s="27"/>
      <c r="AA106" s="27"/>
      <c r="AB106" s="27"/>
      <c r="AC106" s="74"/>
      <c r="AE106" s="27"/>
      <c r="AF106" s="27"/>
      <c r="AG106" s="27"/>
      <c r="AH106" s="27"/>
      <c r="AI106" s="27"/>
      <c r="AJ106" s="27"/>
      <c r="AK106" s="27"/>
      <c r="AL106" s="27"/>
      <c r="AM106" s="27"/>
      <c r="AN106" s="27"/>
      <c r="AO106" s="27"/>
      <c r="AP106" s="27"/>
      <c r="AQ106" s="27"/>
      <c r="AR106" s="27"/>
      <c r="AS106" s="27"/>
      <c r="AT106" s="27"/>
      <c r="AU106" s="27"/>
    </row>
    <row r="107" spans="2:47" x14ac:dyDescent="0.25">
      <c r="B107" s="150"/>
      <c r="C107" s="132" t="s">
        <v>85</v>
      </c>
      <c r="D107" s="133"/>
      <c r="E107" s="133"/>
      <c r="F107" s="134"/>
      <c r="G107" s="13" t="s">
        <v>21</v>
      </c>
      <c r="H107" s="13" t="s">
        <v>17</v>
      </c>
      <c r="I107" s="13" t="s">
        <v>139</v>
      </c>
      <c r="J107" s="13" t="s">
        <v>139</v>
      </c>
      <c r="K107" s="13" t="s">
        <v>17</v>
      </c>
      <c r="L107" s="13" t="s">
        <v>17</v>
      </c>
      <c r="M107" s="13" t="s">
        <v>17</v>
      </c>
      <c r="N107" s="13" t="s">
        <v>18</v>
      </c>
      <c r="P107" s="13" t="s">
        <v>139</v>
      </c>
      <c r="Q107" s="13"/>
      <c r="R107" s="13"/>
      <c r="S107" s="13"/>
      <c r="U107" s="13" t="s">
        <v>17</v>
      </c>
      <c r="V107" s="13" t="s">
        <v>17</v>
      </c>
      <c r="W107" s="13" t="s">
        <v>17</v>
      </c>
      <c r="X107" s="13" t="s">
        <v>17</v>
      </c>
      <c r="Y107" s="13" t="s">
        <v>17</v>
      </c>
      <c r="Z107" s="13" t="s">
        <v>18</v>
      </c>
      <c r="AA107" s="13" t="s">
        <v>17</v>
      </c>
      <c r="AB107" s="13" t="s">
        <v>139</v>
      </c>
      <c r="AC107" s="72"/>
      <c r="AE107" s="13" t="s">
        <v>17</v>
      </c>
      <c r="AF107" s="13" t="s">
        <v>17</v>
      </c>
      <c r="AG107" s="13" t="s">
        <v>17</v>
      </c>
      <c r="AH107" s="13"/>
      <c r="AI107" s="13"/>
      <c r="AJ107" s="13"/>
      <c r="AK107" s="13"/>
      <c r="AL107" s="13"/>
      <c r="AM107" s="13"/>
      <c r="AN107" s="13"/>
      <c r="AO107" s="13"/>
      <c r="AP107" s="13"/>
      <c r="AQ107" s="13"/>
      <c r="AR107" s="13"/>
      <c r="AS107" s="13"/>
      <c r="AT107" s="13" t="s">
        <v>139</v>
      </c>
      <c r="AU107" s="13" t="s">
        <v>139</v>
      </c>
    </row>
    <row r="108" spans="2:47" ht="15.75" hidden="1" customHeight="1" x14ac:dyDescent="0.3">
      <c r="B108" s="150"/>
      <c r="C108" s="135"/>
      <c r="D108" s="136"/>
      <c r="E108" s="136"/>
      <c r="F108" s="137"/>
      <c r="G108" s="27"/>
      <c r="H108" s="27"/>
      <c r="I108" s="27"/>
      <c r="J108" s="27"/>
      <c r="K108" s="26">
        <v>45383</v>
      </c>
      <c r="L108" s="27"/>
      <c r="M108" s="27"/>
      <c r="N108" s="27"/>
      <c r="P108" s="27"/>
      <c r="Q108" s="27"/>
      <c r="R108" s="27"/>
      <c r="S108" s="27"/>
      <c r="U108" s="27"/>
      <c r="V108" s="27"/>
      <c r="W108" s="27"/>
      <c r="X108" s="27"/>
      <c r="Y108" s="27"/>
      <c r="Z108" s="27"/>
      <c r="AA108" s="27"/>
      <c r="AB108" s="27"/>
      <c r="AC108" s="74"/>
      <c r="AE108" s="27"/>
      <c r="AF108" s="27"/>
      <c r="AG108" s="27"/>
      <c r="AH108" s="27"/>
      <c r="AI108" s="27"/>
      <c r="AJ108" s="27"/>
      <c r="AK108" s="27"/>
      <c r="AL108" s="27"/>
      <c r="AM108" s="27"/>
      <c r="AN108" s="27"/>
      <c r="AO108" s="27"/>
      <c r="AP108" s="27"/>
      <c r="AQ108" s="27"/>
      <c r="AR108" s="27"/>
      <c r="AS108" s="27"/>
      <c r="AT108" s="27"/>
      <c r="AU108" s="27"/>
    </row>
    <row r="109" spans="2:47" x14ac:dyDescent="0.25">
      <c r="B109" s="150"/>
      <c r="C109" s="132" t="s">
        <v>84</v>
      </c>
      <c r="D109" s="133"/>
      <c r="E109" s="133"/>
      <c r="F109" s="134"/>
      <c r="G109" s="13" t="s">
        <v>21</v>
      </c>
      <c r="H109" s="13" t="s">
        <v>17</v>
      </c>
      <c r="I109" s="13" t="s">
        <v>139</v>
      </c>
      <c r="J109" s="13" t="s">
        <v>139</v>
      </c>
      <c r="K109" s="13" t="s">
        <v>17</v>
      </c>
      <c r="L109" s="13" t="s">
        <v>17</v>
      </c>
      <c r="M109" s="13" t="s">
        <v>17</v>
      </c>
      <c r="N109" s="13" t="s">
        <v>18</v>
      </c>
      <c r="P109" s="13" t="s">
        <v>139</v>
      </c>
      <c r="Q109" s="13"/>
      <c r="R109" s="13"/>
      <c r="S109" s="13"/>
      <c r="U109" s="13" t="s">
        <v>17</v>
      </c>
      <c r="V109" s="13" t="s">
        <v>17</v>
      </c>
      <c r="W109" s="13" t="s">
        <v>17</v>
      </c>
      <c r="X109" s="13" t="s">
        <v>17</v>
      </c>
      <c r="Y109" s="13" t="s">
        <v>17</v>
      </c>
      <c r="Z109" s="13" t="s">
        <v>18</v>
      </c>
      <c r="AA109" s="13" t="s">
        <v>17</v>
      </c>
      <c r="AB109" s="13" t="s">
        <v>139</v>
      </c>
      <c r="AC109" s="72"/>
      <c r="AE109" s="13" t="s">
        <v>17</v>
      </c>
      <c r="AF109" s="13" t="s">
        <v>17</v>
      </c>
      <c r="AG109" s="13" t="s">
        <v>17</v>
      </c>
      <c r="AH109" s="13"/>
      <c r="AI109" s="13"/>
      <c r="AJ109" s="13"/>
      <c r="AK109" s="13"/>
      <c r="AL109" s="13"/>
      <c r="AM109" s="13"/>
      <c r="AN109" s="13"/>
      <c r="AO109" s="13"/>
      <c r="AP109" s="13"/>
      <c r="AQ109" s="13"/>
      <c r="AR109" s="13"/>
      <c r="AS109" s="13"/>
      <c r="AT109" s="13" t="s">
        <v>139</v>
      </c>
      <c r="AU109" s="13" t="s">
        <v>139</v>
      </c>
    </row>
    <row r="110" spans="2:47" ht="15.75" hidden="1" customHeight="1" x14ac:dyDescent="0.3">
      <c r="B110" s="150"/>
      <c r="C110" s="135"/>
      <c r="D110" s="136"/>
      <c r="E110" s="136"/>
      <c r="F110" s="137"/>
      <c r="G110" s="27"/>
      <c r="H110" s="27"/>
      <c r="I110" s="27"/>
      <c r="J110" s="27"/>
      <c r="K110" s="26">
        <v>45383</v>
      </c>
      <c r="L110" s="27"/>
      <c r="M110" s="27"/>
      <c r="N110" s="27"/>
      <c r="P110" s="27"/>
      <c r="Q110" s="27"/>
      <c r="R110" s="27"/>
      <c r="S110" s="27"/>
      <c r="U110" s="27"/>
      <c r="V110" s="27"/>
      <c r="W110" s="27"/>
      <c r="X110" s="27"/>
      <c r="Y110" s="27"/>
      <c r="Z110" s="27"/>
      <c r="AA110" s="27"/>
      <c r="AB110" s="27"/>
      <c r="AC110" s="74"/>
      <c r="AE110" s="27"/>
      <c r="AF110" s="27"/>
      <c r="AG110" s="27"/>
      <c r="AH110" s="27"/>
      <c r="AI110" s="27"/>
      <c r="AJ110" s="27"/>
      <c r="AK110" s="27"/>
      <c r="AL110" s="27"/>
      <c r="AM110" s="27"/>
      <c r="AN110" s="27"/>
      <c r="AO110" s="27"/>
      <c r="AP110" s="27"/>
      <c r="AQ110" s="27"/>
      <c r="AR110" s="27"/>
      <c r="AS110" s="27"/>
      <c r="AT110" s="27"/>
      <c r="AU110" s="27"/>
    </row>
    <row r="111" spans="2:47" x14ac:dyDescent="0.25">
      <c r="B111" s="150"/>
      <c r="C111" s="132" t="s">
        <v>86</v>
      </c>
      <c r="D111" s="133"/>
      <c r="E111" s="133"/>
      <c r="F111" s="134"/>
      <c r="G111" s="13" t="s">
        <v>21</v>
      </c>
      <c r="H111" s="13" t="s">
        <v>17</v>
      </c>
      <c r="I111" s="13" t="s">
        <v>139</v>
      </c>
      <c r="J111" s="13" t="s">
        <v>139</v>
      </c>
      <c r="K111" s="13" t="s">
        <v>17</v>
      </c>
      <c r="L111" s="13" t="s">
        <v>17</v>
      </c>
      <c r="M111" s="13" t="s">
        <v>17</v>
      </c>
      <c r="N111" s="13" t="s">
        <v>17</v>
      </c>
      <c r="P111" s="13" t="s">
        <v>139</v>
      </c>
      <c r="Q111" s="13"/>
      <c r="R111" s="13"/>
      <c r="S111" s="13"/>
      <c r="U111" s="13" t="s">
        <v>17</v>
      </c>
      <c r="V111" s="13" t="s">
        <v>17</v>
      </c>
      <c r="W111" s="13" t="s">
        <v>17</v>
      </c>
      <c r="X111" s="13" t="s">
        <v>17</v>
      </c>
      <c r="Y111" s="13" t="s">
        <v>17</v>
      </c>
      <c r="Z111" s="13" t="s">
        <v>17</v>
      </c>
      <c r="AA111" s="13" t="s">
        <v>17</v>
      </c>
      <c r="AB111" s="13" t="s">
        <v>139</v>
      </c>
      <c r="AC111" s="72"/>
      <c r="AE111" s="13" t="s">
        <v>17</v>
      </c>
      <c r="AF111" s="13" t="s">
        <v>17</v>
      </c>
      <c r="AG111" s="13" t="s">
        <v>17</v>
      </c>
      <c r="AH111" s="13"/>
      <c r="AI111" s="13"/>
      <c r="AJ111" s="13"/>
      <c r="AK111" s="13"/>
      <c r="AL111" s="13"/>
      <c r="AM111" s="13"/>
      <c r="AN111" s="13"/>
      <c r="AO111" s="13"/>
      <c r="AP111" s="13"/>
      <c r="AQ111" s="13"/>
      <c r="AR111" s="13"/>
      <c r="AS111" s="13"/>
      <c r="AT111" s="13" t="s">
        <v>139</v>
      </c>
      <c r="AU111" s="13" t="s">
        <v>139</v>
      </c>
    </row>
    <row r="112" spans="2:47" ht="15.75" hidden="1" customHeight="1" x14ac:dyDescent="0.3">
      <c r="B112" s="150"/>
      <c r="C112" s="135"/>
      <c r="D112" s="136"/>
      <c r="E112" s="136"/>
      <c r="F112" s="137"/>
      <c r="G112" s="27"/>
      <c r="H112" s="27"/>
      <c r="I112" s="27"/>
      <c r="J112" s="27"/>
      <c r="K112" s="26">
        <v>45383</v>
      </c>
      <c r="L112" s="27"/>
      <c r="M112" s="27"/>
      <c r="N112" s="27"/>
      <c r="P112" s="27"/>
      <c r="Q112" s="27"/>
      <c r="R112" s="27"/>
      <c r="S112" s="27"/>
      <c r="U112" s="27"/>
      <c r="V112" s="27"/>
      <c r="W112" s="27"/>
      <c r="X112" s="27"/>
      <c r="Y112" s="27"/>
      <c r="Z112" s="27"/>
      <c r="AA112" s="27"/>
      <c r="AB112" s="27"/>
      <c r="AC112" s="74"/>
      <c r="AE112" s="27"/>
      <c r="AF112" s="27"/>
      <c r="AG112" s="27"/>
      <c r="AH112" s="27"/>
      <c r="AI112" s="27"/>
      <c r="AJ112" s="27"/>
      <c r="AK112" s="27"/>
      <c r="AL112" s="27"/>
      <c r="AM112" s="27"/>
      <c r="AN112" s="27"/>
      <c r="AO112" s="27"/>
      <c r="AP112" s="27"/>
      <c r="AQ112" s="27"/>
      <c r="AR112" s="27"/>
      <c r="AS112" s="27"/>
      <c r="AT112" s="27"/>
      <c r="AU112" s="27"/>
    </row>
    <row r="113" spans="2:47" x14ac:dyDescent="0.25">
      <c r="B113" s="150"/>
      <c r="C113" s="132" t="s">
        <v>87</v>
      </c>
      <c r="D113" s="133"/>
      <c r="E113" s="133"/>
      <c r="F113" s="134"/>
      <c r="G113" s="13" t="s">
        <v>21</v>
      </c>
      <c r="H113" s="13" t="s">
        <v>17</v>
      </c>
      <c r="I113" s="13" t="s">
        <v>139</v>
      </c>
      <c r="J113" s="13" t="s">
        <v>139</v>
      </c>
      <c r="K113" s="13" t="s">
        <v>17</v>
      </c>
      <c r="L113" s="13" t="s">
        <v>17</v>
      </c>
      <c r="M113" s="13" t="s">
        <v>17</v>
      </c>
      <c r="N113" s="13" t="s">
        <v>17</v>
      </c>
      <c r="P113" s="13" t="s">
        <v>139</v>
      </c>
      <c r="Q113" s="13"/>
      <c r="R113" s="13"/>
      <c r="S113" s="13"/>
      <c r="U113" s="13" t="s">
        <v>17</v>
      </c>
      <c r="V113" s="13" t="s">
        <v>17</v>
      </c>
      <c r="W113" s="13" t="s">
        <v>17</v>
      </c>
      <c r="X113" s="13" t="s">
        <v>17</v>
      </c>
      <c r="Y113" s="13" t="s">
        <v>17</v>
      </c>
      <c r="Z113" s="13" t="s">
        <v>18</v>
      </c>
      <c r="AA113" s="13" t="s">
        <v>17</v>
      </c>
      <c r="AB113" s="13" t="s">
        <v>139</v>
      </c>
      <c r="AC113" s="72"/>
      <c r="AE113" s="13" t="s">
        <v>17</v>
      </c>
      <c r="AF113" s="13" t="s">
        <v>18</v>
      </c>
      <c r="AG113" s="13" t="s">
        <v>17</v>
      </c>
      <c r="AH113" s="13"/>
      <c r="AI113" s="13"/>
      <c r="AJ113" s="13"/>
      <c r="AK113" s="13"/>
      <c r="AL113" s="13"/>
      <c r="AM113" s="13"/>
      <c r="AN113" s="13"/>
      <c r="AO113" s="13"/>
      <c r="AP113" s="13"/>
      <c r="AQ113" s="13"/>
      <c r="AR113" s="13"/>
      <c r="AS113" s="13"/>
      <c r="AT113" s="13" t="s">
        <v>139</v>
      </c>
      <c r="AU113" s="13" t="s">
        <v>139</v>
      </c>
    </row>
    <row r="114" spans="2:47" ht="15.75" hidden="1" customHeight="1" x14ac:dyDescent="0.3">
      <c r="B114" s="169"/>
      <c r="C114" s="135"/>
      <c r="D114" s="136"/>
      <c r="E114" s="136"/>
      <c r="F114" s="137"/>
      <c r="G114" s="27"/>
      <c r="H114" s="27"/>
      <c r="I114" s="27"/>
      <c r="J114" s="27"/>
      <c r="K114" s="26">
        <v>45383</v>
      </c>
      <c r="L114" s="27"/>
      <c r="M114" s="27"/>
      <c r="N114" s="27"/>
      <c r="P114" s="27"/>
      <c r="Q114" s="27"/>
      <c r="R114" s="27"/>
      <c r="S114" s="27"/>
      <c r="U114" s="27"/>
      <c r="V114" s="27"/>
      <c r="W114" s="27"/>
      <c r="X114" s="27"/>
      <c r="Y114" s="27"/>
      <c r="Z114" s="27"/>
      <c r="AA114" s="27"/>
      <c r="AB114" s="27"/>
      <c r="AC114" s="74"/>
      <c r="AE114" s="27"/>
      <c r="AF114" s="27"/>
      <c r="AG114" s="27"/>
      <c r="AH114" s="27"/>
      <c r="AI114" s="27"/>
      <c r="AJ114" s="27"/>
      <c r="AK114" s="27"/>
      <c r="AL114" s="27"/>
      <c r="AM114" s="27"/>
      <c r="AN114" s="27"/>
      <c r="AO114" s="27"/>
      <c r="AP114" s="27"/>
      <c r="AQ114" s="27"/>
      <c r="AR114" s="27"/>
      <c r="AS114" s="27"/>
      <c r="AT114" s="27"/>
      <c r="AU114" s="27"/>
    </row>
    <row r="115" spans="2:47" x14ac:dyDescent="0.25">
      <c r="B115" s="17" t="s">
        <v>61</v>
      </c>
      <c r="C115" s="18" t="s">
        <v>62</v>
      </c>
      <c r="D115" s="19">
        <f>COUNTA(C105:F114)</f>
        <v>5</v>
      </c>
      <c r="E115" s="19"/>
      <c r="F115" s="19"/>
      <c r="G115" s="20" t="str">
        <f>IF(ISBLANK(G105),"",IF((COUNTIF(G105:G114,"X"))/(COUNTIF(G105:G113,"x")+COUNTIF(G105:G113,"a")+COUNTIF(G105:G113,"t"))=1,_xlfn.UNICHAR(10003),(COUNTIF(G105:G114,"X"))/(COUNTIF(G105:G113,"x")+COUNTIF(G105:G113,"a")+COUNTIF(G105:G113,"t"))))</f>
        <v>✓</v>
      </c>
      <c r="H115" s="20" t="str">
        <f t="shared" ref="H115:AF115" si="113">IF(ISBLANK(H105),"",IF((COUNTIF(H105:H114,"X"))/(COUNTIF(H105:H113,"x")+COUNTIF(H105:H113,"a")+COUNTIF(H105:H113,"t"))=1,_xlfn.UNICHAR(10003),(COUNTIF(H105:H114,"X"))/(COUNTIF(H105:H113,"x")+COUNTIF(H105:H113,"a")+COUNTIF(H105:H113,"t"))))</f>
        <v>✓</v>
      </c>
      <c r="I115" s="20">
        <f t="shared" si="113"/>
        <v>0</v>
      </c>
      <c r="J115" s="20">
        <f t="shared" si="113"/>
        <v>0</v>
      </c>
      <c r="K115" s="20" t="str">
        <f t="shared" si="113"/>
        <v>✓</v>
      </c>
      <c r="L115" s="20" t="str">
        <f t="shared" si="113"/>
        <v>✓</v>
      </c>
      <c r="M115" s="20" t="str">
        <f t="shared" ref="M115:N115" si="114">IF(ISBLANK(M105),"",IF((COUNTIF(M105:M114,"X"))/$D115=1,_xlfn.UNICHAR(10003),(COUNTIF(M105:M114,"X"))/$D115))</f>
        <v>✓</v>
      </c>
      <c r="N115" s="20">
        <f t="shared" si="114"/>
        <v>0.6</v>
      </c>
      <c r="P115" s="20">
        <f t="shared" si="113"/>
        <v>0</v>
      </c>
      <c r="Q115" s="20" t="str">
        <f t="shared" ref="Q115" si="115">IF(ISBLANK(Q105),"",IF((COUNTIF(Q105:Q114,"X"))/$D115=1,_xlfn.UNICHAR(10003),(COUNTIF(Q105:Q114,"X"))/$D115))</f>
        <v/>
      </c>
      <c r="R115" s="20" t="str">
        <f t="shared" ref="R115:S115" si="116">IF(ISBLANK(R105),"",IF((COUNTIF(R105:R114,"X"))/$D115=1,_xlfn.UNICHAR(10003),(COUNTIF(R105:R114,"X"))/$D115))</f>
        <v/>
      </c>
      <c r="S115" s="20" t="str">
        <f t="shared" si="116"/>
        <v/>
      </c>
      <c r="U115" s="20" t="str">
        <f t="shared" ref="U115:V115" si="117">IF(ISBLANK(U105),"",IF((COUNTIF(U105:U114,"X"))/$D115=1,_xlfn.UNICHAR(10003),(COUNTIF(U105:U114,"X"))/$D115))</f>
        <v>✓</v>
      </c>
      <c r="V115" s="20" t="str">
        <f t="shared" si="117"/>
        <v>✓</v>
      </c>
      <c r="W115" s="20" t="str">
        <f>IF(ISBLANK(W105),"",IF((COUNTIF(W105:W114,"X"))/$D115=1,_xlfn.UNICHAR(10003),(COUNTIF(W105:W114,"X"))/$D115))</f>
        <v>✓</v>
      </c>
      <c r="X115" s="20" t="str">
        <f>IF(ISBLANK(X105),"",IF((COUNTIF(X105:X114,"X"))/(COUNTIF(X105:X113,"x")+COUNTIF(X105:X113,"a")+COUNTIF(X105:X113,"t"))=1,_xlfn.UNICHAR(10003),(COUNTIF(X105:X114,"X"))/(COUNTIF(X105:X113,"x")+COUNTIF(X105:X113,"a")+COUNTIF(X105:X113,"t"))))</f>
        <v>✓</v>
      </c>
      <c r="Y115" s="20" t="str">
        <f t="shared" ref="Y115:AA115" si="118">IF(ISBLANK(Y105),"",IF((COUNTIF(Y105:Y114,"X"))/$D115=1,_xlfn.UNICHAR(10003),(COUNTIF(Y105:Y114,"X"))/$D115))</f>
        <v>✓</v>
      </c>
      <c r="Z115" s="20">
        <f t="shared" si="118"/>
        <v>0.2</v>
      </c>
      <c r="AA115" s="20" t="str">
        <f t="shared" si="118"/>
        <v>✓</v>
      </c>
      <c r="AB115" s="20">
        <f>IF(ISBLANK(AB105),"",IF((COUNTIF(AB105:AB114,"X"))/(COUNTIF(AB105:AB113,"x")+COUNTIF(AB105:AB113,"a")+COUNTIF(AB105:AB113,"t"))=1,_xlfn.UNICHAR(10003),(COUNTIF(AB105:AB114,"X"))/(COUNTIF(AB105:AB113,"x")+COUNTIF(AB105:AB113,"a")+COUNTIF(AB105:AB113,"t"))))</f>
        <v>0</v>
      </c>
      <c r="AC115" s="73"/>
      <c r="AE115" s="20" t="str">
        <f t="shared" ref="AE115" si="119">IF(ISBLANK(AE105),"",IF((COUNTIF(AE105:AE114,"X"))/$D115=1,_xlfn.UNICHAR(10003),(COUNTIF(AE105:AE114,"X"))/$D115))</f>
        <v>✓</v>
      </c>
      <c r="AF115" s="20">
        <f t="shared" si="113"/>
        <v>0.8</v>
      </c>
      <c r="AG115" s="20" t="str">
        <f t="shared" ref="AG115:AI115" si="120">IF(ISBLANK(AG105),"",IF((COUNTIF(AG105:AG114,"X"))/$D115=1,_xlfn.UNICHAR(10003),(COUNTIF(AG105:AG114,"X"))/$D115))</f>
        <v>✓</v>
      </c>
      <c r="AH115" s="20" t="str">
        <f t="shared" si="120"/>
        <v/>
      </c>
      <c r="AI115" s="20" t="str">
        <f t="shared" si="120"/>
        <v/>
      </c>
      <c r="AJ115" s="20" t="str">
        <f t="shared" ref="AJ115" si="121">IF(ISBLANK(AJ105),"",IF((COUNTIF(AJ105:AJ114,"X"))/$D115=1,_xlfn.UNICHAR(10003),(COUNTIF(AJ105:AJ114,"X"))/$D115))</f>
        <v/>
      </c>
      <c r="AK115" s="20" t="str">
        <f t="shared" ref="AK115:AL115" si="122">IF(ISBLANK(AK105),"",IF((COUNTIF(AK105:AK114,"X"))/$D115=1,_xlfn.UNICHAR(10003),(COUNTIF(AK105:AK114,"X"))/$D115))</f>
        <v/>
      </c>
      <c r="AL115" s="20" t="str">
        <f t="shared" si="122"/>
        <v/>
      </c>
      <c r="AM115" s="20"/>
      <c r="AN115" s="20"/>
      <c r="AO115" s="20"/>
      <c r="AP115" s="20" t="str">
        <f t="shared" ref="AP115:AR115" si="123">IF(ISBLANK(AP105),"",IF((COUNTIF(AP105:AP114,"X"))/$D115=1,_xlfn.UNICHAR(10003),(COUNTIF(AP105:AP114,"X"))/$D115))</f>
        <v/>
      </c>
      <c r="AQ115" s="20" t="str">
        <f t="shared" ref="AQ115" si="124">IF(ISBLANK(AQ105),"",IF((COUNTIF(AQ105:AQ114,"X"))/$D115=1,_xlfn.UNICHAR(10003),(COUNTIF(AQ105:AQ114,"X"))/$D115))</f>
        <v/>
      </c>
      <c r="AR115" s="20" t="str">
        <f t="shared" si="123"/>
        <v/>
      </c>
      <c r="AS115" s="20" t="str">
        <f t="shared" ref="AS115:AT115" si="125">IF(ISBLANK(AS105),"",IF((COUNTIF(AS105:AS114,"X"))/$D115=1,_xlfn.UNICHAR(10003),(COUNTIF(AS105:AS114,"X"))/$D115))</f>
        <v/>
      </c>
      <c r="AT115" s="20">
        <f t="shared" si="125"/>
        <v>0</v>
      </c>
      <c r="AU115" s="20">
        <f t="shared" ref="AU115" si="126">IF(ISBLANK(AU105),"",IF((COUNTIF(AU105:AU114,"X"))/$D115=1,_xlfn.UNICHAR(10003),(COUNTIF(AU105:AU114,"X"))/$D115))</f>
        <v>0</v>
      </c>
    </row>
    <row r="116" spans="2:47" x14ac:dyDescent="0.25">
      <c r="B116" s="170" t="s">
        <v>50</v>
      </c>
      <c r="C116" s="138" t="s">
        <v>70</v>
      </c>
      <c r="D116" s="139"/>
      <c r="E116" s="139"/>
      <c r="F116" s="140"/>
      <c r="G116" s="13" t="s">
        <v>21</v>
      </c>
      <c r="H116" s="13" t="s">
        <v>17</v>
      </c>
      <c r="I116" s="13" t="s">
        <v>139</v>
      </c>
      <c r="J116" s="13" t="s">
        <v>139</v>
      </c>
      <c r="K116" s="13" t="s">
        <v>17</v>
      </c>
      <c r="L116" s="13" t="s">
        <v>17</v>
      </c>
      <c r="M116" s="13" t="s">
        <v>139</v>
      </c>
      <c r="N116" s="13" t="s">
        <v>139</v>
      </c>
      <c r="P116" s="13" t="s">
        <v>139</v>
      </c>
      <c r="Q116" s="13" t="s">
        <v>139</v>
      </c>
      <c r="R116" s="13" t="s">
        <v>17</v>
      </c>
      <c r="S116" s="13" t="s">
        <v>139</v>
      </c>
      <c r="U116" s="13" t="s">
        <v>17</v>
      </c>
      <c r="V116" s="13" t="s">
        <v>139</v>
      </c>
      <c r="W116" s="13" t="s">
        <v>139</v>
      </c>
      <c r="X116" s="13" t="s">
        <v>139</v>
      </c>
      <c r="Y116" s="13" t="s">
        <v>17</v>
      </c>
      <c r="Z116" s="13" t="s">
        <v>18</v>
      </c>
      <c r="AA116" s="13" t="s">
        <v>18</v>
      </c>
      <c r="AB116" s="13" t="s">
        <v>139</v>
      </c>
      <c r="AC116" s="72"/>
      <c r="AE116" s="13" t="s">
        <v>139</v>
      </c>
      <c r="AF116" s="13" t="s">
        <v>139</v>
      </c>
      <c r="AG116" s="13" t="s">
        <v>17</v>
      </c>
      <c r="AH116" s="13" t="s">
        <v>139</v>
      </c>
      <c r="AI116" s="13" t="s">
        <v>139</v>
      </c>
      <c r="AJ116" s="13" t="s">
        <v>139</v>
      </c>
      <c r="AK116" s="13"/>
      <c r="AL116" s="13"/>
      <c r="AM116" s="13"/>
      <c r="AN116" s="13"/>
      <c r="AO116" s="13"/>
      <c r="AP116" s="13"/>
      <c r="AQ116" s="13" t="s">
        <v>139</v>
      </c>
      <c r="AR116" s="13" t="s">
        <v>139</v>
      </c>
      <c r="AS116" s="13" t="s">
        <v>139</v>
      </c>
      <c r="AT116" s="13" t="s">
        <v>139</v>
      </c>
      <c r="AU116" s="13" t="s">
        <v>139</v>
      </c>
    </row>
    <row r="117" spans="2:47" ht="15.75" hidden="1" customHeight="1" x14ac:dyDescent="0.3">
      <c r="B117" s="171"/>
      <c r="C117" s="141"/>
      <c r="D117" s="142"/>
      <c r="E117" s="142"/>
      <c r="F117" s="143"/>
      <c r="G117" s="27"/>
      <c r="H117" s="27"/>
      <c r="I117" s="27"/>
      <c r="J117" s="27"/>
      <c r="K117" s="26">
        <v>45383</v>
      </c>
      <c r="L117" s="27"/>
      <c r="M117" s="27"/>
      <c r="N117" s="27"/>
      <c r="P117" s="27"/>
      <c r="Q117" s="27"/>
      <c r="R117" s="27">
        <v>46176</v>
      </c>
      <c r="S117" s="27"/>
      <c r="U117" s="27"/>
      <c r="V117" s="27"/>
      <c r="W117" s="27"/>
      <c r="X117" s="27"/>
      <c r="Y117" s="27"/>
      <c r="Z117" s="27"/>
      <c r="AA117" s="27"/>
      <c r="AB117" s="27"/>
      <c r="AC117" s="74"/>
      <c r="AE117" s="27"/>
      <c r="AF117" s="27"/>
      <c r="AG117" s="27"/>
      <c r="AH117" s="27"/>
      <c r="AI117" s="27"/>
      <c r="AJ117" s="27"/>
      <c r="AK117" s="27"/>
      <c r="AL117" s="27"/>
      <c r="AM117" s="27"/>
      <c r="AN117" s="27"/>
      <c r="AO117" s="27"/>
      <c r="AP117" s="27"/>
      <c r="AQ117" s="27"/>
      <c r="AR117" s="27"/>
      <c r="AS117" s="27"/>
      <c r="AT117" s="27"/>
      <c r="AU117" s="27"/>
    </row>
    <row r="118" spans="2:47" x14ac:dyDescent="0.25">
      <c r="B118" s="172"/>
      <c r="C118" s="138" t="s">
        <v>71</v>
      </c>
      <c r="D118" s="139"/>
      <c r="E118" s="139"/>
      <c r="F118" s="140"/>
      <c r="G118" s="13" t="s">
        <v>21</v>
      </c>
      <c r="H118" s="13" t="s">
        <v>17</v>
      </c>
      <c r="I118" s="13" t="s">
        <v>139</v>
      </c>
      <c r="J118" s="13" t="s">
        <v>139</v>
      </c>
      <c r="K118" s="13" t="s">
        <v>17</v>
      </c>
      <c r="L118" s="13" t="s">
        <v>17</v>
      </c>
      <c r="M118" s="13" t="s">
        <v>17</v>
      </c>
      <c r="N118" s="13" t="s">
        <v>17</v>
      </c>
      <c r="P118" s="13" t="s">
        <v>139</v>
      </c>
      <c r="Q118" s="13" t="s">
        <v>139</v>
      </c>
      <c r="R118" s="13" t="s">
        <v>139</v>
      </c>
      <c r="S118" s="13" t="s">
        <v>139</v>
      </c>
      <c r="U118" s="13" t="s">
        <v>17</v>
      </c>
      <c r="V118" s="13" t="s">
        <v>139</v>
      </c>
      <c r="W118" s="13" t="s">
        <v>139</v>
      </c>
      <c r="X118" s="13" t="s">
        <v>17</v>
      </c>
      <c r="Y118" s="13" t="s">
        <v>17</v>
      </c>
      <c r="Z118" s="13" t="s">
        <v>17</v>
      </c>
      <c r="AA118" s="13" t="s">
        <v>17</v>
      </c>
      <c r="AB118" s="13" t="s">
        <v>139</v>
      </c>
      <c r="AC118" s="72"/>
      <c r="AE118" s="13" t="s">
        <v>17</v>
      </c>
      <c r="AF118" s="13" t="s">
        <v>17</v>
      </c>
      <c r="AG118" s="13" t="s">
        <v>17</v>
      </c>
      <c r="AH118" s="13" t="s">
        <v>139</v>
      </c>
      <c r="AI118" s="13" t="s">
        <v>139</v>
      </c>
      <c r="AJ118" s="13" t="s">
        <v>139</v>
      </c>
      <c r="AK118" s="13"/>
      <c r="AL118" s="13"/>
      <c r="AM118" s="13"/>
      <c r="AN118" s="13"/>
      <c r="AO118" s="13"/>
      <c r="AP118" s="13"/>
      <c r="AQ118" s="13" t="s">
        <v>139</v>
      </c>
      <c r="AR118" s="13" t="s">
        <v>139</v>
      </c>
      <c r="AS118" s="13" t="s">
        <v>139</v>
      </c>
      <c r="AT118" s="13" t="s">
        <v>139</v>
      </c>
      <c r="AU118" s="13" t="s">
        <v>139</v>
      </c>
    </row>
    <row r="119" spans="2:47" ht="15.75" hidden="1" customHeight="1" x14ac:dyDescent="0.3">
      <c r="B119" s="172"/>
      <c r="C119" s="141"/>
      <c r="D119" s="142"/>
      <c r="E119" s="142"/>
      <c r="F119" s="143"/>
      <c r="G119" s="27"/>
      <c r="H119" s="27"/>
      <c r="I119" s="27"/>
      <c r="J119" s="27"/>
      <c r="K119" s="26">
        <v>45383</v>
      </c>
      <c r="L119" s="27"/>
      <c r="M119" s="27"/>
      <c r="N119" s="27"/>
      <c r="P119" s="27"/>
      <c r="Q119" s="27"/>
      <c r="R119" s="27"/>
      <c r="S119" s="27"/>
      <c r="U119" s="27"/>
      <c r="V119" s="27"/>
      <c r="W119" s="27"/>
      <c r="X119" s="27"/>
      <c r="Y119" s="27"/>
      <c r="Z119" s="27"/>
      <c r="AA119" s="27"/>
      <c r="AB119" s="27"/>
      <c r="AC119" s="74"/>
      <c r="AE119" s="27"/>
      <c r="AF119" s="27"/>
      <c r="AG119" s="27"/>
      <c r="AH119" s="27"/>
      <c r="AI119" s="27"/>
      <c r="AJ119" s="27"/>
      <c r="AK119" s="27"/>
      <c r="AL119" s="27"/>
      <c r="AM119" s="27"/>
      <c r="AN119" s="27"/>
      <c r="AO119" s="27"/>
      <c r="AP119" s="27"/>
      <c r="AQ119" s="27"/>
      <c r="AR119" s="27"/>
      <c r="AS119" s="27"/>
      <c r="AT119" s="27"/>
      <c r="AU119" s="27"/>
    </row>
    <row r="120" spans="2:47" x14ac:dyDescent="0.25">
      <c r="B120" s="172"/>
      <c r="C120" s="138" t="s">
        <v>72</v>
      </c>
      <c r="D120" s="139"/>
      <c r="E120" s="139"/>
      <c r="F120" s="140"/>
      <c r="G120" s="13" t="s">
        <v>21</v>
      </c>
      <c r="H120" s="13" t="s">
        <v>17</v>
      </c>
      <c r="I120" s="13" t="s">
        <v>139</v>
      </c>
      <c r="J120" s="13" t="s">
        <v>139</v>
      </c>
      <c r="K120" s="13" t="s">
        <v>17</v>
      </c>
      <c r="L120" s="13" t="s">
        <v>17</v>
      </c>
      <c r="M120" s="13" t="s">
        <v>17</v>
      </c>
      <c r="N120" s="13" t="s">
        <v>139</v>
      </c>
      <c r="P120" s="13" t="s">
        <v>139</v>
      </c>
      <c r="Q120" s="13" t="s">
        <v>139</v>
      </c>
      <c r="R120" s="13" t="s">
        <v>139</v>
      </c>
      <c r="S120" s="13" t="s">
        <v>139</v>
      </c>
      <c r="U120" s="13" t="s">
        <v>17</v>
      </c>
      <c r="V120" s="13" t="s">
        <v>139</v>
      </c>
      <c r="W120" s="13" t="s">
        <v>139</v>
      </c>
      <c r="X120" s="13" t="s">
        <v>17</v>
      </c>
      <c r="Y120" s="13" t="s">
        <v>18</v>
      </c>
      <c r="Z120" s="13" t="s">
        <v>18</v>
      </c>
      <c r="AA120" s="13" t="s">
        <v>17</v>
      </c>
      <c r="AB120" s="13" t="s">
        <v>139</v>
      </c>
      <c r="AC120" s="72"/>
      <c r="AE120" s="13" t="s">
        <v>139</v>
      </c>
      <c r="AF120" s="13" t="s">
        <v>139</v>
      </c>
      <c r="AG120" s="13" t="s">
        <v>17</v>
      </c>
      <c r="AH120" s="13" t="s">
        <v>139</v>
      </c>
      <c r="AI120" s="13" t="s">
        <v>139</v>
      </c>
      <c r="AJ120" s="13" t="s">
        <v>139</v>
      </c>
      <c r="AK120" s="13"/>
      <c r="AL120" s="13"/>
      <c r="AM120" s="13"/>
      <c r="AN120" s="13"/>
      <c r="AO120" s="13"/>
      <c r="AP120" s="13"/>
      <c r="AQ120" s="13" t="s">
        <v>139</v>
      </c>
      <c r="AR120" s="13" t="s">
        <v>139</v>
      </c>
      <c r="AS120" s="13" t="s">
        <v>139</v>
      </c>
      <c r="AT120" s="13" t="s">
        <v>139</v>
      </c>
      <c r="AU120" s="13" t="s">
        <v>139</v>
      </c>
    </row>
    <row r="121" spans="2:47" ht="15.75" hidden="1" customHeight="1" x14ac:dyDescent="0.3">
      <c r="B121" s="172"/>
      <c r="C121" s="141"/>
      <c r="D121" s="142"/>
      <c r="E121" s="142"/>
      <c r="F121" s="143"/>
      <c r="G121" s="27"/>
      <c r="H121" s="27"/>
      <c r="I121" s="27"/>
      <c r="J121" s="27"/>
      <c r="K121" s="26">
        <v>45383</v>
      </c>
      <c r="L121" s="27"/>
      <c r="M121" s="27"/>
      <c r="N121" s="27"/>
      <c r="P121" s="27"/>
      <c r="Q121" s="27"/>
      <c r="R121" s="27"/>
      <c r="S121" s="27"/>
      <c r="U121" s="27"/>
      <c r="V121" s="27"/>
      <c r="W121" s="27"/>
      <c r="X121" s="27"/>
      <c r="Y121" s="27"/>
      <c r="Z121" s="27"/>
      <c r="AA121" s="27"/>
      <c r="AB121" s="27"/>
      <c r="AC121" s="74"/>
      <c r="AE121" s="27"/>
      <c r="AF121" s="27"/>
      <c r="AG121" s="27"/>
      <c r="AH121" s="27"/>
      <c r="AI121" s="27"/>
      <c r="AJ121" s="27"/>
      <c r="AK121" s="27"/>
      <c r="AL121" s="27"/>
      <c r="AM121" s="27"/>
      <c r="AN121" s="27"/>
      <c r="AO121" s="27"/>
      <c r="AP121" s="27"/>
      <c r="AQ121" s="27"/>
      <c r="AR121" s="27"/>
      <c r="AS121" s="27"/>
      <c r="AT121" s="27"/>
      <c r="AU121" s="27"/>
    </row>
    <row r="122" spans="2:47" x14ac:dyDescent="0.25">
      <c r="B122" s="172"/>
      <c r="C122" s="138" t="s">
        <v>88</v>
      </c>
      <c r="D122" s="139"/>
      <c r="E122" s="139"/>
      <c r="F122" s="140"/>
      <c r="G122" s="13" t="s">
        <v>21</v>
      </c>
      <c r="H122" s="13" t="s">
        <v>17</v>
      </c>
      <c r="I122" s="13" t="s">
        <v>139</v>
      </c>
      <c r="J122" s="13" t="s">
        <v>139</v>
      </c>
      <c r="K122" s="13" t="s">
        <v>17</v>
      </c>
      <c r="L122" s="13" t="s">
        <v>17</v>
      </c>
      <c r="M122" s="13" t="s">
        <v>139</v>
      </c>
      <c r="N122" s="13" t="s">
        <v>17</v>
      </c>
      <c r="P122" s="13" t="s">
        <v>139</v>
      </c>
      <c r="Q122" s="13" t="s">
        <v>139</v>
      </c>
      <c r="R122" s="13" t="s">
        <v>139</v>
      </c>
      <c r="S122" s="13" t="s">
        <v>139</v>
      </c>
      <c r="U122" s="13" t="s">
        <v>17</v>
      </c>
      <c r="V122" s="13" t="s">
        <v>139</v>
      </c>
      <c r="W122" s="13" t="s">
        <v>139</v>
      </c>
      <c r="X122" s="13" t="s">
        <v>17</v>
      </c>
      <c r="Y122" s="13" t="s">
        <v>18</v>
      </c>
      <c r="Z122" s="13" t="s">
        <v>18</v>
      </c>
      <c r="AA122" s="13" t="s">
        <v>17</v>
      </c>
      <c r="AB122" s="13" t="s">
        <v>139</v>
      </c>
      <c r="AC122" s="72"/>
      <c r="AE122" s="13" t="s">
        <v>139</v>
      </c>
      <c r="AF122" s="13" t="s">
        <v>139</v>
      </c>
      <c r="AG122" s="13" t="s">
        <v>17</v>
      </c>
      <c r="AH122" s="13" t="s">
        <v>139</v>
      </c>
      <c r="AI122" s="13" t="s">
        <v>139</v>
      </c>
      <c r="AJ122" s="13" t="s">
        <v>139</v>
      </c>
      <c r="AK122" s="13"/>
      <c r="AL122" s="13"/>
      <c r="AM122" s="13"/>
      <c r="AN122" s="13"/>
      <c r="AO122" s="13"/>
      <c r="AP122" s="13"/>
      <c r="AQ122" s="13" t="s">
        <v>139</v>
      </c>
      <c r="AR122" s="13" t="s">
        <v>139</v>
      </c>
      <c r="AS122" s="13" t="s">
        <v>139</v>
      </c>
      <c r="AT122" s="13" t="s">
        <v>139</v>
      </c>
      <c r="AU122" s="13" t="s">
        <v>139</v>
      </c>
    </row>
    <row r="123" spans="2:47" ht="15.75" hidden="1" customHeight="1" x14ac:dyDescent="0.3">
      <c r="B123" s="172"/>
      <c r="C123" s="141"/>
      <c r="D123" s="142"/>
      <c r="E123" s="142"/>
      <c r="F123" s="143"/>
      <c r="G123" s="27"/>
      <c r="H123" s="27"/>
      <c r="I123" s="27"/>
      <c r="J123" s="27"/>
      <c r="K123" s="26">
        <v>45383</v>
      </c>
      <c r="L123" s="27"/>
      <c r="M123" s="27"/>
      <c r="N123" s="27"/>
      <c r="P123" s="27"/>
      <c r="Q123" s="27"/>
      <c r="R123" s="27"/>
      <c r="S123" s="27"/>
      <c r="U123" s="27"/>
      <c r="V123" s="27"/>
      <c r="W123" s="27"/>
      <c r="X123" s="27"/>
      <c r="Y123" s="27"/>
      <c r="Z123" s="27"/>
      <c r="AA123" s="27"/>
      <c r="AB123" s="27"/>
      <c r="AC123" s="74"/>
      <c r="AE123" s="27"/>
      <c r="AF123" s="27"/>
      <c r="AG123" s="27"/>
      <c r="AH123" s="27"/>
      <c r="AI123" s="27"/>
      <c r="AJ123" s="27"/>
      <c r="AK123" s="27"/>
      <c r="AL123" s="27"/>
      <c r="AM123" s="27"/>
      <c r="AN123" s="27"/>
      <c r="AO123" s="27"/>
      <c r="AP123" s="27"/>
      <c r="AQ123" s="27"/>
      <c r="AR123" s="27"/>
      <c r="AS123" s="27"/>
      <c r="AT123" s="27"/>
      <c r="AU123" s="27"/>
    </row>
    <row r="124" spans="2:47" x14ac:dyDescent="0.25">
      <c r="B124" s="17" t="s">
        <v>61</v>
      </c>
      <c r="C124" s="18" t="s">
        <v>62</v>
      </c>
      <c r="D124" s="19">
        <f>COUNTA(C116:F123)</f>
        <v>4</v>
      </c>
      <c r="E124" s="19"/>
      <c r="F124" s="19"/>
      <c r="G124" s="20" t="str">
        <f>IF(ISBLANK(G116),"",IF((COUNTIF(G116:G123,"X"))/(COUNTIF(G116:G122,"x")+COUNTIF(G116:G122,"a")+COUNTIF(G116:G122,"t"))=1,_xlfn.UNICHAR(10003),(COUNTIF(G116:G123,"X"))/(COUNTIF(G116:G122,"x")+COUNTIF(G116:G122,"a")+COUNTIF(G116:G122,"t"))))</f>
        <v>✓</v>
      </c>
      <c r="H124" s="20" t="str">
        <f t="shared" ref="H124:AF124" si="127">IF(ISBLANK(H116),"",IF((COUNTIF(H116:H123,"X"))/(COUNTIF(H116:H122,"x")+COUNTIF(H116:H122,"a")+COUNTIF(H116:H122,"t"))=1,_xlfn.UNICHAR(10003),(COUNTIF(H116:H123,"X"))/(COUNTIF(H116:H122,"x")+COUNTIF(H116:H122,"a")+COUNTIF(H116:H122,"t"))))</f>
        <v>✓</v>
      </c>
      <c r="I124" s="20">
        <f t="shared" si="127"/>
        <v>0</v>
      </c>
      <c r="J124" s="20">
        <f t="shared" si="127"/>
        <v>0</v>
      </c>
      <c r="K124" s="20" t="str">
        <f t="shared" si="127"/>
        <v>✓</v>
      </c>
      <c r="L124" s="20" t="str">
        <f t="shared" si="127"/>
        <v>✓</v>
      </c>
      <c r="M124" s="20">
        <f t="shared" ref="M124:N124" si="128">IF(ISBLANK(M116),"",IF((COUNTIF(M116:M123,"X"))/$D124=1,_xlfn.UNICHAR(10003),(COUNTIF(M116:M123,"X"))/$D124))</f>
        <v>0.5</v>
      </c>
      <c r="N124" s="20">
        <f t="shared" si="128"/>
        <v>0.5</v>
      </c>
      <c r="P124" s="20">
        <f t="shared" si="127"/>
        <v>0</v>
      </c>
      <c r="Q124" s="20">
        <f t="shared" ref="Q124" si="129">IF(ISBLANK(Q116),"",IF((COUNTIF(Q116:Q123,"X"))/$D124=1,_xlfn.UNICHAR(10003),(COUNTIF(Q116:Q123,"X"))/$D124))</f>
        <v>0</v>
      </c>
      <c r="R124" s="20">
        <f t="shared" ref="R124:S124" si="130">IF(ISBLANK(R116),"",IF((COUNTIF(R116:R123,"X"))/$D124=1,_xlfn.UNICHAR(10003),(COUNTIF(R116:R123,"X"))/$D124))</f>
        <v>0.25</v>
      </c>
      <c r="S124" s="20">
        <f t="shared" si="130"/>
        <v>0</v>
      </c>
      <c r="U124" s="20" t="str">
        <f t="shared" ref="U124:V124" si="131">IF(ISBLANK(U116),"",IF((COUNTIF(U116:U123,"X"))/$D124=1,_xlfn.UNICHAR(10003),(COUNTIF(U116:U123,"X"))/$D124))</f>
        <v>✓</v>
      </c>
      <c r="V124" s="20">
        <f t="shared" si="131"/>
        <v>0</v>
      </c>
      <c r="W124" s="20">
        <f>IF(ISBLANK(W116),"",IF((COUNTIF(W116:W123,"X"))/$D124=1,_xlfn.UNICHAR(10003),(COUNTIF(W116:W123,"X"))/$D124))</f>
        <v>0</v>
      </c>
      <c r="X124" s="20">
        <f>IF(ISBLANK(X116),"",IF((COUNTIF(X116:X123,"X"))/$D124=1,_xlfn.UNICHAR(10003),(COUNTIF(X116:X123,"X"))/$D124))</f>
        <v>0.75</v>
      </c>
      <c r="Y124" s="20">
        <f t="shared" ref="Y124:AA124" si="132">IF(ISBLANK(Y116),"",IF((COUNTIF(Y116:Y123,"X"))/$D124=1,_xlfn.UNICHAR(10003),(COUNTIF(Y116:Y123,"X"))/$D124))</f>
        <v>0.5</v>
      </c>
      <c r="Z124" s="20">
        <f t="shared" si="132"/>
        <v>0.25</v>
      </c>
      <c r="AA124" s="20">
        <f t="shared" si="132"/>
        <v>0.75</v>
      </c>
      <c r="AB124" s="20">
        <f>IF(ISBLANK(AB116),"",IF((COUNTIF(AB116:AB123,"X"))/(COUNTIF(AB116:AB122,"x")+COUNTIF(AB116:AB122,"a")+COUNTIF(AB116:AB122,"t"))=1,_xlfn.UNICHAR(10003),(COUNTIF(AB116:AB123,"X"))/(COUNTIF(AB116:AB122,"x")+COUNTIF(AB116:AB122,"a")+COUNTIF(AB116:AB122,"t"))))</f>
        <v>0</v>
      </c>
      <c r="AC124" s="73"/>
      <c r="AE124" s="20">
        <f t="shared" ref="AE124" si="133">IF(ISBLANK(AE116),"",IF((COUNTIF(AE116:AE123,"X"))/$D124=1,_xlfn.UNICHAR(10003),(COUNTIF(AE116:AE123,"X"))/$D124))</f>
        <v>0.25</v>
      </c>
      <c r="AF124" s="20">
        <f t="shared" si="127"/>
        <v>0.25</v>
      </c>
      <c r="AG124" s="20" t="str">
        <f t="shared" ref="AG124:AI124" si="134">IF(ISBLANK(AG116),"",IF((COUNTIF(AG116:AG123,"X"))/$D124=1,_xlfn.UNICHAR(10003),(COUNTIF(AG116:AG123,"X"))/$D124))</f>
        <v>✓</v>
      </c>
      <c r="AH124" s="20">
        <f t="shared" si="134"/>
        <v>0</v>
      </c>
      <c r="AI124" s="20">
        <f t="shared" si="134"/>
        <v>0</v>
      </c>
      <c r="AJ124" s="20">
        <f t="shared" ref="AJ124" si="135">IF(ISBLANK(AJ116),"",IF((COUNTIF(AJ116:AJ123,"X"))/$D124=1,_xlfn.UNICHAR(10003),(COUNTIF(AJ116:AJ123,"X"))/$D124))</f>
        <v>0</v>
      </c>
      <c r="AK124" s="20" t="str">
        <f t="shared" ref="AK124:AL124" si="136">IF(ISBLANK(AK116),"",IF((COUNTIF(AK116:AK123,"X"))/$D124=1,_xlfn.UNICHAR(10003),(COUNTIF(AK116:AK123,"X"))/$D124))</f>
        <v/>
      </c>
      <c r="AL124" s="20" t="str">
        <f t="shared" si="136"/>
        <v/>
      </c>
      <c r="AM124" s="20"/>
      <c r="AN124" s="20"/>
      <c r="AO124" s="20"/>
      <c r="AP124" s="20" t="str">
        <f t="shared" ref="AP124:AR124" si="137">IF(ISBLANK(AP116),"",IF((COUNTIF(AP116:AP123,"X"))/$D124=1,_xlfn.UNICHAR(10003),(COUNTIF(AP116:AP123,"X"))/$D124))</f>
        <v/>
      </c>
      <c r="AQ124" s="20">
        <f t="shared" ref="AQ124" si="138">IF(ISBLANK(AQ116),"",IF((COUNTIF(AQ116:AQ123,"X"))/$D124=1,_xlfn.UNICHAR(10003),(COUNTIF(AQ116:AQ123,"X"))/$D124))</f>
        <v>0</v>
      </c>
      <c r="AR124" s="20">
        <f t="shared" si="137"/>
        <v>0</v>
      </c>
      <c r="AS124" s="20">
        <f t="shared" ref="AS124:AT124" si="139">IF(ISBLANK(AS116),"",IF((COUNTIF(AS116:AS123,"X"))/$D124=1,_xlfn.UNICHAR(10003),(COUNTIF(AS116:AS123,"X"))/$D124))</f>
        <v>0</v>
      </c>
      <c r="AT124" s="20">
        <f t="shared" si="139"/>
        <v>0</v>
      </c>
      <c r="AU124" s="20">
        <f t="shared" ref="AU124" si="140">IF(ISBLANK(AU116),"",IF((COUNTIF(AU116:AU123,"X"))/$D124=1,_xlfn.UNICHAR(10003),(COUNTIF(AU116:AU123,"X"))/$D124))</f>
        <v>0</v>
      </c>
    </row>
    <row r="125" spans="2:47" x14ac:dyDescent="0.25">
      <c r="B125" s="116" t="s">
        <v>89</v>
      </c>
      <c r="C125" s="120" t="s">
        <v>74</v>
      </c>
      <c r="D125" s="121"/>
      <c r="E125" s="121"/>
      <c r="F125" s="122"/>
      <c r="G125" s="13" t="s">
        <v>21</v>
      </c>
      <c r="H125" s="13" t="s">
        <v>17</v>
      </c>
      <c r="I125" s="13" t="s">
        <v>139</v>
      </c>
      <c r="J125" s="13" t="s">
        <v>139</v>
      </c>
      <c r="K125" s="13" t="s">
        <v>17</v>
      </c>
      <c r="L125" s="13" t="s">
        <v>17</v>
      </c>
      <c r="M125" s="13" t="s">
        <v>17</v>
      </c>
      <c r="N125" s="13" t="s">
        <v>17</v>
      </c>
      <c r="P125" s="13"/>
      <c r="Q125" s="13"/>
      <c r="R125" s="13"/>
      <c r="S125" s="13"/>
      <c r="U125" s="13" t="s">
        <v>139</v>
      </c>
      <c r="V125" s="13" t="s">
        <v>139</v>
      </c>
      <c r="W125" s="13" t="s">
        <v>139</v>
      </c>
      <c r="X125" s="13" t="s">
        <v>139</v>
      </c>
      <c r="Y125" s="13" t="s">
        <v>139</v>
      </c>
      <c r="Z125" s="13" t="s">
        <v>139</v>
      </c>
      <c r="AA125" s="13"/>
      <c r="AB125" s="13"/>
      <c r="AC125" s="72"/>
      <c r="AE125" s="13"/>
      <c r="AF125" s="13"/>
      <c r="AG125" s="13"/>
      <c r="AH125" s="13"/>
      <c r="AI125" s="13"/>
      <c r="AJ125" s="13"/>
      <c r="AK125" s="13"/>
      <c r="AL125" s="13"/>
      <c r="AM125" s="13"/>
      <c r="AN125" s="13"/>
      <c r="AO125" s="13"/>
      <c r="AP125" s="13"/>
      <c r="AQ125" s="13"/>
      <c r="AR125" s="13"/>
      <c r="AS125" s="13"/>
      <c r="AT125" s="13" t="s">
        <v>139</v>
      </c>
      <c r="AU125" s="13" t="s">
        <v>139</v>
      </c>
    </row>
    <row r="126" spans="2:47" ht="15.75" hidden="1" customHeight="1" x14ac:dyDescent="0.3">
      <c r="B126" s="117"/>
      <c r="C126" s="123"/>
      <c r="D126" s="124"/>
      <c r="E126" s="124"/>
      <c r="F126" s="125"/>
      <c r="G126" s="27"/>
      <c r="H126" s="27"/>
      <c r="I126" s="27"/>
      <c r="J126" s="27"/>
      <c r="K126" s="26">
        <v>45383</v>
      </c>
      <c r="L126" s="27"/>
      <c r="M126" s="27"/>
      <c r="N126" s="27"/>
      <c r="P126" s="27"/>
      <c r="Q126" s="27"/>
      <c r="R126" s="27"/>
      <c r="S126" s="27"/>
      <c r="U126" s="27"/>
      <c r="V126" s="27"/>
      <c r="W126" s="27"/>
      <c r="X126" s="27"/>
      <c r="Y126" s="27"/>
      <c r="Z126" s="27"/>
      <c r="AA126" s="27"/>
      <c r="AB126" s="27"/>
      <c r="AC126" s="74"/>
      <c r="AE126" s="27"/>
      <c r="AF126" s="27"/>
      <c r="AG126" s="27"/>
      <c r="AH126" s="27"/>
      <c r="AI126" s="27"/>
      <c r="AJ126" s="27"/>
      <c r="AK126" s="27"/>
      <c r="AL126" s="27"/>
      <c r="AM126" s="27"/>
      <c r="AN126" s="27"/>
      <c r="AO126" s="27"/>
      <c r="AP126" s="27"/>
      <c r="AQ126" s="27"/>
      <c r="AR126" s="27"/>
      <c r="AS126" s="27"/>
      <c r="AT126" s="27"/>
      <c r="AU126" s="27"/>
    </row>
    <row r="127" spans="2:47" x14ac:dyDescent="0.25">
      <c r="B127" s="118"/>
      <c r="C127" s="120" t="s">
        <v>81</v>
      </c>
      <c r="D127" s="121"/>
      <c r="E127" s="121"/>
      <c r="F127" s="122"/>
      <c r="G127" s="13" t="s">
        <v>21</v>
      </c>
      <c r="H127" s="13" t="s">
        <v>17</v>
      </c>
      <c r="I127" s="13" t="s">
        <v>139</v>
      </c>
      <c r="J127" s="13" t="s">
        <v>139</v>
      </c>
      <c r="K127" s="13" t="s">
        <v>17</v>
      </c>
      <c r="L127" s="13" t="s">
        <v>18</v>
      </c>
      <c r="M127" s="13" t="s">
        <v>18</v>
      </c>
      <c r="N127" s="13" t="s">
        <v>18</v>
      </c>
      <c r="P127" s="13"/>
      <c r="Q127" s="13"/>
      <c r="R127" s="13"/>
      <c r="S127" s="13"/>
      <c r="U127" s="13"/>
      <c r="V127" s="13"/>
      <c r="W127" s="13"/>
      <c r="X127" s="13"/>
      <c r="Y127" s="13"/>
      <c r="Z127" s="13"/>
      <c r="AA127" s="13"/>
      <c r="AB127" s="13"/>
      <c r="AC127" s="72"/>
      <c r="AE127" s="13"/>
      <c r="AF127" s="13"/>
      <c r="AG127" s="13"/>
      <c r="AH127" s="13"/>
      <c r="AI127" s="13"/>
      <c r="AJ127" s="13"/>
      <c r="AK127" s="13"/>
      <c r="AL127" s="13"/>
      <c r="AM127" s="13"/>
      <c r="AN127" s="13"/>
      <c r="AO127" s="13"/>
      <c r="AP127" s="13"/>
      <c r="AQ127" s="13"/>
      <c r="AR127" s="13"/>
      <c r="AS127" s="13"/>
      <c r="AT127" s="13"/>
      <c r="AU127" s="13" t="s">
        <v>139</v>
      </c>
    </row>
    <row r="128" spans="2:47" ht="15.75" hidden="1" customHeight="1" x14ac:dyDescent="0.3">
      <c r="B128" s="119"/>
      <c r="C128" s="123"/>
      <c r="D128" s="124"/>
      <c r="E128" s="124"/>
      <c r="F128" s="125"/>
      <c r="G128" s="27"/>
      <c r="H128" s="27"/>
      <c r="I128" s="27"/>
      <c r="J128" s="27"/>
      <c r="K128" s="26">
        <v>45383</v>
      </c>
      <c r="L128" s="27"/>
      <c r="M128" s="27"/>
      <c r="N128" s="27"/>
      <c r="P128" s="27"/>
      <c r="Q128" s="27"/>
      <c r="R128" s="27"/>
      <c r="S128" s="27"/>
      <c r="U128" s="27"/>
      <c r="V128" s="27"/>
      <c r="W128" s="27"/>
      <c r="X128" s="27"/>
      <c r="Y128" s="27"/>
      <c r="Z128" s="27"/>
      <c r="AA128" s="27"/>
      <c r="AB128" s="27"/>
      <c r="AC128" s="74"/>
      <c r="AE128" s="27"/>
      <c r="AF128" s="27"/>
      <c r="AG128" s="27"/>
      <c r="AH128" s="27"/>
      <c r="AI128" s="27"/>
      <c r="AJ128" s="27"/>
      <c r="AK128" s="27"/>
      <c r="AL128" s="27"/>
      <c r="AM128" s="27"/>
      <c r="AN128" s="27"/>
      <c r="AO128" s="27"/>
      <c r="AP128" s="27"/>
      <c r="AQ128" s="27"/>
      <c r="AR128" s="27"/>
      <c r="AS128" s="27"/>
      <c r="AT128" s="27"/>
      <c r="AU128" s="27"/>
    </row>
    <row r="129" spans="2:47" x14ac:dyDescent="0.25">
      <c r="B129" s="17" t="s">
        <v>61</v>
      </c>
      <c r="C129" s="18" t="s">
        <v>62</v>
      </c>
      <c r="D129" s="19">
        <f>COUNTA(C125:F128)</f>
        <v>2</v>
      </c>
      <c r="E129" s="19"/>
      <c r="F129" s="19"/>
      <c r="G129" s="20" t="str">
        <f>IF(ISBLANK(G125),"",IF((COUNTIF(G125:G128,"X"))/(COUNTIF(G125:G127,"x")+COUNTIF(G125:G127,"a")+COUNTIF(G125:G127,"t"))=1,_xlfn.UNICHAR(10003),(COUNTIF(G125:G128,"X"))/(COUNTIF(G125:G127,"x")+COUNTIF(G125:G127,"a")+COUNTIF(G125:G127,"t"))))</f>
        <v>✓</v>
      </c>
      <c r="H129" s="20" t="str">
        <f t="shared" ref="H129:AF129" si="141">IF(ISBLANK(H125),"",IF((COUNTIF(H125:H128,"X"))/(COUNTIF(H125:H127,"x")+COUNTIF(H125:H127,"a")+COUNTIF(H125:H127,"t"))=1,_xlfn.UNICHAR(10003),(COUNTIF(H125:H128,"X"))/(COUNTIF(H125:H127,"x")+COUNTIF(H125:H127,"a")+COUNTIF(H125:H127,"t"))))</f>
        <v>✓</v>
      </c>
      <c r="I129" s="20">
        <f t="shared" si="141"/>
        <v>0</v>
      </c>
      <c r="J129" s="20">
        <f t="shared" si="141"/>
        <v>0</v>
      </c>
      <c r="K129" s="20" t="str">
        <f t="shared" si="141"/>
        <v>✓</v>
      </c>
      <c r="L129" s="20">
        <f t="shared" si="141"/>
        <v>0.5</v>
      </c>
      <c r="M129" s="20">
        <f t="shared" ref="M129:N129" si="142">IF(ISBLANK(M125),"",IF((COUNTIF(M125:M128,"X"))/$D129=1,_xlfn.UNICHAR(10003),(COUNTIF(M125:M128,"X"))/$D129))</f>
        <v>0.5</v>
      </c>
      <c r="N129" s="20">
        <f t="shared" si="142"/>
        <v>0.5</v>
      </c>
      <c r="P129" s="20" t="str">
        <f t="shared" si="141"/>
        <v/>
      </c>
      <c r="Q129" s="20" t="str">
        <f t="shared" ref="Q129" si="143">IF(ISBLANK(Q125),"",IF((COUNTIF(Q125:Q128,"X"))/$D129=1,_xlfn.UNICHAR(10003),(COUNTIF(Q125:Q128,"X"))/$D129))</f>
        <v/>
      </c>
      <c r="R129" s="20" t="str">
        <f t="shared" ref="R129:S129" si="144">IF(ISBLANK(R125),"",IF((COUNTIF(R125:R128,"X"))/$D129=1,_xlfn.UNICHAR(10003),(COUNTIF(R125:R128,"X"))/$D129))</f>
        <v/>
      </c>
      <c r="S129" s="20" t="str">
        <f t="shared" si="144"/>
        <v/>
      </c>
      <c r="U129" s="20">
        <f t="shared" ref="U129:V129" si="145">IF(ISBLANK(U125),"",IF((COUNTIF(U125:U128,"X"))/$D129=1,_xlfn.UNICHAR(10003),(COUNTIF(U125:U128,"X"))/$D129))</f>
        <v>0</v>
      </c>
      <c r="V129" s="20">
        <f t="shared" si="145"/>
        <v>0</v>
      </c>
      <c r="W129" s="20">
        <f>IF(ISBLANK(W125),"",IF((COUNTIF(W125:W128,"X"))/$D129=1,_xlfn.UNICHAR(10003),(COUNTIF(W125:W128,"X"))/$D129))</f>
        <v>0</v>
      </c>
      <c r="X129" s="20">
        <f>IF(ISBLANK(X125),"",IF((COUNTIF(X125:X128,"X"))/(COUNTIF(X125:X127,"x")+COUNTIF(X125:X127,"a")+COUNTIF(X125:X127,"t"))=1,_xlfn.UNICHAR(10003),(COUNTIF(X125:X128,"X"))/(COUNTIF(X125:X127,"x")+COUNTIF(X125:X127,"a")+COUNTIF(X125:X127,"t"))))</f>
        <v>0</v>
      </c>
      <c r="Y129" s="20">
        <f t="shared" ref="Y129:AA129" si="146">IF(ISBLANK(Y125),"",IF((COUNTIF(Y125:Y128,"X"))/$D129=1,_xlfn.UNICHAR(10003),(COUNTIF(Y125:Y128,"X"))/$D129))</f>
        <v>0</v>
      </c>
      <c r="Z129" s="20">
        <f t="shared" si="146"/>
        <v>0</v>
      </c>
      <c r="AA129" s="20" t="str">
        <f t="shared" si="146"/>
        <v/>
      </c>
      <c r="AB129" s="20" t="str">
        <f>IF(ISBLANK(AB125),"",IF((COUNTIF(AB125:AB128,"X"))/(COUNTIF(AB125:AB127,"x")+COUNTIF(AB125:AB127,"a")+COUNTIF(AB125:AB127,"t"))=1,_xlfn.UNICHAR(10003),(COUNTIF(AB125:AB128,"X"))/(COUNTIF(AB125:AB127,"x")+COUNTIF(AB125:AB127,"a")+COUNTIF(AB125:AB127,"t"))))</f>
        <v/>
      </c>
      <c r="AC129" s="73"/>
      <c r="AE129" s="20" t="str">
        <f t="shared" ref="AE129" si="147">IF(ISBLANK(AE125),"",IF((COUNTIF(AE125:AE128,"X"))/$D129=1,_xlfn.UNICHAR(10003),(COUNTIF(AE125:AE128,"X"))/$D129))</f>
        <v/>
      </c>
      <c r="AF129" s="20" t="str">
        <f t="shared" si="141"/>
        <v/>
      </c>
      <c r="AG129" s="20" t="str">
        <f t="shared" ref="AG129:AI129" si="148">IF(ISBLANK(AG125),"",IF((COUNTIF(AG125:AG128,"X"))/$D129=1,_xlfn.UNICHAR(10003),(COUNTIF(AG125:AG128,"X"))/$D129))</f>
        <v/>
      </c>
      <c r="AH129" s="20" t="str">
        <f t="shared" si="148"/>
        <v/>
      </c>
      <c r="AI129" s="20" t="str">
        <f t="shared" si="148"/>
        <v/>
      </c>
      <c r="AJ129" s="20" t="str">
        <f t="shared" ref="AJ129" si="149">IF(ISBLANK(AJ125),"",IF((COUNTIF(AJ125:AJ128,"X"))/$D129=1,_xlfn.UNICHAR(10003),(COUNTIF(AJ125:AJ128,"X"))/$D129))</f>
        <v/>
      </c>
      <c r="AK129" s="20" t="str">
        <f t="shared" ref="AK129:AL129" si="150">IF(ISBLANK(AK125),"",IF((COUNTIF(AK125:AK128,"X"))/$D129=1,_xlfn.UNICHAR(10003),(COUNTIF(AK125:AK128,"X"))/$D129))</f>
        <v/>
      </c>
      <c r="AL129" s="20" t="str">
        <f t="shared" si="150"/>
        <v/>
      </c>
      <c r="AM129" s="20"/>
      <c r="AN129" s="20"/>
      <c r="AO129" s="20"/>
      <c r="AP129" s="20" t="str">
        <f t="shared" ref="AP129:AR129" si="151">IF(ISBLANK(AP125),"",IF((COUNTIF(AP125:AP128,"X"))/$D129=1,_xlfn.UNICHAR(10003),(COUNTIF(AP125:AP128,"X"))/$D129))</f>
        <v/>
      </c>
      <c r="AQ129" s="20" t="str">
        <f t="shared" ref="AQ129" si="152">IF(ISBLANK(AQ125),"",IF((COUNTIF(AQ125:AQ128,"X"))/$D129=1,_xlfn.UNICHAR(10003),(COUNTIF(AQ125:AQ128,"X"))/$D129))</f>
        <v/>
      </c>
      <c r="AR129" s="20" t="str">
        <f t="shared" si="151"/>
        <v/>
      </c>
      <c r="AS129" s="20" t="str">
        <f t="shared" ref="AS129:AT129" si="153">IF(ISBLANK(AS125),"",IF((COUNTIF(AS125:AS128,"X"))/$D129=1,_xlfn.UNICHAR(10003),(COUNTIF(AS125:AS128,"X"))/$D129))</f>
        <v/>
      </c>
      <c r="AT129" s="20">
        <f t="shared" si="153"/>
        <v>0</v>
      </c>
      <c r="AU129" s="20">
        <f t="shared" ref="AU129" si="154">IF(ISBLANK(AU125),"",IF((COUNTIF(AU125:AU128,"X"))/$D129=1,_xlfn.UNICHAR(10003),(COUNTIF(AU125:AU128,"X"))/$D129))</f>
        <v>0</v>
      </c>
    </row>
    <row r="131" spans="2:47" x14ac:dyDescent="0.25">
      <c r="B131" s="21" t="s">
        <v>122</v>
      </c>
      <c r="C131" s="22" t="s">
        <v>62</v>
      </c>
      <c r="D131" s="23">
        <f>SUM(D129,D124,D115,D104,D87,D80)</f>
        <v>25</v>
      </c>
      <c r="E131" s="23"/>
      <c r="F131" s="23"/>
      <c r="G131" s="20" t="str">
        <f t="shared" ref="G131:AI131" si="155">IF(ISBLANK(G74),"",IF((COUNTIF(G74:G129,"X"))/$D131=1,_xlfn.UNICHAR(10003),(COUNTIF(G74:G129,"X"))/$D131))</f>
        <v>✓</v>
      </c>
      <c r="H131" s="20" t="str">
        <f t="shared" si="155"/>
        <v>✓</v>
      </c>
      <c r="I131" s="20">
        <f t="shared" si="155"/>
        <v>0</v>
      </c>
      <c r="J131" s="20">
        <f t="shared" si="155"/>
        <v>0</v>
      </c>
      <c r="K131" s="20" t="str">
        <f t="shared" si="155"/>
        <v>✓</v>
      </c>
      <c r="L131" s="20">
        <f t="shared" si="155"/>
        <v>0.96</v>
      </c>
      <c r="M131" s="20">
        <f t="shared" si="155"/>
        <v>0.8</v>
      </c>
      <c r="N131" s="20">
        <f t="shared" si="155"/>
        <v>0.68</v>
      </c>
      <c r="P131" s="20">
        <f t="shared" si="155"/>
        <v>0</v>
      </c>
      <c r="Q131" s="20">
        <f t="shared" si="155"/>
        <v>0</v>
      </c>
      <c r="R131" s="20">
        <f t="shared" si="155"/>
        <v>0.12</v>
      </c>
      <c r="S131" s="20">
        <f t="shared" si="155"/>
        <v>0</v>
      </c>
      <c r="U131" s="20">
        <f t="shared" ref="U131:V131" si="156">IF(ISBLANK(U74),"",IF((COUNTIF(U74:U129,"X"))/$D131=1,_xlfn.UNICHAR(10003),(COUNTIF(U74:U129,"X"))/$D131))</f>
        <v>0.88</v>
      </c>
      <c r="V131" s="20">
        <f t="shared" si="156"/>
        <v>0.68</v>
      </c>
      <c r="W131" s="20">
        <f>IF(ISBLANK(W74),"",IF((COUNTIF(W74:W129,"X"))/$D131=1,_xlfn.UNICHAR(10003),(COUNTIF(W74:W129,"X"))/$D131))</f>
        <v>0.64</v>
      </c>
      <c r="X131" s="20">
        <f>IF(ISBLANK(X74),"",IF((COUNTIF(X74:X129,"X"))/$D131=1,_xlfn.UNICHAR(10003),(COUNTIF(X74:X129,"X"))/$D131))</f>
        <v>0.84</v>
      </c>
      <c r="Y131" s="20">
        <f t="shared" ref="Y131:AA131" si="157">IF(ISBLANK(Y74),"",IF((COUNTIF(Y74:Y129,"X"))/$D131=1,_xlfn.UNICHAR(10003),(COUNTIF(Y74:Y129,"X"))/$D131))</f>
        <v>0.68</v>
      </c>
      <c r="Z131" s="20">
        <f t="shared" si="157"/>
        <v>0.48</v>
      </c>
      <c r="AA131" s="20">
        <f t="shared" si="157"/>
        <v>0.84</v>
      </c>
      <c r="AB131" s="20">
        <f>IF(ISBLANK(AB74),"",IF((COUNTIF(AB74:AB129,"X"))/$D131=1,_xlfn.UNICHAR(10003),(COUNTIF(AB74:AB129,"X"))/$D131))</f>
        <v>0.08</v>
      </c>
      <c r="AC131" s="73"/>
      <c r="AE131" s="20">
        <f t="shared" ref="AE131" si="158">IF(ISBLANK(AE74),"",IF((COUNTIF(AE74:AE129,"X"))/$D131=1,_xlfn.UNICHAR(10003),(COUNTIF(AE74:AE129,"X"))/$D131))</f>
        <v>0.6</v>
      </c>
      <c r="AF131" s="20">
        <f t="shared" si="155"/>
        <v>0.76</v>
      </c>
      <c r="AG131" s="20">
        <f t="shared" si="155"/>
        <v>0.8</v>
      </c>
      <c r="AH131" s="20">
        <f t="shared" si="155"/>
        <v>0.08</v>
      </c>
      <c r="AI131" s="20">
        <f t="shared" si="155"/>
        <v>0</v>
      </c>
      <c r="AJ131" s="20">
        <f t="shared" ref="AJ131" si="159">IF(ISBLANK(AJ74),"",IF((COUNTIF(AJ74:AJ129,"X"))/$D131=1,_xlfn.UNICHAR(10003),(COUNTIF(AJ74:AJ129,"X"))/$D131))</f>
        <v>0</v>
      </c>
      <c r="AK131" s="20">
        <f t="shared" ref="AK131:AL131" si="160">IF(ISBLANK(AK74),"",IF((COUNTIF(AK74:AK129,"X"))/$D131=1,_xlfn.UNICHAR(10003),(COUNTIF(AK74:AK129,"X"))/$D131))</f>
        <v>0</v>
      </c>
      <c r="AL131" s="20">
        <f t="shared" si="160"/>
        <v>0</v>
      </c>
      <c r="AM131" s="20"/>
      <c r="AN131" s="20"/>
      <c r="AO131" s="20"/>
      <c r="AP131" s="20" t="str">
        <f t="shared" ref="AP131:AR131" si="161">IF(ISBLANK(AP74),"",IF((COUNTIF(AP74:AP129,"X"))/$D131=1,_xlfn.UNICHAR(10003),(COUNTIF(AP74:AP129,"X"))/$D131))</f>
        <v/>
      </c>
      <c r="AQ131" s="20">
        <f t="shared" ref="AQ131" si="162">IF(ISBLANK(AQ74),"",IF((COUNTIF(AQ74:AQ129,"X"))/$D131=1,_xlfn.UNICHAR(10003),(COUNTIF(AQ74:AQ129,"X"))/$D131))</f>
        <v>0</v>
      </c>
      <c r="AR131" s="20">
        <f t="shared" si="161"/>
        <v>0</v>
      </c>
      <c r="AS131" s="20">
        <f t="shared" ref="AS131:AT131" si="163">IF(ISBLANK(AS74),"",IF((COUNTIF(AS74:AS129,"X"))/$D131=1,_xlfn.UNICHAR(10003),(COUNTIF(AS74:AS129,"X"))/$D131))</f>
        <v>0</v>
      </c>
      <c r="AT131" s="20">
        <f t="shared" si="163"/>
        <v>0</v>
      </c>
      <c r="AU131" s="20">
        <f t="shared" ref="AU131" si="164">IF(ISBLANK(AU74),"",IF((COUNTIF(AU74:AU129,"X"))/$D131=1,_xlfn.UNICHAR(10003),(COUNTIF(AU74:AU129,"X"))/$D131))</f>
        <v>0</v>
      </c>
    </row>
    <row r="132" spans="2:47" x14ac:dyDescent="0.25">
      <c r="B132" s="98" t="s">
        <v>151</v>
      </c>
      <c r="C132" s="99"/>
      <c r="D132" s="99"/>
      <c r="E132" s="99"/>
      <c r="F132" s="100"/>
      <c r="G132" s="20" t="str">
        <f>IF(ISBLANK(G74),"",IF((COUNTIF(G74:G129,"X"))/(COUNTIF(G74:G129,"x")+COUNTIF(G74:G129,"a")+COUNTIF(G74:G129,"t"))=1,_xlfn.UNICHAR(10003),(COUNTIF(G74:G129,"X"))/(COUNTIF(G74:G129,"x")+COUNTIF(G74:G129,"a")+COUNTIF(G74:G129,"t"))))</f>
        <v>✓</v>
      </c>
      <c r="H132" s="20" t="str">
        <f t="shared" ref="H132:AI132" si="165">IF(ISBLANK(H74),"",IF((COUNTIF(H74:H129,"X"))/(COUNTIF(H74:H129,"x")+COUNTIF(H74:H129,"a")+COUNTIF(H74:H129,"t"))=1,_xlfn.UNICHAR(10003),(COUNTIF(H74:H129,"X"))/(COUNTIF(H74:H129,"x")+COUNTIF(H74:H129,"a")+COUNTIF(H74:H129,"t"))))</f>
        <v>✓</v>
      </c>
      <c r="I132" s="20">
        <f t="shared" si="165"/>
        <v>0</v>
      </c>
      <c r="J132" s="20">
        <f t="shared" si="165"/>
        <v>0</v>
      </c>
      <c r="K132" s="20" t="str">
        <f t="shared" si="165"/>
        <v>✓</v>
      </c>
      <c r="L132" s="20">
        <f t="shared" si="165"/>
        <v>0.96</v>
      </c>
      <c r="M132" s="20">
        <f t="shared" si="165"/>
        <v>0.8</v>
      </c>
      <c r="N132" s="20">
        <f t="shared" si="165"/>
        <v>0.68</v>
      </c>
      <c r="P132" s="20">
        <f t="shared" si="165"/>
        <v>0</v>
      </c>
      <c r="Q132" s="20">
        <f t="shared" si="165"/>
        <v>0</v>
      </c>
      <c r="R132" s="20">
        <f t="shared" si="165"/>
        <v>0.21428571428571427</v>
      </c>
      <c r="S132" s="20">
        <f t="shared" si="165"/>
        <v>0</v>
      </c>
      <c r="U132" s="20">
        <f t="shared" ref="U132:V132" si="166">IF(ISBLANK(U74),"",IF((COUNTIF(U74:U129,"X"))/(COUNTIF(U74:U129,"x")+COUNTIF(U74:U129,"a")+COUNTIF(U74:U129,"t"))=1,_xlfn.UNICHAR(10003),(COUNTIF(U74:U129,"X"))/(COUNTIF(U74:U129,"x")+COUNTIF(U74:U129,"a")+COUNTIF(U74:U129,"t"))))</f>
        <v>0.91666666666666663</v>
      </c>
      <c r="V132" s="20">
        <f t="shared" si="166"/>
        <v>0.70833333333333337</v>
      </c>
      <c r="W132" s="20">
        <f>IF(ISBLANK(W74),"",IF((COUNTIF(W74:W129,"X"))/(COUNTIF(W74:W129,"x")+COUNTIF(W74:W129,"a")+COUNTIF(W74:W129,"t"))=1,_xlfn.UNICHAR(10003),(COUNTIF(W74:W129,"X"))/(COUNTIF(W74:W129,"x")+COUNTIF(W74:W129,"a")+COUNTIF(W74:W129,"t"))))</f>
        <v>0.66666666666666663</v>
      </c>
      <c r="X132" s="20">
        <f>IF(ISBLANK(X74),"",IF((COUNTIF(X74:X129,"X"))/(COUNTIF(X74:X129,"x")+COUNTIF(X74:X129,"a")+COUNTIF(X74:X129,"t"))=1,_xlfn.UNICHAR(10003),(COUNTIF(X74:X129,"X"))/(COUNTIF(X74:X129,"x")+COUNTIF(X74:X129,"a")+COUNTIF(X74:X129,"t"))))</f>
        <v>0.875</v>
      </c>
      <c r="Y132" s="20">
        <f t="shared" ref="Y132:AA132" si="167">IF(ISBLANK(Y74),"",IF((COUNTIF(Y74:Y129,"X"))/(COUNTIF(Y74:Y129,"x")+COUNTIF(Y74:Y129,"a")+COUNTIF(Y74:Y129,"t"))=1,_xlfn.UNICHAR(10003),(COUNTIF(Y74:Y129,"X"))/(COUNTIF(Y74:Y129,"x")+COUNTIF(Y74:Y129,"a")+COUNTIF(Y74:Y129,"t"))))</f>
        <v>0.70833333333333337</v>
      </c>
      <c r="Z132" s="20">
        <f t="shared" si="167"/>
        <v>0.5</v>
      </c>
      <c r="AA132" s="20">
        <f t="shared" si="167"/>
        <v>0.91304347826086951</v>
      </c>
      <c r="AB132" s="20">
        <f>IF(ISBLANK(AB74),"",IF((COUNTIF(AB74:AB129,"X"))/(COUNTIF(AB74:AB129,"x")+COUNTIF(AB74:AB129,"a")+COUNTIF(AB74:AB129,"t"))=1,_xlfn.UNICHAR(10003),(COUNTIF(AB74:AB129,"X"))/(COUNTIF(AB74:AB129,"x")+COUNTIF(AB74:AB129,"a")+COUNTIF(AB74:AB129,"t"))))</f>
        <v>8.6956521739130432E-2</v>
      </c>
      <c r="AC132" s="73"/>
      <c r="AE132" s="20">
        <f t="shared" ref="AE132" si="168">IF(ISBLANK(AE74),"",IF((COUNTIF(AE74:AE129,"X"))/(COUNTIF(AE74:AE129,"x")+COUNTIF(AE74:AE129,"a")+COUNTIF(AE74:AE129,"t"))=1,_xlfn.UNICHAR(10003),(COUNTIF(AE74:AE129,"X"))/(COUNTIF(AE74:AE129,"x")+COUNTIF(AE74:AE129,"a")+COUNTIF(AE74:AE129,"t"))))</f>
        <v>0.65217391304347827</v>
      </c>
      <c r="AF132" s="20">
        <f t="shared" si="165"/>
        <v>0.82608695652173914</v>
      </c>
      <c r="AG132" s="20">
        <f t="shared" si="165"/>
        <v>0.86956521739130432</v>
      </c>
      <c r="AH132" s="20">
        <f t="shared" si="165"/>
        <v>0.14285714285714285</v>
      </c>
      <c r="AI132" s="20">
        <f t="shared" si="165"/>
        <v>0</v>
      </c>
      <c r="AJ132" s="20">
        <f t="shared" ref="AJ132" si="169">IF(ISBLANK(AJ74),"",IF((COUNTIF(AJ74:AJ129,"X"))/(COUNTIF(AJ74:AJ129,"x")+COUNTIF(AJ74:AJ129,"a")+COUNTIF(AJ74:AJ129,"t"))=1,_xlfn.UNICHAR(10003),(COUNTIF(AJ74:AJ129,"X"))/(COUNTIF(AJ74:AJ129,"x")+COUNTIF(AJ74:AJ129,"a")+COUNTIF(AJ74:AJ129,"t"))))</f>
        <v>0</v>
      </c>
      <c r="AK132" s="20">
        <f t="shared" ref="AK132:AL132" si="170">IF(ISBLANK(AK74),"",IF((COUNTIF(AK74:AK129,"X"))/(COUNTIF(AK74:AK129,"x")+COUNTIF(AK74:AK129,"a")+COUNTIF(AK74:AK129,"t"))=1,_xlfn.UNICHAR(10003),(COUNTIF(AK74:AK129,"X"))/(COUNTIF(AK74:AK129,"x")+COUNTIF(AK74:AK129,"a")+COUNTIF(AK74:AK129,"t"))))</f>
        <v>0</v>
      </c>
      <c r="AL132" s="20">
        <f t="shared" si="170"/>
        <v>0</v>
      </c>
      <c r="AM132" s="20"/>
      <c r="AN132" s="20"/>
      <c r="AO132" s="20"/>
      <c r="AP132" s="20" t="str">
        <f>IF(ISBLANK(AP74),"",IF((COUNTIF(AP74:AP129,"X"))/(COUNTIF(AP74:AP129,"x")+COUNTIF(AP74:AP129,"a")+COUNTIF(AP74:AP129,"t"))=1,_xlfn.UNICHAR(10003),(COUNTIF(AP74:AP129,"X"))/(COUNTIF(AP74:AP129,"x")+COUNTIF(AP74:AP129,"a")+COUNTIF(AP74:AP129,"t"))))</f>
        <v/>
      </c>
      <c r="AQ132" s="20">
        <f t="shared" ref="AQ132:AU132" si="171">IF(ISBLANK(AQ74),"",IF((COUNTIF(AQ74:AQ129,"X"))/(COUNTIF(AQ74:AQ129,"x")+COUNTIF(AQ74:AQ129,"a")+COUNTIF(AQ74:AQ129,"t"))=1,_xlfn.UNICHAR(10003),(COUNTIF(AQ74:AQ129,"X"))/(COUNTIF(AQ74:AQ129,"x")+COUNTIF(AQ74:AQ129,"a")+COUNTIF(AQ74:AQ129,"t"))))</f>
        <v>0</v>
      </c>
      <c r="AR132" s="20">
        <f t="shared" si="171"/>
        <v>0</v>
      </c>
      <c r="AS132" s="20">
        <f t="shared" si="171"/>
        <v>0</v>
      </c>
      <c r="AT132" s="20">
        <f t="shared" si="171"/>
        <v>0</v>
      </c>
      <c r="AU132" s="20">
        <f t="shared" si="171"/>
        <v>0</v>
      </c>
    </row>
    <row r="134" spans="2:47" x14ac:dyDescent="0.25">
      <c r="B134" s="179" t="s">
        <v>128</v>
      </c>
      <c r="C134" s="173" t="s">
        <v>123</v>
      </c>
      <c r="D134" s="174"/>
      <c r="E134" s="174"/>
      <c r="F134" s="175"/>
      <c r="G134" s="15" t="s">
        <v>17</v>
      </c>
      <c r="H134" s="15" t="s">
        <v>17</v>
      </c>
      <c r="I134" s="15" t="s">
        <v>17</v>
      </c>
      <c r="J134" s="15" t="s">
        <v>17</v>
      </c>
      <c r="K134" s="15" t="s">
        <v>17</v>
      </c>
      <c r="L134" s="15" t="s">
        <v>17</v>
      </c>
      <c r="M134" s="15" t="s">
        <v>139</v>
      </c>
      <c r="N134" s="15" t="s">
        <v>17</v>
      </c>
      <c r="P134" s="15" t="s">
        <v>17</v>
      </c>
      <c r="Q134" s="15" t="s">
        <v>139</v>
      </c>
      <c r="R134" s="15" t="s">
        <v>17</v>
      </c>
      <c r="S134" s="15" t="s">
        <v>139</v>
      </c>
      <c r="U134" s="15" t="s">
        <v>17</v>
      </c>
      <c r="V134" s="15" t="s">
        <v>17</v>
      </c>
      <c r="W134" s="15" t="s">
        <v>18</v>
      </c>
      <c r="X134" s="15" t="s">
        <v>17</v>
      </c>
      <c r="Y134" s="15" t="s">
        <v>17</v>
      </c>
      <c r="Z134" s="15" t="s">
        <v>17</v>
      </c>
      <c r="AA134" s="15" t="s">
        <v>17</v>
      </c>
      <c r="AB134" s="15" t="s">
        <v>139</v>
      </c>
      <c r="AC134" s="70"/>
      <c r="AE134" s="15" t="s">
        <v>17</v>
      </c>
      <c r="AF134" s="15" t="s">
        <v>17</v>
      </c>
      <c r="AG134" s="15" t="s">
        <v>17</v>
      </c>
      <c r="AH134" s="15"/>
      <c r="AI134" s="15" t="s">
        <v>17</v>
      </c>
      <c r="AJ134" s="15" t="s">
        <v>139</v>
      </c>
      <c r="AK134" s="15"/>
      <c r="AL134" s="15"/>
      <c r="AM134" s="15"/>
      <c r="AN134" s="15"/>
      <c r="AO134" s="15"/>
      <c r="AP134" s="15"/>
      <c r="AQ134" s="15" t="s">
        <v>139</v>
      </c>
      <c r="AR134" s="15" t="s">
        <v>139</v>
      </c>
      <c r="AS134" s="15" t="s">
        <v>139</v>
      </c>
      <c r="AT134" s="15" t="s">
        <v>139</v>
      </c>
      <c r="AU134" s="15" t="s">
        <v>139</v>
      </c>
    </row>
    <row r="135" spans="2:47" ht="15.75" hidden="1" customHeight="1" x14ac:dyDescent="0.3">
      <c r="B135" s="180"/>
      <c r="C135" s="176"/>
      <c r="D135" s="177"/>
      <c r="E135" s="177"/>
      <c r="F135" s="178"/>
      <c r="G135" s="26">
        <v>40179</v>
      </c>
      <c r="H135" s="26"/>
      <c r="I135" s="26"/>
      <c r="J135" s="26"/>
      <c r="K135" s="26">
        <v>44774</v>
      </c>
      <c r="L135" s="26"/>
      <c r="M135" s="26"/>
      <c r="N135" s="26"/>
      <c r="P135" s="26"/>
      <c r="Q135" s="26"/>
      <c r="R135" s="26"/>
      <c r="S135" s="26"/>
      <c r="U135" s="26"/>
      <c r="V135" s="26"/>
      <c r="W135" s="26"/>
      <c r="X135" s="26"/>
      <c r="Y135" s="26"/>
      <c r="Z135" s="26"/>
      <c r="AA135" s="26">
        <v>45596</v>
      </c>
      <c r="AB135" s="26"/>
      <c r="AC135" s="71"/>
      <c r="AE135" s="26"/>
      <c r="AF135" s="26"/>
      <c r="AG135" s="26"/>
      <c r="AH135" s="26"/>
      <c r="AI135" s="26"/>
      <c r="AJ135" s="26"/>
      <c r="AK135" s="26"/>
      <c r="AL135" s="26"/>
      <c r="AM135" s="26"/>
      <c r="AN135" s="26"/>
      <c r="AO135" s="26"/>
      <c r="AP135" s="26"/>
      <c r="AQ135" s="26"/>
      <c r="AR135" s="26"/>
      <c r="AS135" s="26"/>
      <c r="AT135" s="26"/>
      <c r="AU135" s="26"/>
    </row>
    <row r="136" spans="2:47" x14ac:dyDescent="0.25">
      <c r="B136" s="180"/>
      <c r="C136" s="173" t="s">
        <v>124</v>
      </c>
      <c r="D136" s="174"/>
      <c r="E136" s="174"/>
      <c r="F136" s="175"/>
      <c r="G136" s="15" t="s">
        <v>17</v>
      </c>
      <c r="H136" s="15" t="s">
        <v>17</v>
      </c>
      <c r="I136" s="15" t="s">
        <v>17</v>
      </c>
      <c r="J136" s="15" t="s">
        <v>17</v>
      </c>
      <c r="K136" s="15" t="s">
        <v>17</v>
      </c>
      <c r="L136" s="15" t="s">
        <v>17</v>
      </c>
      <c r="M136" s="15" t="s">
        <v>139</v>
      </c>
      <c r="N136" s="15" t="s">
        <v>17</v>
      </c>
      <c r="P136" s="15" t="s">
        <v>17</v>
      </c>
      <c r="Q136" s="15"/>
      <c r="R136" s="15" t="s">
        <v>17</v>
      </c>
      <c r="S136" s="15"/>
      <c r="U136" s="15" t="s">
        <v>17</v>
      </c>
      <c r="V136" s="15" t="s">
        <v>17</v>
      </c>
      <c r="W136" s="15" t="s">
        <v>139</v>
      </c>
      <c r="X136" s="15" t="s">
        <v>18</v>
      </c>
      <c r="Y136" s="15" t="s">
        <v>139</v>
      </c>
      <c r="Z136" s="15" t="s">
        <v>17</v>
      </c>
      <c r="AA136" s="15" t="s">
        <v>17</v>
      </c>
      <c r="AB136" s="15" t="s">
        <v>139</v>
      </c>
      <c r="AC136" s="70"/>
      <c r="AE136" s="15" t="s">
        <v>17</v>
      </c>
      <c r="AF136" s="15" t="s">
        <v>17</v>
      </c>
      <c r="AG136" s="15" t="s">
        <v>17</v>
      </c>
      <c r="AH136" s="15"/>
      <c r="AI136" s="15" t="s">
        <v>139</v>
      </c>
      <c r="AJ136" s="15" t="s">
        <v>139</v>
      </c>
      <c r="AK136" s="15"/>
      <c r="AL136" s="15"/>
      <c r="AM136" s="15"/>
      <c r="AN136" s="15"/>
      <c r="AO136" s="15"/>
      <c r="AP136" s="15"/>
      <c r="AQ136" s="15"/>
      <c r="AR136" s="15" t="s">
        <v>139</v>
      </c>
      <c r="AS136" s="15" t="s">
        <v>139</v>
      </c>
      <c r="AT136" s="15" t="s">
        <v>139</v>
      </c>
      <c r="AU136" s="15" t="s">
        <v>139</v>
      </c>
    </row>
    <row r="137" spans="2:47" ht="15.75" hidden="1" customHeight="1" x14ac:dyDescent="0.3">
      <c r="B137" s="180"/>
      <c r="C137" s="176"/>
      <c r="D137" s="177"/>
      <c r="E137" s="177"/>
      <c r="F137" s="178"/>
      <c r="G137" s="26">
        <v>40179</v>
      </c>
      <c r="H137" s="26"/>
      <c r="I137" s="26"/>
      <c r="J137" s="26"/>
      <c r="K137" s="26">
        <v>44774</v>
      </c>
      <c r="L137" s="26"/>
      <c r="M137" s="26"/>
      <c r="N137" s="26"/>
      <c r="P137" s="26"/>
      <c r="Q137" s="26"/>
      <c r="R137" s="26"/>
      <c r="S137" s="26"/>
      <c r="U137" s="26"/>
      <c r="V137" s="26"/>
      <c r="W137" s="26"/>
      <c r="X137" s="26"/>
      <c r="Y137" s="26"/>
      <c r="Z137" s="26"/>
      <c r="AA137" s="26"/>
      <c r="AB137" s="26"/>
      <c r="AC137" s="71"/>
      <c r="AE137" s="26"/>
      <c r="AF137" s="26"/>
      <c r="AG137" s="26"/>
      <c r="AH137" s="26"/>
      <c r="AI137" s="26"/>
      <c r="AJ137" s="26"/>
      <c r="AK137" s="26"/>
      <c r="AL137" s="26"/>
      <c r="AM137" s="26"/>
      <c r="AN137" s="26"/>
      <c r="AO137" s="26"/>
      <c r="AP137" s="26"/>
      <c r="AQ137" s="26"/>
      <c r="AR137" s="26"/>
      <c r="AS137" s="26"/>
      <c r="AT137" s="26"/>
      <c r="AU137" s="26"/>
    </row>
    <row r="138" spans="2:47" x14ac:dyDescent="0.25">
      <c r="B138" s="181"/>
      <c r="C138" s="173" t="s">
        <v>125</v>
      </c>
      <c r="D138" s="174"/>
      <c r="E138" s="174"/>
      <c r="F138" s="175"/>
      <c r="G138" s="15" t="s">
        <v>17</v>
      </c>
      <c r="H138" s="15" t="s">
        <v>17</v>
      </c>
      <c r="I138" s="15" t="s">
        <v>17</v>
      </c>
      <c r="J138" s="15" t="s">
        <v>17</v>
      </c>
      <c r="K138" s="15" t="s">
        <v>17</v>
      </c>
      <c r="L138" s="15" t="s">
        <v>17</v>
      </c>
      <c r="M138" s="15" t="s">
        <v>139</v>
      </c>
      <c r="N138" s="15" t="s">
        <v>17</v>
      </c>
      <c r="P138" s="15" t="s">
        <v>17</v>
      </c>
      <c r="Q138" s="15" t="s">
        <v>139</v>
      </c>
      <c r="R138" s="15" t="s">
        <v>17</v>
      </c>
      <c r="S138" s="15" t="s">
        <v>139</v>
      </c>
      <c r="U138" s="15" t="s">
        <v>17</v>
      </c>
      <c r="V138" s="15" t="s">
        <v>17</v>
      </c>
      <c r="W138" s="15" t="s">
        <v>139</v>
      </c>
      <c r="X138" s="15" t="s">
        <v>17</v>
      </c>
      <c r="Y138" s="15" t="s">
        <v>139</v>
      </c>
      <c r="Z138" s="15" t="s">
        <v>17</v>
      </c>
      <c r="AA138" s="15" t="s">
        <v>17</v>
      </c>
      <c r="AB138" s="15" t="s">
        <v>139</v>
      </c>
      <c r="AC138" s="70"/>
      <c r="AE138" s="15" t="s">
        <v>17</v>
      </c>
      <c r="AF138" s="15" t="s">
        <v>17</v>
      </c>
      <c r="AG138" s="15" t="s">
        <v>17</v>
      </c>
      <c r="AH138" s="15"/>
      <c r="AI138" s="15" t="s">
        <v>139</v>
      </c>
      <c r="AJ138" s="15" t="s">
        <v>139</v>
      </c>
      <c r="AK138" s="15"/>
      <c r="AL138" s="15"/>
      <c r="AM138" s="15"/>
      <c r="AN138" s="15"/>
      <c r="AO138" s="15"/>
      <c r="AP138" s="15"/>
      <c r="AQ138" s="15" t="s">
        <v>139</v>
      </c>
      <c r="AR138" s="15" t="s">
        <v>139</v>
      </c>
      <c r="AS138" s="15" t="s">
        <v>139</v>
      </c>
      <c r="AT138" s="15" t="s">
        <v>139</v>
      </c>
      <c r="AU138" s="15" t="s">
        <v>139</v>
      </c>
    </row>
    <row r="139" spans="2:47" ht="15.75" hidden="1" customHeight="1" x14ac:dyDescent="0.3">
      <c r="B139" s="182"/>
      <c r="C139" s="176"/>
      <c r="D139" s="177"/>
      <c r="E139" s="177"/>
      <c r="F139" s="178"/>
      <c r="G139" s="28">
        <v>40179</v>
      </c>
      <c r="H139" s="28"/>
      <c r="I139" s="28"/>
      <c r="J139" s="28"/>
      <c r="K139" s="26">
        <v>44774</v>
      </c>
      <c r="L139" s="28"/>
      <c r="M139" s="28"/>
      <c r="N139" s="28"/>
      <c r="P139" s="28"/>
      <c r="Q139" s="28"/>
      <c r="R139" s="28"/>
      <c r="S139" s="28"/>
      <c r="U139" s="28"/>
      <c r="V139" s="28"/>
      <c r="W139" s="28"/>
      <c r="X139" s="28"/>
      <c r="Y139" s="28"/>
      <c r="Z139" s="28"/>
      <c r="AA139" s="28"/>
      <c r="AB139" s="28"/>
      <c r="AC139" s="75"/>
      <c r="AE139" s="28"/>
      <c r="AF139" s="28"/>
      <c r="AG139" s="28"/>
      <c r="AH139" s="28"/>
      <c r="AI139" s="28"/>
      <c r="AJ139" s="28"/>
      <c r="AK139" s="28"/>
      <c r="AL139" s="28"/>
      <c r="AM139" s="28"/>
      <c r="AN139" s="28"/>
      <c r="AO139" s="28"/>
      <c r="AP139" s="28"/>
      <c r="AQ139" s="28"/>
      <c r="AR139" s="28"/>
      <c r="AS139" s="28"/>
      <c r="AT139" s="28"/>
      <c r="AU139" s="28"/>
    </row>
    <row r="140" spans="2:47" x14ac:dyDescent="0.25">
      <c r="B140" s="17" t="s">
        <v>61</v>
      </c>
      <c r="C140" s="18" t="s">
        <v>62</v>
      </c>
      <c r="D140" s="19">
        <f>COUNTA(C134:F139)</f>
        <v>3</v>
      </c>
      <c r="E140" s="19"/>
      <c r="F140" s="19"/>
      <c r="G140" s="20" t="str">
        <f>IF(ISBLANK(G134),"",IF((COUNTIF(G134:G139,"X"))/(COUNTIF(G134:G138,"x")+COUNTIF(G134:G138,"a")+COUNTIF(G134:G138,"t"))=1,_xlfn.UNICHAR(10003),(COUNTIF(G134:G139,"X"))/(COUNTIF(G134:G138,"x")+COUNTIF(G134:G138,"a")+COUNTIF(G134:G138,"t"))))</f>
        <v>✓</v>
      </c>
      <c r="H140" s="20" t="str">
        <f t="shared" ref="H140:AF140" si="172">IF(ISBLANK(H134),"",IF((COUNTIF(H134:H139,"X"))/(COUNTIF(H134:H138,"x")+COUNTIF(H134:H138,"a")+COUNTIF(H134:H138,"t"))=1,_xlfn.UNICHAR(10003),(COUNTIF(H134:H139,"X"))/(COUNTIF(H134:H138,"x")+COUNTIF(H134:H138,"a")+COUNTIF(H134:H138,"t"))))</f>
        <v>✓</v>
      </c>
      <c r="I140" s="20" t="str">
        <f t="shared" si="172"/>
        <v>✓</v>
      </c>
      <c r="J140" s="20" t="str">
        <f t="shared" si="172"/>
        <v>✓</v>
      </c>
      <c r="K140" s="20" t="str">
        <f t="shared" si="172"/>
        <v>✓</v>
      </c>
      <c r="L140" s="20" t="str">
        <f t="shared" si="172"/>
        <v>✓</v>
      </c>
      <c r="M140" s="20">
        <f t="shared" ref="M140:N140" si="173">IF(ISBLANK(M134),"",IF((COUNTIF(M134:M139,"X"))/$D140=1,_xlfn.UNICHAR(10003),(COUNTIF(M134:M139,"X"))/$D140))</f>
        <v>0</v>
      </c>
      <c r="N140" s="20" t="str">
        <f t="shared" si="173"/>
        <v>✓</v>
      </c>
      <c r="P140" s="20" t="str">
        <f t="shared" si="172"/>
        <v>✓</v>
      </c>
      <c r="Q140" s="20">
        <f t="shared" ref="Q140" si="174">IF(ISBLANK(Q134),"",IF((COUNTIF(Q134:Q139,"X"))/$D140=1,_xlfn.UNICHAR(10003),(COUNTIF(Q134:Q139,"X"))/$D140))</f>
        <v>0</v>
      </c>
      <c r="R140" s="20" t="str">
        <f t="shared" ref="R140:S140" si="175">IF(ISBLANK(R134),"",IF((COUNTIF(R134:R139,"X"))/$D140=1,_xlfn.UNICHAR(10003),(COUNTIF(R134:R139,"X"))/$D140))</f>
        <v>✓</v>
      </c>
      <c r="S140" s="20">
        <f t="shared" si="175"/>
        <v>0</v>
      </c>
      <c r="U140" s="20" t="str">
        <f t="shared" ref="U140:V140" si="176">IF(ISBLANK(U134),"",IF((COUNTIF(U134:U139,"X"))/$D140=1,_xlfn.UNICHAR(10003),(COUNTIF(U134:U139,"X"))/$D140))</f>
        <v>✓</v>
      </c>
      <c r="V140" s="20" t="str">
        <f t="shared" si="176"/>
        <v>✓</v>
      </c>
      <c r="W140" s="20">
        <f>IF(ISBLANK(W134),"",IF((COUNTIF(W134:W139,"X"))/$D140=1,_xlfn.UNICHAR(10003),(COUNTIF(W134:W139,"X"))/$D140))</f>
        <v>0</v>
      </c>
      <c r="X140" s="20">
        <f>IF(ISBLANK(X134),"",IF((COUNTIF(X134:X139,"X"))/(COUNTIF(X134:X138,"x")+COUNTIF(X134:X138,"a")+COUNTIF(X134:X138,"t"))=1,_xlfn.UNICHAR(10003),(COUNTIF(X134:X139,"X"))/(COUNTIF(X134:X138,"x")+COUNTIF(X134:X138,"a")+COUNTIF(X134:X138,"t"))))</f>
        <v>0.66666666666666663</v>
      </c>
      <c r="Y140" s="20">
        <f t="shared" ref="Y140:AA140" si="177">IF(ISBLANK(Y134),"",IF((COUNTIF(Y134:Y139,"X"))/$D140=1,_xlfn.UNICHAR(10003),(COUNTIF(Y134:Y139,"X"))/$D140))</f>
        <v>0.33333333333333331</v>
      </c>
      <c r="Z140" s="20" t="str">
        <f t="shared" si="177"/>
        <v>✓</v>
      </c>
      <c r="AA140" s="20" t="str">
        <f t="shared" si="177"/>
        <v>✓</v>
      </c>
      <c r="AB140" s="20">
        <f>IF(ISBLANK(AB134),"",IF((COUNTIF(AB134:AB139,"X"))/(COUNTIF(AB134:AB138,"x")+COUNTIF(AB134:AB138,"a")+COUNTIF(AB134:AB138,"t"))=1,_xlfn.UNICHAR(10003),(COUNTIF(AB134:AB139,"X"))/(COUNTIF(AB134:AB138,"x")+COUNTIF(AB134:AB138,"a")+COUNTIF(AB134:AB138,"t"))))</f>
        <v>0</v>
      </c>
      <c r="AC140" s="73"/>
      <c r="AE140" s="20" t="str">
        <f t="shared" ref="AE140:AI140" si="178">IF(ISBLANK(AE134),"",IF((COUNTIF(AE134:AE139,"X"))/$D140=1,_xlfn.UNICHAR(10003),(COUNTIF(AE134:AE139,"X"))/$D140))</f>
        <v>✓</v>
      </c>
      <c r="AF140" s="20" t="str">
        <f t="shared" si="172"/>
        <v>✓</v>
      </c>
      <c r="AG140" s="20" t="str">
        <f t="shared" si="178"/>
        <v>✓</v>
      </c>
      <c r="AH140" s="20" t="str">
        <f t="shared" si="178"/>
        <v/>
      </c>
      <c r="AI140" s="20">
        <f t="shared" si="178"/>
        <v>0.33333333333333331</v>
      </c>
      <c r="AJ140" s="20">
        <f t="shared" ref="AJ140" si="179">IF(ISBLANK(AJ134),"",IF((COUNTIF(AJ134:AJ139,"X"))/$D140=1,_xlfn.UNICHAR(10003),(COUNTIF(AJ134:AJ139,"X"))/$D140))</f>
        <v>0</v>
      </c>
      <c r="AK140" s="20" t="str">
        <f t="shared" ref="AK140:AL140" si="180">IF(ISBLANK(AK134),"",IF((COUNTIF(AK134:AK139,"X"))/$D140=1,_xlfn.UNICHAR(10003),(COUNTIF(AK134:AK139,"X"))/$D140))</f>
        <v/>
      </c>
      <c r="AL140" s="20" t="str">
        <f t="shared" si="180"/>
        <v/>
      </c>
      <c r="AM140" s="20"/>
      <c r="AN140" s="20"/>
      <c r="AO140" s="20"/>
      <c r="AP140" s="20" t="str">
        <f t="shared" ref="AP140:AR140" si="181">IF(ISBLANK(AP134),"",IF((COUNTIF(AP134:AP139,"X"))/$D140=1,_xlfn.UNICHAR(10003),(COUNTIF(AP134:AP139,"X"))/$D140))</f>
        <v/>
      </c>
      <c r="AQ140" s="20">
        <f t="shared" ref="AQ140" si="182">IF(ISBLANK(AQ134),"",IF((COUNTIF(AQ134:AQ139,"X"))/$D140=1,_xlfn.UNICHAR(10003),(COUNTIF(AQ134:AQ139,"X"))/$D140))</f>
        <v>0</v>
      </c>
      <c r="AR140" s="20">
        <f t="shared" si="181"/>
        <v>0</v>
      </c>
      <c r="AS140" s="20">
        <f t="shared" ref="AS140:AT140" si="183">IF(ISBLANK(AS134),"",IF((COUNTIF(AS134:AS139,"X"))/$D140=1,_xlfn.UNICHAR(10003),(COUNTIF(AS134:AS139,"X"))/$D140))</f>
        <v>0</v>
      </c>
      <c r="AT140" s="20">
        <f t="shared" si="183"/>
        <v>0</v>
      </c>
      <c r="AU140" s="20">
        <f t="shared" ref="AU140" si="184">IF(ISBLANK(AU134),"",IF((COUNTIF(AU134:AU139,"X"))/$D140=1,_xlfn.UNICHAR(10003),(COUNTIF(AU134:AU139,"X"))/$D140))</f>
        <v>0</v>
      </c>
    </row>
    <row r="141" spans="2:47" x14ac:dyDescent="0.25">
      <c r="B141" s="92" t="s">
        <v>90</v>
      </c>
      <c r="C141" s="86" t="s">
        <v>91</v>
      </c>
      <c r="D141" s="87"/>
      <c r="E141" s="87"/>
      <c r="F141" s="88"/>
      <c r="G141" s="13" t="s">
        <v>21</v>
      </c>
      <c r="H141" s="13" t="s">
        <v>17</v>
      </c>
      <c r="I141" s="13" t="s">
        <v>17</v>
      </c>
      <c r="J141" s="13" t="s">
        <v>17</v>
      </c>
      <c r="K141" s="13" t="s">
        <v>17</v>
      </c>
      <c r="L141" s="13" t="s">
        <v>17</v>
      </c>
      <c r="M141" s="13" t="s">
        <v>139</v>
      </c>
      <c r="N141" s="13" t="s">
        <v>17</v>
      </c>
      <c r="P141" s="13" t="s">
        <v>17</v>
      </c>
      <c r="Q141" s="13" t="s">
        <v>139</v>
      </c>
      <c r="R141" s="13" t="s">
        <v>17</v>
      </c>
      <c r="S141" s="13" t="s">
        <v>139</v>
      </c>
      <c r="U141" s="13" t="s">
        <v>17</v>
      </c>
      <c r="V141" s="13" t="s">
        <v>17</v>
      </c>
      <c r="W141" s="13" t="s">
        <v>139</v>
      </c>
      <c r="X141" s="13" t="s">
        <v>17</v>
      </c>
      <c r="Y141" s="13" t="s">
        <v>139</v>
      </c>
      <c r="Z141" s="13" t="s">
        <v>17</v>
      </c>
      <c r="AA141" s="13" t="s">
        <v>17</v>
      </c>
      <c r="AB141" s="13" t="s">
        <v>139</v>
      </c>
      <c r="AC141" s="72"/>
      <c r="AE141" s="13" t="s">
        <v>17</v>
      </c>
      <c r="AF141" s="13" t="s">
        <v>17</v>
      </c>
      <c r="AG141" s="13" t="s">
        <v>17</v>
      </c>
      <c r="AH141" s="15"/>
      <c r="AI141" s="13" t="s">
        <v>139</v>
      </c>
      <c r="AJ141" s="13" t="s">
        <v>139</v>
      </c>
      <c r="AK141" s="13"/>
      <c r="AL141" s="13"/>
      <c r="AM141" s="13"/>
      <c r="AN141" s="13"/>
      <c r="AO141" s="13"/>
      <c r="AP141" s="13"/>
      <c r="AQ141" s="13" t="s">
        <v>139</v>
      </c>
      <c r="AR141" s="13" t="s">
        <v>139</v>
      </c>
      <c r="AS141" s="13" t="s">
        <v>139</v>
      </c>
      <c r="AT141" s="13" t="s">
        <v>139</v>
      </c>
      <c r="AU141" s="13" t="s">
        <v>139</v>
      </c>
    </row>
    <row r="142" spans="2:47" ht="15.75" hidden="1" customHeight="1" x14ac:dyDescent="0.3">
      <c r="B142" s="93"/>
      <c r="C142" s="89"/>
      <c r="D142" s="90"/>
      <c r="E142" s="90"/>
      <c r="F142" s="91"/>
      <c r="G142" s="27">
        <v>40179</v>
      </c>
      <c r="H142" s="27"/>
      <c r="I142" s="27"/>
      <c r="J142" s="27"/>
      <c r="K142" s="26">
        <v>44774</v>
      </c>
      <c r="L142" s="27"/>
      <c r="M142" s="27"/>
      <c r="N142" s="27"/>
      <c r="P142" s="27"/>
      <c r="Q142" s="27"/>
      <c r="R142" s="27"/>
      <c r="S142" s="27"/>
      <c r="U142" s="27"/>
      <c r="V142" s="27"/>
      <c r="W142" s="27"/>
      <c r="X142" s="27"/>
      <c r="Y142" s="27"/>
      <c r="Z142" s="27"/>
      <c r="AA142" s="27"/>
      <c r="AB142" s="27"/>
      <c r="AC142" s="74"/>
      <c r="AE142" s="27"/>
      <c r="AF142" s="27"/>
      <c r="AG142" s="27">
        <v>45610</v>
      </c>
      <c r="AH142" s="26"/>
      <c r="AI142" s="27"/>
      <c r="AJ142" s="27"/>
      <c r="AK142" s="27"/>
      <c r="AL142" s="27"/>
      <c r="AM142" s="27"/>
      <c r="AN142" s="27"/>
      <c r="AO142" s="27"/>
      <c r="AP142" s="27"/>
      <c r="AQ142" s="27"/>
      <c r="AR142" s="27"/>
      <c r="AS142" s="27"/>
      <c r="AT142" s="27"/>
      <c r="AU142" s="27"/>
    </row>
    <row r="143" spans="2:47" x14ac:dyDescent="0.25">
      <c r="B143" s="93"/>
      <c r="C143" s="86" t="s">
        <v>92</v>
      </c>
      <c r="D143" s="87"/>
      <c r="E143" s="87"/>
      <c r="F143" s="88"/>
      <c r="G143" s="13" t="s">
        <v>21</v>
      </c>
      <c r="H143" s="13" t="s">
        <v>17</v>
      </c>
      <c r="I143" s="13" t="s">
        <v>17</v>
      </c>
      <c r="J143" s="13" t="s">
        <v>17</v>
      </c>
      <c r="K143" s="13" t="s">
        <v>17</v>
      </c>
      <c r="L143" s="13" t="s">
        <v>17</v>
      </c>
      <c r="M143" s="13" t="s">
        <v>139</v>
      </c>
      <c r="N143" s="13" t="s">
        <v>18</v>
      </c>
      <c r="P143" s="13" t="s">
        <v>17</v>
      </c>
      <c r="Q143" s="13" t="s">
        <v>139</v>
      </c>
      <c r="R143" s="13" t="s">
        <v>17</v>
      </c>
      <c r="S143" s="13" t="s">
        <v>139</v>
      </c>
      <c r="U143" s="13" t="s">
        <v>17</v>
      </c>
      <c r="V143" s="13" t="s">
        <v>17</v>
      </c>
      <c r="W143" s="13" t="s">
        <v>139</v>
      </c>
      <c r="X143" s="13" t="s">
        <v>18</v>
      </c>
      <c r="Y143" s="13" t="s">
        <v>139</v>
      </c>
      <c r="Z143" s="13" t="s">
        <v>17</v>
      </c>
      <c r="AA143" s="13" t="s">
        <v>18</v>
      </c>
      <c r="AB143" s="13" t="s">
        <v>139</v>
      </c>
      <c r="AC143" s="72"/>
      <c r="AE143" s="13" t="s">
        <v>17</v>
      </c>
      <c r="AF143" s="13" t="s">
        <v>17</v>
      </c>
      <c r="AG143" s="13" t="s">
        <v>17</v>
      </c>
      <c r="AH143" s="15"/>
      <c r="AI143" s="13" t="s">
        <v>139</v>
      </c>
      <c r="AJ143" s="13" t="s">
        <v>139</v>
      </c>
      <c r="AK143" s="13"/>
      <c r="AL143" s="13"/>
      <c r="AM143" s="13"/>
      <c r="AN143" s="13"/>
      <c r="AO143" s="13"/>
      <c r="AP143" s="13"/>
      <c r="AQ143" s="13" t="s">
        <v>139</v>
      </c>
      <c r="AR143" s="13" t="s">
        <v>139</v>
      </c>
      <c r="AS143" s="13" t="s">
        <v>139</v>
      </c>
      <c r="AT143" s="13" t="s">
        <v>139</v>
      </c>
      <c r="AU143" s="13" t="s">
        <v>139</v>
      </c>
    </row>
    <row r="144" spans="2:47" ht="15.75" hidden="1" customHeight="1" x14ac:dyDescent="0.3">
      <c r="B144" s="115"/>
      <c r="C144" s="89"/>
      <c r="D144" s="90"/>
      <c r="E144" s="90"/>
      <c r="F144" s="91"/>
      <c r="G144" s="27">
        <v>40179</v>
      </c>
      <c r="H144" s="27"/>
      <c r="I144" s="27"/>
      <c r="J144" s="27"/>
      <c r="K144" s="27">
        <v>45261</v>
      </c>
      <c r="L144" s="27"/>
      <c r="M144" s="27"/>
      <c r="N144" s="27"/>
      <c r="P144" s="27"/>
      <c r="Q144" s="27"/>
      <c r="R144" s="27"/>
      <c r="S144" s="27"/>
      <c r="U144" s="27"/>
      <c r="V144" s="27"/>
      <c r="W144" s="27"/>
      <c r="X144" s="27"/>
      <c r="Y144" s="27"/>
      <c r="Z144" s="27"/>
      <c r="AA144" s="27"/>
      <c r="AB144" s="27"/>
      <c r="AC144" s="74"/>
      <c r="AE144" s="27"/>
      <c r="AF144" s="27"/>
      <c r="AG144" s="27"/>
      <c r="AH144" s="27"/>
      <c r="AI144" s="27"/>
      <c r="AJ144" s="27"/>
      <c r="AK144" s="27"/>
      <c r="AL144" s="27"/>
      <c r="AM144" s="27"/>
      <c r="AN144" s="27"/>
      <c r="AO144" s="27"/>
      <c r="AP144" s="27"/>
      <c r="AQ144" s="27"/>
      <c r="AR144" s="27"/>
      <c r="AS144" s="27"/>
      <c r="AT144" s="27"/>
      <c r="AU144" s="27"/>
    </row>
    <row r="145" spans="2:47" x14ac:dyDescent="0.25">
      <c r="B145" s="17" t="s">
        <v>61</v>
      </c>
      <c r="C145" s="18" t="s">
        <v>62</v>
      </c>
      <c r="D145" s="19">
        <f>COUNTA(C141:F144)</f>
        <v>2</v>
      </c>
      <c r="E145" s="19"/>
      <c r="F145" s="19"/>
      <c r="G145" s="20" t="str">
        <f>IF(ISBLANK(G141),"",IF((COUNTIF(G141:G144,"X"))/(COUNTIF(G141:G143,"x")+COUNTIF(G141:G143,"a")+COUNTIF(G141:G143,"t"))=1,_xlfn.UNICHAR(10003),(COUNTIF(G141:G144,"X"))/(COUNTIF(G141:G143,"x")+COUNTIF(G141:G143,"a")+COUNTIF(G141:G143,"t"))))</f>
        <v>✓</v>
      </c>
      <c r="H145" s="20" t="str">
        <f t="shared" ref="H145:AF145" si="185">IF(ISBLANK(H141),"",IF((COUNTIF(H141:H144,"X"))/(COUNTIF(H141:H143,"x")+COUNTIF(H141:H143,"a")+COUNTIF(H141:H143,"t"))=1,_xlfn.UNICHAR(10003),(COUNTIF(H141:H144,"X"))/(COUNTIF(H141:H143,"x")+COUNTIF(H141:H143,"a")+COUNTIF(H141:H143,"t"))))</f>
        <v>✓</v>
      </c>
      <c r="I145" s="20" t="str">
        <f t="shared" si="185"/>
        <v>✓</v>
      </c>
      <c r="J145" s="20" t="str">
        <f t="shared" si="185"/>
        <v>✓</v>
      </c>
      <c r="K145" s="20" t="str">
        <f t="shared" si="185"/>
        <v>✓</v>
      </c>
      <c r="L145" s="20" t="str">
        <f t="shared" si="185"/>
        <v>✓</v>
      </c>
      <c r="M145" s="20">
        <f t="shared" ref="M145:N145" si="186">IF(ISBLANK(M141),"",IF((COUNTIF(M141:M144,"X"))/$D145=1,_xlfn.UNICHAR(10003),(COUNTIF(M141:M144,"X"))/$D145))</f>
        <v>0</v>
      </c>
      <c r="N145" s="20">
        <f t="shared" si="186"/>
        <v>0.5</v>
      </c>
      <c r="P145" s="20" t="str">
        <f t="shared" si="185"/>
        <v>✓</v>
      </c>
      <c r="Q145" s="20">
        <f t="shared" ref="Q145" si="187">IF(ISBLANK(Q141),"",IF((COUNTIF(Q141:Q144,"X"))/$D145=1,_xlfn.UNICHAR(10003),(COUNTIF(Q141:Q144,"X"))/$D145))</f>
        <v>0</v>
      </c>
      <c r="R145" s="20" t="str">
        <f t="shared" ref="R145:S145" si="188">IF(ISBLANK(R141),"",IF((COUNTIF(R141:R144,"X"))/$D145=1,_xlfn.UNICHAR(10003),(COUNTIF(R141:R144,"X"))/$D145))</f>
        <v>✓</v>
      </c>
      <c r="S145" s="20">
        <f t="shared" si="188"/>
        <v>0</v>
      </c>
      <c r="U145" s="20" t="str">
        <f t="shared" ref="U145:V145" si="189">IF(ISBLANK(U141),"",IF((COUNTIF(U141:U144,"X"))/$D145=1,_xlfn.UNICHAR(10003),(COUNTIF(U141:U144,"X"))/$D145))</f>
        <v>✓</v>
      </c>
      <c r="V145" s="20" t="str">
        <f t="shared" si="189"/>
        <v>✓</v>
      </c>
      <c r="W145" s="20">
        <f>IF(ISBLANK(W141),"",IF((COUNTIF(W141:W144,"X"))/$D145=1,_xlfn.UNICHAR(10003),(COUNTIF(W141:W144,"X"))/$D145))</f>
        <v>0</v>
      </c>
      <c r="X145" s="20">
        <f>IF(ISBLANK(X141),"",IF((COUNTIF(X141:X144,"X"))/(COUNTIF(X141:X143,"x")+COUNTIF(X141:X143,"a")+COUNTIF(X141:X143,"t"))=1,_xlfn.UNICHAR(10003),(COUNTIF(X141:X144,"X"))/(COUNTIF(X141:X143,"x")+COUNTIF(X141:X143,"a")+COUNTIF(X141:X143,"t"))))</f>
        <v>0.5</v>
      </c>
      <c r="Y145" s="20">
        <f t="shared" ref="Y145:AA145" si="190">IF(ISBLANK(Y141),"",IF((COUNTIF(Y141:Y144,"X"))/$D145=1,_xlfn.UNICHAR(10003),(COUNTIF(Y141:Y144,"X"))/$D145))</f>
        <v>0</v>
      </c>
      <c r="Z145" s="20" t="str">
        <f t="shared" si="190"/>
        <v>✓</v>
      </c>
      <c r="AA145" s="20">
        <f t="shared" si="190"/>
        <v>0.5</v>
      </c>
      <c r="AB145" s="20">
        <f>IF(ISBLANK(AB141),"",IF((COUNTIF(AB141:AB144,"X"))/(COUNTIF(AB141:AB143,"x")+COUNTIF(AB141:AB143,"a")+COUNTIF(AB141:AB143,"t"))=1,_xlfn.UNICHAR(10003),(COUNTIF(AB141:AB144,"X"))/(COUNTIF(AB141:AB143,"x")+COUNTIF(AB141:AB143,"a")+COUNTIF(AB141:AB143,"t"))))</f>
        <v>0</v>
      </c>
      <c r="AC145" s="73"/>
      <c r="AE145" s="20" t="str">
        <f t="shared" ref="AE145:AI145" si="191">IF(ISBLANK(AE141),"",IF((COUNTIF(AE141:AE144,"X"))/$D145=1,_xlfn.UNICHAR(10003),(COUNTIF(AE141:AE144,"X"))/$D145))</f>
        <v>✓</v>
      </c>
      <c r="AF145" s="20" t="str">
        <f t="shared" si="185"/>
        <v>✓</v>
      </c>
      <c r="AG145" s="20" t="str">
        <f t="shared" si="191"/>
        <v>✓</v>
      </c>
      <c r="AH145" s="20" t="str">
        <f t="shared" si="191"/>
        <v/>
      </c>
      <c r="AI145" s="20">
        <f t="shared" si="191"/>
        <v>0</v>
      </c>
      <c r="AJ145" s="20">
        <f t="shared" ref="AJ145" si="192">IF(ISBLANK(AJ141),"",IF((COUNTIF(AJ141:AJ144,"X"))/$D145=1,_xlfn.UNICHAR(10003),(COUNTIF(AJ141:AJ144,"X"))/$D145))</f>
        <v>0</v>
      </c>
      <c r="AK145" s="20" t="str">
        <f t="shared" ref="AK145:AL145" si="193">IF(ISBLANK(AK141),"",IF((COUNTIF(AK141:AK144,"X"))/$D145=1,_xlfn.UNICHAR(10003),(COUNTIF(AK141:AK144,"X"))/$D145))</f>
        <v/>
      </c>
      <c r="AL145" s="20" t="str">
        <f t="shared" si="193"/>
        <v/>
      </c>
      <c r="AM145" s="20"/>
      <c r="AN145" s="20"/>
      <c r="AO145" s="20"/>
      <c r="AP145" s="20" t="str">
        <f t="shared" ref="AP145:AR145" si="194">IF(ISBLANK(AP141),"",IF((COUNTIF(AP141:AP144,"X"))/$D145=1,_xlfn.UNICHAR(10003),(COUNTIF(AP141:AP144,"X"))/$D145))</f>
        <v/>
      </c>
      <c r="AQ145" s="20">
        <f t="shared" ref="AQ145" si="195">IF(ISBLANK(AQ141),"",IF((COUNTIF(AQ141:AQ144,"X"))/$D145=1,_xlfn.UNICHAR(10003),(COUNTIF(AQ141:AQ144,"X"))/$D145))</f>
        <v>0</v>
      </c>
      <c r="AR145" s="20">
        <f t="shared" si="194"/>
        <v>0</v>
      </c>
      <c r="AS145" s="20">
        <f t="shared" ref="AS145:AT145" si="196">IF(ISBLANK(AS141),"",IF((COUNTIF(AS141:AS144,"X"))/$D145=1,_xlfn.UNICHAR(10003),(COUNTIF(AS141:AS144,"X"))/$D145))</f>
        <v>0</v>
      </c>
      <c r="AT145" s="20">
        <f t="shared" si="196"/>
        <v>0</v>
      </c>
      <c r="AU145" s="20">
        <f t="shared" ref="AU145" si="197">IF(ISBLANK(AU141),"",IF((COUNTIF(AU141:AU144,"X"))/$D145=1,_xlfn.UNICHAR(10003),(COUNTIF(AU141:AU144,"X"))/$D145))</f>
        <v>0</v>
      </c>
    </row>
    <row r="147" spans="2:47" x14ac:dyDescent="0.25">
      <c r="B147" s="21" t="s">
        <v>129</v>
      </c>
      <c r="C147" s="22" t="s">
        <v>62</v>
      </c>
      <c r="D147" s="23">
        <f>SUM(D145,D140)</f>
        <v>5</v>
      </c>
      <c r="E147" s="23"/>
      <c r="F147" s="23"/>
      <c r="G147" s="20" t="str">
        <f t="shared" ref="G147:AI147" si="198">IF(ISBLANK(G134),"",IF((COUNTIF(G134:G145,"X"))/$D147=1,_xlfn.UNICHAR(10003),(COUNTIF(G134:G145,"X"))/$D147))</f>
        <v>✓</v>
      </c>
      <c r="H147" s="20" t="str">
        <f t="shared" si="198"/>
        <v>✓</v>
      </c>
      <c r="I147" s="20" t="str">
        <f t="shared" si="198"/>
        <v>✓</v>
      </c>
      <c r="J147" s="20" t="str">
        <f t="shared" si="198"/>
        <v>✓</v>
      </c>
      <c r="K147" s="20" t="str">
        <f t="shared" si="198"/>
        <v>✓</v>
      </c>
      <c r="L147" s="20" t="str">
        <f t="shared" si="198"/>
        <v>✓</v>
      </c>
      <c r="M147" s="20">
        <f t="shared" si="198"/>
        <v>0</v>
      </c>
      <c r="N147" s="20">
        <f t="shared" si="198"/>
        <v>0.8</v>
      </c>
      <c r="P147" s="20" t="str">
        <f t="shared" si="198"/>
        <v>✓</v>
      </c>
      <c r="Q147" s="20">
        <f t="shared" si="198"/>
        <v>0</v>
      </c>
      <c r="R147" s="20" t="str">
        <f t="shared" si="198"/>
        <v>✓</v>
      </c>
      <c r="S147" s="20">
        <f t="shared" si="198"/>
        <v>0</v>
      </c>
      <c r="U147" s="20" t="str">
        <f t="shared" ref="U147:V147" si="199">IF(ISBLANK(U134),"",IF((COUNTIF(U134:U145,"X"))/$D147=1,_xlfn.UNICHAR(10003),(COUNTIF(U134:U145,"X"))/$D147))</f>
        <v>✓</v>
      </c>
      <c r="V147" s="20" t="str">
        <f t="shared" si="199"/>
        <v>✓</v>
      </c>
      <c r="W147" s="20">
        <f>IF(ISBLANK(W134),"",IF((COUNTIF(W134:W145,"X"))/$D147=1,_xlfn.UNICHAR(10003),(COUNTIF(W134:W145,"X"))/$D147))</f>
        <v>0</v>
      </c>
      <c r="X147" s="20">
        <f>IF(ISBLANK(X134),"",IF((COUNTIF(X134:X145,"X"))/$D147=1,_xlfn.UNICHAR(10003),(COUNTIF(X134:X145,"X"))/$D147))</f>
        <v>0.6</v>
      </c>
      <c r="Y147" s="20">
        <f t="shared" ref="Y147:AA147" si="200">IF(ISBLANK(Y134),"",IF((COUNTIF(Y134:Y145,"X"))/$D147=1,_xlfn.UNICHAR(10003),(COUNTIF(Y134:Y145,"X"))/$D147))</f>
        <v>0.2</v>
      </c>
      <c r="Z147" s="20" t="str">
        <f t="shared" si="200"/>
        <v>✓</v>
      </c>
      <c r="AA147" s="20">
        <f t="shared" si="200"/>
        <v>0.8</v>
      </c>
      <c r="AB147" s="20">
        <f>IF(ISBLANK(AB134),"",IF((COUNTIF(AB134:AB145,"X"))/$D147=1,_xlfn.UNICHAR(10003),(COUNTIF(AB134:AB145,"X"))/$D147))</f>
        <v>0</v>
      </c>
      <c r="AC147" s="73"/>
      <c r="AE147" s="20" t="str">
        <f t="shared" si="198"/>
        <v>✓</v>
      </c>
      <c r="AF147" s="20" t="str">
        <f t="shared" si="198"/>
        <v>✓</v>
      </c>
      <c r="AG147" s="20" t="str">
        <f t="shared" si="198"/>
        <v>✓</v>
      </c>
      <c r="AH147" s="20" t="str">
        <f t="shared" si="198"/>
        <v/>
      </c>
      <c r="AI147" s="20">
        <f t="shared" si="198"/>
        <v>0.2</v>
      </c>
      <c r="AJ147" s="20">
        <f t="shared" ref="AJ147" si="201">IF(ISBLANK(AJ134),"",IF((COUNTIF(AJ134:AJ145,"X"))/$D147=1,_xlfn.UNICHAR(10003),(COUNTIF(AJ134:AJ145,"X"))/$D147))</f>
        <v>0</v>
      </c>
      <c r="AK147" s="20" t="str">
        <f t="shared" ref="AK147:AL147" si="202">IF(ISBLANK(AK134),"",IF((COUNTIF(AK134:AK145,"X"))/$D147=1,_xlfn.UNICHAR(10003),(COUNTIF(AK134:AK145,"X"))/$D147))</f>
        <v/>
      </c>
      <c r="AL147" s="20" t="str">
        <f t="shared" si="202"/>
        <v/>
      </c>
      <c r="AM147" s="20"/>
      <c r="AN147" s="20"/>
      <c r="AO147" s="20"/>
      <c r="AP147" s="20" t="str">
        <f t="shared" ref="AP147:AR147" si="203">IF(ISBLANK(AP134),"",IF((COUNTIF(AP134:AP145,"X"))/$D147=1,_xlfn.UNICHAR(10003),(COUNTIF(AP134:AP145,"X"))/$D147))</f>
        <v/>
      </c>
      <c r="AQ147" s="20">
        <f t="shared" ref="AQ147" si="204">IF(ISBLANK(AQ134),"",IF((COUNTIF(AQ134:AQ145,"X"))/$D147=1,_xlfn.UNICHAR(10003),(COUNTIF(AQ134:AQ145,"X"))/$D147))</f>
        <v>0</v>
      </c>
      <c r="AR147" s="20">
        <f t="shared" si="203"/>
        <v>0</v>
      </c>
      <c r="AS147" s="20">
        <f t="shared" ref="AS147:AT147" si="205">IF(ISBLANK(AS134),"",IF((COUNTIF(AS134:AS145,"X"))/$D147=1,_xlfn.UNICHAR(10003),(COUNTIF(AS134:AS145,"X"))/$D147))</f>
        <v>0</v>
      </c>
      <c r="AT147" s="20">
        <f t="shared" si="205"/>
        <v>0</v>
      </c>
      <c r="AU147" s="20">
        <f t="shared" ref="AU147" si="206">IF(ISBLANK(AU134),"",IF((COUNTIF(AU134:AU145,"X"))/$D147=1,_xlfn.UNICHAR(10003),(COUNTIF(AU134:AU145,"X"))/$D147))</f>
        <v>0</v>
      </c>
    </row>
    <row r="149" spans="2:47" x14ac:dyDescent="0.25">
      <c r="B149" s="92" t="s">
        <v>93</v>
      </c>
      <c r="C149" s="86" t="s">
        <v>94</v>
      </c>
      <c r="D149" s="87"/>
      <c r="E149" s="87"/>
      <c r="F149" s="88"/>
      <c r="G149" s="13" t="s">
        <v>21</v>
      </c>
      <c r="H149" s="13" t="s">
        <v>17</v>
      </c>
      <c r="I149" s="13" t="s">
        <v>17</v>
      </c>
      <c r="J149" s="13" t="s">
        <v>17</v>
      </c>
      <c r="K149" s="13" t="s">
        <v>17</v>
      </c>
      <c r="L149" s="13" t="s">
        <v>17</v>
      </c>
      <c r="M149" s="13" t="s">
        <v>139</v>
      </c>
      <c r="N149" s="13" t="s">
        <v>18</v>
      </c>
      <c r="P149" s="13" t="s">
        <v>17</v>
      </c>
      <c r="Q149" s="13" t="s">
        <v>139</v>
      </c>
      <c r="R149" s="13" t="s">
        <v>139</v>
      </c>
      <c r="S149" s="13" t="s">
        <v>139</v>
      </c>
      <c r="U149" s="13" t="s">
        <v>17</v>
      </c>
      <c r="V149" s="13" t="s">
        <v>17</v>
      </c>
      <c r="W149" s="13" t="s">
        <v>18</v>
      </c>
      <c r="X149" s="13" t="s">
        <v>18</v>
      </c>
      <c r="Y149" s="13" t="s">
        <v>17</v>
      </c>
      <c r="Z149" s="13" t="s">
        <v>139</v>
      </c>
      <c r="AA149" s="13" t="s">
        <v>139</v>
      </c>
      <c r="AB149" s="13" t="s">
        <v>17</v>
      </c>
      <c r="AC149" s="72"/>
      <c r="AE149" s="13" t="s">
        <v>139</v>
      </c>
      <c r="AF149" s="13" t="s">
        <v>17</v>
      </c>
      <c r="AG149" s="13" t="s">
        <v>139</v>
      </c>
      <c r="AH149" s="13" t="s">
        <v>139</v>
      </c>
      <c r="AI149" s="13" t="s">
        <v>18</v>
      </c>
      <c r="AJ149" s="13" t="s">
        <v>139</v>
      </c>
      <c r="AK149" s="13" t="s">
        <v>139</v>
      </c>
      <c r="AL149" s="13" t="s">
        <v>139</v>
      </c>
      <c r="AM149" s="13"/>
      <c r="AN149" s="13"/>
      <c r="AO149" s="13"/>
      <c r="AP149" s="13"/>
      <c r="AQ149" s="13" t="s">
        <v>139</v>
      </c>
      <c r="AR149" s="13" t="s">
        <v>139</v>
      </c>
      <c r="AS149" s="13" t="s">
        <v>139</v>
      </c>
      <c r="AT149" s="13" t="s">
        <v>139</v>
      </c>
      <c r="AU149" s="13" t="s">
        <v>139</v>
      </c>
    </row>
    <row r="150" spans="2:47" ht="15.75" hidden="1" customHeight="1" x14ac:dyDescent="0.3">
      <c r="B150" s="93"/>
      <c r="C150" s="89"/>
      <c r="D150" s="90"/>
      <c r="E150" s="90"/>
      <c r="F150" s="91"/>
      <c r="G150" s="27">
        <v>40179</v>
      </c>
      <c r="H150" s="27"/>
      <c r="I150" s="27"/>
      <c r="J150" s="27"/>
      <c r="K150" s="27">
        <v>45047</v>
      </c>
      <c r="L150" s="27"/>
      <c r="M150" s="27"/>
      <c r="N150" s="27"/>
      <c r="P150" s="27"/>
      <c r="Q150" s="27"/>
      <c r="R150" s="27"/>
      <c r="S150" s="27"/>
      <c r="U150" s="27"/>
      <c r="V150" s="27"/>
      <c r="W150" s="27"/>
      <c r="X150" s="27"/>
      <c r="Y150" s="27"/>
      <c r="Z150" s="27"/>
      <c r="AA150" s="27"/>
      <c r="AB150" s="27"/>
      <c r="AC150" s="74"/>
      <c r="AE150" s="27"/>
      <c r="AF150" s="27"/>
      <c r="AG150" s="27"/>
      <c r="AH150" s="27"/>
      <c r="AI150" s="27"/>
      <c r="AJ150" s="27"/>
      <c r="AK150" s="27"/>
      <c r="AL150" s="27"/>
      <c r="AM150" s="27"/>
      <c r="AN150" s="27"/>
      <c r="AO150" s="27"/>
      <c r="AP150" s="27"/>
      <c r="AQ150" s="27"/>
      <c r="AR150" s="27"/>
      <c r="AS150" s="27"/>
      <c r="AT150" s="27"/>
      <c r="AU150" s="27"/>
    </row>
    <row r="151" spans="2:47" x14ac:dyDescent="0.25">
      <c r="B151" s="93"/>
      <c r="C151" s="86" t="s">
        <v>95</v>
      </c>
      <c r="D151" s="87"/>
      <c r="E151" s="87"/>
      <c r="F151" s="88"/>
      <c r="G151" s="13" t="s">
        <v>21</v>
      </c>
      <c r="H151" s="13" t="s">
        <v>17</v>
      </c>
      <c r="I151" s="13" t="s">
        <v>17</v>
      </c>
      <c r="J151" s="13" t="s">
        <v>17</v>
      </c>
      <c r="K151" s="13" t="s">
        <v>17</v>
      </c>
      <c r="L151" s="13" t="s">
        <v>17</v>
      </c>
      <c r="M151" s="13" t="s">
        <v>139</v>
      </c>
      <c r="N151" s="13" t="s">
        <v>17</v>
      </c>
      <c r="P151" s="13" t="s">
        <v>17</v>
      </c>
      <c r="Q151" s="13" t="s">
        <v>18</v>
      </c>
      <c r="R151" s="13" t="s">
        <v>17</v>
      </c>
      <c r="S151" s="13" t="s">
        <v>139</v>
      </c>
      <c r="U151" s="13" t="s">
        <v>17</v>
      </c>
      <c r="V151" s="13" t="s">
        <v>17</v>
      </c>
      <c r="W151" s="13" t="s">
        <v>17</v>
      </c>
      <c r="X151" s="13" t="s">
        <v>17</v>
      </c>
      <c r="Y151" s="13" t="s">
        <v>17</v>
      </c>
      <c r="Z151" s="13" t="s">
        <v>17</v>
      </c>
      <c r="AA151" s="13" t="s">
        <v>17</v>
      </c>
      <c r="AB151" s="13" t="s">
        <v>17</v>
      </c>
      <c r="AC151" s="72"/>
      <c r="AE151" s="13" t="s">
        <v>17</v>
      </c>
      <c r="AF151" s="13" t="s">
        <v>17</v>
      </c>
      <c r="AG151" s="13" t="s">
        <v>17</v>
      </c>
      <c r="AH151" s="13" t="s">
        <v>139</v>
      </c>
      <c r="AI151" s="13" t="s">
        <v>139</v>
      </c>
      <c r="AJ151" s="13" t="s">
        <v>139</v>
      </c>
      <c r="AK151" s="13" t="s">
        <v>139</v>
      </c>
      <c r="AL151" s="13" t="s">
        <v>17</v>
      </c>
      <c r="AM151" s="13"/>
      <c r="AN151" s="13"/>
      <c r="AO151" s="13"/>
      <c r="AP151" s="13"/>
      <c r="AQ151" s="13" t="s">
        <v>139</v>
      </c>
      <c r="AR151" s="13" t="s">
        <v>139</v>
      </c>
      <c r="AS151" s="13" t="s">
        <v>139</v>
      </c>
      <c r="AT151" s="13" t="s">
        <v>139</v>
      </c>
      <c r="AU151" s="13" t="s">
        <v>139</v>
      </c>
    </row>
    <row r="152" spans="2:47" ht="15.75" hidden="1" customHeight="1" x14ac:dyDescent="0.3">
      <c r="B152" s="115"/>
      <c r="C152" s="89"/>
      <c r="D152" s="90"/>
      <c r="E152" s="90"/>
      <c r="F152" s="91"/>
      <c r="G152" s="27">
        <v>40179</v>
      </c>
      <c r="H152" s="27"/>
      <c r="I152" s="27"/>
      <c r="J152" s="27"/>
      <c r="K152" s="27" t="s">
        <v>293</v>
      </c>
      <c r="L152" s="27"/>
      <c r="M152" s="27"/>
      <c r="N152" s="27"/>
      <c r="P152" s="27"/>
      <c r="Q152" s="27"/>
      <c r="R152" s="27"/>
      <c r="S152" s="27"/>
      <c r="U152" s="27"/>
      <c r="V152" s="27"/>
      <c r="W152" s="27"/>
      <c r="X152" s="27"/>
      <c r="Y152" s="27"/>
      <c r="Z152" s="27"/>
      <c r="AA152" s="27"/>
      <c r="AB152" s="27"/>
      <c r="AC152" s="74"/>
      <c r="AE152" s="27"/>
      <c r="AF152" s="27"/>
      <c r="AG152" s="27"/>
      <c r="AH152" s="27"/>
      <c r="AI152" s="27"/>
      <c r="AJ152" s="27"/>
      <c r="AK152" s="27"/>
      <c r="AL152" s="27">
        <v>46113</v>
      </c>
      <c r="AM152" s="27"/>
      <c r="AN152" s="27"/>
      <c r="AO152" s="27"/>
      <c r="AP152" s="27"/>
      <c r="AQ152" s="27"/>
      <c r="AR152" s="27"/>
      <c r="AS152" s="27"/>
      <c r="AT152" s="27"/>
      <c r="AU152" s="27"/>
    </row>
    <row r="153" spans="2:47" x14ac:dyDescent="0.25">
      <c r="B153" s="17" t="s">
        <v>61</v>
      </c>
      <c r="C153" s="18" t="s">
        <v>62</v>
      </c>
      <c r="D153" s="19">
        <f>COUNTA(C149:F152)</f>
        <v>2</v>
      </c>
      <c r="E153" s="19"/>
      <c r="F153" s="19"/>
      <c r="G153" s="20" t="str">
        <f>IF(ISBLANK(G149),"",IF((COUNTIF(G149:G152,"X"))/(COUNTIF(G149:G151,"x")+COUNTIF(G149:G151,"a")+COUNTIF(G149:G151,"t"))=1,_xlfn.UNICHAR(10003),(COUNTIF(G149:G152,"X"))/(COUNTIF(G149:G151,"x")+COUNTIF(G149:G151,"a")+COUNTIF(G149:G151,"t"))))</f>
        <v>✓</v>
      </c>
      <c r="H153" s="20" t="str">
        <f t="shared" ref="H153:AF153" si="207">IF(ISBLANK(H149),"",IF((COUNTIF(H149:H152,"X"))/(COUNTIF(H149:H151,"x")+COUNTIF(H149:H151,"a")+COUNTIF(H149:H151,"t"))=1,_xlfn.UNICHAR(10003),(COUNTIF(H149:H152,"X"))/(COUNTIF(H149:H151,"x")+COUNTIF(H149:H151,"a")+COUNTIF(H149:H151,"t"))))</f>
        <v>✓</v>
      </c>
      <c r="I153" s="20" t="str">
        <f t="shared" si="207"/>
        <v>✓</v>
      </c>
      <c r="J153" s="20" t="str">
        <f t="shared" si="207"/>
        <v>✓</v>
      </c>
      <c r="K153" s="20" t="str">
        <f t="shared" si="207"/>
        <v>✓</v>
      </c>
      <c r="L153" s="20" t="str">
        <f t="shared" si="207"/>
        <v>✓</v>
      </c>
      <c r="M153" s="20">
        <f t="shared" ref="M153:N153" si="208">IF(ISBLANK(M149),"",IF((COUNTIF(M149:M152,"X"))/$D153=1,_xlfn.UNICHAR(10003),(COUNTIF(M149:M152,"X"))/$D153))</f>
        <v>0</v>
      </c>
      <c r="N153" s="20">
        <f t="shared" si="208"/>
        <v>0.5</v>
      </c>
      <c r="P153" s="20" t="str">
        <f t="shared" si="207"/>
        <v>✓</v>
      </c>
      <c r="Q153" s="20">
        <f t="shared" ref="Q153" si="209">IF(ISBLANK(Q149),"",IF((COUNTIF(Q149:Q152,"X"))/$D153=1,_xlfn.UNICHAR(10003),(COUNTIF(Q149:Q152,"X"))/$D153))</f>
        <v>0</v>
      </c>
      <c r="R153" s="20">
        <f t="shared" ref="R153:S153" si="210">IF(ISBLANK(R149),"",IF((COUNTIF(R149:R152,"X"))/$D153=1,_xlfn.UNICHAR(10003),(COUNTIF(R149:R152,"X"))/$D153))</f>
        <v>0.5</v>
      </c>
      <c r="S153" s="20">
        <f t="shared" si="210"/>
        <v>0</v>
      </c>
      <c r="U153" s="20" t="str">
        <f t="shared" ref="U153:V153" si="211">IF(ISBLANK(U149),"",IF((COUNTIF(U149:U152,"X"))/$D153=1,_xlfn.UNICHAR(10003),(COUNTIF(U149:U152,"X"))/$D153))</f>
        <v>✓</v>
      </c>
      <c r="V153" s="20" t="str">
        <f t="shared" si="211"/>
        <v>✓</v>
      </c>
      <c r="W153" s="20">
        <f>IF(ISBLANK(W149),"",IF((COUNTIF(W149:W152,"X"))/$D153=1,_xlfn.UNICHAR(10003),(COUNTIF(W149:W152,"X"))/$D153))</f>
        <v>0.5</v>
      </c>
      <c r="X153" s="20">
        <f>IF(ISBLANK(X149),"",IF((COUNTIF(X149:X152,"X"))/(COUNTIF(X149:X151,"x")+COUNTIF(X149:X151,"a")+COUNTIF(X149:X151,"t"))=1,_xlfn.UNICHAR(10003),(COUNTIF(X149:X152,"X"))/(COUNTIF(X149:X151,"x")+COUNTIF(X149:X151,"a")+COUNTIF(X149:X151,"t"))))</f>
        <v>0.5</v>
      </c>
      <c r="Y153" s="20" t="str">
        <f t="shared" ref="Y153:AA153" si="212">IF(ISBLANK(Y149),"",IF((COUNTIF(Y149:Y152,"X"))/$D153=1,_xlfn.UNICHAR(10003),(COUNTIF(Y149:Y152,"X"))/$D153))</f>
        <v>✓</v>
      </c>
      <c r="Z153" s="20">
        <f t="shared" si="212"/>
        <v>0.5</v>
      </c>
      <c r="AA153" s="20">
        <f t="shared" si="212"/>
        <v>0.5</v>
      </c>
      <c r="AB153" s="20" t="str">
        <f>IF(ISBLANK(AB149),"",IF((COUNTIF(AB149:AB152,"X"))/(COUNTIF(AB149:AB151,"x")+COUNTIF(AB149:AB151,"a")+COUNTIF(AB149:AB151,"t"))=1,_xlfn.UNICHAR(10003),(COUNTIF(AB149:AB152,"X"))/(COUNTIF(AB149:AB151,"x")+COUNTIF(AB149:AB151,"a")+COUNTIF(AB149:AB151,"t"))))</f>
        <v>✓</v>
      </c>
      <c r="AC153" s="73"/>
      <c r="AE153" s="20">
        <f t="shared" ref="AE153:AI153" si="213">IF(ISBLANK(AE149),"",IF((COUNTIF(AE149:AE152,"X"))/$D153=1,_xlfn.UNICHAR(10003),(COUNTIF(AE149:AE152,"X"))/$D153))</f>
        <v>0.5</v>
      </c>
      <c r="AF153" s="20" t="str">
        <f t="shared" si="207"/>
        <v>✓</v>
      </c>
      <c r="AG153" s="20">
        <f t="shared" si="213"/>
        <v>0.5</v>
      </c>
      <c r="AH153" s="20">
        <f t="shared" si="213"/>
        <v>0</v>
      </c>
      <c r="AI153" s="20">
        <f t="shared" si="213"/>
        <v>0</v>
      </c>
      <c r="AJ153" s="20">
        <f t="shared" ref="AJ153" si="214">IF(ISBLANK(AJ149),"",IF((COUNTIF(AJ149:AJ152,"X"))/$D153=1,_xlfn.UNICHAR(10003),(COUNTIF(AJ149:AJ152,"X"))/$D153))</f>
        <v>0</v>
      </c>
      <c r="AK153" s="20">
        <f t="shared" ref="AK153:AL153" si="215">IF(ISBLANK(AK149),"",IF((COUNTIF(AK149:AK152,"X"))/$D153=1,_xlfn.UNICHAR(10003),(COUNTIF(AK149:AK152,"X"))/$D153))</f>
        <v>0</v>
      </c>
      <c r="AL153" s="20">
        <f t="shared" si="215"/>
        <v>0.5</v>
      </c>
      <c r="AM153" s="20"/>
      <c r="AN153" s="20"/>
      <c r="AO153" s="20"/>
      <c r="AP153" s="20" t="str">
        <f t="shared" ref="AP153:AR153" si="216">IF(ISBLANK(AP149),"",IF((COUNTIF(AP149:AP152,"X"))/$D153=1,_xlfn.UNICHAR(10003),(COUNTIF(AP149:AP152,"X"))/$D153))</f>
        <v/>
      </c>
      <c r="AQ153" s="20">
        <f t="shared" ref="AQ153" si="217">IF(ISBLANK(AQ149),"",IF((COUNTIF(AQ149:AQ152,"X"))/$D153=1,_xlfn.UNICHAR(10003),(COUNTIF(AQ149:AQ152,"X"))/$D153))</f>
        <v>0</v>
      </c>
      <c r="AR153" s="20">
        <f t="shared" si="216"/>
        <v>0</v>
      </c>
      <c r="AS153" s="20">
        <f t="shared" ref="AS153:AT153" si="218">IF(ISBLANK(AS149),"",IF((COUNTIF(AS149:AS152,"X"))/$D153=1,_xlfn.UNICHAR(10003),(COUNTIF(AS149:AS152,"X"))/$D153))</f>
        <v>0</v>
      </c>
      <c r="AT153" s="20">
        <f t="shared" si="218"/>
        <v>0</v>
      </c>
      <c r="AU153" s="20">
        <f t="shared" ref="AU153" si="219">IF(ISBLANK(AU149),"",IF((COUNTIF(AU149:AU152,"X"))/$D153=1,_xlfn.UNICHAR(10003),(COUNTIF(AU149:AU152,"X"))/$D153))</f>
        <v>0</v>
      </c>
    </row>
    <row r="155" spans="2:47" x14ac:dyDescent="0.25">
      <c r="B155" s="92" t="s">
        <v>5</v>
      </c>
      <c r="C155" s="86" t="s">
        <v>96</v>
      </c>
      <c r="D155" s="87"/>
      <c r="E155" s="87"/>
      <c r="F155" s="88"/>
      <c r="G155" s="13" t="s">
        <v>21</v>
      </c>
      <c r="H155" s="13" t="s">
        <v>17</v>
      </c>
      <c r="I155" s="13" t="s">
        <v>17</v>
      </c>
      <c r="J155" s="13" t="s">
        <v>17</v>
      </c>
      <c r="K155" s="13" t="s">
        <v>17</v>
      </c>
      <c r="L155" s="13" t="s">
        <v>17</v>
      </c>
      <c r="M155" s="13" t="s">
        <v>139</v>
      </c>
      <c r="N155" s="13" t="s">
        <v>139</v>
      </c>
      <c r="P155" s="13"/>
      <c r="Q155" s="13"/>
      <c r="R155" s="13"/>
      <c r="S155" s="13"/>
      <c r="U155" s="13" t="s">
        <v>139</v>
      </c>
      <c r="V155" s="13" t="s">
        <v>139</v>
      </c>
      <c r="W155" s="13" t="s">
        <v>139</v>
      </c>
      <c r="X155" s="13" t="s">
        <v>18</v>
      </c>
      <c r="Y155" s="13" t="s">
        <v>139</v>
      </c>
      <c r="Z155" s="13" t="s">
        <v>139</v>
      </c>
      <c r="AA155" s="13" t="s">
        <v>18</v>
      </c>
      <c r="AB155" s="13" t="s">
        <v>139</v>
      </c>
      <c r="AC155" s="72"/>
      <c r="AE155" s="13" t="s">
        <v>139</v>
      </c>
      <c r="AF155" s="13" t="s">
        <v>18</v>
      </c>
      <c r="AG155" s="13" t="s">
        <v>139</v>
      </c>
      <c r="AH155" s="13"/>
      <c r="AI155" s="13" t="s">
        <v>139</v>
      </c>
      <c r="AJ155" s="13" t="s">
        <v>139</v>
      </c>
      <c r="AK155" s="13"/>
      <c r="AL155" s="13"/>
      <c r="AM155" s="13"/>
      <c r="AN155" s="13"/>
      <c r="AO155" s="13"/>
      <c r="AP155" s="13"/>
      <c r="AQ155" s="13"/>
      <c r="AR155" s="13" t="s">
        <v>139</v>
      </c>
      <c r="AS155" s="13" t="s">
        <v>139</v>
      </c>
      <c r="AT155" s="13" t="s">
        <v>139</v>
      </c>
      <c r="AU155" s="13" t="s">
        <v>139</v>
      </c>
    </row>
    <row r="156" spans="2:47" ht="15.75" hidden="1" customHeight="1" x14ac:dyDescent="0.3">
      <c r="B156" s="93"/>
      <c r="C156" s="89"/>
      <c r="D156" s="90"/>
      <c r="E156" s="90"/>
      <c r="F156" s="91"/>
      <c r="G156" s="27">
        <v>40179</v>
      </c>
      <c r="H156" s="27"/>
      <c r="I156" s="27"/>
      <c r="J156" s="27"/>
      <c r="K156" s="27">
        <v>44470</v>
      </c>
      <c r="L156" s="27"/>
      <c r="M156" s="27"/>
      <c r="N156" s="27"/>
      <c r="P156" s="27"/>
      <c r="Q156" s="27"/>
      <c r="R156" s="27"/>
      <c r="S156" s="27"/>
      <c r="U156" s="27"/>
      <c r="V156" s="27"/>
      <c r="W156" s="27"/>
      <c r="X156" s="27"/>
      <c r="Y156" s="27"/>
      <c r="Z156" s="27"/>
      <c r="AA156" s="27"/>
      <c r="AB156" s="27"/>
      <c r="AC156" s="74"/>
      <c r="AE156" s="27"/>
      <c r="AF156" s="27"/>
      <c r="AG156" s="27"/>
      <c r="AH156" s="27"/>
      <c r="AI156" s="27"/>
      <c r="AJ156" s="27"/>
      <c r="AK156" s="27"/>
      <c r="AL156" s="27"/>
      <c r="AM156" s="27"/>
      <c r="AN156" s="27"/>
      <c r="AO156" s="27"/>
      <c r="AP156" s="27"/>
      <c r="AQ156" s="27"/>
      <c r="AR156" s="27"/>
      <c r="AS156" s="27"/>
      <c r="AT156" s="27"/>
      <c r="AU156" s="27"/>
    </row>
    <row r="157" spans="2:47" x14ac:dyDescent="0.25">
      <c r="B157" s="93"/>
      <c r="C157" s="86" t="s">
        <v>97</v>
      </c>
      <c r="D157" s="87"/>
      <c r="E157" s="87"/>
      <c r="F157" s="88"/>
      <c r="G157" s="13" t="s">
        <v>21</v>
      </c>
      <c r="H157" s="13" t="s">
        <v>17</v>
      </c>
      <c r="I157" s="13" t="s">
        <v>17</v>
      </c>
      <c r="J157" s="13" t="s">
        <v>17</v>
      </c>
      <c r="K157" s="13" t="s">
        <v>17</v>
      </c>
      <c r="L157" s="13" t="s">
        <v>17</v>
      </c>
      <c r="M157" s="13" t="s">
        <v>139</v>
      </c>
      <c r="N157" s="13" t="s">
        <v>139</v>
      </c>
      <c r="P157" s="13"/>
      <c r="Q157" s="13"/>
      <c r="R157" s="13"/>
      <c r="S157" s="13"/>
      <c r="U157" s="13" t="s">
        <v>18</v>
      </c>
      <c r="V157" s="13" t="s">
        <v>17</v>
      </c>
      <c r="W157" s="13" t="s">
        <v>139</v>
      </c>
      <c r="X157" s="13" t="s">
        <v>18</v>
      </c>
      <c r="Y157" s="13" t="s">
        <v>139</v>
      </c>
      <c r="Z157" s="13" t="s">
        <v>139</v>
      </c>
      <c r="AA157" s="13" t="s">
        <v>139</v>
      </c>
      <c r="AB157" s="13" t="s">
        <v>139</v>
      </c>
      <c r="AC157" s="72"/>
      <c r="AE157" s="13" t="s">
        <v>139</v>
      </c>
      <c r="AF157" s="13" t="s">
        <v>18</v>
      </c>
      <c r="AG157" s="13" t="s">
        <v>139</v>
      </c>
      <c r="AH157" s="13"/>
      <c r="AI157" s="13" t="s">
        <v>139</v>
      </c>
      <c r="AJ157" s="13" t="s">
        <v>139</v>
      </c>
      <c r="AK157" s="13"/>
      <c r="AL157" s="13"/>
      <c r="AM157" s="13"/>
      <c r="AN157" s="13"/>
      <c r="AO157" s="13"/>
      <c r="AP157" s="13"/>
      <c r="AQ157" s="13"/>
      <c r="AR157" s="13" t="s">
        <v>139</v>
      </c>
      <c r="AS157" s="13" t="s">
        <v>139</v>
      </c>
      <c r="AT157" s="13" t="s">
        <v>139</v>
      </c>
      <c r="AU157" s="13" t="s">
        <v>139</v>
      </c>
    </row>
    <row r="158" spans="2:47" ht="15.75" hidden="1" customHeight="1" x14ac:dyDescent="0.3">
      <c r="B158" s="93"/>
      <c r="C158" s="89"/>
      <c r="D158" s="90"/>
      <c r="E158" s="90"/>
      <c r="F158" s="91"/>
      <c r="G158" s="27">
        <v>40179</v>
      </c>
      <c r="H158" s="27"/>
      <c r="I158" s="27"/>
      <c r="J158" s="27"/>
      <c r="K158" s="27">
        <v>44896</v>
      </c>
      <c r="L158" s="27"/>
      <c r="M158" s="27"/>
      <c r="N158" s="27"/>
      <c r="P158" s="27"/>
      <c r="Q158" s="27"/>
      <c r="R158" s="27"/>
      <c r="S158" s="27"/>
      <c r="U158" s="27"/>
      <c r="V158" s="27"/>
      <c r="W158" s="27"/>
      <c r="X158" s="27"/>
      <c r="Y158" s="27"/>
      <c r="Z158" s="27"/>
      <c r="AA158" s="27"/>
      <c r="AB158" s="27"/>
      <c r="AC158" s="74"/>
      <c r="AE158" s="27"/>
      <c r="AF158" s="27"/>
      <c r="AG158" s="27"/>
      <c r="AH158" s="27"/>
      <c r="AI158" s="27"/>
      <c r="AJ158" s="27"/>
      <c r="AK158" s="27"/>
      <c r="AL158" s="27"/>
      <c r="AM158" s="27"/>
      <c r="AN158" s="27"/>
      <c r="AO158" s="27"/>
      <c r="AP158" s="27"/>
      <c r="AQ158" s="27"/>
      <c r="AR158" s="27"/>
      <c r="AS158" s="27"/>
      <c r="AT158" s="27"/>
      <c r="AU158" s="27"/>
    </row>
    <row r="159" spans="2:47" x14ac:dyDescent="0.25">
      <c r="B159" s="94"/>
      <c r="C159" s="86" t="s">
        <v>173</v>
      </c>
      <c r="D159" s="87"/>
      <c r="E159" s="87"/>
      <c r="F159" s="88"/>
      <c r="G159" s="13" t="s">
        <v>17</v>
      </c>
      <c r="H159" s="13" t="s">
        <v>17</v>
      </c>
      <c r="I159" s="13" t="s">
        <v>17</v>
      </c>
      <c r="J159" s="13" t="s">
        <v>17</v>
      </c>
      <c r="K159" s="13" t="s">
        <v>17</v>
      </c>
      <c r="L159" s="13" t="s">
        <v>17</v>
      </c>
      <c r="M159" s="13" t="s">
        <v>18</v>
      </c>
      <c r="N159" s="13" t="s">
        <v>17</v>
      </c>
      <c r="P159" s="13"/>
      <c r="Q159" s="13"/>
      <c r="R159" s="13"/>
      <c r="S159" s="13"/>
      <c r="U159" s="13" t="s">
        <v>17</v>
      </c>
      <c r="V159" s="13" t="s">
        <v>17</v>
      </c>
      <c r="W159" s="13" t="s">
        <v>139</v>
      </c>
      <c r="X159" s="13" t="s">
        <v>18</v>
      </c>
      <c r="Y159" s="13" t="s">
        <v>139</v>
      </c>
      <c r="Z159" s="13" t="s">
        <v>18</v>
      </c>
      <c r="AA159" s="13" t="s">
        <v>17</v>
      </c>
      <c r="AB159" s="13" t="s">
        <v>17</v>
      </c>
      <c r="AC159" s="72"/>
      <c r="AE159" s="13" t="s">
        <v>18</v>
      </c>
      <c r="AF159" s="13" t="s">
        <v>18</v>
      </c>
      <c r="AG159" s="13" t="s">
        <v>17</v>
      </c>
      <c r="AH159" s="13"/>
      <c r="AI159" s="13" t="s">
        <v>18</v>
      </c>
      <c r="AJ159" s="13" t="s">
        <v>139</v>
      </c>
      <c r="AK159" s="13"/>
      <c r="AL159" s="13"/>
      <c r="AM159" s="13"/>
      <c r="AN159" s="13"/>
      <c r="AO159" s="13"/>
      <c r="AP159" s="13"/>
      <c r="AQ159" s="13"/>
      <c r="AR159" s="13" t="s">
        <v>139</v>
      </c>
      <c r="AS159" s="13" t="s">
        <v>139</v>
      </c>
      <c r="AT159" s="13" t="s">
        <v>139</v>
      </c>
      <c r="AU159" s="13" t="s">
        <v>139</v>
      </c>
    </row>
    <row r="160" spans="2:47" ht="15.75" hidden="1" customHeight="1" x14ac:dyDescent="0.3">
      <c r="B160" s="94"/>
      <c r="C160" s="89"/>
      <c r="D160" s="90"/>
      <c r="E160" s="90"/>
      <c r="F160" s="91"/>
      <c r="G160" s="27"/>
      <c r="H160" s="27"/>
      <c r="I160" s="27"/>
      <c r="J160" s="27"/>
      <c r="K160" s="27">
        <v>44470</v>
      </c>
      <c r="L160" s="27"/>
      <c r="M160" s="27"/>
      <c r="N160" s="27"/>
      <c r="P160" s="27"/>
      <c r="Q160" s="27"/>
      <c r="R160" s="27"/>
      <c r="S160" s="27"/>
      <c r="U160" s="27"/>
      <c r="V160" s="27"/>
      <c r="W160" s="27"/>
      <c r="X160" s="27"/>
      <c r="Y160" s="27"/>
      <c r="Z160" s="27"/>
      <c r="AA160" s="27"/>
      <c r="AB160" s="27"/>
      <c r="AC160" s="74"/>
      <c r="AE160" s="27"/>
      <c r="AF160" s="27"/>
      <c r="AG160" s="27"/>
      <c r="AH160" s="27"/>
      <c r="AI160" s="27"/>
      <c r="AJ160" s="27"/>
      <c r="AK160" s="27"/>
      <c r="AL160" s="27"/>
      <c r="AM160" s="27"/>
      <c r="AN160" s="27"/>
      <c r="AO160" s="27"/>
      <c r="AP160" s="27"/>
      <c r="AQ160" s="27"/>
      <c r="AR160" s="27"/>
      <c r="AS160" s="27"/>
      <c r="AT160" s="27"/>
      <c r="AU160" s="27"/>
    </row>
    <row r="161" spans="2:47" x14ac:dyDescent="0.25">
      <c r="B161" s="94"/>
      <c r="C161" s="86" t="s">
        <v>174</v>
      </c>
      <c r="D161" s="87"/>
      <c r="E161" s="87"/>
      <c r="F161" s="88"/>
      <c r="G161" s="13" t="s">
        <v>17</v>
      </c>
      <c r="H161" s="13" t="s">
        <v>17</v>
      </c>
      <c r="I161" s="13" t="s">
        <v>17</v>
      </c>
      <c r="J161" s="13" t="s">
        <v>17</v>
      </c>
      <c r="K161" s="13" t="s">
        <v>17</v>
      </c>
      <c r="L161" s="13" t="s">
        <v>17</v>
      </c>
      <c r="M161" s="13" t="s">
        <v>139</v>
      </c>
      <c r="N161" s="13" t="s">
        <v>139</v>
      </c>
      <c r="P161" s="13"/>
      <c r="Q161" s="13"/>
      <c r="R161" s="13"/>
      <c r="S161" s="13"/>
      <c r="U161" s="13" t="s">
        <v>18</v>
      </c>
      <c r="V161" s="13" t="s">
        <v>17</v>
      </c>
      <c r="W161" s="13" t="s">
        <v>139</v>
      </c>
      <c r="X161" s="13" t="s">
        <v>18</v>
      </c>
      <c r="Y161" s="13" t="s">
        <v>139</v>
      </c>
      <c r="Z161" s="13" t="s">
        <v>139</v>
      </c>
      <c r="AA161" s="13" t="s">
        <v>139</v>
      </c>
      <c r="AB161" s="13" t="s">
        <v>18</v>
      </c>
      <c r="AC161" s="72"/>
      <c r="AE161" s="13" t="s">
        <v>139</v>
      </c>
      <c r="AF161" s="13" t="s">
        <v>18</v>
      </c>
      <c r="AG161" s="13" t="s">
        <v>139</v>
      </c>
      <c r="AH161" s="13"/>
      <c r="AI161" s="13" t="s">
        <v>18</v>
      </c>
      <c r="AJ161" s="13" t="s">
        <v>139</v>
      </c>
      <c r="AK161" s="13"/>
      <c r="AL161" s="13"/>
      <c r="AM161" s="13"/>
      <c r="AN161" s="13"/>
      <c r="AO161" s="13"/>
      <c r="AP161" s="13"/>
      <c r="AQ161" s="13"/>
      <c r="AR161" s="13" t="s">
        <v>139</v>
      </c>
      <c r="AS161" s="13" t="s">
        <v>139</v>
      </c>
      <c r="AT161" s="13" t="s">
        <v>139</v>
      </c>
      <c r="AU161" s="13" t="s">
        <v>139</v>
      </c>
    </row>
    <row r="162" spans="2:47" ht="15.75" hidden="1" customHeight="1" x14ac:dyDescent="0.3">
      <c r="B162" s="94"/>
      <c r="C162" s="89"/>
      <c r="D162" s="90"/>
      <c r="E162" s="90"/>
      <c r="F162" s="91"/>
      <c r="G162" s="27"/>
      <c r="H162" s="27"/>
      <c r="I162" s="27"/>
      <c r="J162" s="27"/>
      <c r="K162" s="27">
        <v>44896</v>
      </c>
      <c r="L162" s="27"/>
      <c r="M162" s="27"/>
      <c r="N162" s="27"/>
      <c r="P162" s="27"/>
      <c r="Q162" s="27"/>
      <c r="R162" s="27"/>
      <c r="S162" s="27"/>
      <c r="U162" s="27"/>
      <c r="V162" s="27"/>
      <c r="W162" s="27"/>
      <c r="X162" s="27"/>
      <c r="Y162" s="27"/>
      <c r="Z162" s="27"/>
      <c r="AA162" s="27"/>
      <c r="AB162" s="27"/>
      <c r="AC162" s="74"/>
      <c r="AE162" s="27"/>
      <c r="AF162" s="27"/>
      <c r="AG162" s="27"/>
      <c r="AH162" s="27"/>
      <c r="AI162" s="27"/>
      <c r="AJ162" s="27"/>
      <c r="AK162" s="27"/>
      <c r="AL162" s="27"/>
      <c r="AM162" s="27"/>
      <c r="AN162" s="27"/>
      <c r="AO162" s="27"/>
      <c r="AP162" s="27"/>
      <c r="AQ162" s="27"/>
      <c r="AR162" s="27"/>
      <c r="AS162" s="27"/>
      <c r="AT162" s="27"/>
      <c r="AU162" s="27"/>
    </row>
    <row r="163" spans="2:47" x14ac:dyDescent="0.25">
      <c r="B163" s="94"/>
      <c r="C163" s="86" t="s">
        <v>176</v>
      </c>
      <c r="D163" s="87"/>
      <c r="E163" s="87"/>
      <c r="F163" s="88"/>
      <c r="G163" s="13" t="s">
        <v>17</v>
      </c>
      <c r="H163" s="13" t="s">
        <v>17</v>
      </c>
      <c r="I163" s="13" t="s">
        <v>17</v>
      </c>
      <c r="J163" s="13" t="s">
        <v>17</v>
      </c>
      <c r="K163" s="13" t="s">
        <v>17</v>
      </c>
      <c r="L163" s="13" t="s">
        <v>17</v>
      </c>
      <c r="M163" s="13" t="s">
        <v>17</v>
      </c>
      <c r="N163" s="13" t="s">
        <v>18</v>
      </c>
      <c r="P163" s="13"/>
      <c r="Q163" s="13"/>
      <c r="R163" s="13"/>
      <c r="S163" s="13"/>
      <c r="U163" s="13" t="s">
        <v>17</v>
      </c>
      <c r="V163" s="13" t="s">
        <v>17</v>
      </c>
      <c r="W163" s="13" t="s">
        <v>17</v>
      </c>
      <c r="X163" s="13" t="s">
        <v>18</v>
      </c>
      <c r="Y163" s="13" t="s">
        <v>18</v>
      </c>
      <c r="Z163" s="13" t="s">
        <v>18</v>
      </c>
      <c r="AA163" s="13" t="s">
        <v>139</v>
      </c>
      <c r="AB163" s="13" t="s">
        <v>139</v>
      </c>
      <c r="AC163" s="72"/>
      <c r="AE163" s="13" t="s">
        <v>17</v>
      </c>
      <c r="AF163" s="13" t="s">
        <v>18</v>
      </c>
      <c r="AG163" s="13" t="s">
        <v>139</v>
      </c>
      <c r="AH163" s="13"/>
      <c r="AI163" s="13" t="s">
        <v>139</v>
      </c>
      <c r="AJ163" s="13" t="s">
        <v>139</v>
      </c>
      <c r="AK163" s="13"/>
      <c r="AL163" s="13"/>
      <c r="AM163" s="13"/>
      <c r="AN163" s="13"/>
      <c r="AO163" s="13"/>
      <c r="AP163" s="13"/>
      <c r="AQ163" s="13"/>
      <c r="AR163" s="13" t="s">
        <v>139</v>
      </c>
      <c r="AS163" s="13" t="s">
        <v>139</v>
      </c>
      <c r="AT163" s="13" t="s">
        <v>139</v>
      </c>
      <c r="AU163" s="13" t="s">
        <v>139</v>
      </c>
    </row>
    <row r="164" spans="2:47" ht="15.75" hidden="1" customHeight="1" x14ac:dyDescent="0.3">
      <c r="B164" s="94"/>
      <c r="C164" s="89"/>
      <c r="D164" s="90"/>
      <c r="E164" s="90"/>
      <c r="F164" s="91"/>
      <c r="G164" s="27"/>
      <c r="H164" s="27"/>
      <c r="I164" s="27"/>
      <c r="J164" s="27"/>
      <c r="K164" s="27">
        <v>44470</v>
      </c>
      <c r="L164" s="27"/>
      <c r="M164" s="27"/>
      <c r="N164" s="27"/>
      <c r="P164" s="27"/>
      <c r="Q164" s="27"/>
      <c r="R164" s="27"/>
      <c r="S164" s="27"/>
      <c r="U164" s="27"/>
      <c r="V164" s="27"/>
      <c r="W164" s="27"/>
      <c r="X164" s="27"/>
      <c r="Y164" s="27"/>
      <c r="Z164" s="27"/>
      <c r="AA164" s="27"/>
      <c r="AB164" s="27"/>
      <c r="AC164" s="74"/>
      <c r="AE164" s="27"/>
      <c r="AF164" s="27"/>
      <c r="AG164" s="27"/>
      <c r="AH164" s="27"/>
      <c r="AI164" s="27"/>
      <c r="AJ164" s="27"/>
      <c r="AK164" s="27"/>
      <c r="AL164" s="27"/>
      <c r="AM164" s="27"/>
      <c r="AN164" s="27"/>
      <c r="AO164" s="27"/>
      <c r="AP164" s="27"/>
      <c r="AQ164" s="27"/>
      <c r="AR164" s="27"/>
      <c r="AS164" s="27"/>
      <c r="AT164" s="27"/>
      <c r="AU164" s="27"/>
    </row>
    <row r="165" spans="2:47" x14ac:dyDescent="0.25">
      <c r="B165" s="17" t="s">
        <v>61</v>
      </c>
      <c r="C165" s="18" t="s">
        <v>62</v>
      </c>
      <c r="D165" s="19">
        <f>COUNTA(C155:F164)</f>
        <v>5</v>
      </c>
      <c r="E165" s="19"/>
      <c r="F165" s="19"/>
      <c r="G165" s="20" t="str">
        <f t="shared" ref="G165:K165" si="220">IF(ISBLANK(G155),"",IF((COUNTIF(G155:G164,"X"))/$D165=1,_xlfn.UNICHAR(10003),(COUNTIF(G155:G164,"X"))/$D165))</f>
        <v>✓</v>
      </c>
      <c r="H165" s="20" t="str">
        <f t="shared" si="220"/>
        <v>✓</v>
      </c>
      <c r="I165" s="20" t="str">
        <f t="shared" si="220"/>
        <v>✓</v>
      </c>
      <c r="J165" s="20" t="str">
        <f t="shared" si="220"/>
        <v>✓</v>
      </c>
      <c r="K165" s="20" t="str">
        <f t="shared" si="220"/>
        <v>✓</v>
      </c>
      <c r="L165" s="20" t="str">
        <f>IF(ISBLANK(L155),"",IF((COUNTIF(L155:L164,"X"))/$D165=1,_xlfn.UNICHAR(10003),(COUNTIF(L155:L164,"X"))/$D165))</f>
        <v>✓</v>
      </c>
      <c r="M165" s="20">
        <f t="shared" ref="M165:N165" si="221">IF(ISBLANK(M155),"",IF((COUNTIF(M155:M158,"X"))/$D165=1,_xlfn.UNICHAR(10003),(COUNTIF(M155:M158,"X"))/$D165))</f>
        <v>0</v>
      </c>
      <c r="N165" s="20">
        <f t="shared" si="221"/>
        <v>0</v>
      </c>
      <c r="P165" s="20" t="str">
        <f t="shared" ref="P165" si="222">IF(ISBLANK(P155),"",IF((COUNTIF(P155:P158,"X"))/(COUNTIF(P155:P157,"x")+COUNTIF(P155:P157,"a")+COUNTIF(P155:P157,"t"))=1,_xlfn.UNICHAR(10003),(COUNTIF(P155:P158,"X"))/(COUNTIF(P155:P157,"x")+COUNTIF(P155:P157,"a")+COUNTIF(P155:P157,"t"))))</f>
        <v/>
      </c>
      <c r="Q165" s="20" t="str">
        <f t="shared" ref="Q165" si="223">IF(ISBLANK(Q155),"",IF((COUNTIF(Q155:Q158,"X"))/$D165=1,_xlfn.UNICHAR(10003),(COUNTIF(Q155:Q158,"X"))/$D165))</f>
        <v/>
      </c>
      <c r="R165" s="20" t="str">
        <f t="shared" ref="R165:S165" si="224">IF(ISBLANK(R155),"",IF((COUNTIF(R155:R158,"X"))/$D165=1,_xlfn.UNICHAR(10003),(COUNTIF(R155:R158,"X"))/$D165))</f>
        <v/>
      </c>
      <c r="S165" s="20" t="str">
        <f t="shared" si="224"/>
        <v/>
      </c>
      <c r="U165" s="20">
        <f>IF(ISBLANK(U155),"",IF((COUNTIF(U155:U164,"X"))/$D165=1,_xlfn.UNICHAR(10003),(COUNTIF(U155:U164,"X"))/$D165))</f>
        <v>0.4</v>
      </c>
      <c r="V165" s="20">
        <f t="shared" ref="V165:Y165" si="225">IF(ISBLANK(V155),"",IF((COUNTIF(V155:V164,"X"))/$D165=1,_xlfn.UNICHAR(10003),(COUNTIF(V155:V164,"X"))/$D165))</f>
        <v>0.8</v>
      </c>
      <c r="W165" s="20">
        <f t="shared" si="225"/>
        <v>0.2</v>
      </c>
      <c r="X165" s="20">
        <f t="shared" si="225"/>
        <v>0</v>
      </c>
      <c r="Y165" s="20">
        <f t="shared" si="225"/>
        <v>0</v>
      </c>
      <c r="Z165" s="20">
        <f t="shared" ref="Z165" si="226">IF(ISBLANK(Z155),"",IF((COUNTIF(Z155:Z158,"X"))/$D165=1,_xlfn.UNICHAR(10003),(COUNTIF(Z155:Z158,"X"))/$D165))</f>
        <v>0</v>
      </c>
      <c r="AA165" s="20">
        <f t="shared" ref="AA165:AB165" si="227">IF(ISBLANK(AA155),"",IF((COUNTIF(AA155:AA164,"X"))/$D165=1,_xlfn.UNICHAR(10003),(COUNTIF(AA155:AA164,"X"))/$D165))</f>
        <v>0.2</v>
      </c>
      <c r="AB165" s="20">
        <f t="shared" si="227"/>
        <v>0.2</v>
      </c>
      <c r="AC165" s="73"/>
      <c r="AE165" s="20">
        <f>IF(ISBLANK(AE155),"",IF((COUNTIF(AE155:AE164,"X"))/$D165=1,_xlfn.UNICHAR(10003),(COUNTIF(AE155:AE164,"X"))/$D165))</f>
        <v>0.2</v>
      </c>
      <c r="AF165" s="20">
        <f>IF(ISBLANK(AF155),"",IF((COUNTIF(AF155:AF164,"X"))/$D165=1,_xlfn.UNICHAR(10003),(COUNTIF(AF155:AF164,"X"))/$D165))</f>
        <v>0</v>
      </c>
      <c r="AG165" s="20">
        <f t="shared" ref="AG165" si="228">IF(ISBLANK(AG155),"",IF((COUNTIF(AG155:AG164,"X"))/$D165=1,_xlfn.UNICHAR(10003),(COUNTIF(AG155:AG164,"X"))/$D165))</f>
        <v>0.2</v>
      </c>
      <c r="AH165" s="20" t="str">
        <f t="shared" ref="AH165:AI165" si="229">IF(ISBLANK(AH155),"",IF((COUNTIF(AH155:AH158,"X"))/$D165=1,_xlfn.UNICHAR(10003),(COUNTIF(AH155:AH158,"X"))/$D165))</f>
        <v/>
      </c>
      <c r="AI165" s="20">
        <f t="shared" si="229"/>
        <v>0</v>
      </c>
      <c r="AJ165" s="20">
        <f t="shared" ref="AJ165" si="230">IF(ISBLANK(AJ155),"",IF((COUNTIF(AJ155:AJ158,"X"))/$D165=1,_xlfn.UNICHAR(10003),(COUNTIF(AJ155:AJ158,"X"))/$D165))</f>
        <v>0</v>
      </c>
      <c r="AK165" s="20" t="str">
        <f t="shared" ref="AK165:AL165" si="231">IF(ISBLANK(AK155),"",IF((COUNTIF(AK155:AK158,"X"))/$D165=1,_xlfn.UNICHAR(10003),(COUNTIF(AK155:AK158,"X"))/$D165))</f>
        <v/>
      </c>
      <c r="AL165" s="20" t="str">
        <f t="shared" si="231"/>
        <v/>
      </c>
      <c r="AM165" s="20"/>
      <c r="AN165" s="20"/>
      <c r="AO165" s="20"/>
      <c r="AP165" s="20" t="str">
        <f t="shared" ref="AP165:AR165" si="232">IF(ISBLANK(AP155),"",IF((COUNTIF(AP155:AP158,"X"))/$D165=1,_xlfn.UNICHAR(10003),(COUNTIF(AP155:AP158,"X"))/$D165))</f>
        <v/>
      </c>
      <c r="AQ165" s="20" t="str">
        <f t="shared" ref="AQ165" si="233">IF(ISBLANK(AQ155),"",IF((COUNTIF(AQ155:AQ158,"X"))/$D165=1,_xlfn.UNICHAR(10003),(COUNTIF(AQ155:AQ158,"X"))/$D165))</f>
        <v/>
      </c>
      <c r="AR165" s="20">
        <f t="shared" si="232"/>
        <v>0</v>
      </c>
      <c r="AS165" s="20">
        <f t="shared" ref="AS165:AT165" si="234">IF(ISBLANK(AS155),"",IF((COUNTIF(AS155:AS158,"X"))/$D165=1,_xlfn.UNICHAR(10003),(COUNTIF(AS155:AS158,"X"))/$D165))</f>
        <v>0</v>
      </c>
      <c r="AT165" s="20">
        <f t="shared" si="234"/>
        <v>0</v>
      </c>
      <c r="AU165" s="20">
        <f t="shared" ref="AU165" si="235">IF(ISBLANK(AU155),"",IF((COUNTIF(AU155:AU158,"X"))/$D165=1,_xlfn.UNICHAR(10003),(COUNTIF(AU155:AU158,"X"))/$D165))</f>
        <v>0</v>
      </c>
    </row>
    <row r="167" spans="2:47" x14ac:dyDescent="0.25">
      <c r="B167" s="92" t="s">
        <v>12</v>
      </c>
      <c r="C167" s="86" t="s">
        <v>101</v>
      </c>
      <c r="D167" s="87"/>
      <c r="E167" s="87"/>
      <c r="F167" s="88"/>
      <c r="G167" s="13" t="s">
        <v>21</v>
      </c>
      <c r="H167" s="13" t="s">
        <v>17</v>
      </c>
      <c r="I167" s="13" t="s">
        <v>17</v>
      </c>
      <c r="J167" s="13" t="s">
        <v>139</v>
      </c>
      <c r="K167" s="13" t="s">
        <v>17</v>
      </c>
      <c r="L167" s="13" t="s">
        <v>17</v>
      </c>
      <c r="M167" s="13" t="s">
        <v>17</v>
      </c>
      <c r="N167" s="13" t="s">
        <v>17</v>
      </c>
      <c r="P167" s="13" t="s">
        <v>17</v>
      </c>
      <c r="Q167" s="13" t="s">
        <v>17</v>
      </c>
      <c r="R167" s="13" t="s">
        <v>17</v>
      </c>
      <c r="S167" s="13" t="s">
        <v>139</v>
      </c>
      <c r="U167" s="13" t="s">
        <v>17</v>
      </c>
      <c r="V167" s="13" t="s">
        <v>17</v>
      </c>
      <c r="W167" s="13" t="s">
        <v>17</v>
      </c>
      <c r="X167" s="13" t="s">
        <v>17</v>
      </c>
      <c r="Y167" s="13" t="s">
        <v>17</v>
      </c>
      <c r="Z167" s="13" t="s">
        <v>17</v>
      </c>
      <c r="AA167" s="13" t="s">
        <v>17</v>
      </c>
      <c r="AB167" s="13" t="s">
        <v>17</v>
      </c>
      <c r="AC167" s="72"/>
      <c r="AE167" s="13" t="s">
        <v>17</v>
      </c>
      <c r="AF167" s="13" t="s">
        <v>17</v>
      </c>
      <c r="AG167" s="13" t="s">
        <v>17</v>
      </c>
      <c r="AH167" s="13" t="s">
        <v>17</v>
      </c>
      <c r="AI167" s="13" t="s">
        <v>18</v>
      </c>
      <c r="AJ167" s="13" t="s">
        <v>139</v>
      </c>
      <c r="AK167" s="13" t="s">
        <v>17</v>
      </c>
      <c r="AL167" s="13" t="s">
        <v>17</v>
      </c>
      <c r="AM167" s="13"/>
      <c r="AN167" s="13"/>
      <c r="AO167" s="13"/>
      <c r="AP167" s="13"/>
      <c r="AQ167" s="13" t="s">
        <v>139</v>
      </c>
      <c r="AR167" s="13" t="s">
        <v>139</v>
      </c>
      <c r="AS167" s="13" t="s">
        <v>139</v>
      </c>
      <c r="AT167" s="13" t="s">
        <v>139</v>
      </c>
      <c r="AU167" s="13" t="s">
        <v>139</v>
      </c>
    </row>
    <row r="168" spans="2:47" ht="15.75" hidden="1" customHeight="1" x14ac:dyDescent="0.3">
      <c r="B168" s="93"/>
      <c r="C168" s="89"/>
      <c r="D168" s="90"/>
      <c r="E168" s="90"/>
      <c r="F168" s="91"/>
      <c r="G168" s="27">
        <v>40179</v>
      </c>
      <c r="H168" s="27"/>
      <c r="I168" s="27"/>
      <c r="J168" s="27"/>
      <c r="K168" s="27" t="s">
        <v>293</v>
      </c>
      <c r="L168" s="27"/>
      <c r="M168" s="27"/>
      <c r="N168" s="27"/>
      <c r="P168" s="27"/>
      <c r="Q168" s="27"/>
      <c r="R168" s="27"/>
      <c r="S168" s="27"/>
      <c r="U168" s="27"/>
      <c r="V168" s="27"/>
      <c r="W168" s="27"/>
      <c r="X168" s="27"/>
      <c r="Y168" s="27"/>
      <c r="Z168" s="27"/>
      <c r="AA168" s="27"/>
      <c r="AB168" s="27"/>
      <c r="AC168" s="74"/>
      <c r="AE168" s="27"/>
      <c r="AF168" s="27"/>
      <c r="AG168" s="27"/>
      <c r="AH168" s="27">
        <v>45674</v>
      </c>
      <c r="AI168" s="27"/>
      <c r="AJ168" s="27"/>
      <c r="AK168" s="27"/>
      <c r="AL168" s="27">
        <v>46054</v>
      </c>
      <c r="AM168" s="27"/>
      <c r="AN168" s="27"/>
      <c r="AO168" s="27"/>
      <c r="AP168" s="27"/>
      <c r="AQ168" s="27"/>
      <c r="AR168" s="27"/>
      <c r="AS168" s="27"/>
      <c r="AT168" s="27"/>
      <c r="AU168" s="27"/>
    </row>
    <row r="169" spans="2:47" x14ac:dyDescent="0.25">
      <c r="B169" s="93"/>
      <c r="C169" s="86" t="s">
        <v>102</v>
      </c>
      <c r="D169" s="87"/>
      <c r="E169" s="87"/>
      <c r="F169" s="88"/>
      <c r="G169" s="13" t="s">
        <v>21</v>
      </c>
      <c r="H169" s="13" t="s">
        <v>17</v>
      </c>
      <c r="I169" s="13" t="s">
        <v>17</v>
      </c>
      <c r="J169" s="13" t="s">
        <v>139</v>
      </c>
      <c r="K169" s="13" t="s">
        <v>17</v>
      </c>
      <c r="L169" s="13" t="s">
        <v>17</v>
      </c>
      <c r="M169" s="13" t="s">
        <v>17</v>
      </c>
      <c r="N169" s="13" t="s">
        <v>17</v>
      </c>
      <c r="P169" s="13" t="s">
        <v>17</v>
      </c>
      <c r="Q169" s="13" t="s">
        <v>17</v>
      </c>
      <c r="R169" s="13" t="s">
        <v>17</v>
      </c>
      <c r="S169" s="13" t="s">
        <v>139</v>
      </c>
      <c r="U169" s="13" t="s">
        <v>17</v>
      </c>
      <c r="V169" s="13" t="s">
        <v>17</v>
      </c>
      <c r="W169" s="13" t="s">
        <v>17</v>
      </c>
      <c r="X169" s="13" t="s">
        <v>17</v>
      </c>
      <c r="Y169" s="13" t="s">
        <v>17</v>
      </c>
      <c r="Z169" s="13" t="s">
        <v>17</v>
      </c>
      <c r="AA169" s="13" t="s">
        <v>17</v>
      </c>
      <c r="AB169" s="13" t="s">
        <v>17</v>
      </c>
      <c r="AC169" s="72"/>
      <c r="AE169" s="13" t="s">
        <v>17</v>
      </c>
      <c r="AF169" s="13" t="s">
        <v>17</v>
      </c>
      <c r="AG169" s="13" t="s">
        <v>17</v>
      </c>
      <c r="AH169" s="13" t="s">
        <v>17</v>
      </c>
      <c r="AI169" s="13" t="s">
        <v>17</v>
      </c>
      <c r="AJ169" s="13" t="s">
        <v>139</v>
      </c>
      <c r="AK169" s="13" t="s">
        <v>17</v>
      </c>
      <c r="AL169" s="13" t="s">
        <v>139</v>
      </c>
      <c r="AM169" s="13"/>
      <c r="AN169" s="13"/>
      <c r="AO169" s="13"/>
      <c r="AP169" s="13"/>
      <c r="AQ169" s="13" t="s">
        <v>139</v>
      </c>
      <c r="AR169" s="13" t="s">
        <v>139</v>
      </c>
      <c r="AS169" s="13" t="s">
        <v>139</v>
      </c>
      <c r="AT169" s="13" t="s">
        <v>139</v>
      </c>
      <c r="AU169" s="13" t="s">
        <v>139</v>
      </c>
    </row>
    <row r="170" spans="2:47" ht="15.75" hidden="1" customHeight="1" x14ac:dyDescent="0.3">
      <c r="B170" s="93"/>
      <c r="C170" s="89"/>
      <c r="D170" s="90"/>
      <c r="E170" s="90"/>
      <c r="F170" s="91"/>
      <c r="G170" s="27">
        <v>40179</v>
      </c>
      <c r="H170" s="27"/>
      <c r="I170" s="27"/>
      <c r="J170" s="27"/>
      <c r="K170" s="27" t="s">
        <v>293</v>
      </c>
      <c r="L170" s="27"/>
      <c r="M170" s="27"/>
      <c r="N170" s="27"/>
      <c r="P170" s="27"/>
      <c r="Q170" s="27"/>
      <c r="R170" s="27"/>
      <c r="S170" s="27"/>
      <c r="U170" s="27"/>
      <c r="V170" s="27"/>
      <c r="W170" s="27"/>
      <c r="X170" s="27"/>
      <c r="Y170" s="27"/>
      <c r="Z170" s="27"/>
      <c r="AA170" s="27"/>
      <c r="AB170" s="27"/>
      <c r="AC170" s="74"/>
      <c r="AE170" s="27"/>
      <c r="AF170" s="27"/>
      <c r="AG170" s="27"/>
      <c r="AH170" s="27">
        <v>45674</v>
      </c>
      <c r="AI170" s="27"/>
      <c r="AJ170" s="27"/>
      <c r="AK170" s="27"/>
      <c r="AL170" s="27"/>
      <c r="AM170" s="27"/>
      <c r="AN170" s="27"/>
      <c r="AO170" s="27"/>
      <c r="AP170" s="27"/>
      <c r="AQ170" s="27"/>
      <c r="AR170" s="27"/>
      <c r="AS170" s="27"/>
      <c r="AT170" s="27"/>
      <c r="AU170" s="27"/>
    </row>
    <row r="171" spans="2:47" x14ac:dyDescent="0.25">
      <c r="B171" s="93"/>
      <c r="C171" s="86" t="s">
        <v>103</v>
      </c>
      <c r="D171" s="87"/>
      <c r="E171" s="87"/>
      <c r="F171" s="88"/>
      <c r="G171" s="13" t="s">
        <v>21</v>
      </c>
      <c r="H171" s="13" t="s">
        <v>17</v>
      </c>
      <c r="I171" s="13" t="s">
        <v>17</v>
      </c>
      <c r="J171" s="13" t="s">
        <v>139</v>
      </c>
      <c r="K171" s="13" t="s">
        <v>17</v>
      </c>
      <c r="L171" s="13" t="s">
        <v>17</v>
      </c>
      <c r="M171" s="13" t="s">
        <v>17</v>
      </c>
      <c r="N171" s="13" t="s">
        <v>17</v>
      </c>
      <c r="P171" s="13" t="s">
        <v>17</v>
      </c>
      <c r="Q171" s="13" t="s">
        <v>18</v>
      </c>
      <c r="R171" s="13" t="s">
        <v>139</v>
      </c>
      <c r="S171" s="13" t="s">
        <v>139</v>
      </c>
      <c r="U171" s="13" t="s">
        <v>17</v>
      </c>
      <c r="V171" s="13" t="s">
        <v>17</v>
      </c>
      <c r="W171" s="13" t="s">
        <v>17</v>
      </c>
      <c r="X171" s="13" t="s">
        <v>17</v>
      </c>
      <c r="Y171" s="13" t="s">
        <v>17</v>
      </c>
      <c r="Z171" s="13" t="s">
        <v>17</v>
      </c>
      <c r="AA171" s="13" t="s">
        <v>17</v>
      </c>
      <c r="AB171" s="13" t="s">
        <v>17</v>
      </c>
      <c r="AC171" s="72"/>
      <c r="AE171" s="13" t="s">
        <v>17</v>
      </c>
      <c r="AF171" s="13" t="s">
        <v>17</v>
      </c>
      <c r="AG171" s="13" t="s">
        <v>17</v>
      </c>
      <c r="AH171" s="13" t="s">
        <v>17</v>
      </c>
      <c r="AI171" s="13" t="s">
        <v>18</v>
      </c>
      <c r="AJ171" s="13" t="s">
        <v>139</v>
      </c>
      <c r="AK171" s="13" t="s">
        <v>17</v>
      </c>
      <c r="AL171" s="13" t="s">
        <v>18</v>
      </c>
      <c r="AM171" s="13"/>
      <c r="AN171" s="13"/>
      <c r="AO171" s="13"/>
      <c r="AP171" s="13"/>
      <c r="AQ171" s="13" t="s">
        <v>139</v>
      </c>
      <c r="AR171" s="13" t="s">
        <v>139</v>
      </c>
      <c r="AS171" s="13" t="s">
        <v>139</v>
      </c>
      <c r="AT171" s="13" t="s">
        <v>139</v>
      </c>
      <c r="AU171" s="13" t="s">
        <v>139</v>
      </c>
    </row>
    <row r="172" spans="2:47" ht="15.75" hidden="1" customHeight="1" x14ac:dyDescent="0.3">
      <c r="B172" s="93"/>
      <c r="C172" s="89"/>
      <c r="D172" s="90"/>
      <c r="E172" s="90"/>
      <c r="F172" s="91"/>
      <c r="G172" s="27">
        <v>40179</v>
      </c>
      <c r="H172" s="27"/>
      <c r="I172" s="27"/>
      <c r="J172" s="27"/>
      <c r="K172" s="27" t="s">
        <v>293</v>
      </c>
      <c r="L172" s="27"/>
      <c r="M172" s="27"/>
      <c r="N172" s="27"/>
      <c r="P172" s="27"/>
      <c r="Q172" s="27"/>
      <c r="R172" s="27"/>
      <c r="S172" s="27"/>
      <c r="U172" s="27"/>
      <c r="V172" s="27"/>
      <c r="W172" s="27"/>
      <c r="X172" s="27"/>
      <c r="Y172" s="27"/>
      <c r="Z172" s="27"/>
      <c r="AA172" s="27">
        <v>45596</v>
      </c>
      <c r="AB172" s="27"/>
      <c r="AC172" s="74"/>
      <c r="AE172" s="27"/>
      <c r="AF172" s="27"/>
      <c r="AG172" s="27"/>
      <c r="AH172" s="27">
        <v>45674</v>
      </c>
      <c r="AI172" s="27"/>
      <c r="AJ172" s="27"/>
      <c r="AK172" s="27"/>
      <c r="AL172" s="27"/>
      <c r="AM172" s="27"/>
      <c r="AN172" s="27"/>
      <c r="AO172" s="27"/>
      <c r="AP172" s="27"/>
      <c r="AQ172" s="27"/>
      <c r="AR172" s="27"/>
      <c r="AS172" s="27"/>
      <c r="AT172" s="27"/>
      <c r="AU172" s="27"/>
    </row>
    <row r="173" spans="2:47" x14ac:dyDescent="0.25">
      <c r="B173" s="93"/>
      <c r="C173" s="86" t="s">
        <v>98</v>
      </c>
      <c r="D173" s="87"/>
      <c r="E173" s="87"/>
      <c r="F173" s="88"/>
      <c r="G173" s="13" t="s">
        <v>21</v>
      </c>
      <c r="H173" s="13" t="s">
        <v>17</v>
      </c>
      <c r="I173" s="13" t="s">
        <v>17</v>
      </c>
      <c r="J173" s="13" t="s">
        <v>17</v>
      </c>
      <c r="K173" s="13" t="s">
        <v>17</v>
      </c>
      <c r="L173" s="13" t="s">
        <v>17</v>
      </c>
      <c r="M173" s="13" t="s">
        <v>17</v>
      </c>
      <c r="N173" s="13" t="s">
        <v>17</v>
      </c>
      <c r="P173" s="13" t="s">
        <v>17</v>
      </c>
      <c r="Q173" s="13" t="s">
        <v>17</v>
      </c>
      <c r="R173" s="13" t="s">
        <v>17</v>
      </c>
      <c r="S173" s="13" t="s">
        <v>139</v>
      </c>
      <c r="U173" s="13" t="s">
        <v>17</v>
      </c>
      <c r="V173" s="13" t="s">
        <v>17</v>
      </c>
      <c r="W173" s="13" t="s">
        <v>17</v>
      </c>
      <c r="X173" s="13" t="s">
        <v>17</v>
      </c>
      <c r="Y173" s="13" t="s">
        <v>17</v>
      </c>
      <c r="Z173" s="13" t="s">
        <v>17</v>
      </c>
      <c r="AA173" s="13" t="s">
        <v>17</v>
      </c>
      <c r="AB173" s="13" t="s">
        <v>17</v>
      </c>
      <c r="AC173" s="72"/>
      <c r="AE173" s="13" t="s">
        <v>17</v>
      </c>
      <c r="AF173" s="13" t="s">
        <v>17</v>
      </c>
      <c r="AG173" s="13" t="s">
        <v>17</v>
      </c>
      <c r="AH173" s="13" t="s">
        <v>17</v>
      </c>
      <c r="AI173" s="13" t="s">
        <v>17</v>
      </c>
      <c r="AJ173" s="13" t="s">
        <v>139</v>
      </c>
      <c r="AK173" s="13" t="s">
        <v>17</v>
      </c>
      <c r="AL173" s="13" t="s">
        <v>17</v>
      </c>
      <c r="AM173" s="13"/>
      <c r="AN173" s="13"/>
      <c r="AO173" s="13"/>
      <c r="AP173" s="13"/>
      <c r="AQ173" s="13" t="s">
        <v>139</v>
      </c>
      <c r="AR173" s="13" t="s">
        <v>139</v>
      </c>
      <c r="AS173" s="13" t="s">
        <v>139</v>
      </c>
      <c r="AT173" s="13" t="s">
        <v>139</v>
      </c>
      <c r="AU173" s="13" t="s">
        <v>139</v>
      </c>
    </row>
    <row r="174" spans="2:47" ht="15.75" hidden="1" customHeight="1" x14ac:dyDescent="0.3">
      <c r="B174" s="93"/>
      <c r="C174" s="89"/>
      <c r="D174" s="90"/>
      <c r="E174" s="90"/>
      <c r="F174" s="91"/>
      <c r="G174" s="27">
        <v>40179</v>
      </c>
      <c r="H174" s="27"/>
      <c r="I174" s="27"/>
      <c r="J174" s="27"/>
      <c r="K174" s="27">
        <v>43132</v>
      </c>
      <c r="L174" s="27"/>
      <c r="M174" s="27"/>
      <c r="N174" s="27"/>
      <c r="P174" s="27"/>
      <c r="Q174" s="27"/>
      <c r="R174" s="27"/>
      <c r="S174" s="27"/>
      <c r="U174" s="27"/>
      <c r="V174" s="27"/>
      <c r="W174" s="27"/>
      <c r="X174" s="27"/>
      <c r="Y174" s="27"/>
      <c r="Z174" s="27"/>
      <c r="AA174" s="27"/>
      <c r="AB174" s="27"/>
      <c r="AC174" s="74"/>
      <c r="AE174" s="27"/>
      <c r="AF174" s="27"/>
      <c r="AG174" s="27"/>
      <c r="AH174" s="27"/>
      <c r="AI174" s="27"/>
      <c r="AJ174" s="27"/>
      <c r="AK174" s="27"/>
      <c r="AL174" s="27">
        <v>46054</v>
      </c>
      <c r="AM174" s="27"/>
      <c r="AN174" s="27"/>
      <c r="AO174" s="27"/>
      <c r="AP174" s="27"/>
      <c r="AQ174" s="27"/>
      <c r="AR174" s="27"/>
      <c r="AS174" s="27"/>
      <c r="AT174" s="27"/>
      <c r="AU174" s="27"/>
    </row>
    <row r="175" spans="2:47" x14ac:dyDescent="0.25">
      <c r="B175" s="118"/>
      <c r="C175" s="86" t="s">
        <v>99</v>
      </c>
      <c r="D175" s="87"/>
      <c r="E175" s="87"/>
      <c r="F175" s="88"/>
      <c r="G175" s="13" t="s">
        <v>21</v>
      </c>
      <c r="H175" s="13" t="s">
        <v>17</v>
      </c>
      <c r="I175" s="13" t="s">
        <v>17</v>
      </c>
      <c r="J175" s="13" t="s">
        <v>17</v>
      </c>
      <c r="K175" s="13" t="s">
        <v>17</v>
      </c>
      <c r="L175" s="13" t="s">
        <v>17</v>
      </c>
      <c r="M175" s="13" t="s">
        <v>17</v>
      </c>
      <c r="N175" s="13" t="s">
        <v>17</v>
      </c>
      <c r="P175" s="13" t="s">
        <v>17</v>
      </c>
      <c r="Q175" s="13" t="s">
        <v>17</v>
      </c>
      <c r="R175" s="13" t="s">
        <v>17</v>
      </c>
      <c r="S175" s="13" t="s">
        <v>139</v>
      </c>
      <c r="U175" s="13" t="s">
        <v>17</v>
      </c>
      <c r="V175" s="13" t="s">
        <v>17</v>
      </c>
      <c r="W175" s="13" t="s">
        <v>17</v>
      </c>
      <c r="X175" s="13" t="s">
        <v>17</v>
      </c>
      <c r="Y175" s="13" t="s">
        <v>17</v>
      </c>
      <c r="Z175" s="13" t="s">
        <v>17</v>
      </c>
      <c r="AA175" s="13" t="s">
        <v>17</v>
      </c>
      <c r="AB175" s="13" t="s">
        <v>17</v>
      </c>
      <c r="AC175" s="72"/>
      <c r="AE175" s="13" t="s">
        <v>17</v>
      </c>
      <c r="AF175" s="13" t="s">
        <v>17</v>
      </c>
      <c r="AG175" s="13" t="s">
        <v>17</v>
      </c>
      <c r="AH175" s="13" t="s">
        <v>17</v>
      </c>
      <c r="AI175" s="13" t="s">
        <v>17</v>
      </c>
      <c r="AJ175" s="13" t="s">
        <v>139</v>
      </c>
      <c r="AK175" s="13" t="s">
        <v>17</v>
      </c>
      <c r="AL175" s="13" t="s">
        <v>18</v>
      </c>
      <c r="AM175" s="13"/>
      <c r="AN175" s="13"/>
      <c r="AO175" s="13"/>
      <c r="AP175" s="13"/>
      <c r="AQ175" s="13" t="s">
        <v>139</v>
      </c>
      <c r="AR175" s="13" t="s">
        <v>139</v>
      </c>
      <c r="AS175" s="13" t="s">
        <v>139</v>
      </c>
      <c r="AT175" s="13" t="s">
        <v>139</v>
      </c>
      <c r="AU175" s="13" t="s">
        <v>139</v>
      </c>
    </row>
    <row r="176" spans="2:47" ht="15.75" hidden="1" customHeight="1" x14ac:dyDescent="0.3">
      <c r="B176" s="118"/>
      <c r="C176" s="89"/>
      <c r="D176" s="90"/>
      <c r="E176" s="90"/>
      <c r="F176" s="91"/>
      <c r="G176" s="27">
        <v>40179</v>
      </c>
      <c r="H176" s="27"/>
      <c r="I176" s="27"/>
      <c r="J176" s="27"/>
      <c r="K176" s="27">
        <v>43221</v>
      </c>
      <c r="L176" s="27"/>
      <c r="M176" s="27"/>
      <c r="N176" s="27"/>
      <c r="P176" s="27"/>
      <c r="Q176" s="27"/>
      <c r="R176" s="27"/>
      <c r="S176" s="27"/>
      <c r="U176" s="27"/>
      <c r="V176" s="27"/>
      <c r="W176" s="27"/>
      <c r="X176" s="27"/>
      <c r="Y176" s="27"/>
      <c r="Z176" s="27"/>
      <c r="AA176" s="27"/>
      <c r="AB176" s="27"/>
      <c r="AC176" s="74"/>
      <c r="AE176" s="27"/>
      <c r="AF176" s="27"/>
      <c r="AG176" s="27"/>
      <c r="AH176" s="27"/>
      <c r="AI176" s="27"/>
      <c r="AJ176" s="27"/>
      <c r="AK176" s="27"/>
      <c r="AL176" s="27"/>
      <c r="AM176" s="27"/>
      <c r="AN176" s="27"/>
      <c r="AO176" s="27"/>
      <c r="AP176" s="27"/>
      <c r="AQ176" s="27"/>
      <c r="AR176" s="27"/>
      <c r="AS176" s="27"/>
      <c r="AT176" s="27"/>
      <c r="AU176" s="27"/>
    </row>
    <row r="177" spans="2:47" x14ac:dyDescent="0.25">
      <c r="B177" s="118"/>
      <c r="C177" s="86" t="s">
        <v>100</v>
      </c>
      <c r="D177" s="87"/>
      <c r="E177" s="87"/>
      <c r="F177" s="88"/>
      <c r="G177" s="13" t="s">
        <v>21</v>
      </c>
      <c r="H177" s="13" t="s">
        <v>17</v>
      </c>
      <c r="I177" s="13" t="s">
        <v>17</v>
      </c>
      <c r="J177" s="13" t="s">
        <v>17</v>
      </c>
      <c r="K177" s="13" t="s">
        <v>17</v>
      </c>
      <c r="L177" s="13" t="s">
        <v>17</v>
      </c>
      <c r="M177" s="13" t="s">
        <v>17</v>
      </c>
      <c r="N177" s="13" t="s">
        <v>17</v>
      </c>
      <c r="P177" s="13" t="s">
        <v>17</v>
      </c>
      <c r="Q177" s="13" t="s">
        <v>17</v>
      </c>
      <c r="R177" s="13" t="s">
        <v>17</v>
      </c>
      <c r="S177" s="13" t="s">
        <v>139</v>
      </c>
      <c r="U177" s="13" t="s">
        <v>17</v>
      </c>
      <c r="V177" s="13" t="s">
        <v>17</v>
      </c>
      <c r="W177" s="13" t="s">
        <v>17</v>
      </c>
      <c r="X177" s="13" t="s">
        <v>17</v>
      </c>
      <c r="Y177" s="13" t="s">
        <v>17</v>
      </c>
      <c r="Z177" s="13" t="s">
        <v>17</v>
      </c>
      <c r="AA177" s="13" t="s">
        <v>17</v>
      </c>
      <c r="AB177" s="13" t="s">
        <v>17</v>
      </c>
      <c r="AC177" s="72"/>
      <c r="AE177" s="13" t="s">
        <v>17</v>
      </c>
      <c r="AF177" s="13" t="s">
        <v>17</v>
      </c>
      <c r="AG177" s="13" t="s">
        <v>17</v>
      </c>
      <c r="AH177" s="13" t="s">
        <v>17</v>
      </c>
      <c r="AI177" s="13" t="s">
        <v>18</v>
      </c>
      <c r="AJ177" s="13" t="s">
        <v>139</v>
      </c>
      <c r="AK177" s="13" t="s">
        <v>17</v>
      </c>
      <c r="AL177" s="13" t="s">
        <v>18</v>
      </c>
      <c r="AM177" s="13"/>
      <c r="AN177" s="13"/>
      <c r="AO177" s="13"/>
      <c r="AP177" s="13"/>
      <c r="AQ177" s="13" t="s">
        <v>139</v>
      </c>
      <c r="AR177" s="13" t="s">
        <v>139</v>
      </c>
      <c r="AS177" s="13" t="s">
        <v>139</v>
      </c>
      <c r="AT177" s="13" t="s">
        <v>139</v>
      </c>
      <c r="AU177" s="13" t="s">
        <v>139</v>
      </c>
    </row>
    <row r="178" spans="2:47" ht="15.75" hidden="1" customHeight="1" x14ac:dyDescent="0.3">
      <c r="B178" s="118"/>
      <c r="C178" s="89"/>
      <c r="D178" s="90"/>
      <c r="E178" s="90"/>
      <c r="F178" s="91"/>
      <c r="G178" s="27">
        <v>40179</v>
      </c>
      <c r="H178" s="27"/>
      <c r="I178" s="27"/>
      <c r="J178" s="27"/>
      <c r="K178" s="27">
        <v>43132</v>
      </c>
      <c r="L178" s="27"/>
      <c r="M178" s="27"/>
      <c r="N178" s="27"/>
      <c r="P178" s="27"/>
      <c r="Q178" s="27"/>
      <c r="R178" s="27"/>
      <c r="S178" s="27"/>
      <c r="U178" s="27"/>
      <c r="V178" s="27"/>
      <c r="W178" s="27"/>
      <c r="X178" s="27"/>
      <c r="Y178" s="27"/>
      <c r="Z178" s="27"/>
      <c r="AA178" s="27"/>
      <c r="AB178" s="27"/>
      <c r="AC178" s="74"/>
      <c r="AE178" s="27"/>
      <c r="AF178" s="27"/>
      <c r="AG178" s="27"/>
      <c r="AH178" s="27"/>
      <c r="AI178" s="27"/>
      <c r="AJ178" s="27"/>
      <c r="AK178" s="27"/>
      <c r="AL178" s="27"/>
      <c r="AM178" s="27"/>
      <c r="AN178" s="27"/>
      <c r="AO178" s="27"/>
      <c r="AP178" s="27"/>
      <c r="AQ178" s="27"/>
      <c r="AR178" s="27"/>
      <c r="AS178" s="27"/>
      <c r="AT178" s="27"/>
      <c r="AU178" s="27"/>
    </row>
    <row r="179" spans="2:47" x14ac:dyDescent="0.25">
      <c r="B179" s="118"/>
      <c r="C179" s="86" t="s">
        <v>104</v>
      </c>
      <c r="D179" s="87"/>
      <c r="E179" s="87"/>
      <c r="F179" s="88"/>
      <c r="G179" s="13" t="s">
        <v>21</v>
      </c>
      <c r="H179" s="13" t="s">
        <v>17</v>
      </c>
      <c r="I179" s="13" t="s">
        <v>17</v>
      </c>
      <c r="J179" s="13" t="s">
        <v>18</v>
      </c>
      <c r="K179" s="13" t="s">
        <v>17</v>
      </c>
      <c r="L179" s="13" t="s">
        <v>17</v>
      </c>
      <c r="M179" s="13" t="s">
        <v>17</v>
      </c>
      <c r="N179" s="13" t="s">
        <v>17</v>
      </c>
      <c r="P179" s="13" t="s">
        <v>17</v>
      </c>
      <c r="Q179" s="13" t="s">
        <v>18</v>
      </c>
      <c r="R179" s="13" t="s">
        <v>17</v>
      </c>
      <c r="S179" s="13" t="s">
        <v>139</v>
      </c>
      <c r="U179" s="13" t="s">
        <v>17</v>
      </c>
      <c r="V179" s="13" t="s">
        <v>17</v>
      </c>
      <c r="W179" s="13" t="s">
        <v>17</v>
      </c>
      <c r="X179" s="13" t="s">
        <v>17</v>
      </c>
      <c r="Y179" s="13" t="s">
        <v>17</v>
      </c>
      <c r="Z179" s="13" t="s">
        <v>17</v>
      </c>
      <c r="AA179" s="13" t="s">
        <v>17</v>
      </c>
      <c r="AB179" s="13" t="s">
        <v>17</v>
      </c>
      <c r="AC179" s="72"/>
      <c r="AE179" s="13" t="s">
        <v>17</v>
      </c>
      <c r="AF179" s="13" t="s">
        <v>17</v>
      </c>
      <c r="AG179" s="13" t="s">
        <v>17</v>
      </c>
      <c r="AH179" s="13" t="s">
        <v>17</v>
      </c>
      <c r="AI179" s="13" t="s">
        <v>17</v>
      </c>
      <c r="AJ179" s="13" t="s">
        <v>139</v>
      </c>
      <c r="AK179" s="13" t="s">
        <v>17</v>
      </c>
      <c r="AL179" s="13" t="s">
        <v>139</v>
      </c>
      <c r="AM179" s="13"/>
      <c r="AN179" s="13"/>
      <c r="AO179" s="13"/>
      <c r="AP179" s="13"/>
      <c r="AQ179" s="13" t="s">
        <v>139</v>
      </c>
      <c r="AR179" s="13" t="s">
        <v>139</v>
      </c>
      <c r="AS179" s="13" t="s">
        <v>139</v>
      </c>
      <c r="AT179" s="13" t="s">
        <v>139</v>
      </c>
      <c r="AU179" s="13" t="s">
        <v>139</v>
      </c>
    </row>
    <row r="180" spans="2:47" ht="15.75" hidden="1" customHeight="1" x14ac:dyDescent="0.3">
      <c r="B180" s="118"/>
      <c r="C180" s="89"/>
      <c r="D180" s="90"/>
      <c r="E180" s="90"/>
      <c r="F180" s="91"/>
      <c r="G180" s="27">
        <v>40179</v>
      </c>
      <c r="H180" s="27"/>
      <c r="I180" s="27"/>
      <c r="J180" s="27"/>
      <c r="K180" s="27" t="s">
        <v>293</v>
      </c>
      <c r="L180" s="27"/>
      <c r="M180" s="27"/>
      <c r="N180" s="27"/>
      <c r="P180" s="27"/>
      <c r="Q180" s="27"/>
      <c r="R180" s="27"/>
      <c r="S180" s="27"/>
      <c r="U180" s="27"/>
      <c r="V180" s="27"/>
      <c r="W180" s="27"/>
      <c r="X180" s="27"/>
      <c r="Y180" s="27"/>
      <c r="Z180" s="27"/>
      <c r="AA180" s="27"/>
      <c r="AB180" s="27"/>
      <c r="AC180" s="74"/>
      <c r="AE180" s="27"/>
      <c r="AF180" s="27"/>
      <c r="AG180" s="27"/>
      <c r="AH180" s="27"/>
      <c r="AI180" s="27"/>
      <c r="AJ180" s="27"/>
      <c r="AK180" s="27"/>
      <c r="AL180" s="27"/>
      <c r="AM180" s="27"/>
      <c r="AN180" s="27"/>
      <c r="AO180" s="27"/>
      <c r="AP180" s="27"/>
      <c r="AQ180" s="27"/>
      <c r="AR180" s="27"/>
      <c r="AS180" s="27"/>
      <c r="AT180" s="27"/>
      <c r="AU180" s="27"/>
    </row>
    <row r="181" spans="2:47" x14ac:dyDescent="0.25">
      <c r="B181" s="17" t="s">
        <v>61</v>
      </c>
      <c r="C181" s="18" t="s">
        <v>62</v>
      </c>
      <c r="D181" s="19">
        <f>COUNTA(C167:F180)</f>
        <v>7</v>
      </c>
      <c r="E181" s="19"/>
      <c r="F181" s="19"/>
      <c r="G181" s="20" t="str">
        <f>IF(ISBLANK(G167),"",IF((COUNTIF(G167:G180,"X"))/(COUNTIF(G167:G179,"x")+COUNTIF(G167:G179,"a")+COUNTIF(G167:G179,"t"))=1,_xlfn.UNICHAR(10003),(COUNTIF(G167:G180,"X"))/(COUNTIF(G167:G179,"x")+COUNTIF(G167:G179,"a")+COUNTIF(G167:G179,"t"))))</f>
        <v>✓</v>
      </c>
      <c r="H181" s="20" t="str">
        <f t="shared" ref="H181:AF181" si="236">IF(ISBLANK(H167),"",IF((COUNTIF(H167:H180,"X"))/(COUNTIF(H167:H179,"x")+COUNTIF(H167:H179,"a")+COUNTIF(H167:H179,"t"))=1,_xlfn.UNICHAR(10003),(COUNTIF(H167:H180,"X"))/(COUNTIF(H167:H179,"x")+COUNTIF(H167:H179,"a")+COUNTIF(H167:H179,"t"))))</f>
        <v>✓</v>
      </c>
      <c r="I181" s="20" t="str">
        <f t="shared" si="236"/>
        <v>✓</v>
      </c>
      <c r="J181" s="20">
        <f t="shared" si="236"/>
        <v>0.42857142857142855</v>
      </c>
      <c r="K181" s="20" t="str">
        <f t="shared" si="236"/>
        <v>✓</v>
      </c>
      <c r="L181" s="20" t="str">
        <f t="shared" si="236"/>
        <v>✓</v>
      </c>
      <c r="M181" s="20" t="str">
        <f t="shared" ref="M181:N181" si="237">IF(ISBLANK(M167),"",IF((COUNTIF(M167:M180,"X"))/$D181=1,_xlfn.UNICHAR(10003),(COUNTIF(M167:M180,"X"))/$D181))</f>
        <v>✓</v>
      </c>
      <c r="N181" s="20" t="str">
        <f t="shared" si="237"/>
        <v>✓</v>
      </c>
      <c r="P181" s="20" t="str">
        <f t="shared" si="236"/>
        <v>✓</v>
      </c>
      <c r="Q181" s="20">
        <f t="shared" ref="Q181" si="238">IF(ISBLANK(Q167),"",IF((COUNTIF(Q167:Q180,"X"))/$D181=1,_xlfn.UNICHAR(10003),(COUNTIF(Q167:Q180,"X"))/$D181))</f>
        <v>0.7142857142857143</v>
      </c>
      <c r="R181" s="20">
        <f t="shared" ref="R181:S181" si="239">IF(ISBLANK(R167),"",IF((COUNTIF(R167:R180,"X"))/$D181=1,_xlfn.UNICHAR(10003),(COUNTIF(R167:R180,"X"))/$D181))</f>
        <v>0.8571428571428571</v>
      </c>
      <c r="S181" s="20">
        <f t="shared" si="239"/>
        <v>0</v>
      </c>
      <c r="U181" s="20" t="str">
        <f t="shared" ref="U181:V181" si="240">IF(ISBLANK(U167),"",IF((COUNTIF(U167:U180,"X"))/$D181=1,_xlfn.UNICHAR(10003),(COUNTIF(U167:U180,"X"))/$D181))</f>
        <v>✓</v>
      </c>
      <c r="V181" s="20" t="str">
        <f t="shared" si="240"/>
        <v>✓</v>
      </c>
      <c r="W181" s="20" t="str">
        <f>IF(ISBLANK(W167),"",IF((COUNTIF(W167:W180,"X"))/$D181=1,_xlfn.UNICHAR(10003),(COUNTIF(W167:W180,"X"))/$D181))</f>
        <v>✓</v>
      </c>
      <c r="X181" s="20" t="str">
        <f>IF(ISBLANK(X167),"",IF((COUNTIF(X167:X180,"X"))/(COUNTIF(X167:X179,"x")+COUNTIF(X167:X179,"a")+COUNTIF(X167:X179,"t"))=1,_xlfn.UNICHAR(10003),(COUNTIF(X167:X180,"X"))/(COUNTIF(X167:X179,"x")+COUNTIF(X167:X179,"a")+COUNTIF(X167:X179,"t"))))</f>
        <v>✓</v>
      </c>
      <c r="Y181" s="20" t="str">
        <f t="shared" ref="Y181:AA181" si="241">IF(ISBLANK(Y167),"",IF((COUNTIF(Y167:Y180,"X"))/$D181=1,_xlfn.UNICHAR(10003),(COUNTIF(Y167:Y180,"X"))/$D181))</f>
        <v>✓</v>
      </c>
      <c r="Z181" s="20" t="str">
        <f t="shared" si="241"/>
        <v>✓</v>
      </c>
      <c r="AA181" s="20" t="str">
        <f t="shared" si="241"/>
        <v>✓</v>
      </c>
      <c r="AB181" s="20" t="str">
        <f>IF(ISBLANK(AB167),"",IF((COUNTIF(AB167:AB180,"X"))/(COUNTIF(AB167:AB179,"x")+COUNTIF(AB167:AB179,"a")+COUNTIF(AB167:AB179,"t"))=1,_xlfn.UNICHAR(10003),(COUNTIF(AB167:AB180,"X"))/(COUNTIF(AB167:AB179,"x")+COUNTIF(AB167:AB179,"a")+COUNTIF(AB167:AB179,"t"))))</f>
        <v>✓</v>
      </c>
      <c r="AC181" s="73"/>
      <c r="AE181" s="20" t="str">
        <f t="shared" si="236"/>
        <v>✓</v>
      </c>
      <c r="AF181" s="20" t="str">
        <f t="shared" si="236"/>
        <v>✓</v>
      </c>
      <c r="AG181" s="20" t="str">
        <f t="shared" ref="AG181:AI181" si="242">IF(ISBLANK(AG167),"",IF((COUNTIF(AG167:AG180,"X"))/$D181=1,_xlfn.UNICHAR(10003),(COUNTIF(AG167:AG180,"X"))/$D181))</f>
        <v>✓</v>
      </c>
      <c r="AH181" s="20" t="str">
        <f t="shared" si="242"/>
        <v>✓</v>
      </c>
      <c r="AI181" s="20">
        <f t="shared" si="242"/>
        <v>0.5714285714285714</v>
      </c>
      <c r="AJ181" s="20">
        <f t="shared" ref="AJ181" si="243">IF(ISBLANK(AJ167),"",IF((COUNTIF(AJ167:AJ180,"X"))/$D181=1,_xlfn.UNICHAR(10003),(COUNTIF(AJ167:AJ180,"X"))/$D181))</f>
        <v>0</v>
      </c>
      <c r="AK181" s="20" t="str">
        <f t="shared" ref="AK181:AL181" si="244">IF(ISBLANK(AK167),"",IF((COUNTIF(AK167:AK180,"X"))/$D181=1,_xlfn.UNICHAR(10003),(COUNTIF(AK167:AK180,"X"))/$D181))</f>
        <v>✓</v>
      </c>
      <c r="AL181" s="20">
        <f t="shared" si="244"/>
        <v>0.2857142857142857</v>
      </c>
      <c r="AM181" s="20"/>
      <c r="AN181" s="20"/>
      <c r="AO181" s="20"/>
      <c r="AP181" s="20" t="str">
        <f t="shared" ref="AP181:AR181" si="245">IF(ISBLANK(AP167),"",IF((COUNTIF(AP167:AP180,"X"))/$D181=1,_xlfn.UNICHAR(10003),(COUNTIF(AP167:AP180,"X"))/$D181))</f>
        <v/>
      </c>
      <c r="AQ181" s="20">
        <f t="shared" ref="AQ181" si="246">IF(ISBLANK(AQ167),"",IF((COUNTIF(AQ167:AQ180,"X"))/$D181=1,_xlfn.UNICHAR(10003),(COUNTIF(AQ167:AQ180,"X"))/$D181))</f>
        <v>0</v>
      </c>
      <c r="AR181" s="20">
        <f t="shared" si="245"/>
        <v>0</v>
      </c>
      <c r="AS181" s="20">
        <f t="shared" ref="AS181:AT181" si="247">IF(ISBLANK(AS167),"",IF((COUNTIF(AS167:AS180,"X"))/$D181=1,_xlfn.UNICHAR(10003),(COUNTIF(AS167:AS180,"X"))/$D181))</f>
        <v>0</v>
      </c>
      <c r="AT181" s="20">
        <f t="shared" si="247"/>
        <v>0</v>
      </c>
      <c r="AU181" s="20">
        <f t="shared" ref="AU181" si="248">IF(ISBLANK(AU167),"",IF((COUNTIF(AU167:AU180,"X"))/$D181=1,_xlfn.UNICHAR(10003),(COUNTIF(AU167:AU180,"X"))/$D181))</f>
        <v>0</v>
      </c>
    </row>
    <row r="183" spans="2:47" x14ac:dyDescent="0.25">
      <c r="B183" s="92" t="s">
        <v>105</v>
      </c>
      <c r="C183" s="86" t="s">
        <v>106</v>
      </c>
      <c r="D183" s="87"/>
      <c r="E183" s="87"/>
      <c r="F183" s="88"/>
      <c r="G183" s="13" t="s">
        <v>17</v>
      </c>
      <c r="H183" s="13" t="s">
        <v>17</v>
      </c>
      <c r="I183" s="13" t="s">
        <v>17</v>
      </c>
      <c r="J183" s="13" t="s">
        <v>17</v>
      </c>
      <c r="K183" s="13" t="s">
        <v>17</v>
      </c>
      <c r="L183" s="13" t="s">
        <v>17</v>
      </c>
      <c r="M183" s="13" t="s">
        <v>139</v>
      </c>
      <c r="N183" s="13" t="s">
        <v>139</v>
      </c>
      <c r="P183" s="13" t="s">
        <v>17</v>
      </c>
      <c r="Q183" s="13" t="s">
        <v>17</v>
      </c>
      <c r="R183" s="13" t="s">
        <v>17</v>
      </c>
      <c r="S183" s="13" t="s">
        <v>139</v>
      </c>
      <c r="U183" s="13" t="s">
        <v>17</v>
      </c>
      <c r="V183" s="13" t="s">
        <v>139</v>
      </c>
      <c r="W183" s="13" t="s">
        <v>139</v>
      </c>
      <c r="X183" s="13" t="s">
        <v>139</v>
      </c>
      <c r="Y183" s="13" t="s">
        <v>17</v>
      </c>
      <c r="Z183" s="13" t="s">
        <v>139</v>
      </c>
      <c r="AA183" s="13" t="s">
        <v>139</v>
      </c>
      <c r="AB183" s="13" t="s">
        <v>139</v>
      </c>
      <c r="AC183" s="72"/>
      <c r="AE183" s="13" t="s">
        <v>139</v>
      </c>
      <c r="AF183" s="13" t="s">
        <v>17</v>
      </c>
      <c r="AG183" s="13" t="s">
        <v>139</v>
      </c>
      <c r="AH183" s="13"/>
      <c r="AI183" s="13" t="s">
        <v>18</v>
      </c>
      <c r="AJ183" s="13" t="s">
        <v>139</v>
      </c>
      <c r="AK183" s="13"/>
      <c r="AL183" s="13"/>
      <c r="AM183" s="13"/>
      <c r="AN183" s="13"/>
      <c r="AO183" s="13"/>
      <c r="AP183" s="13"/>
      <c r="AQ183" s="13" t="s">
        <v>139</v>
      </c>
      <c r="AR183" s="13" t="s">
        <v>139</v>
      </c>
      <c r="AS183" s="13" t="s">
        <v>139</v>
      </c>
      <c r="AT183" s="13" t="s">
        <v>139</v>
      </c>
      <c r="AU183" s="13" t="s">
        <v>139</v>
      </c>
    </row>
    <row r="184" spans="2:47" ht="15.75" hidden="1" customHeight="1" x14ac:dyDescent="0.3">
      <c r="B184" s="93"/>
      <c r="C184" s="89"/>
      <c r="D184" s="90"/>
      <c r="E184" s="90"/>
      <c r="F184" s="91"/>
      <c r="G184" s="27">
        <v>40179</v>
      </c>
      <c r="H184" s="27"/>
      <c r="I184" s="27"/>
      <c r="J184" s="27"/>
      <c r="K184" s="27">
        <v>44470</v>
      </c>
      <c r="L184" s="27"/>
      <c r="M184" s="27"/>
      <c r="N184" s="27"/>
      <c r="P184" s="27"/>
      <c r="Q184" s="27"/>
      <c r="R184" s="27"/>
      <c r="S184" s="27"/>
      <c r="U184" s="27"/>
      <c r="V184" s="27"/>
      <c r="W184" s="27"/>
      <c r="X184" s="27"/>
      <c r="Y184" s="27"/>
      <c r="Z184" s="27"/>
      <c r="AA184" s="27"/>
      <c r="AB184" s="27"/>
      <c r="AC184" s="74"/>
      <c r="AE184" s="27"/>
      <c r="AF184" s="27"/>
      <c r="AG184" s="27"/>
      <c r="AH184" s="27"/>
      <c r="AI184" s="27"/>
      <c r="AJ184" s="27"/>
      <c r="AK184" s="27"/>
      <c r="AL184" s="27"/>
      <c r="AM184" s="27"/>
      <c r="AN184" s="27"/>
      <c r="AO184" s="27"/>
      <c r="AP184" s="27"/>
      <c r="AQ184" s="27"/>
      <c r="AR184" s="27"/>
      <c r="AS184" s="27"/>
      <c r="AT184" s="27"/>
      <c r="AU184" s="27"/>
    </row>
    <row r="185" spans="2:47" x14ac:dyDescent="0.25">
      <c r="B185" s="93"/>
      <c r="C185" s="86" t="s">
        <v>107</v>
      </c>
      <c r="D185" s="87"/>
      <c r="E185" s="87"/>
      <c r="F185" s="88"/>
      <c r="G185" s="13" t="s">
        <v>17</v>
      </c>
      <c r="H185" s="13" t="s">
        <v>17</v>
      </c>
      <c r="I185" s="13" t="s">
        <v>17</v>
      </c>
      <c r="J185" s="13" t="s">
        <v>17</v>
      </c>
      <c r="K185" s="13" t="s">
        <v>17</v>
      </c>
      <c r="L185" s="13" t="s">
        <v>17</v>
      </c>
      <c r="M185" s="13" t="s">
        <v>139</v>
      </c>
      <c r="N185" s="13" t="s">
        <v>139</v>
      </c>
      <c r="P185" s="13" t="s">
        <v>139</v>
      </c>
      <c r="Q185" s="13" t="s">
        <v>139</v>
      </c>
      <c r="R185" s="13" t="s">
        <v>139</v>
      </c>
      <c r="S185" s="13" t="s">
        <v>139</v>
      </c>
      <c r="U185" s="13" t="s">
        <v>139</v>
      </c>
      <c r="V185" s="13" t="s">
        <v>139</v>
      </c>
      <c r="W185" s="13" t="s">
        <v>139</v>
      </c>
      <c r="X185" s="13" t="s">
        <v>139</v>
      </c>
      <c r="Y185" s="13" t="s">
        <v>139</v>
      </c>
      <c r="Z185" s="13" t="s">
        <v>139</v>
      </c>
      <c r="AA185" s="13" t="s">
        <v>139</v>
      </c>
      <c r="AB185" s="13" t="s">
        <v>139</v>
      </c>
      <c r="AC185" s="72"/>
      <c r="AE185" s="13" t="s">
        <v>139</v>
      </c>
      <c r="AF185" s="13" t="s">
        <v>139</v>
      </c>
      <c r="AG185" s="13" t="s">
        <v>139</v>
      </c>
      <c r="AH185" s="13"/>
      <c r="AI185" s="13" t="s">
        <v>139</v>
      </c>
      <c r="AJ185" s="13" t="s">
        <v>139</v>
      </c>
      <c r="AK185" s="13"/>
      <c r="AL185" s="13"/>
      <c r="AM185" s="13"/>
      <c r="AN185" s="13"/>
      <c r="AO185" s="13"/>
      <c r="AP185" s="13"/>
      <c r="AQ185" s="13" t="s">
        <v>139</v>
      </c>
      <c r="AR185" s="13" t="s">
        <v>139</v>
      </c>
      <c r="AS185" s="13" t="s">
        <v>139</v>
      </c>
      <c r="AT185" s="13" t="s">
        <v>139</v>
      </c>
      <c r="AU185" s="13" t="s">
        <v>139</v>
      </c>
    </row>
    <row r="186" spans="2:47" ht="15.75" hidden="1" customHeight="1" x14ac:dyDescent="0.3">
      <c r="B186" s="115"/>
      <c r="C186" s="89"/>
      <c r="D186" s="90"/>
      <c r="E186" s="90"/>
      <c r="F186" s="91"/>
      <c r="G186" s="27">
        <v>40179</v>
      </c>
      <c r="H186" s="27"/>
      <c r="I186" s="27"/>
      <c r="J186" s="27"/>
      <c r="K186" s="27">
        <v>44470</v>
      </c>
      <c r="L186" s="27"/>
      <c r="M186" s="27"/>
      <c r="N186" s="27"/>
      <c r="P186" s="27"/>
      <c r="Q186" s="27"/>
      <c r="R186" s="27"/>
      <c r="S186" s="27"/>
      <c r="U186" s="27"/>
      <c r="V186" s="27"/>
      <c r="W186" s="27"/>
      <c r="X186" s="27"/>
      <c r="Y186" s="27"/>
      <c r="Z186" s="27"/>
      <c r="AA186" s="27"/>
      <c r="AB186" s="27"/>
      <c r="AC186" s="74"/>
      <c r="AE186" s="27"/>
      <c r="AF186" s="27"/>
      <c r="AG186" s="27"/>
      <c r="AH186" s="27"/>
      <c r="AI186" s="27"/>
      <c r="AJ186" s="27"/>
      <c r="AK186" s="27"/>
      <c r="AL186" s="27"/>
      <c r="AM186" s="27"/>
      <c r="AN186" s="27"/>
      <c r="AO186" s="27"/>
      <c r="AP186" s="27"/>
      <c r="AQ186" s="27"/>
      <c r="AR186" s="27"/>
      <c r="AS186" s="27"/>
      <c r="AT186" s="27"/>
      <c r="AU186" s="27"/>
    </row>
    <row r="187" spans="2:47" x14ac:dyDescent="0.25">
      <c r="B187" s="17" t="s">
        <v>61</v>
      </c>
      <c r="C187" s="18" t="s">
        <v>62</v>
      </c>
      <c r="D187" s="19">
        <f>COUNTA(C183:F186)</f>
        <v>2</v>
      </c>
      <c r="E187" s="19"/>
      <c r="F187" s="19"/>
      <c r="G187" s="20" t="str">
        <f>IF(ISBLANK(G183),"",IF((COUNTIF(G183:G186,"X"))/(COUNTIF(G183:G185,"x")+COUNTIF(G183:G185,"a")+COUNTIF(G183:G185,"t"))=1,_xlfn.UNICHAR(10003),(COUNTIF(G183:G186,"X"))/(COUNTIF(G183:G185,"x")+COUNTIF(G183:G185,"a")+COUNTIF(G183:G185,"t"))))</f>
        <v>✓</v>
      </c>
      <c r="H187" s="20" t="str">
        <f t="shared" ref="H187:AF187" si="249">IF(ISBLANK(H183),"",IF((COUNTIF(H183:H186,"X"))/(COUNTIF(H183:H185,"x")+COUNTIF(H183:H185,"a")+COUNTIF(H183:H185,"t"))=1,_xlfn.UNICHAR(10003),(COUNTIF(H183:H186,"X"))/(COUNTIF(H183:H185,"x")+COUNTIF(H183:H185,"a")+COUNTIF(H183:H185,"t"))))</f>
        <v>✓</v>
      </c>
      <c r="I187" s="20" t="str">
        <f t="shared" si="249"/>
        <v>✓</v>
      </c>
      <c r="J187" s="20" t="str">
        <f t="shared" si="249"/>
        <v>✓</v>
      </c>
      <c r="K187" s="20" t="str">
        <f t="shared" si="249"/>
        <v>✓</v>
      </c>
      <c r="L187" s="20" t="str">
        <f t="shared" si="249"/>
        <v>✓</v>
      </c>
      <c r="M187" s="20">
        <f t="shared" ref="M187:N187" si="250">IF(ISBLANK(M183),"",IF((COUNTIF(M183:M186,"X"))/$D187=1,_xlfn.UNICHAR(10003),(COUNTIF(M183:M186,"X"))/$D187))</f>
        <v>0</v>
      </c>
      <c r="N187" s="20">
        <f t="shared" si="250"/>
        <v>0</v>
      </c>
      <c r="P187" s="20">
        <f t="shared" si="249"/>
        <v>0.5</v>
      </c>
      <c r="Q187" s="20">
        <f t="shared" ref="Q187" si="251">IF(ISBLANK(Q183),"",IF((COUNTIF(Q183:Q186,"X"))/$D187=1,_xlfn.UNICHAR(10003),(COUNTIF(Q183:Q186,"X"))/$D187))</f>
        <v>0.5</v>
      </c>
      <c r="R187" s="20">
        <f t="shared" ref="R187:S187" si="252">IF(ISBLANK(R183),"",IF((COUNTIF(R183:R186,"X"))/$D187=1,_xlfn.UNICHAR(10003),(COUNTIF(R183:R186,"X"))/$D187))</f>
        <v>0.5</v>
      </c>
      <c r="S187" s="20">
        <f t="shared" si="252"/>
        <v>0</v>
      </c>
      <c r="U187" s="20">
        <f t="shared" ref="U187:V187" si="253">IF(ISBLANK(U183),"",IF((COUNTIF(U183:U186,"X"))/$D187=1,_xlfn.UNICHAR(10003),(COUNTIF(U183:U186,"X"))/$D187))</f>
        <v>0.5</v>
      </c>
      <c r="V187" s="20">
        <f t="shared" si="253"/>
        <v>0</v>
      </c>
      <c r="W187" s="20">
        <f>IF(ISBLANK(W183),"",IF((COUNTIF(W183:W186,"X"))/$D187=1,_xlfn.UNICHAR(10003),(COUNTIF(W183:W186,"X"))/$D187))</f>
        <v>0</v>
      </c>
      <c r="X187" s="20">
        <f>IF(ISBLANK(X183),"",IF((COUNTIF(X183:X186,"X"))/(COUNTIF(X183:X185,"x")+COUNTIF(X183:X185,"a")+COUNTIF(X183:X185,"t"))=1,_xlfn.UNICHAR(10003),(COUNTIF(X183:X186,"X"))/(COUNTIF(X183:X185,"x")+COUNTIF(X183:X185,"a")+COUNTIF(X183:X185,"t"))))</f>
        <v>0</v>
      </c>
      <c r="Y187" s="20">
        <f t="shared" ref="Y187:AA187" si="254">IF(ISBLANK(Y183),"",IF((COUNTIF(Y183:Y186,"X"))/$D187=1,_xlfn.UNICHAR(10003),(COUNTIF(Y183:Y186,"X"))/$D187))</f>
        <v>0.5</v>
      </c>
      <c r="Z187" s="20">
        <f t="shared" si="254"/>
        <v>0</v>
      </c>
      <c r="AA187" s="20">
        <f t="shared" si="254"/>
        <v>0</v>
      </c>
      <c r="AB187" s="20">
        <f>IF(ISBLANK(AB183),"",IF((COUNTIF(AB183:AB186,"X"))/(COUNTIF(AB183:AB185,"x")+COUNTIF(AB183:AB185,"a")+COUNTIF(AB183:AB185,"t"))=1,_xlfn.UNICHAR(10003),(COUNTIF(AB183:AB186,"X"))/(COUNTIF(AB183:AB185,"x")+COUNTIF(AB183:AB185,"a")+COUNTIF(AB183:AB185,"t"))))</f>
        <v>0</v>
      </c>
      <c r="AC187" s="73"/>
      <c r="AE187" s="20">
        <f t="shared" ref="AE187" si="255">IF(ISBLANK(AE183),"",IF((COUNTIF(AE183:AE186,"X"))/$D187=1,_xlfn.UNICHAR(10003),(COUNTIF(AE183:AE186,"X"))/$D187))</f>
        <v>0</v>
      </c>
      <c r="AF187" s="20">
        <f t="shared" si="249"/>
        <v>0.5</v>
      </c>
      <c r="AG187" s="20">
        <f t="shared" ref="AG187:AI187" si="256">IF(ISBLANK(AG183),"",IF((COUNTIF(AG183:AG186,"X"))/$D187=1,_xlfn.UNICHAR(10003),(COUNTIF(AG183:AG186,"X"))/$D187))</f>
        <v>0</v>
      </c>
      <c r="AH187" s="20" t="str">
        <f t="shared" si="256"/>
        <v/>
      </c>
      <c r="AI187" s="20">
        <f t="shared" si="256"/>
        <v>0</v>
      </c>
      <c r="AJ187" s="20">
        <f t="shared" ref="AJ187" si="257">IF(ISBLANK(AJ183),"",IF((COUNTIF(AJ183:AJ186,"X"))/$D187=1,_xlfn.UNICHAR(10003),(COUNTIF(AJ183:AJ186,"X"))/$D187))</f>
        <v>0</v>
      </c>
      <c r="AK187" s="20" t="str">
        <f t="shared" ref="AK187:AL187" si="258">IF(ISBLANK(AK183),"",IF((COUNTIF(AK183:AK186,"X"))/$D187=1,_xlfn.UNICHAR(10003),(COUNTIF(AK183:AK186,"X"))/$D187))</f>
        <v/>
      </c>
      <c r="AL187" s="20" t="str">
        <f t="shared" si="258"/>
        <v/>
      </c>
      <c r="AM187" s="20"/>
      <c r="AN187" s="20"/>
      <c r="AO187" s="20"/>
      <c r="AP187" s="20" t="str">
        <f t="shared" ref="AP187:AR187" si="259">IF(ISBLANK(AP183),"",IF((COUNTIF(AP183:AP186,"X"))/$D187=1,_xlfn.UNICHAR(10003),(COUNTIF(AP183:AP186,"X"))/$D187))</f>
        <v/>
      </c>
      <c r="AQ187" s="20">
        <f t="shared" ref="AQ187" si="260">IF(ISBLANK(AQ183),"",IF((COUNTIF(AQ183:AQ186,"X"))/$D187=1,_xlfn.UNICHAR(10003),(COUNTIF(AQ183:AQ186,"X"))/$D187))</f>
        <v>0</v>
      </c>
      <c r="AR187" s="20">
        <f t="shared" si="259"/>
        <v>0</v>
      </c>
      <c r="AS187" s="20">
        <f t="shared" ref="AS187:AT187" si="261">IF(ISBLANK(AS183),"",IF((COUNTIF(AS183:AS186,"X"))/$D187=1,_xlfn.UNICHAR(10003),(COUNTIF(AS183:AS186,"X"))/$D187))</f>
        <v>0</v>
      </c>
      <c r="AT187" s="20">
        <f t="shared" si="261"/>
        <v>0</v>
      </c>
      <c r="AU187" s="20">
        <f t="shared" ref="AU187" si="262">IF(ISBLANK(AU183),"",IF((COUNTIF(AU183:AU186,"X"))/$D187=1,_xlfn.UNICHAR(10003),(COUNTIF(AU183:AU186,"X"))/$D187))</f>
        <v>0</v>
      </c>
    </row>
    <row r="189" spans="2:47" x14ac:dyDescent="0.25">
      <c r="B189" s="92" t="s">
        <v>108</v>
      </c>
      <c r="C189" s="86" t="s">
        <v>109</v>
      </c>
      <c r="D189" s="87"/>
      <c r="E189" s="87"/>
      <c r="F189" s="88"/>
      <c r="G189" s="13" t="s">
        <v>17</v>
      </c>
      <c r="H189" s="13"/>
      <c r="I189" s="13"/>
      <c r="J189" s="13"/>
      <c r="K189" s="13"/>
      <c r="L189" s="13"/>
      <c r="M189" s="13"/>
      <c r="N189" s="13"/>
      <c r="P189" s="13"/>
      <c r="Q189" s="13" t="s">
        <v>17</v>
      </c>
      <c r="R189" s="13" t="s">
        <v>17</v>
      </c>
      <c r="S189" s="13" t="s">
        <v>139</v>
      </c>
      <c r="U189" s="13"/>
      <c r="V189" s="13"/>
      <c r="W189" s="13"/>
      <c r="X189" s="13"/>
      <c r="Y189" s="13"/>
      <c r="Z189" s="13"/>
      <c r="AA189" s="13"/>
      <c r="AB189" s="13"/>
      <c r="AC189" s="72"/>
      <c r="AE189" s="13"/>
      <c r="AF189" s="13" t="s">
        <v>17</v>
      </c>
      <c r="AG189" s="13"/>
      <c r="AH189" s="13" t="s">
        <v>139</v>
      </c>
      <c r="AI189" s="13"/>
      <c r="AJ189" s="13"/>
      <c r="AK189" s="13"/>
      <c r="AL189" s="13"/>
      <c r="AM189" s="13"/>
      <c r="AN189" s="13"/>
      <c r="AO189" s="13"/>
      <c r="AP189" s="13"/>
      <c r="AQ189" s="13" t="s">
        <v>139</v>
      </c>
      <c r="AR189" s="13"/>
      <c r="AS189" s="13"/>
      <c r="AT189" s="13"/>
      <c r="AU189" s="13"/>
    </row>
    <row r="190" spans="2:47" ht="15.75" hidden="1" customHeight="1" x14ac:dyDescent="0.3">
      <c r="B190" s="93"/>
      <c r="C190" s="89"/>
      <c r="D190" s="90"/>
      <c r="E190" s="90"/>
      <c r="F190" s="91"/>
      <c r="G190" s="27">
        <v>40179</v>
      </c>
      <c r="H190" s="27"/>
      <c r="I190" s="27"/>
      <c r="J190" s="27"/>
      <c r="K190" s="27"/>
      <c r="L190" s="27"/>
      <c r="M190" s="27"/>
      <c r="N190" s="27"/>
      <c r="P190" s="27"/>
      <c r="Q190" s="27"/>
      <c r="R190" s="27"/>
      <c r="S190" s="27"/>
      <c r="U190" s="27"/>
      <c r="V190" s="27"/>
      <c r="W190" s="27"/>
      <c r="X190" s="27"/>
      <c r="Y190" s="27"/>
      <c r="Z190" s="27"/>
      <c r="AA190" s="27"/>
      <c r="AB190" s="27"/>
      <c r="AC190" s="74"/>
      <c r="AE190" s="27"/>
      <c r="AF190" s="27"/>
      <c r="AG190" s="27"/>
      <c r="AH190" s="27"/>
      <c r="AI190" s="27"/>
      <c r="AJ190" s="27"/>
      <c r="AK190" s="27"/>
      <c r="AL190" s="27"/>
      <c r="AM190" s="27"/>
      <c r="AN190" s="27"/>
      <c r="AO190" s="27"/>
      <c r="AP190" s="27"/>
      <c r="AQ190" s="27"/>
      <c r="AR190" s="27"/>
      <c r="AS190" s="27"/>
      <c r="AT190" s="27"/>
      <c r="AU190" s="27"/>
    </row>
    <row r="191" spans="2:47" x14ac:dyDescent="0.25">
      <c r="B191" s="93"/>
      <c r="C191" s="86" t="s">
        <v>110</v>
      </c>
      <c r="D191" s="87"/>
      <c r="E191" s="87"/>
      <c r="F191" s="88"/>
      <c r="G191" s="13" t="s">
        <v>17</v>
      </c>
      <c r="H191" s="13"/>
      <c r="I191" s="13"/>
      <c r="J191" s="13"/>
      <c r="K191" s="13"/>
      <c r="L191" s="13"/>
      <c r="M191" s="13"/>
      <c r="N191" s="13"/>
      <c r="P191" s="13"/>
      <c r="Q191" s="13" t="s">
        <v>17</v>
      </c>
      <c r="R191" s="13" t="s">
        <v>17</v>
      </c>
      <c r="S191" s="13" t="s">
        <v>139</v>
      </c>
      <c r="U191" s="13"/>
      <c r="V191" s="13"/>
      <c r="W191" s="13"/>
      <c r="X191" s="13"/>
      <c r="Y191" s="13"/>
      <c r="Z191" s="13"/>
      <c r="AA191" s="13"/>
      <c r="AB191" s="13"/>
      <c r="AC191" s="72"/>
      <c r="AE191" s="13"/>
      <c r="AF191" s="13" t="s">
        <v>17</v>
      </c>
      <c r="AG191" s="13"/>
      <c r="AH191" s="13" t="s">
        <v>139</v>
      </c>
      <c r="AI191" s="13"/>
      <c r="AJ191" s="13"/>
      <c r="AK191" s="13"/>
      <c r="AL191" s="13"/>
      <c r="AM191" s="13"/>
      <c r="AN191" s="13"/>
      <c r="AO191" s="13"/>
      <c r="AP191" s="13"/>
      <c r="AQ191" s="13" t="s">
        <v>139</v>
      </c>
      <c r="AR191" s="13"/>
      <c r="AS191" s="13"/>
      <c r="AT191" s="13"/>
      <c r="AU191" s="13"/>
    </row>
    <row r="192" spans="2:47" ht="15.75" hidden="1" customHeight="1" x14ac:dyDescent="0.3">
      <c r="B192" s="115"/>
      <c r="C192" s="89"/>
      <c r="D192" s="90"/>
      <c r="E192" s="90"/>
      <c r="F192" s="91"/>
      <c r="G192" s="27">
        <v>40179</v>
      </c>
      <c r="H192" s="27"/>
      <c r="I192" s="27"/>
      <c r="J192" s="27"/>
      <c r="K192" s="27"/>
      <c r="L192" s="27"/>
      <c r="M192" s="27"/>
      <c r="N192" s="27"/>
      <c r="P192" s="27"/>
      <c r="Q192" s="27"/>
      <c r="R192" s="27"/>
      <c r="S192" s="27"/>
      <c r="U192" s="27"/>
      <c r="V192" s="27"/>
      <c r="W192" s="27"/>
      <c r="X192" s="27"/>
      <c r="Y192" s="27"/>
      <c r="Z192" s="27"/>
      <c r="AA192" s="27"/>
      <c r="AB192" s="27"/>
      <c r="AC192" s="74"/>
      <c r="AE192" s="27"/>
      <c r="AF192" s="27"/>
      <c r="AG192" s="27"/>
      <c r="AH192" s="27"/>
      <c r="AI192" s="27"/>
      <c r="AJ192" s="27"/>
      <c r="AK192" s="27"/>
      <c r="AL192" s="27"/>
      <c r="AM192" s="27"/>
      <c r="AN192" s="27"/>
      <c r="AO192" s="27"/>
      <c r="AP192" s="27"/>
      <c r="AQ192" s="27"/>
      <c r="AR192" s="27"/>
      <c r="AS192" s="27"/>
      <c r="AT192" s="27"/>
      <c r="AU192" s="27"/>
    </row>
    <row r="193" spans="2:47" x14ac:dyDescent="0.25">
      <c r="B193" s="17" t="s">
        <v>61</v>
      </c>
      <c r="C193" s="18" t="s">
        <v>62</v>
      </c>
      <c r="D193" s="19">
        <f>COUNTA(C189:F192)</f>
        <v>2</v>
      </c>
      <c r="E193" s="19"/>
      <c r="F193" s="19"/>
      <c r="G193" s="20" t="str">
        <f>IF(ISBLANK(G189),"",IF((COUNTIF(G189:G192,"X"))/(COUNTIF(G189:G191,"x")+COUNTIF(G189:G191,"a")+COUNTIF(G189:G191,"t"))=1,_xlfn.UNICHAR(10003),(COUNTIF(G189:G192,"X"))/(COUNTIF(G189:G191,"x")+COUNTIF(G189:G191,"a")+COUNTIF(G189:G191,"t"))))</f>
        <v>✓</v>
      </c>
      <c r="H193" s="20" t="str">
        <f t="shared" ref="H193:AF193" si="263">IF(ISBLANK(H189),"",IF((COUNTIF(H189:H192,"X"))/(COUNTIF(H189:H191,"x")+COUNTIF(H189:H191,"a")+COUNTIF(H189:H191,"t"))=1,_xlfn.UNICHAR(10003),(COUNTIF(H189:H192,"X"))/(COUNTIF(H189:H191,"x")+COUNTIF(H189:H191,"a")+COUNTIF(H189:H191,"t"))))</f>
        <v/>
      </c>
      <c r="I193" s="20" t="str">
        <f t="shared" si="263"/>
        <v/>
      </c>
      <c r="J193" s="20" t="str">
        <f t="shared" si="263"/>
        <v/>
      </c>
      <c r="K193" s="20" t="str">
        <f t="shared" si="263"/>
        <v/>
      </c>
      <c r="L193" s="20" t="str">
        <f t="shared" si="263"/>
        <v/>
      </c>
      <c r="M193" s="20" t="str">
        <f t="shared" ref="M193:N193" si="264">IF(ISBLANK(M189),"",IF((COUNTIF(M189:M192,"X"))/$D193=1,_xlfn.UNICHAR(10003),(COUNTIF(M189:M192,"X"))/$D193))</f>
        <v/>
      </c>
      <c r="N193" s="20" t="str">
        <f t="shared" si="264"/>
        <v/>
      </c>
      <c r="P193" s="20" t="str">
        <f t="shared" si="263"/>
        <v/>
      </c>
      <c r="Q193" s="20" t="str">
        <f t="shared" ref="Q193" si="265">IF(ISBLANK(Q189),"",IF((COUNTIF(Q189:Q192,"X"))/$D193=1,_xlfn.UNICHAR(10003),(COUNTIF(Q189:Q192,"X"))/$D193))</f>
        <v>✓</v>
      </c>
      <c r="R193" s="20" t="str">
        <f t="shared" ref="R193:S193" si="266">IF(ISBLANK(R189),"",IF((COUNTIF(R189:R192,"X"))/$D193=1,_xlfn.UNICHAR(10003),(COUNTIF(R189:R192,"X"))/$D193))</f>
        <v>✓</v>
      </c>
      <c r="S193" s="20">
        <f t="shared" si="266"/>
        <v>0</v>
      </c>
      <c r="U193" s="20" t="str">
        <f t="shared" ref="U193:V193" si="267">IF(ISBLANK(U189),"",IF((COUNTIF(U189:U192,"X"))/$D193=1,_xlfn.UNICHAR(10003),(COUNTIF(U189:U192,"X"))/$D193))</f>
        <v/>
      </c>
      <c r="V193" s="20" t="str">
        <f t="shared" si="267"/>
        <v/>
      </c>
      <c r="W193" s="20" t="str">
        <f>IF(ISBLANK(W189),"",IF((COUNTIF(W189:W192,"X"))/$D193=1,_xlfn.UNICHAR(10003),(COUNTIF(W189:W192,"X"))/$D193))</f>
        <v/>
      </c>
      <c r="X193" s="20" t="str">
        <f>IF(ISBLANK(X189),"",IF((COUNTIF(X189:X192,"X"))/(COUNTIF(X189:X191,"x")+COUNTIF(X189:X191,"a")+COUNTIF(X189:X191,"t"))=1,_xlfn.UNICHAR(10003),(COUNTIF(X189:X192,"X"))/(COUNTIF(X189:X191,"x")+COUNTIF(X189:X191,"a")+COUNTIF(X189:X191,"t"))))</f>
        <v/>
      </c>
      <c r="Y193" s="20" t="str">
        <f t="shared" ref="Y193:AA193" si="268">IF(ISBLANK(Y189),"",IF((COUNTIF(Y189:Y192,"X"))/$D193=1,_xlfn.UNICHAR(10003),(COUNTIF(Y189:Y192,"X"))/$D193))</f>
        <v/>
      </c>
      <c r="Z193" s="20" t="str">
        <f t="shared" si="268"/>
        <v/>
      </c>
      <c r="AA193" s="20" t="str">
        <f t="shared" si="268"/>
        <v/>
      </c>
      <c r="AB193" s="20" t="str">
        <f>IF(ISBLANK(AB189),"",IF((COUNTIF(AB189:AB192,"X"))/(COUNTIF(AB189:AB191,"x")+COUNTIF(AB189:AB191,"a")+COUNTIF(AB189:AB191,"t"))=1,_xlfn.UNICHAR(10003),(COUNTIF(AB189:AB192,"X"))/(COUNTIF(AB189:AB191,"x")+COUNTIF(AB189:AB191,"a")+COUNTIF(AB189:AB191,"t"))))</f>
        <v/>
      </c>
      <c r="AC193" s="73"/>
      <c r="AE193" s="20" t="str">
        <f t="shared" ref="AE193" si="269">IF(ISBLANK(AE189),"",IF((COUNTIF(AE189:AE192,"X"))/$D193=1,_xlfn.UNICHAR(10003),(COUNTIF(AE189:AE192,"X"))/$D193))</f>
        <v/>
      </c>
      <c r="AF193" s="20" t="str">
        <f t="shared" si="263"/>
        <v>✓</v>
      </c>
      <c r="AG193" s="20" t="str">
        <f t="shared" ref="AG193:AI193" si="270">IF(ISBLANK(AG189),"",IF((COUNTIF(AG189:AG192,"X"))/$D193=1,_xlfn.UNICHAR(10003),(COUNTIF(AG189:AG192,"X"))/$D193))</f>
        <v/>
      </c>
      <c r="AH193" s="20">
        <f t="shared" si="270"/>
        <v>0</v>
      </c>
      <c r="AI193" s="20" t="str">
        <f t="shared" si="270"/>
        <v/>
      </c>
      <c r="AJ193" s="20" t="str">
        <f t="shared" ref="AJ193" si="271">IF(ISBLANK(AJ189),"",IF((COUNTIF(AJ189:AJ192,"X"))/$D193=1,_xlfn.UNICHAR(10003),(COUNTIF(AJ189:AJ192,"X"))/$D193))</f>
        <v/>
      </c>
      <c r="AK193" s="20" t="str">
        <f t="shared" ref="AK193:AL193" si="272">IF(ISBLANK(AK189),"",IF((COUNTIF(AK189:AK192,"X"))/$D193=1,_xlfn.UNICHAR(10003),(COUNTIF(AK189:AK192,"X"))/$D193))</f>
        <v/>
      </c>
      <c r="AL193" s="20" t="str">
        <f t="shared" si="272"/>
        <v/>
      </c>
      <c r="AM193" s="20"/>
      <c r="AN193" s="20"/>
      <c r="AO193" s="20"/>
      <c r="AP193" s="20" t="str">
        <f t="shared" ref="AP193:AR193" si="273">IF(ISBLANK(AP189),"",IF((COUNTIF(AP189:AP192,"X"))/$D193=1,_xlfn.UNICHAR(10003),(COUNTIF(AP189:AP192,"X"))/$D193))</f>
        <v/>
      </c>
      <c r="AQ193" s="20">
        <f t="shared" ref="AQ193" si="274">IF(ISBLANK(AQ189),"",IF((COUNTIF(AQ189:AQ192,"X"))/$D193=1,_xlfn.UNICHAR(10003),(COUNTIF(AQ189:AQ192,"X"))/$D193))</f>
        <v>0</v>
      </c>
      <c r="AR193" s="20" t="str">
        <f t="shared" si="273"/>
        <v/>
      </c>
      <c r="AS193" s="20" t="str">
        <f t="shared" ref="AS193:AT193" si="275">IF(ISBLANK(AS189),"",IF((COUNTIF(AS189:AS192,"X"))/$D193=1,_xlfn.UNICHAR(10003),(COUNTIF(AS189:AS192,"X"))/$D193))</f>
        <v/>
      </c>
      <c r="AT193" s="20" t="str">
        <f t="shared" si="275"/>
        <v/>
      </c>
      <c r="AU193" s="20" t="str">
        <f t="shared" ref="AU193" si="276">IF(ISBLANK(AU189),"",IF((COUNTIF(AU189:AU192,"X"))/$D193=1,_xlfn.UNICHAR(10003),(COUNTIF(AU189:AU192,"X"))/$D193))</f>
        <v/>
      </c>
    </row>
    <row r="195" spans="2:47" x14ac:dyDescent="0.25">
      <c r="B195" s="92" t="s">
        <v>13</v>
      </c>
      <c r="C195" s="86" t="s">
        <v>135</v>
      </c>
      <c r="D195" s="87"/>
      <c r="E195" s="87"/>
      <c r="F195" s="88"/>
      <c r="G195" s="13" t="s">
        <v>17</v>
      </c>
      <c r="H195" s="13" t="s">
        <v>17</v>
      </c>
      <c r="I195" s="13" t="s">
        <v>17</v>
      </c>
      <c r="J195" s="13" t="s">
        <v>139</v>
      </c>
      <c r="K195" s="13" t="s">
        <v>17</v>
      </c>
      <c r="L195" s="13" t="s">
        <v>17</v>
      </c>
      <c r="M195" s="13" t="s">
        <v>139</v>
      </c>
      <c r="N195" s="13" t="s">
        <v>17</v>
      </c>
      <c r="P195" s="13"/>
      <c r="Q195" s="13"/>
      <c r="R195" s="13"/>
      <c r="S195" s="13"/>
      <c r="U195" s="13" t="s">
        <v>17</v>
      </c>
      <c r="V195" s="13" t="s">
        <v>17</v>
      </c>
      <c r="W195" s="13" t="s">
        <v>139</v>
      </c>
      <c r="X195" s="13" t="s">
        <v>17</v>
      </c>
      <c r="Y195" s="13" t="s">
        <v>18</v>
      </c>
      <c r="Z195" s="13" t="s">
        <v>139</v>
      </c>
      <c r="AA195" s="13" t="s">
        <v>17</v>
      </c>
      <c r="AB195" s="13" t="s">
        <v>139</v>
      </c>
      <c r="AC195" s="72"/>
      <c r="AE195" s="13" t="s">
        <v>139</v>
      </c>
      <c r="AF195" s="13" t="s">
        <v>17</v>
      </c>
      <c r="AG195" s="13" t="s">
        <v>139</v>
      </c>
      <c r="AH195" s="13"/>
      <c r="AI195" s="13" t="s">
        <v>139</v>
      </c>
      <c r="AJ195" s="13" t="s">
        <v>139</v>
      </c>
      <c r="AK195" s="13"/>
      <c r="AL195" s="13"/>
      <c r="AM195" s="13"/>
      <c r="AN195" s="13"/>
      <c r="AO195" s="13"/>
      <c r="AP195" s="13"/>
      <c r="AQ195" s="13"/>
      <c r="AR195" s="13" t="s">
        <v>139</v>
      </c>
      <c r="AS195" s="13" t="s">
        <v>139</v>
      </c>
      <c r="AT195" s="13" t="s">
        <v>139</v>
      </c>
      <c r="AU195" s="13" t="s">
        <v>139</v>
      </c>
    </row>
    <row r="196" spans="2:47" ht="15.75" hidden="1" customHeight="1" x14ac:dyDescent="0.3">
      <c r="B196" s="93"/>
      <c r="C196" s="89"/>
      <c r="D196" s="90"/>
      <c r="E196" s="90"/>
      <c r="F196" s="91"/>
      <c r="G196" s="27">
        <v>40179</v>
      </c>
      <c r="H196" s="27">
        <v>40179</v>
      </c>
      <c r="I196" s="27">
        <v>40179</v>
      </c>
      <c r="J196" s="27">
        <v>40179</v>
      </c>
      <c r="K196" s="27">
        <v>43709</v>
      </c>
      <c r="L196" s="27">
        <v>40179</v>
      </c>
      <c r="M196" s="27"/>
      <c r="N196" s="27"/>
      <c r="P196" s="27"/>
      <c r="Q196" s="27"/>
      <c r="R196" s="27"/>
      <c r="S196" s="27"/>
      <c r="U196" s="27"/>
      <c r="V196" s="27"/>
      <c r="W196" s="27"/>
      <c r="X196" s="27"/>
      <c r="Y196" s="27"/>
      <c r="Z196" s="27"/>
      <c r="AA196" s="27"/>
      <c r="AB196" s="27"/>
      <c r="AC196" s="74"/>
      <c r="AE196" s="27"/>
      <c r="AF196" s="27"/>
      <c r="AG196" s="27"/>
      <c r="AH196" s="27"/>
      <c r="AI196" s="27"/>
      <c r="AJ196" s="27"/>
      <c r="AK196" s="27"/>
      <c r="AL196" s="27"/>
      <c r="AM196" s="27"/>
      <c r="AN196" s="27"/>
      <c r="AO196" s="27"/>
      <c r="AP196" s="27"/>
      <c r="AQ196" s="27"/>
      <c r="AR196" s="27"/>
      <c r="AS196" s="27"/>
      <c r="AT196" s="27"/>
      <c r="AU196" s="27"/>
    </row>
    <row r="197" spans="2:47" x14ac:dyDescent="0.25">
      <c r="B197" s="93"/>
      <c r="C197" s="86" t="s">
        <v>136</v>
      </c>
      <c r="D197" s="87"/>
      <c r="E197" s="87"/>
      <c r="F197" s="88"/>
      <c r="G197" s="13" t="s">
        <v>17</v>
      </c>
      <c r="H197" s="13" t="s">
        <v>17</v>
      </c>
      <c r="I197" s="13" t="s">
        <v>17</v>
      </c>
      <c r="J197" s="13" t="s">
        <v>139</v>
      </c>
      <c r="K197" s="13" t="s">
        <v>17</v>
      </c>
      <c r="L197" s="13" t="s">
        <v>17</v>
      </c>
      <c r="M197" s="13" t="s">
        <v>139</v>
      </c>
      <c r="N197" s="13" t="s">
        <v>17</v>
      </c>
      <c r="P197" s="13"/>
      <c r="Q197" s="13"/>
      <c r="R197" s="13"/>
      <c r="S197" s="13"/>
      <c r="U197" s="13" t="s">
        <v>17</v>
      </c>
      <c r="V197" s="13" t="s">
        <v>139</v>
      </c>
      <c r="W197" s="13" t="s">
        <v>139</v>
      </c>
      <c r="X197" s="13" t="s">
        <v>18</v>
      </c>
      <c r="Y197" s="13" t="s">
        <v>18</v>
      </c>
      <c r="Z197" s="13" t="s">
        <v>139</v>
      </c>
      <c r="AA197" s="13" t="s">
        <v>139</v>
      </c>
      <c r="AB197" s="13" t="s">
        <v>139</v>
      </c>
      <c r="AC197" s="72"/>
      <c r="AE197" s="13" t="s">
        <v>139</v>
      </c>
      <c r="AF197" s="13" t="s">
        <v>17</v>
      </c>
      <c r="AG197" s="13" t="s">
        <v>139</v>
      </c>
      <c r="AH197" s="13"/>
      <c r="AI197" s="13" t="s">
        <v>139</v>
      </c>
      <c r="AJ197" s="13" t="s">
        <v>139</v>
      </c>
      <c r="AK197" s="13"/>
      <c r="AL197" s="13"/>
      <c r="AM197" s="13"/>
      <c r="AN197" s="13"/>
      <c r="AO197" s="13"/>
      <c r="AP197" s="13"/>
      <c r="AQ197" s="13"/>
      <c r="AR197" s="13" t="s">
        <v>139</v>
      </c>
      <c r="AS197" s="13" t="s">
        <v>139</v>
      </c>
      <c r="AT197" s="13" t="s">
        <v>139</v>
      </c>
      <c r="AU197" s="13" t="s">
        <v>139</v>
      </c>
    </row>
    <row r="198" spans="2:47" ht="15.75" hidden="1" customHeight="1" x14ac:dyDescent="0.3">
      <c r="B198" s="93"/>
      <c r="C198" s="89"/>
      <c r="D198" s="90"/>
      <c r="E198" s="90"/>
      <c r="F198" s="91"/>
      <c r="G198" s="27">
        <v>40179</v>
      </c>
      <c r="H198" s="27">
        <v>40179</v>
      </c>
      <c r="I198" s="27">
        <v>40179</v>
      </c>
      <c r="J198" s="27">
        <v>40179</v>
      </c>
      <c r="K198" s="27">
        <v>43709</v>
      </c>
      <c r="L198" s="27">
        <v>40179</v>
      </c>
      <c r="M198" s="27"/>
      <c r="N198" s="27"/>
      <c r="P198" s="27"/>
      <c r="Q198" s="27"/>
      <c r="R198" s="27"/>
      <c r="S198" s="27"/>
      <c r="U198" s="27"/>
      <c r="V198" s="27"/>
      <c r="W198" s="27"/>
      <c r="X198" s="27"/>
      <c r="Y198" s="27"/>
      <c r="Z198" s="27"/>
      <c r="AA198" s="27"/>
      <c r="AB198" s="27"/>
      <c r="AC198" s="74"/>
      <c r="AE198" s="27"/>
      <c r="AF198" s="27"/>
      <c r="AG198" s="27"/>
      <c r="AH198" s="27"/>
      <c r="AI198" s="27"/>
      <c r="AJ198" s="27"/>
      <c r="AK198" s="27"/>
      <c r="AL198" s="27"/>
      <c r="AM198" s="27"/>
      <c r="AN198" s="27"/>
      <c r="AO198" s="27"/>
      <c r="AP198" s="27"/>
      <c r="AQ198" s="27"/>
      <c r="AR198" s="27"/>
      <c r="AS198" s="27"/>
      <c r="AT198" s="27"/>
      <c r="AU198" s="27"/>
    </row>
    <row r="199" spans="2:47" x14ac:dyDescent="0.25">
      <c r="B199" s="93"/>
      <c r="C199" s="86" t="s">
        <v>137</v>
      </c>
      <c r="D199" s="87"/>
      <c r="E199" s="87"/>
      <c r="F199" s="88"/>
      <c r="G199" s="13" t="s">
        <v>17</v>
      </c>
      <c r="H199" s="13" t="s">
        <v>17</v>
      </c>
      <c r="I199" s="13" t="s">
        <v>17</v>
      </c>
      <c r="J199" s="13" t="s">
        <v>139</v>
      </c>
      <c r="K199" s="13" t="s">
        <v>17</v>
      </c>
      <c r="L199" s="13" t="s">
        <v>17</v>
      </c>
      <c r="M199" s="13" t="s">
        <v>139</v>
      </c>
      <c r="N199" s="13" t="s">
        <v>17</v>
      </c>
      <c r="P199" s="13"/>
      <c r="Q199" s="13"/>
      <c r="R199" s="13"/>
      <c r="S199" s="13"/>
      <c r="U199" s="13" t="s">
        <v>17</v>
      </c>
      <c r="V199" s="13" t="s">
        <v>17</v>
      </c>
      <c r="W199" s="13" t="s">
        <v>18</v>
      </c>
      <c r="X199" s="13" t="s">
        <v>17</v>
      </c>
      <c r="Y199" s="13" t="s">
        <v>17</v>
      </c>
      <c r="Z199" s="13" t="s">
        <v>17</v>
      </c>
      <c r="AA199" s="13" t="s">
        <v>17</v>
      </c>
      <c r="AB199" s="13" t="s">
        <v>139</v>
      </c>
      <c r="AC199" s="72"/>
      <c r="AE199" s="13" t="s">
        <v>139</v>
      </c>
      <c r="AF199" s="13" t="s">
        <v>17</v>
      </c>
      <c r="AG199" s="13" t="s">
        <v>139</v>
      </c>
      <c r="AH199" s="13"/>
      <c r="AI199" s="13" t="s">
        <v>139</v>
      </c>
      <c r="AJ199" s="13" t="s">
        <v>139</v>
      </c>
      <c r="AK199" s="13"/>
      <c r="AL199" s="13"/>
      <c r="AM199" s="13"/>
      <c r="AN199" s="13"/>
      <c r="AO199" s="13"/>
      <c r="AP199" s="13"/>
      <c r="AQ199" s="13"/>
      <c r="AR199" s="13" t="s">
        <v>139</v>
      </c>
      <c r="AS199" s="13" t="s">
        <v>139</v>
      </c>
      <c r="AT199" s="13" t="s">
        <v>139</v>
      </c>
      <c r="AU199" s="13" t="s">
        <v>139</v>
      </c>
    </row>
    <row r="200" spans="2:47" ht="15.75" hidden="1" customHeight="1" x14ac:dyDescent="0.3">
      <c r="B200" s="93"/>
      <c r="C200" s="89"/>
      <c r="D200" s="90"/>
      <c r="E200" s="90"/>
      <c r="F200" s="91"/>
      <c r="G200" s="27">
        <v>40179</v>
      </c>
      <c r="H200" s="27">
        <v>40179</v>
      </c>
      <c r="I200" s="27">
        <v>40179</v>
      </c>
      <c r="J200" s="27">
        <v>40179</v>
      </c>
      <c r="K200" s="27">
        <v>43709</v>
      </c>
      <c r="L200" s="27">
        <v>40179</v>
      </c>
      <c r="M200" s="27"/>
      <c r="N200" s="27"/>
      <c r="P200" s="27"/>
      <c r="Q200" s="27"/>
      <c r="R200" s="27"/>
      <c r="S200" s="27"/>
      <c r="U200" s="27"/>
      <c r="V200" s="27"/>
      <c r="W200" s="27"/>
      <c r="X200" s="27"/>
      <c r="Y200" s="27"/>
      <c r="Z200" s="27"/>
      <c r="AA200" s="27"/>
      <c r="AB200" s="27"/>
      <c r="AC200" s="74"/>
      <c r="AE200" s="27"/>
      <c r="AF200" s="27"/>
      <c r="AG200" s="27"/>
      <c r="AH200" s="27"/>
      <c r="AI200" s="27"/>
      <c r="AJ200" s="27"/>
      <c r="AK200" s="27"/>
      <c r="AL200" s="27"/>
      <c r="AM200" s="27"/>
      <c r="AN200" s="27"/>
      <c r="AO200" s="27"/>
      <c r="AP200" s="27"/>
      <c r="AQ200" s="27"/>
      <c r="AR200" s="27"/>
      <c r="AS200" s="27"/>
      <c r="AT200" s="27"/>
      <c r="AU200" s="27"/>
    </row>
    <row r="201" spans="2:47" x14ac:dyDescent="0.25">
      <c r="B201" s="93"/>
      <c r="C201" s="86" t="s">
        <v>138</v>
      </c>
      <c r="D201" s="87"/>
      <c r="E201" s="87"/>
      <c r="F201" s="88"/>
      <c r="G201" s="13" t="s">
        <v>17</v>
      </c>
      <c r="H201" s="13" t="s">
        <v>17</v>
      </c>
      <c r="I201" s="13" t="s">
        <v>17</v>
      </c>
      <c r="J201" s="13" t="s">
        <v>139</v>
      </c>
      <c r="K201" s="13" t="s">
        <v>17</v>
      </c>
      <c r="L201" s="13" t="s">
        <v>17</v>
      </c>
      <c r="M201" s="13" t="s">
        <v>139</v>
      </c>
      <c r="N201" s="13" t="s">
        <v>17</v>
      </c>
      <c r="P201" s="13"/>
      <c r="Q201" s="13"/>
      <c r="R201" s="13"/>
      <c r="S201" s="13"/>
      <c r="U201" s="13" t="s">
        <v>17</v>
      </c>
      <c r="V201" s="13" t="s">
        <v>17</v>
      </c>
      <c r="W201" s="13" t="s">
        <v>139</v>
      </c>
      <c r="X201" s="13" t="s">
        <v>17</v>
      </c>
      <c r="Y201" s="13" t="s">
        <v>18</v>
      </c>
      <c r="Z201" s="13" t="s">
        <v>139</v>
      </c>
      <c r="AA201" s="13" t="s">
        <v>17</v>
      </c>
      <c r="AB201" s="13" t="s">
        <v>139</v>
      </c>
      <c r="AC201" s="72"/>
      <c r="AE201" s="13" t="s">
        <v>139</v>
      </c>
      <c r="AF201" s="13" t="s">
        <v>17</v>
      </c>
      <c r="AG201" s="13" t="s">
        <v>139</v>
      </c>
      <c r="AH201" s="13"/>
      <c r="AI201" s="13" t="s">
        <v>139</v>
      </c>
      <c r="AJ201" s="13" t="s">
        <v>139</v>
      </c>
      <c r="AK201" s="13"/>
      <c r="AL201" s="13"/>
      <c r="AM201" s="13"/>
      <c r="AN201" s="13"/>
      <c r="AO201" s="13"/>
      <c r="AP201" s="13"/>
      <c r="AQ201" s="13"/>
      <c r="AR201" s="13" t="s">
        <v>139</v>
      </c>
      <c r="AS201" s="13" t="s">
        <v>139</v>
      </c>
      <c r="AT201" s="13" t="s">
        <v>139</v>
      </c>
      <c r="AU201" s="13" t="s">
        <v>139</v>
      </c>
    </row>
    <row r="202" spans="2:47" ht="15.75" hidden="1" customHeight="1" x14ac:dyDescent="0.3">
      <c r="B202" s="93"/>
      <c r="C202" s="89"/>
      <c r="D202" s="90"/>
      <c r="E202" s="90"/>
      <c r="F202" s="91"/>
      <c r="G202" s="27">
        <v>40179</v>
      </c>
      <c r="H202" s="27">
        <v>40179</v>
      </c>
      <c r="I202" s="27">
        <v>40179</v>
      </c>
      <c r="J202" s="27">
        <v>40179</v>
      </c>
      <c r="K202" s="27">
        <v>43709</v>
      </c>
      <c r="L202" s="27">
        <v>40179</v>
      </c>
      <c r="M202" s="27"/>
      <c r="N202" s="27"/>
      <c r="P202" s="27"/>
      <c r="Q202" s="27"/>
      <c r="R202" s="27"/>
      <c r="S202" s="27"/>
      <c r="U202" s="27"/>
      <c r="V202" s="27"/>
      <c r="W202" s="27"/>
      <c r="X202" s="27"/>
      <c r="Y202" s="27"/>
      <c r="Z202" s="27"/>
      <c r="AA202" s="27"/>
      <c r="AB202" s="27"/>
      <c r="AC202" s="74"/>
      <c r="AE202" s="27"/>
      <c r="AF202" s="27"/>
      <c r="AG202" s="27"/>
      <c r="AH202" s="27"/>
      <c r="AI202" s="27"/>
      <c r="AJ202" s="27"/>
      <c r="AK202" s="27"/>
      <c r="AL202" s="27"/>
      <c r="AM202" s="27"/>
      <c r="AN202" s="27"/>
      <c r="AO202" s="27"/>
      <c r="AP202" s="27"/>
      <c r="AQ202" s="27"/>
      <c r="AR202" s="27"/>
      <c r="AS202" s="27"/>
      <c r="AT202" s="27"/>
      <c r="AU202" s="27"/>
    </row>
    <row r="203" spans="2:47" x14ac:dyDescent="0.25">
      <c r="B203" s="93"/>
      <c r="C203" s="86" t="s">
        <v>111</v>
      </c>
      <c r="D203" s="87"/>
      <c r="E203" s="87"/>
      <c r="F203" s="88"/>
      <c r="G203" s="13" t="s">
        <v>17</v>
      </c>
      <c r="H203" s="13" t="s">
        <v>17</v>
      </c>
      <c r="I203" s="13" t="s">
        <v>17</v>
      </c>
      <c r="J203" s="13" t="s">
        <v>139</v>
      </c>
      <c r="K203" s="13" t="s">
        <v>17</v>
      </c>
      <c r="L203" s="13" t="s">
        <v>17</v>
      </c>
      <c r="M203" s="13" t="s">
        <v>139</v>
      </c>
      <c r="N203" s="13" t="s">
        <v>17</v>
      </c>
      <c r="P203" s="13"/>
      <c r="Q203" s="13"/>
      <c r="R203" s="13"/>
      <c r="S203" s="13"/>
      <c r="U203" s="13" t="s">
        <v>17</v>
      </c>
      <c r="V203" s="13" t="s">
        <v>17</v>
      </c>
      <c r="W203" s="13" t="s">
        <v>139</v>
      </c>
      <c r="X203" s="13" t="s">
        <v>17</v>
      </c>
      <c r="Y203" s="13" t="s">
        <v>139</v>
      </c>
      <c r="Z203" s="13" t="s">
        <v>139</v>
      </c>
      <c r="AA203" s="13" t="s">
        <v>17</v>
      </c>
      <c r="AB203" s="13" t="s">
        <v>139</v>
      </c>
      <c r="AC203" s="72"/>
      <c r="AE203" s="13" t="s">
        <v>139</v>
      </c>
      <c r="AF203" s="13" t="s">
        <v>17</v>
      </c>
      <c r="AG203" s="13" t="s">
        <v>139</v>
      </c>
      <c r="AH203" s="13"/>
      <c r="AI203" s="13" t="s">
        <v>139</v>
      </c>
      <c r="AJ203" s="13" t="s">
        <v>139</v>
      </c>
      <c r="AK203" s="13"/>
      <c r="AL203" s="13"/>
      <c r="AM203" s="13"/>
      <c r="AN203" s="13"/>
      <c r="AO203" s="13"/>
      <c r="AP203" s="13"/>
      <c r="AQ203" s="13"/>
      <c r="AR203" s="13" t="s">
        <v>139</v>
      </c>
      <c r="AS203" s="13" t="s">
        <v>139</v>
      </c>
      <c r="AT203" s="13" t="s">
        <v>139</v>
      </c>
      <c r="AU203" s="13" t="s">
        <v>139</v>
      </c>
    </row>
    <row r="204" spans="2:47" ht="15.75" hidden="1" customHeight="1" x14ac:dyDescent="0.3">
      <c r="B204" s="93"/>
      <c r="C204" s="89"/>
      <c r="D204" s="90"/>
      <c r="E204" s="90"/>
      <c r="F204" s="91"/>
      <c r="G204" s="27">
        <v>40179</v>
      </c>
      <c r="H204" s="27">
        <v>40179</v>
      </c>
      <c r="I204" s="27">
        <v>40179</v>
      </c>
      <c r="J204" s="27">
        <v>40179</v>
      </c>
      <c r="K204" s="27">
        <v>43709</v>
      </c>
      <c r="L204" s="27">
        <v>40179</v>
      </c>
      <c r="M204" s="27"/>
      <c r="N204" s="27"/>
      <c r="P204" s="27"/>
      <c r="Q204" s="27"/>
      <c r="R204" s="27"/>
      <c r="S204" s="27"/>
      <c r="U204" s="27"/>
      <c r="V204" s="27"/>
      <c r="W204" s="27"/>
      <c r="X204" s="27"/>
      <c r="Y204" s="27"/>
      <c r="Z204" s="27"/>
      <c r="AA204" s="27"/>
      <c r="AB204" s="27"/>
      <c r="AC204" s="74"/>
      <c r="AE204" s="27"/>
      <c r="AF204" s="27"/>
      <c r="AG204" s="27"/>
      <c r="AH204" s="27"/>
      <c r="AI204" s="27"/>
      <c r="AJ204" s="27"/>
      <c r="AK204" s="27"/>
      <c r="AL204" s="27"/>
      <c r="AM204" s="27"/>
      <c r="AN204" s="27"/>
      <c r="AO204" s="27"/>
      <c r="AP204" s="27"/>
      <c r="AQ204" s="27"/>
      <c r="AR204" s="27"/>
      <c r="AS204" s="27"/>
      <c r="AT204" s="27"/>
      <c r="AU204" s="27"/>
    </row>
    <row r="205" spans="2:47" x14ac:dyDescent="0.25">
      <c r="B205" s="118"/>
      <c r="C205" s="86" t="s">
        <v>112</v>
      </c>
      <c r="D205" s="87"/>
      <c r="E205" s="87"/>
      <c r="F205" s="88"/>
      <c r="G205" s="13" t="s">
        <v>17</v>
      </c>
      <c r="H205" s="13" t="s">
        <v>17</v>
      </c>
      <c r="I205" s="13" t="s">
        <v>17</v>
      </c>
      <c r="J205" s="13" t="s">
        <v>139</v>
      </c>
      <c r="K205" s="13" t="s">
        <v>17</v>
      </c>
      <c r="L205" s="13" t="s">
        <v>17</v>
      </c>
      <c r="M205" s="13" t="s">
        <v>139</v>
      </c>
      <c r="N205" s="13" t="s">
        <v>17</v>
      </c>
      <c r="P205" s="13"/>
      <c r="Q205" s="13"/>
      <c r="R205" s="13"/>
      <c r="S205" s="13"/>
      <c r="U205" s="13" t="s">
        <v>17</v>
      </c>
      <c r="V205" s="13" t="s">
        <v>17</v>
      </c>
      <c r="W205" s="13" t="s">
        <v>139</v>
      </c>
      <c r="X205" s="13" t="s">
        <v>17</v>
      </c>
      <c r="Y205" s="13" t="s">
        <v>17</v>
      </c>
      <c r="Z205" s="13" t="s">
        <v>139</v>
      </c>
      <c r="AA205" s="13" t="s">
        <v>139</v>
      </c>
      <c r="AB205" s="13" t="s">
        <v>139</v>
      </c>
      <c r="AC205" s="72"/>
      <c r="AE205" s="13" t="s">
        <v>139</v>
      </c>
      <c r="AF205" s="13" t="s">
        <v>17</v>
      </c>
      <c r="AG205" s="13" t="s">
        <v>139</v>
      </c>
      <c r="AH205" s="13"/>
      <c r="AI205" s="13" t="s">
        <v>139</v>
      </c>
      <c r="AJ205" s="13" t="s">
        <v>139</v>
      </c>
      <c r="AK205" s="13"/>
      <c r="AL205" s="13"/>
      <c r="AM205" s="13"/>
      <c r="AN205" s="13"/>
      <c r="AO205" s="13"/>
      <c r="AP205" s="13"/>
      <c r="AQ205" s="13"/>
      <c r="AR205" s="13" t="s">
        <v>139</v>
      </c>
      <c r="AS205" s="13" t="s">
        <v>139</v>
      </c>
      <c r="AT205" s="13" t="s">
        <v>139</v>
      </c>
      <c r="AU205" s="13" t="s">
        <v>139</v>
      </c>
    </row>
    <row r="206" spans="2:47" ht="15.75" hidden="1" customHeight="1" x14ac:dyDescent="0.3">
      <c r="B206" s="118"/>
      <c r="C206" s="89"/>
      <c r="D206" s="90"/>
      <c r="E206" s="90"/>
      <c r="F206" s="91"/>
      <c r="G206" s="27">
        <v>40179</v>
      </c>
      <c r="H206" s="27">
        <v>40179</v>
      </c>
      <c r="I206" s="27">
        <v>40179</v>
      </c>
      <c r="J206" s="27">
        <v>40179</v>
      </c>
      <c r="K206" s="27" t="s">
        <v>293</v>
      </c>
      <c r="L206" s="27">
        <v>40179</v>
      </c>
      <c r="M206" s="27"/>
      <c r="N206" s="27"/>
      <c r="P206" s="27"/>
      <c r="Q206" s="27"/>
      <c r="R206" s="27"/>
      <c r="S206" s="27"/>
      <c r="U206" s="27"/>
      <c r="V206" s="27"/>
      <c r="W206" s="27"/>
      <c r="X206" s="27"/>
      <c r="Y206" s="27"/>
      <c r="Z206" s="27"/>
      <c r="AA206" s="27"/>
      <c r="AB206" s="27"/>
      <c r="AC206" s="74"/>
      <c r="AE206" s="27"/>
      <c r="AF206" s="27"/>
      <c r="AG206" s="27"/>
      <c r="AH206" s="27"/>
      <c r="AI206" s="27"/>
      <c r="AJ206" s="27"/>
      <c r="AK206" s="27"/>
      <c r="AL206" s="27"/>
      <c r="AM206" s="27"/>
      <c r="AN206" s="27"/>
      <c r="AO206" s="27"/>
      <c r="AP206" s="27"/>
      <c r="AQ206" s="27"/>
      <c r="AR206" s="27"/>
      <c r="AS206" s="27"/>
      <c r="AT206" s="27"/>
      <c r="AU206" s="27"/>
    </row>
    <row r="207" spans="2:47" x14ac:dyDescent="0.25">
      <c r="B207" s="118"/>
      <c r="C207" s="86" t="s">
        <v>117</v>
      </c>
      <c r="D207" s="87"/>
      <c r="E207" s="87"/>
      <c r="F207" s="88"/>
      <c r="G207" s="13" t="s">
        <v>17</v>
      </c>
      <c r="H207" s="13" t="s">
        <v>17</v>
      </c>
      <c r="I207" s="13" t="s">
        <v>17</v>
      </c>
      <c r="J207" s="13" t="s">
        <v>139</v>
      </c>
      <c r="K207" s="13" t="s">
        <v>17</v>
      </c>
      <c r="L207" s="13" t="s">
        <v>17</v>
      </c>
      <c r="M207" s="13" t="s">
        <v>139</v>
      </c>
      <c r="N207" s="13" t="s">
        <v>17</v>
      </c>
      <c r="P207" s="13"/>
      <c r="Q207" s="13"/>
      <c r="R207" s="13"/>
      <c r="S207" s="13"/>
      <c r="U207" s="13" t="s">
        <v>17</v>
      </c>
      <c r="V207" s="13" t="s">
        <v>17</v>
      </c>
      <c r="W207" s="13" t="s">
        <v>17</v>
      </c>
      <c r="X207" s="13" t="s">
        <v>17</v>
      </c>
      <c r="Y207" s="13" t="s">
        <v>17</v>
      </c>
      <c r="Z207" s="13" t="s">
        <v>18</v>
      </c>
      <c r="AA207" s="13" t="s">
        <v>18</v>
      </c>
      <c r="AB207" s="13" t="s">
        <v>139</v>
      </c>
      <c r="AC207" s="72"/>
      <c r="AE207" s="13" t="s">
        <v>18</v>
      </c>
      <c r="AF207" s="13" t="s">
        <v>17</v>
      </c>
      <c r="AG207" s="13" t="s">
        <v>17</v>
      </c>
      <c r="AH207" s="13"/>
      <c r="AI207" s="13" t="s">
        <v>139</v>
      </c>
      <c r="AJ207" s="13" t="s">
        <v>139</v>
      </c>
      <c r="AK207" s="13"/>
      <c r="AL207" s="13"/>
      <c r="AM207" s="13"/>
      <c r="AN207" s="13"/>
      <c r="AO207" s="13"/>
      <c r="AP207" s="13"/>
      <c r="AQ207" s="13"/>
      <c r="AR207" s="13" t="s">
        <v>139</v>
      </c>
      <c r="AS207" s="13" t="s">
        <v>139</v>
      </c>
      <c r="AT207" s="13" t="s">
        <v>139</v>
      </c>
      <c r="AU207" s="13" t="s">
        <v>139</v>
      </c>
    </row>
    <row r="208" spans="2:47" ht="15.75" hidden="1" customHeight="1" x14ac:dyDescent="0.3">
      <c r="B208" s="118"/>
      <c r="C208" s="89"/>
      <c r="D208" s="90"/>
      <c r="E208" s="90"/>
      <c r="F208" s="91"/>
      <c r="G208" s="27">
        <v>40179</v>
      </c>
      <c r="H208" s="27"/>
      <c r="I208" s="27"/>
      <c r="J208" s="27"/>
      <c r="K208" s="27">
        <v>43709</v>
      </c>
      <c r="L208" s="27"/>
      <c r="M208" s="27"/>
      <c r="N208" s="27"/>
      <c r="P208" s="27"/>
      <c r="Q208" s="27"/>
      <c r="R208" s="27"/>
      <c r="S208" s="27"/>
      <c r="U208" s="27"/>
      <c r="V208" s="27"/>
      <c r="W208" s="27"/>
      <c r="X208" s="27"/>
      <c r="Y208" s="27"/>
      <c r="Z208" s="27"/>
      <c r="AA208" s="27"/>
      <c r="AB208" s="27"/>
      <c r="AC208" s="74"/>
      <c r="AE208" s="27"/>
      <c r="AF208" s="27"/>
      <c r="AG208" s="27"/>
      <c r="AH208" s="27"/>
      <c r="AI208" s="27"/>
      <c r="AJ208" s="27"/>
      <c r="AK208" s="27"/>
      <c r="AL208" s="27"/>
      <c r="AM208" s="27"/>
      <c r="AN208" s="27"/>
      <c r="AO208" s="27"/>
      <c r="AP208" s="27"/>
      <c r="AQ208" s="27"/>
      <c r="AR208" s="27"/>
      <c r="AS208" s="27"/>
      <c r="AT208" s="27"/>
      <c r="AU208" s="27"/>
    </row>
    <row r="209" spans="2:47" x14ac:dyDescent="0.25">
      <c r="B209" s="17" t="s">
        <v>61</v>
      </c>
      <c r="C209" s="18" t="s">
        <v>62</v>
      </c>
      <c r="D209" s="19">
        <f>COUNTA(C195:F208)</f>
        <v>7</v>
      </c>
      <c r="E209" s="19"/>
      <c r="F209" s="19"/>
      <c r="G209" s="20" t="str">
        <f>IF(ISBLANK(G195),"",IF((COUNTIF(G195:G208,"X"))/(COUNTIF(G195:G207,"x")+COUNTIF(G195:G207,"a")+COUNTIF(G195:G207,"t"))=1,_xlfn.UNICHAR(10003),(COUNTIF(G195:G208,"X"))/(COUNTIF(G195:G207,"x")+COUNTIF(G195:G207,"a")+COUNTIF(G195:G207,"t"))))</f>
        <v>✓</v>
      </c>
      <c r="H209" s="20" t="str">
        <f t="shared" ref="H209:AF209" si="277">IF(ISBLANK(H195),"",IF((COUNTIF(H195:H208,"X"))/(COUNTIF(H195:H207,"x")+COUNTIF(H195:H207,"a")+COUNTIF(H195:H207,"t"))=1,_xlfn.UNICHAR(10003),(COUNTIF(H195:H208,"X"))/(COUNTIF(H195:H207,"x")+COUNTIF(H195:H207,"a")+COUNTIF(H195:H207,"t"))))</f>
        <v>✓</v>
      </c>
      <c r="I209" s="20" t="str">
        <f t="shared" si="277"/>
        <v>✓</v>
      </c>
      <c r="J209" s="20">
        <f t="shared" si="277"/>
        <v>0</v>
      </c>
      <c r="K209" s="20" t="str">
        <f t="shared" si="277"/>
        <v>✓</v>
      </c>
      <c r="L209" s="20" t="str">
        <f t="shared" si="277"/>
        <v>✓</v>
      </c>
      <c r="M209" s="20">
        <f t="shared" ref="M209:N209" si="278">IF(ISBLANK(M195),"",IF((COUNTIF(M195:M208,"X"))/$D209=1,_xlfn.UNICHAR(10003),(COUNTIF(M195:M208,"X"))/$D209))</f>
        <v>0</v>
      </c>
      <c r="N209" s="20" t="str">
        <f t="shared" si="278"/>
        <v>✓</v>
      </c>
      <c r="P209" s="20" t="str">
        <f t="shared" si="277"/>
        <v/>
      </c>
      <c r="Q209" s="20" t="str">
        <f t="shared" ref="Q209" si="279">IF(ISBLANK(Q195),"",IF((COUNTIF(Q195:Q208,"X"))/$D209=1,_xlfn.UNICHAR(10003),(COUNTIF(Q195:Q208,"X"))/$D209))</f>
        <v/>
      </c>
      <c r="R209" s="20" t="str">
        <f t="shared" ref="R209:S209" si="280">IF(ISBLANK(R195),"",IF((COUNTIF(R195:R208,"X"))/$D209=1,_xlfn.UNICHAR(10003),(COUNTIF(R195:R208,"X"))/$D209))</f>
        <v/>
      </c>
      <c r="S209" s="20" t="str">
        <f t="shared" si="280"/>
        <v/>
      </c>
      <c r="U209" s="20" t="str">
        <f t="shared" ref="U209:V209" si="281">IF(ISBLANK(U195),"",IF((COUNTIF(U195:U208,"X"))/$D209=1,_xlfn.UNICHAR(10003),(COUNTIF(U195:U208,"X"))/$D209))</f>
        <v>✓</v>
      </c>
      <c r="V209" s="20">
        <f t="shared" si="281"/>
        <v>0.8571428571428571</v>
      </c>
      <c r="W209" s="20">
        <f>IF(ISBLANK(W195),"",IF((COUNTIF(W195:W208,"X"))/$D209=1,_xlfn.UNICHAR(10003),(COUNTIF(W195:W208,"X"))/$D209))</f>
        <v>0.14285714285714285</v>
      </c>
      <c r="X209" s="20">
        <f>IF(ISBLANK(X195),"",IF((COUNTIF(X195:X208,"X"))/(COUNTIF(X195:X207,"x")+COUNTIF(X195:X207,"a")+COUNTIF(X195:X207,"t"))=1,_xlfn.UNICHAR(10003),(COUNTIF(X195:X208,"X"))/(COUNTIF(X195:X207,"x")+COUNTIF(X195:X207,"a")+COUNTIF(X195:X207,"t"))))</f>
        <v>0.8571428571428571</v>
      </c>
      <c r="Y209" s="20">
        <f t="shared" ref="Y209:AA209" si="282">IF(ISBLANK(Y195),"",IF((COUNTIF(Y195:Y208,"X"))/$D209=1,_xlfn.UNICHAR(10003),(COUNTIF(Y195:Y208,"X"))/$D209))</f>
        <v>0.42857142857142855</v>
      </c>
      <c r="Z209" s="20">
        <f t="shared" si="282"/>
        <v>0.14285714285714285</v>
      </c>
      <c r="AA209" s="20">
        <f t="shared" si="282"/>
        <v>0.5714285714285714</v>
      </c>
      <c r="AB209" s="20">
        <f>IF(ISBLANK(AB195),"",IF((COUNTIF(AB195:AB208,"X"))/(COUNTIF(AB195:AB207,"x")+COUNTIF(AB195:AB207,"a")+COUNTIF(AB195:AB207,"t"))=1,_xlfn.UNICHAR(10003),(COUNTIF(AB195:AB208,"X"))/(COUNTIF(AB195:AB207,"x")+COUNTIF(AB195:AB207,"a")+COUNTIF(AB195:AB207,"t"))))</f>
        <v>0</v>
      </c>
      <c r="AC209" s="73"/>
      <c r="AE209" s="20">
        <f t="shared" ref="AE209" si="283">IF(ISBLANK(AE195),"",IF((COUNTIF(AE195:AE208,"X"))/$D209=1,_xlfn.UNICHAR(10003),(COUNTIF(AE195:AE208,"X"))/$D209))</f>
        <v>0</v>
      </c>
      <c r="AF209" s="20" t="str">
        <f t="shared" si="277"/>
        <v>✓</v>
      </c>
      <c r="AG209" s="20">
        <f t="shared" ref="AG209:AI209" si="284">IF(ISBLANK(AG195),"",IF((COUNTIF(AG195:AG208,"X"))/$D209=1,_xlfn.UNICHAR(10003),(COUNTIF(AG195:AG208,"X"))/$D209))</f>
        <v>0.14285714285714285</v>
      </c>
      <c r="AH209" s="20" t="str">
        <f t="shared" si="284"/>
        <v/>
      </c>
      <c r="AI209" s="20">
        <f t="shared" si="284"/>
        <v>0</v>
      </c>
      <c r="AJ209" s="20">
        <f t="shared" ref="AJ209" si="285">IF(ISBLANK(AJ195),"",IF((COUNTIF(AJ195:AJ208,"X"))/$D209=1,_xlfn.UNICHAR(10003),(COUNTIF(AJ195:AJ208,"X"))/$D209))</f>
        <v>0</v>
      </c>
      <c r="AK209" s="20" t="str">
        <f t="shared" ref="AK209:AL209" si="286">IF(ISBLANK(AK195),"",IF((COUNTIF(AK195:AK208,"X"))/$D209=1,_xlfn.UNICHAR(10003),(COUNTIF(AK195:AK208,"X"))/$D209))</f>
        <v/>
      </c>
      <c r="AL209" s="20" t="str">
        <f t="shared" si="286"/>
        <v/>
      </c>
      <c r="AM209" s="20"/>
      <c r="AN209" s="20"/>
      <c r="AO209" s="20"/>
      <c r="AP209" s="20" t="str">
        <f t="shared" ref="AP209:AR209" si="287">IF(ISBLANK(AP195),"",IF((COUNTIF(AP195:AP208,"X"))/$D209=1,_xlfn.UNICHAR(10003),(COUNTIF(AP195:AP208,"X"))/$D209))</f>
        <v/>
      </c>
      <c r="AQ209" s="20" t="str">
        <f t="shared" ref="AQ209" si="288">IF(ISBLANK(AQ195),"",IF((COUNTIF(AQ195:AQ208,"X"))/$D209=1,_xlfn.UNICHAR(10003),(COUNTIF(AQ195:AQ208,"X"))/$D209))</f>
        <v/>
      </c>
      <c r="AR209" s="20">
        <f t="shared" si="287"/>
        <v>0</v>
      </c>
      <c r="AS209" s="20">
        <f t="shared" ref="AS209:AT209" si="289">IF(ISBLANK(AS195),"",IF((COUNTIF(AS195:AS208,"X"))/$D209=1,_xlfn.UNICHAR(10003),(COUNTIF(AS195:AS208,"X"))/$D209))</f>
        <v>0</v>
      </c>
      <c r="AT209" s="20">
        <f t="shared" si="289"/>
        <v>0</v>
      </c>
      <c r="AU209" s="20">
        <f t="shared" ref="AU209" si="290">IF(ISBLANK(AU195),"",IF((COUNTIF(AU195:AU208,"X"))/$D209=1,_xlfn.UNICHAR(10003),(COUNTIF(AU195:AU208,"X"))/$D209))</f>
        <v>0</v>
      </c>
    </row>
    <row r="211" spans="2:47" x14ac:dyDescent="0.25">
      <c r="B211" s="92" t="s">
        <v>14</v>
      </c>
      <c r="C211" s="86" t="s">
        <v>113</v>
      </c>
      <c r="D211" s="87"/>
      <c r="E211" s="87"/>
      <c r="F211" s="88"/>
      <c r="G211" s="13" t="s">
        <v>17</v>
      </c>
      <c r="H211" s="13" t="s">
        <v>17</v>
      </c>
      <c r="I211" s="13" t="s">
        <v>17</v>
      </c>
      <c r="J211" s="13" t="s">
        <v>18</v>
      </c>
      <c r="K211" s="13" t="s">
        <v>17</v>
      </c>
      <c r="L211" s="13" t="s">
        <v>17</v>
      </c>
      <c r="M211" s="13" t="s">
        <v>17</v>
      </c>
      <c r="N211" s="13" t="s">
        <v>18</v>
      </c>
      <c r="P211" s="13" t="s">
        <v>17</v>
      </c>
      <c r="Q211" s="13" t="s">
        <v>139</v>
      </c>
      <c r="R211" s="13" t="s">
        <v>17</v>
      </c>
      <c r="S211" s="13" t="s">
        <v>139</v>
      </c>
      <c r="U211" s="13" t="s">
        <v>18</v>
      </c>
      <c r="V211" s="13" t="s">
        <v>17</v>
      </c>
      <c r="W211" s="13" t="s">
        <v>139</v>
      </c>
      <c r="X211" s="13" t="s">
        <v>17</v>
      </c>
      <c r="Y211" s="13" t="s">
        <v>18</v>
      </c>
      <c r="Z211" s="13" t="s">
        <v>17</v>
      </c>
      <c r="AA211" s="13" t="s">
        <v>139</v>
      </c>
      <c r="AB211" s="13" t="s">
        <v>18</v>
      </c>
      <c r="AC211" s="72"/>
      <c r="AE211" s="13" t="s">
        <v>17</v>
      </c>
      <c r="AF211" s="13" t="s">
        <v>17</v>
      </c>
      <c r="AG211" s="13" t="s">
        <v>139</v>
      </c>
      <c r="AH211" s="13" t="s">
        <v>139</v>
      </c>
      <c r="AI211" s="13" t="s">
        <v>18</v>
      </c>
      <c r="AJ211" s="13" t="s">
        <v>139</v>
      </c>
      <c r="AK211" s="13" t="s">
        <v>139</v>
      </c>
      <c r="AL211" s="13" t="s">
        <v>139</v>
      </c>
      <c r="AM211" s="13"/>
      <c r="AN211" s="13"/>
      <c r="AO211" s="13"/>
      <c r="AP211" s="13"/>
      <c r="AQ211" s="13" t="s">
        <v>139</v>
      </c>
      <c r="AR211" s="13" t="s">
        <v>139</v>
      </c>
      <c r="AS211" s="13" t="s">
        <v>139</v>
      </c>
      <c r="AT211" s="13" t="s">
        <v>139</v>
      </c>
      <c r="AU211" s="13" t="s">
        <v>139</v>
      </c>
    </row>
    <row r="212" spans="2:47" ht="15.75" hidden="1" customHeight="1" x14ac:dyDescent="0.3">
      <c r="B212" s="93"/>
      <c r="C212" s="89"/>
      <c r="D212" s="90"/>
      <c r="E212" s="90"/>
      <c r="F212" s="91"/>
      <c r="G212" s="27">
        <v>40179</v>
      </c>
      <c r="H212" s="27"/>
      <c r="I212" s="27"/>
      <c r="J212" s="27"/>
      <c r="K212" s="27" t="s">
        <v>293</v>
      </c>
      <c r="L212" s="27"/>
      <c r="M212" s="27"/>
      <c r="N212" s="27"/>
      <c r="P212" s="27"/>
      <c r="Q212" s="27"/>
      <c r="R212" s="27"/>
      <c r="S212" s="27"/>
      <c r="U212" s="27"/>
      <c r="V212" s="27"/>
      <c r="W212" s="27"/>
      <c r="X212" s="27"/>
      <c r="Y212" s="27"/>
      <c r="Z212" s="27"/>
      <c r="AA212" s="27"/>
      <c r="AB212" s="27"/>
      <c r="AC212" s="74"/>
      <c r="AE212" s="27"/>
      <c r="AF212" s="27"/>
      <c r="AG212" s="27"/>
      <c r="AH212" s="27"/>
      <c r="AI212" s="27"/>
      <c r="AJ212" s="27"/>
      <c r="AK212" s="27"/>
      <c r="AL212" s="27"/>
      <c r="AM212" s="27"/>
      <c r="AN212" s="27"/>
      <c r="AO212" s="27"/>
      <c r="AP212" s="27"/>
      <c r="AQ212" s="27"/>
      <c r="AR212" s="27"/>
      <c r="AS212" s="27"/>
      <c r="AT212" s="27"/>
      <c r="AU212" s="27"/>
    </row>
    <row r="213" spans="2:47" x14ac:dyDescent="0.25">
      <c r="B213" s="93"/>
      <c r="C213" s="86" t="s">
        <v>114</v>
      </c>
      <c r="D213" s="87"/>
      <c r="E213" s="87"/>
      <c r="F213" s="88"/>
      <c r="G213" s="13" t="s">
        <v>21</v>
      </c>
      <c r="H213" s="13" t="s">
        <v>17</v>
      </c>
      <c r="I213" s="13" t="s">
        <v>17</v>
      </c>
      <c r="J213" s="13" t="s">
        <v>18</v>
      </c>
      <c r="K213" s="13" t="s">
        <v>17</v>
      </c>
      <c r="L213" s="13" t="s">
        <v>17</v>
      </c>
      <c r="M213" s="13" t="s">
        <v>18</v>
      </c>
      <c r="N213" s="13" t="s">
        <v>18</v>
      </c>
      <c r="P213" s="13" t="s">
        <v>17</v>
      </c>
      <c r="Q213" s="13" t="s">
        <v>139</v>
      </c>
      <c r="R213" s="13" t="s">
        <v>17</v>
      </c>
      <c r="S213" s="13" t="s">
        <v>139</v>
      </c>
      <c r="U213" s="13" t="s">
        <v>17</v>
      </c>
      <c r="V213" s="13" t="s">
        <v>17</v>
      </c>
      <c r="W213" s="13" t="s">
        <v>139</v>
      </c>
      <c r="X213" s="13" t="s">
        <v>18</v>
      </c>
      <c r="Y213" s="13" t="s">
        <v>18</v>
      </c>
      <c r="Z213" s="13" t="s">
        <v>18</v>
      </c>
      <c r="AA213" s="13" t="s">
        <v>139</v>
      </c>
      <c r="AB213" s="13" t="s">
        <v>18</v>
      </c>
      <c r="AC213" s="72"/>
      <c r="AE213" s="13" t="s">
        <v>18</v>
      </c>
      <c r="AF213" s="13" t="s">
        <v>17</v>
      </c>
      <c r="AG213" s="13" t="s">
        <v>139</v>
      </c>
      <c r="AH213" s="13" t="s">
        <v>139</v>
      </c>
      <c r="AI213" s="13" t="s">
        <v>18</v>
      </c>
      <c r="AJ213" s="13" t="s">
        <v>139</v>
      </c>
      <c r="AK213" s="13" t="s">
        <v>139</v>
      </c>
      <c r="AL213" s="13" t="s">
        <v>139</v>
      </c>
      <c r="AM213" s="13"/>
      <c r="AN213" s="13"/>
      <c r="AO213" s="13"/>
      <c r="AP213" s="13"/>
      <c r="AQ213" s="13" t="s">
        <v>139</v>
      </c>
      <c r="AR213" s="13" t="s">
        <v>139</v>
      </c>
      <c r="AS213" s="13" t="s">
        <v>139</v>
      </c>
      <c r="AT213" s="13" t="s">
        <v>139</v>
      </c>
      <c r="AU213" s="13" t="s">
        <v>139</v>
      </c>
    </row>
    <row r="214" spans="2:47" ht="15.75" hidden="1" customHeight="1" x14ac:dyDescent="0.3">
      <c r="B214" s="93"/>
      <c r="C214" s="89"/>
      <c r="D214" s="90"/>
      <c r="E214" s="90"/>
      <c r="F214" s="91"/>
      <c r="G214" s="27">
        <v>40179</v>
      </c>
      <c r="H214" s="27"/>
      <c r="I214" s="27"/>
      <c r="J214" s="27"/>
      <c r="K214" s="27" t="s">
        <v>293</v>
      </c>
      <c r="L214" s="27"/>
      <c r="M214" s="27"/>
      <c r="N214" s="27"/>
      <c r="P214" s="27"/>
      <c r="Q214" s="27"/>
      <c r="R214" s="27"/>
      <c r="S214" s="27"/>
      <c r="U214" s="27"/>
      <c r="V214" s="27"/>
      <c r="W214" s="27"/>
      <c r="X214" s="27"/>
      <c r="Y214" s="27"/>
      <c r="Z214" s="27"/>
      <c r="AA214" s="27"/>
      <c r="AB214" s="27"/>
      <c r="AC214" s="74"/>
      <c r="AE214" s="27"/>
      <c r="AF214" s="27"/>
      <c r="AG214" s="27"/>
      <c r="AH214" s="27"/>
      <c r="AI214" s="27"/>
      <c r="AJ214" s="27"/>
      <c r="AK214" s="27"/>
      <c r="AL214" s="27"/>
      <c r="AM214" s="27"/>
      <c r="AN214" s="27"/>
      <c r="AO214" s="27"/>
      <c r="AP214" s="27"/>
      <c r="AQ214" s="27"/>
      <c r="AR214" s="27"/>
      <c r="AS214" s="27"/>
      <c r="AT214" s="27"/>
      <c r="AU214" s="27"/>
    </row>
    <row r="215" spans="2:47" x14ac:dyDescent="0.25">
      <c r="B215" s="118"/>
      <c r="C215" s="86" t="s">
        <v>115</v>
      </c>
      <c r="D215" s="87"/>
      <c r="E215" s="87"/>
      <c r="F215" s="88"/>
      <c r="G215" s="13" t="s">
        <v>21</v>
      </c>
      <c r="H215" s="13" t="s">
        <v>17</v>
      </c>
      <c r="I215" s="13" t="s">
        <v>17</v>
      </c>
      <c r="J215" s="13" t="s">
        <v>18</v>
      </c>
      <c r="K215" s="13" t="s">
        <v>17</v>
      </c>
      <c r="L215" s="13" t="s">
        <v>17</v>
      </c>
      <c r="M215" s="13" t="s">
        <v>17</v>
      </c>
      <c r="N215" s="13" t="s">
        <v>18</v>
      </c>
      <c r="P215" s="13" t="s">
        <v>17</v>
      </c>
      <c r="Q215" s="13" t="s">
        <v>139</v>
      </c>
      <c r="R215" s="13" t="s">
        <v>139</v>
      </c>
      <c r="S215" s="13" t="s">
        <v>139</v>
      </c>
      <c r="U215" s="13" t="s">
        <v>17</v>
      </c>
      <c r="V215" s="13" t="s">
        <v>17</v>
      </c>
      <c r="W215" s="13" t="s">
        <v>18</v>
      </c>
      <c r="X215" s="13" t="s">
        <v>17</v>
      </c>
      <c r="Y215" s="13" t="s">
        <v>17</v>
      </c>
      <c r="Z215" s="13" t="s">
        <v>17</v>
      </c>
      <c r="AA215" s="13" t="s">
        <v>18</v>
      </c>
      <c r="AB215" s="13" t="s">
        <v>17</v>
      </c>
      <c r="AC215" s="72"/>
      <c r="AE215" s="13" t="s">
        <v>17</v>
      </c>
      <c r="AF215" s="13" t="s">
        <v>17</v>
      </c>
      <c r="AG215" s="13" t="s">
        <v>17</v>
      </c>
      <c r="AH215" s="13" t="s">
        <v>17</v>
      </c>
      <c r="AI215" s="13" t="s">
        <v>18</v>
      </c>
      <c r="AJ215" s="13" t="s">
        <v>139</v>
      </c>
      <c r="AK215" s="13" t="s">
        <v>139</v>
      </c>
      <c r="AL215" s="13" t="s">
        <v>139</v>
      </c>
      <c r="AM215" s="13"/>
      <c r="AN215" s="13"/>
      <c r="AO215" s="13"/>
      <c r="AP215" s="13"/>
      <c r="AQ215" s="13" t="s">
        <v>139</v>
      </c>
      <c r="AR215" s="13" t="s">
        <v>139</v>
      </c>
      <c r="AS215" s="13" t="s">
        <v>139</v>
      </c>
      <c r="AT215" s="13" t="s">
        <v>139</v>
      </c>
      <c r="AU215" s="13" t="s">
        <v>139</v>
      </c>
    </row>
    <row r="216" spans="2:47" ht="15.75" hidden="1" customHeight="1" x14ac:dyDescent="0.3">
      <c r="B216" s="118"/>
      <c r="C216" s="89"/>
      <c r="D216" s="90"/>
      <c r="E216" s="90"/>
      <c r="F216" s="91"/>
      <c r="G216" s="27">
        <v>40179</v>
      </c>
      <c r="H216" s="27"/>
      <c r="I216" s="27"/>
      <c r="J216" s="27"/>
      <c r="K216" s="27" t="s">
        <v>293</v>
      </c>
      <c r="L216" s="27"/>
      <c r="M216" s="27"/>
      <c r="N216" s="27"/>
      <c r="P216" s="27"/>
      <c r="Q216" s="27"/>
      <c r="R216" s="27"/>
      <c r="S216" s="27"/>
      <c r="U216" s="27"/>
      <c r="V216" s="27"/>
      <c r="W216" s="27"/>
      <c r="X216" s="27"/>
      <c r="Y216" s="27"/>
      <c r="Z216" s="27"/>
      <c r="AA216" s="27"/>
      <c r="AB216" s="27"/>
      <c r="AC216" s="74"/>
      <c r="AE216" s="27"/>
      <c r="AF216" s="27"/>
      <c r="AG216" s="27"/>
      <c r="AH216" s="27"/>
      <c r="AI216" s="27"/>
      <c r="AJ216" s="27"/>
      <c r="AK216" s="27"/>
      <c r="AL216" s="27"/>
      <c r="AM216" s="27"/>
      <c r="AN216" s="27"/>
      <c r="AO216" s="27"/>
      <c r="AP216" s="27"/>
      <c r="AQ216" s="27"/>
      <c r="AR216" s="27"/>
      <c r="AS216" s="27"/>
      <c r="AT216" s="27"/>
      <c r="AU216" s="27"/>
    </row>
    <row r="217" spans="2:47" x14ac:dyDescent="0.25">
      <c r="B217" s="118"/>
      <c r="C217" s="86" t="s">
        <v>116</v>
      </c>
      <c r="D217" s="87"/>
      <c r="E217" s="87"/>
      <c r="F217" s="88"/>
      <c r="G217" s="13" t="s">
        <v>21</v>
      </c>
      <c r="H217" s="13" t="s">
        <v>17</v>
      </c>
      <c r="I217" s="13" t="s">
        <v>17</v>
      </c>
      <c r="J217" s="13"/>
      <c r="K217" s="13"/>
      <c r="L217" s="13"/>
      <c r="M217" s="13"/>
      <c r="N217" s="13"/>
      <c r="P217" s="13"/>
      <c r="Q217" s="13"/>
      <c r="R217" s="13" t="s">
        <v>17</v>
      </c>
      <c r="S217" s="13"/>
      <c r="U217" s="13" t="s">
        <v>17</v>
      </c>
      <c r="V217" s="13"/>
      <c r="W217" s="13"/>
      <c r="X217" s="13"/>
      <c r="Y217" s="13"/>
      <c r="Z217" s="13"/>
      <c r="AA217" s="13"/>
      <c r="AB217" s="13"/>
      <c r="AC217" s="72"/>
      <c r="AE217" s="13"/>
      <c r="AF217" s="13"/>
      <c r="AG217" s="13"/>
      <c r="AH217" s="13"/>
      <c r="AI217" s="13"/>
      <c r="AJ217" s="13"/>
      <c r="AK217" s="13"/>
      <c r="AL217" s="13"/>
      <c r="AM217" s="13"/>
      <c r="AN217" s="13"/>
      <c r="AO217" s="13"/>
      <c r="AP217" s="13"/>
      <c r="AQ217" s="13"/>
      <c r="AR217" s="13"/>
      <c r="AS217" s="13"/>
      <c r="AT217" s="13"/>
      <c r="AU217" s="13"/>
    </row>
    <row r="218" spans="2:47" ht="15.75" hidden="1" customHeight="1" x14ac:dyDescent="0.3">
      <c r="B218" s="118"/>
      <c r="C218" s="89"/>
      <c r="D218" s="90"/>
      <c r="E218" s="90"/>
      <c r="F218" s="91"/>
      <c r="G218" s="27">
        <v>40179</v>
      </c>
      <c r="H218" s="27"/>
      <c r="I218" s="27"/>
      <c r="J218" s="27"/>
      <c r="K218" s="27"/>
      <c r="L218" s="27"/>
      <c r="M218" s="27"/>
      <c r="N218" s="27"/>
      <c r="P218" s="27"/>
      <c r="Q218" s="27"/>
      <c r="R218" s="27"/>
      <c r="S218" s="27"/>
      <c r="U218" s="27"/>
      <c r="V218" s="27"/>
      <c r="W218" s="27"/>
      <c r="X218" s="27"/>
      <c r="Y218" s="27"/>
      <c r="Z218" s="27"/>
      <c r="AA218" s="27"/>
      <c r="AB218" s="27"/>
      <c r="AC218" s="74"/>
      <c r="AE218" s="27"/>
      <c r="AF218" s="27"/>
      <c r="AG218" s="27"/>
      <c r="AH218" s="27"/>
      <c r="AI218" s="27"/>
      <c r="AJ218" s="27"/>
      <c r="AK218" s="27"/>
      <c r="AL218" s="27"/>
      <c r="AM218" s="27"/>
      <c r="AN218" s="27"/>
      <c r="AO218" s="27"/>
      <c r="AP218" s="27"/>
      <c r="AQ218" s="27"/>
      <c r="AR218" s="27"/>
      <c r="AS218" s="27"/>
      <c r="AT218" s="27"/>
      <c r="AU218" s="27"/>
    </row>
    <row r="219" spans="2:47" x14ac:dyDescent="0.25">
      <c r="B219" s="118"/>
      <c r="C219" s="86" t="s">
        <v>118</v>
      </c>
      <c r="D219" s="87"/>
      <c r="E219" s="87"/>
      <c r="F219" s="88"/>
      <c r="G219" s="13" t="s">
        <v>21</v>
      </c>
      <c r="H219" s="13" t="s">
        <v>17</v>
      </c>
      <c r="I219" s="13" t="s">
        <v>139</v>
      </c>
      <c r="J219" s="13" t="s">
        <v>139</v>
      </c>
      <c r="K219" s="13" t="s">
        <v>139</v>
      </c>
      <c r="L219" s="13" t="s">
        <v>17</v>
      </c>
      <c r="M219" s="13" t="s">
        <v>139</v>
      </c>
      <c r="N219" s="13" t="s">
        <v>139</v>
      </c>
      <c r="P219" s="13" t="s">
        <v>17</v>
      </c>
      <c r="Q219" s="13"/>
      <c r="R219" s="13"/>
      <c r="S219" s="13"/>
      <c r="U219" s="13" t="s">
        <v>17</v>
      </c>
      <c r="V219" s="13" t="s">
        <v>139</v>
      </c>
      <c r="W219" s="13" t="s">
        <v>139</v>
      </c>
      <c r="X219" s="13" t="s">
        <v>139</v>
      </c>
      <c r="Y219" s="13" t="s">
        <v>139</v>
      </c>
      <c r="Z219" s="13" t="s">
        <v>139</v>
      </c>
      <c r="AA219" s="13" t="s">
        <v>139</v>
      </c>
      <c r="AB219" s="13" t="s">
        <v>139</v>
      </c>
      <c r="AC219" s="72"/>
      <c r="AE219" s="13" t="s">
        <v>17</v>
      </c>
      <c r="AF219" s="13" t="s">
        <v>139</v>
      </c>
      <c r="AG219" s="13" t="s">
        <v>17</v>
      </c>
      <c r="AH219" s="13"/>
      <c r="AI219" s="13" t="s">
        <v>139</v>
      </c>
      <c r="AJ219" s="13" t="s">
        <v>139</v>
      </c>
      <c r="AK219" s="13"/>
      <c r="AL219" s="13"/>
      <c r="AM219" s="13"/>
      <c r="AN219" s="13"/>
      <c r="AO219" s="13"/>
      <c r="AP219" s="13"/>
      <c r="AQ219" s="13"/>
      <c r="AR219" s="13" t="s">
        <v>139</v>
      </c>
      <c r="AS219" s="13" t="s">
        <v>139</v>
      </c>
      <c r="AT219" s="13" t="s">
        <v>139</v>
      </c>
      <c r="AU219" s="13" t="s">
        <v>139</v>
      </c>
    </row>
    <row r="220" spans="2:47" ht="15.75" hidden="1" customHeight="1" x14ac:dyDescent="0.3">
      <c r="B220" s="118"/>
      <c r="C220" s="89"/>
      <c r="D220" s="90"/>
      <c r="E220" s="90"/>
      <c r="F220" s="91"/>
      <c r="G220" s="27">
        <v>40179</v>
      </c>
      <c r="H220" s="27"/>
      <c r="I220" s="27"/>
      <c r="J220" s="27"/>
      <c r="K220" s="27"/>
      <c r="L220" s="27"/>
      <c r="M220" s="27"/>
      <c r="N220" s="27"/>
      <c r="P220" s="27"/>
      <c r="Q220" s="27"/>
      <c r="R220" s="27"/>
      <c r="S220" s="27"/>
      <c r="U220" s="27"/>
      <c r="V220" s="27"/>
      <c r="W220" s="27"/>
      <c r="X220" s="27"/>
      <c r="Y220" s="27"/>
      <c r="Z220" s="27"/>
      <c r="AA220" s="27"/>
      <c r="AB220" s="27"/>
      <c r="AC220" s="74"/>
      <c r="AE220" s="27"/>
      <c r="AF220" s="27"/>
      <c r="AG220" s="27"/>
      <c r="AH220" s="27"/>
      <c r="AI220" s="27"/>
      <c r="AJ220" s="27"/>
      <c r="AK220" s="27"/>
      <c r="AL220" s="27"/>
      <c r="AM220" s="27"/>
      <c r="AN220" s="27"/>
      <c r="AO220" s="27"/>
      <c r="AP220" s="27"/>
      <c r="AQ220" s="27"/>
      <c r="AR220" s="27"/>
      <c r="AS220" s="27"/>
      <c r="AT220" s="27"/>
      <c r="AU220" s="27"/>
    </row>
    <row r="221" spans="2:47" x14ac:dyDescent="0.25">
      <c r="B221" s="118"/>
      <c r="C221" s="86" t="s">
        <v>119</v>
      </c>
      <c r="D221" s="87"/>
      <c r="E221" s="87"/>
      <c r="F221" s="88"/>
      <c r="G221" s="13" t="s">
        <v>21</v>
      </c>
      <c r="H221" s="13"/>
      <c r="I221" s="13" t="s">
        <v>139</v>
      </c>
      <c r="J221" s="13" t="s">
        <v>18</v>
      </c>
      <c r="K221" s="13" t="s">
        <v>17</v>
      </c>
      <c r="L221" s="13" t="s">
        <v>139</v>
      </c>
      <c r="M221" s="13" t="s">
        <v>139</v>
      </c>
      <c r="N221" s="13" t="s">
        <v>139</v>
      </c>
      <c r="P221" s="13" t="s">
        <v>139</v>
      </c>
      <c r="Q221" s="13"/>
      <c r="R221" s="13" t="s">
        <v>18</v>
      </c>
      <c r="S221" s="13"/>
      <c r="U221" s="13" t="s">
        <v>17</v>
      </c>
      <c r="V221" s="13" t="s">
        <v>139</v>
      </c>
      <c r="W221" s="13" t="s">
        <v>139</v>
      </c>
      <c r="X221" s="13" t="s">
        <v>139</v>
      </c>
      <c r="Y221" s="13" t="s">
        <v>17</v>
      </c>
      <c r="Z221" s="13" t="s">
        <v>139</v>
      </c>
      <c r="AA221" s="13" t="s">
        <v>139</v>
      </c>
      <c r="AB221" s="13" t="s">
        <v>139</v>
      </c>
      <c r="AC221" s="72"/>
      <c r="AE221" s="13" t="s">
        <v>139</v>
      </c>
      <c r="AF221" s="13" t="s">
        <v>139</v>
      </c>
      <c r="AG221" s="13" t="s">
        <v>17</v>
      </c>
      <c r="AH221" s="13"/>
      <c r="AI221" s="13" t="s">
        <v>139</v>
      </c>
      <c r="AJ221" s="13" t="s">
        <v>139</v>
      </c>
      <c r="AK221" s="13"/>
      <c r="AL221" s="13"/>
      <c r="AM221" s="13"/>
      <c r="AN221" s="13"/>
      <c r="AO221" s="13"/>
      <c r="AP221" s="13"/>
      <c r="AQ221" s="13"/>
      <c r="AR221" s="13" t="s">
        <v>139</v>
      </c>
      <c r="AS221" s="13" t="s">
        <v>139</v>
      </c>
      <c r="AT221" s="13" t="s">
        <v>139</v>
      </c>
      <c r="AU221" s="13" t="s">
        <v>139</v>
      </c>
    </row>
    <row r="222" spans="2:47" ht="15.75" hidden="1" customHeight="1" x14ac:dyDescent="0.3">
      <c r="B222" s="118"/>
      <c r="C222" s="89"/>
      <c r="D222" s="90"/>
      <c r="E222" s="90"/>
      <c r="F222" s="91"/>
      <c r="G222" s="27">
        <v>40179</v>
      </c>
      <c r="H222" s="27"/>
      <c r="I222" s="27"/>
      <c r="J222" s="27"/>
      <c r="K222" s="27">
        <v>45855</v>
      </c>
      <c r="L222" s="27"/>
      <c r="M222" s="27"/>
      <c r="N222" s="27"/>
      <c r="P222" s="27"/>
      <c r="Q222" s="27"/>
      <c r="R222" s="27"/>
      <c r="S222" s="27"/>
      <c r="U222" s="27">
        <v>46143</v>
      </c>
      <c r="V222" s="27"/>
      <c r="W222" s="27"/>
      <c r="X222" s="27"/>
      <c r="Y222" s="27"/>
      <c r="Z222" s="27"/>
      <c r="AA222" s="27"/>
      <c r="AB222" s="27"/>
      <c r="AC222" s="74"/>
      <c r="AE222" s="27"/>
      <c r="AF222" s="27"/>
      <c r="AG222" s="27"/>
      <c r="AH222" s="27"/>
      <c r="AI222" s="27"/>
      <c r="AJ222" s="27"/>
      <c r="AK222" s="27"/>
      <c r="AL222" s="27"/>
      <c r="AM222" s="27"/>
      <c r="AN222" s="27"/>
      <c r="AO222" s="27"/>
      <c r="AP222" s="27"/>
      <c r="AQ222" s="27"/>
      <c r="AR222" s="27"/>
      <c r="AS222" s="27"/>
      <c r="AT222" s="27"/>
      <c r="AU222" s="27"/>
    </row>
    <row r="223" spans="2:47" x14ac:dyDescent="0.25">
      <c r="B223" s="118"/>
      <c r="C223" s="86" t="s">
        <v>120</v>
      </c>
      <c r="D223" s="87"/>
      <c r="E223" s="87"/>
      <c r="F223" s="88"/>
      <c r="G223" s="13" t="s">
        <v>21</v>
      </c>
      <c r="H223" s="13" t="s">
        <v>17</v>
      </c>
      <c r="I223" s="13" t="s">
        <v>139</v>
      </c>
      <c r="J223" s="13" t="s">
        <v>139</v>
      </c>
      <c r="K223" s="13" t="s">
        <v>17</v>
      </c>
      <c r="L223" s="13" t="s">
        <v>17</v>
      </c>
      <c r="M223" s="13" t="s">
        <v>17</v>
      </c>
      <c r="N223" s="13" t="s">
        <v>17</v>
      </c>
      <c r="P223" s="13" t="s">
        <v>17</v>
      </c>
      <c r="Q223" s="13" t="s">
        <v>139</v>
      </c>
      <c r="R223" s="13" t="s">
        <v>18</v>
      </c>
      <c r="S223" s="13" t="s">
        <v>139</v>
      </c>
      <c r="U223" s="13" t="s">
        <v>17</v>
      </c>
      <c r="V223" s="13" t="s">
        <v>17</v>
      </c>
      <c r="W223" s="13" t="s">
        <v>17</v>
      </c>
      <c r="X223" s="13" t="s">
        <v>18</v>
      </c>
      <c r="Y223" s="13" t="s">
        <v>17</v>
      </c>
      <c r="Z223" s="13" t="s">
        <v>18</v>
      </c>
      <c r="AA223" s="13" t="s">
        <v>17</v>
      </c>
      <c r="AB223" s="13" t="s">
        <v>18</v>
      </c>
      <c r="AC223" s="72"/>
      <c r="AE223" s="13" t="s">
        <v>139</v>
      </c>
      <c r="AF223" s="13" t="s">
        <v>17</v>
      </c>
      <c r="AG223" s="13" t="s">
        <v>17</v>
      </c>
      <c r="AH223" s="13" t="s">
        <v>139</v>
      </c>
      <c r="AI223" s="13" t="s">
        <v>139</v>
      </c>
      <c r="AJ223" s="13" t="s">
        <v>139</v>
      </c>
      <c r="AK223" s="13" t="s">
        <v>139</v>
      </c>
      <c r="AL223" s="13" t="s">
        <v>139</v>
      </c>
      <c r="AM223" s="13"/>
      <c r="AN223" s="13"/>
      <c r="AO223" s="13"/>
      <c r="AP223" s="13"/>
      <c r="AQ223" s="13" t="s">
        <v>139</v>
      </c>
      <c r="AR223" s="13" t="s">
        <v>139</v>
      </c>
      <c r="AS223" s="13" t="s">
        <v>139</v>
      </c>
      <c r="AT223" s="13" t="s">
        <v>139</v>
      </c>
      <c r="AU223" s="13" t="s">
        <v>139</v>
      </c>
    </row>
    <row r="224" spans="2:47" ht="15.75" hidden="1" customHeight="1" x14ac:dyDescent="0.3">
      <c r="B224" s="118"/>
      <c r="C224" s="89"/>
      <c r="D224" s="90"/>
      <c r="E224" s="90"/>
      <c r="F224" s="91"/>
      <c r="G224" s="27">
        <v>40179</v>
      </c>
      <c r="H224" s="27"/>
      <c r="I224" s="27"/>
      <c r="J224" s="27"/>
      <c r="K224" s="27" t="s">
        <v>293</v>
      </c>
      <c r="L224" s="27"/>
      <c r="M224" s="27"/>
      <c r="N224" s="27"/>
      <c r="P224" s="27"/>
      <c r="Q224" s="27"/>
      <c r="R224" s="27"/>
      <c r="S224" s="27"/>
      <c r="U224" s="27"/>
      <c r="V224" s="27"/>
      <c r="W224" s="27"/>
      <c r="X224" s="27"/>
      <c r="Y224" s="27"/>
      <c r="Z224" s="27"/>
      <c r="AA224" s="27"/>
      <c r="AB224" s="27"/>
      <c r="AC224" s="74"/>
      <c r="AE224" s="27"/>
      <c r="AF224" s="27"/>
      <c r="AG224" s="27"/>
      <c r="AH224" s="27"/>
      <c r="AI224" s="27"/>
      <c r="AJ224" s="27"/>
      <c r="AK224" s="27"/>
      <c r="AL224" s="27"/>
      <c r="AM224" s="27"/>
      <c r="AN224" s="27"/>
      <c r="AO224" s="27"/>
      <c r="AP224" s="27"/>
      <c r="AQ224" s="27"/>
      <c r="AR224" s="27"/>
      <c r="AS224" s="27"/>
      <c r="AT224" s="27"/>
      <c r="AU224" s="27"/>
    </row>
    <row r="225" spans="2:47" x14ac:dyDescent="0.25">
      <c r="B225" s="17" t="s">
        <v>61</v>
      </c>
      <c r="C225" s="18" t="s">
        <v>62</v>
      </c>
      <c r="D225" s="19">
        <f>COUNTA(C211:F224)</f>
        <v>7</v>
      </c>
      <c r="E225" s="19"/>
      <c r="F225" s="19"/>
      <c r="G225" s="20" t="str">
        <f>IF(ISBLANK(G211),"",IF((COUNTIF(G211:G224,"X"))/(COUNTIF(G211:G223,"x")+COUNTIF(G211:G223,"a")+COUNTIF(G211:G223,"t"))=1,_xlfn.UNICHAR(10003),(COUNTIF(G211:G224,"X"))/(COUNTIF(G211:G223,"x")+COUNTIF(G211:G223,"a")+COUNTIF(G211:G223,"t"))))</f>
        <v>✓</v>
      </c>
      <c r="H225" s="20" t="str">
        <f t="shared" ref="H225:AF225" si="291">IF(ISBLANK(H211),"",IF((COUNTIF(H211:H224,"X"))/(COUNTIF(H211:H223,"x")+COUNTIF(H211:H223,"a")+COUNTIF(H211:H223,"t"))=1,_xlfn.UNICHAR(10003),(COUNTIF(H211:H224,"X"))/(COUNTIF(H211:H223,"x")+COUNTIF(H211:H223,"a")+COUNTIF(H211:H223,"t"))))</f>
        <v>✓</v>
      </c>
      <c r="I225" s="20">
        <f t="shared" si="291"/>
        <v>0.5714285714285714</v>
      </c>
      <c r="J225" s="20">
        <f t="shared" si="291"/>
        <v>0</v>
      </c>
      <c r="K225" s="20">
        <f t="shared" si="291"/>
        <v>0.83333333333333337</v>
      </c>
      <c r="L225" s="20">
        <f t="shared" si="291"/>
        <v>0.83333333333333337</v>
      </c>
      <c r="M225" s="20">
        <f t="shared" ref="M225:N225" si="292">IF(ISBLANK(M211),"",IF((COUNTIF(M211:M224,"X"))/$D225=1,_xlfn.UNICHAR(10003),(COUNTIF(M211:M224,"X"))/$D225))</f>
        <v>0.42857142857142855</v>
      </c>
      <c r="N225" s="20">
        <f t="shared" si="292"/>
        <v>0.14285714285714285</v>
      </c>
      <c r="P225" s="20">
        <f t="shared" si="291"/>
        <v>0.83333333333333337</v>
      </c>
      <c r="Q225" s="20">
        <f t="shared" ref="Q225" si="293">IF(ISBLANK(Q211),"",IF((COUNTIF(Q211:Q224,"X"))/$D225=1,_xlfn.UNICHAR(10003),(COUNTIF(Q211:Q224,"X"))/$D225))</f>
        <v>0</v>
      </c>
      <c r="R225" s="20">
        <f t="shared" ref="R225:S225" si="294">IF(ISBLANK(R211),"",IF((COUNTIF(R211:R224,"X"))/$D225=1,_xlfn.UNICHAR(10003),(COUNTIF(R211:R224,"X"))/$D225))</f>
        <v>0.42857142857142855</v>
      </c>
      <c r="S225" s="20">
        <f t="shared" si="294"/>
        <v>0</v>
      </c>
      <c r="U225" s="20">
        <f t="shared" ref="U225:V225" si="295">IF(ISBLANK(U211),"",IF((COUNTIF(U211:U224,"X"))/$D225=1,_xlfn.UNICHAR(10003),(COUNTIF(U211:U224,"X"))/$D225))</f>
        <v>0.8571428571428571</v>
      </c>
      <c r="V225" s="20">
        <f t="shared" si="295"/>
        <v>0.5714285714285714</v>
      </c>
      <c r="W225" s="20">
        <f>IF(ISBLANK(W211),"",IF((COUNTIF(W211:W224,"X"))/$D225=1,_xlfn.UNICHAR(10003),(COUNTIF(W211:W224,"X"))/$D225))</f>
        <v>0.14285714285714285</v>
      </c>
      <c r="X225" s="20">
        <f>IF(ISBLANK(X211),"",IF((COUNTIF(X211:X224,"X"))/(COUNTIF(X211:X223,"x")+COUNTIF(X211:X223,"a")+COUNTIF(X211:X223,"t"))=1,_xlfn.UNICHAR(10003),(COUNTIF(X211:X224,"X"))/(COUNTIF(X211:X223,"x")+COUNTIF(X211:X223,"a")+COUNTIF(X211:X223,"t"))))</f>
        <v>0.33333333333333331</v>
      </c>
      <c r="Y225" s="20">
        <f t="shared" ref="Y225:AA225" si="296">IF(ISBLANK(Y211),"",IF((COUNTIF(Y211:Y224,"X"))/$D225=1,_xlfn.UNICHAR(10003),(COUNTIF(Y211:Y224,"X"))/$D225))</f>
        <v>0.42857142857142855</v>
      </c>
      <c r="Z225" s="20">
        <f t="shared" si="296"/>
        <v>0.2857142857142857</v>
      </c>
      <c r="AA225" s="20">
        <f t="shared" si="296"/>
        <v>0.14285714285714285</v>
      </c>
      <c r="AB225" s="20">
        <f>IF(ISBLANK(AB211),"",IF((COUNTIF(AB211:AB224,"X"))/(COUNTIF(AB211:AB223,"x")+COUNTIF(AB211:AB223,"a")+COUNTIF(AB211:AB223,"t"))=1,_xlfn.UNICHAR(10003),(COUNTIF(AB211:AB224,"X"))/(COUNTIF(AB211:AB223,"x")+COUNTIF(AB211:AB223,"a")+COUNTIF(AB211:AB223,"t"))))</f>
        <v>0.16666666666666666</v>
      </c>
      <c r="AC225" s="73"/>
      <c r="AE225" s="20">
        <f t="shared" ref="AE225" si="297">IF(ISBLANK(AE211),"",IF((COUNTIF(AE211:AE224,"X"))/$D225=1,_xlfn.UNICHAR(10003),(COUNTIF(AE211:AE224,"X"))/$D225))</f>
        <v>0.42857142857142855</v>
      </c>
      <c r="AF225" s="20">
        <f t="shared" si="291"/>
        <v>0.66666666666666663</v>
      </c>
      <c r="AG225" s="20">
        <f t="shared" ref="AG225:AI225" si="298">IF(ISBLANK(AG211),"",IF((COUNTIF(AG211:AG224,"X"))/$D225=1,_xlfn.UNICHAR(10003),(COUNTIF(AG211:AG224,"X"))/$D225))</f>
        <v>0.5714285714285714</v>
      </c>
      <c r="AH225" s="20">
        <f t="shared" si="298"/>
        <v>0.14285714285714285</v>
      </c>
      <c r="AI225" s="20">
        <f t="shared" si="298"/>
        <v>0</v>
      </c>
      <c r="AJ225" s="20">
        <f t="shared" ref="AJ225" si="299">IF(ISBLANK(AJ211),"",IF((COUNTIF(AJ211:AJ224,"X"))/$D225=1,_xlfn.UNICHAR(10003),(COUNTIF(AJ211:AJ224,"X"))/$D225))</f>
        <v>0</v>
      </c>
      <c r="AK225" s="20">
        <f t="shared" ref="AK225:AL225" si="300">IF(ISBLANK(AK211),"",IF((COUNTIF(AK211:AK224,"X"))/$D225=1,_xlfn.UNICHAR(10003),(COUNTIF(AK211:AK224,"X"))/$D225))</f>
        <v>0</v>
      </c>
      <c r="AL225" s="20">
        <f t="shared" si="300"/>
        <v>0</v>
      </c>
      <c r="AM225" s="20"/>
      <c r="AN225" s="20"/>
      <c r="AO225" s="20"/>
      <c r="AP225" s="20" t="str">
        <f t="shared" ref="AP225:AR225" si="301">IF(ISBLANK(AP211),"",IF((COUNTIF(AP211:AP224,"X"))/$D225=1,_xlfn.UNICHAR(10003),(COUNTIF(AP211:AP224,"X"))/$D225))</f>
        <v/>
      </c>
      <c r="AQ225" s="20">
        <f t="shared" ref="AQ225" si="302">IF(ISBLANK(AQ211),"",IF((COUNTIF(AQ211:AQ224,"X"))/$D225=1,_xlfn.UNICHAR(10003),(COUNTIF(AQ211:AQ224,"X"))/$D225))</f>
        <v>0</v>
      </c>
      <c r="AR225" s="20">
        <f t="shared" si="301"/>
        <v>0</v>
      </c>
      <c r="AS225" s="20">
        <f t="shared" ref="AS225:AT225" si="303">IF(ISBLANK(AS211),"",IF((COUNTIF(AS211:AS224,"X"))/$D225=1,_xlfn.UNICHAR(10003),(COUNTIF(AS211:AS224,"X"))/$D225))</f>
        <v>0</v>
      </c>
      <c r="AT225" s="20">
        <f t="shared" si="303"/>
        <v>0</v>
      </c>
      <c r="AU225" s="20">
        <f t="shared" ref="AU225" si="304">IF(ISBLANK(AU211),"",IF((COUNTIF(AU211:AU224,"X"))/$D225=1,_xlfn.UNICHAR(10003),(COUNTIF(AU211:AU224,"X"))/$D225))</f>
        <v>0</v>
      </c>
    </row>
    <row r="227" spans="2:47" x14ac:dyDescent="0.25">
      <c r="B227" s="184" t="s">
        <v>134</v>
      </c>
      <c r="C227" s="185"/>
      <c r="D227" s="23">
        <f>SUM(D221,D205,D189,D183,D177,D155,D149,D141,D125,D111,D100,D83,D65,D43,D34,D11,D120,D56,D136,D76,D6)</f>
        <v>0</v>
      </c>
      <c r="E227" s="23"/>
      <c r="F227" s="24"/>
    </row>
    <row r="228" spans="2:47" x14ac:dyDescent="0.25">
      <c r="B228" s="84" t="s">
        <v>153</v>
      </c>
      <c r="C228" s="85"/>
      <c r="D228" s="101" t="s">
        <v>155</v>
      </c>
      <c r="E228" s="102"/>
      <c r="F228" s="103"/>
      <c r="G228" s="25" t="str">
        <f>IF(G131=_xlfn.UNICHAR(10003),CONCATENATE(_xlfn.UNICHAR(10003),_xlfn.UNICHAR(10003)),G132)</f>
        <v>✓✓</v>
      </c>
      <c r="H228" s="25" t="str">
        <f t="shared" ref="H228:AI228" si="305">IF(H131=_xlfn.UNICHAR(10003),CONCATENATE(_xlfn.UNICHAR(10003),_xlfn.UNICHAR(10003)),H132)</f>
        <v>✓✓</v>
      </c>
      <c r="I228" s="25">
        <f t="shared" si="305"/>
        <v>0</v>
      </c>
      <c r="J228" s="25">
        <f t="shared" si="305"/>
        <v>0</v>
      </c>
      <c r="K228" s="25" t="str">
        <f t="shared" si="305"/>
        <v>✓✓</v>
      </c>
      <c r="L228" s="25">
        <f t="shared" si="305"/>
        <v>0.96</v>
      </c>
      <c r="M228" s="25">
        <f t="shared" si="305"/>
        <v>0.8</v>
      </c>
      <c r="N228" s="25">
        <f t="shared" si="305"/>
        <v>0.68</v>
      </c>
      <c r="P228" s="25">
        <f t="shared" si="305"/>
        <v>0</v>
      </c>
      <c r="Q228" s="25">
        <f t="shared" si="305"/>
        <v>0</v>
      </c>
      <c r="R228" s="25">
        <f t="shared" si="305"/>
        <v>0.21428571428571427</v>
      </c>
      <c r="S228" s="25">
        <f>IF(S131=_xlfn.UNICHAR(10003),CONCATENATE(_xlfn.UNICHAR(10003),_xlfn.UNICHAR(10003)),S132)</f>
        <v>0</v>
      </c>
      <c r="U228" s="25">
        <f t="shared" ref="U228:V228" si="306">IF(U131=_xlfn.UNICHAR(10003),CONCATENATE(_xlfn.UNICHAR(10003),_xlfn.UNICHAR(10003)),U132)</f>
        <v>0.91666666666666663</v>
      </c>
      <c r="V228" s="25">
        <f t="shared" si="306"/>
        <v>0.70833333333333337</v>
      </c>
      <c r="W228" s="25">
        <f>IF(W131=_xlfn.UNICHAR(10003),CONCATENATE(_xlfn.UNICHAR(10003),_xlfn.UNICHAR(10003)),W132)</f>
        <v>0.66666666666666663</v>
      </c>
      <c r="X228" s="25">
        <f>IF(X131=_xlfn.UNICHAR(10003),CONCATENATE(_xlfn.UNICHAR(10003),_xlfn.UNICHAR(10003)),X132)</f>
        <v>0.875</v>
      </c>
      <c r="Y228" s="25">
        <f t="shared" ref="Y228:AA228" si="307">IF(Y131=_xlfn.UNICHAR(10003),CONCATENATE(_xlfn.UNICHAR(10003),_xlfn.UNICHAR(10003)),Y132)</f>
        <v>0.70833333333333337</v>
      </c>
      <c r="Z228" s="25">
        <f t="shared" si="307"/>
        <v>0.5</v>
      </c>
      <c r="AA228" s="25">
        <f t="shared" si="307"/>
        <v>0.91304347826086951</v>
      </c>
      <c r="AB228" s="25">
        <f>IF(AB131=_xlfn.UNICHAR(10003),CONCATENATE(_xlfn.UNICHAR(10003),_xlfn.UNICHAR(10003)),AB132)</f>
        <v>8.6956521739130432E-2</v>
      </c>
      <c r="AC228" s="64"/>
      <c r="AE228" s="25">
        <f t="shared" ref="AE228" si="308">IF(AE131=_xlfn.UNICHAR(10003),CONCATENATE(_xlfn.UNICHAR(10003),_xlfn.UNICHAR(10003)),AE132)</f>
        <v>0.65217391304347827</v>
      </c>
      <c r="AF228" s="25">
        <f t="shared" si="305"/>
        <v>0.82608695652173914</v>
      </c>
      <c r="AG228" s="25">
        <f t="shared" si="305"/>
        <v>0.86956521739130432</v>
      </c>
      <c r="AH228" s="25">
        <f t="shared" si="305"/>
        <v>0.14285714285714285</v>
      </c>
      <c r="AI228" s="25">
        <f t="shared" si="305"/>
        <v>0</v>
      </c>
      <c r="AJ228" s="25">
        <f t="shared" ref="AJ228" si="309">IF(AJ131=_xlfn.UNICHAR(10003),CONCATENATE(_xlfn.UNICHAR(10003),_xlfn.UNICHAR(10003)),AJ132)</f>
        <v>0</v>
      </c>
      <c r="AK228" s="25">
        <f t="shared" ref="AK228:AL228" si="310">IF(AK131=_xlfn.UNICHAR(10003),CONCATENATE(_xlfn.UNICHAR(10003),_xlfn.UNICHAR(10003)),AK132)</f>
        <v>0</v>
      </c>
      <c r="AL228" s="25">
        <f t="shared" si="310"/>
        <v>0</v>
      </c>
      <c r="AM228" s="25"/>
      <c r="AN228" s="25"/>
      <c r="AO228" s="25"/>
      <c r="AP228" s="25" t="str">
        <f>IF(AP131=_xlfn.UNICHAR(10003),CONCATENATE(_xlfn.UNICHAR(10003),_xlfn.UNICHAR(10003)),AP132)</f>
        <v/>
      </c>
      <c r="AQ228" s="25">
        <f t="shared" ref="AQ228:AU228" si="311">IF(AQ131=_xlfn.UNICHAR(10003),CONCATENATE(_xlfn.UNICHAR(10003),_xlfn.UNICHAR(10003)),AQ132)</f>
        <v>0</v>
      </c>
      <c r="AR228" s="25">
        <f t="shared" si="311"/>
        <v>0</v>
      </c>
      <c r="AS228" s="25">
        <f t="shared" si="311"/>
        <v>0</v>
      </c>
      <c r="AT228" s="25">
        <f t="shared" si="311"/>
        <v>0</v>
      </c>
      <c r="AU228" s="25">
        <f t="shared" si="311"/>
        <v>0</v>
      </c>
    </row>
    <row r="229" spans="2:47" x14ac:dyDescent="0.25">
      <c r="B229" s="84" t="s">
        <v>154</v>
      </c>
      <c r="C229" s="85"/>
      <c r="D229" s="104"/>
      <c r="E229" s="105"/>
      <c r="F229" s="106"/>
      <c r="G229" s="25" t="str">
        <f>IF(G71=_xlfn.UNICHAR(10003),CONCATENATE(_xlfn.UNICHAR(10003),_xlfn.UNICHAR(10003)),G72)</f>
        <v>✓✓</v>
      </c>
      <c r="H229" s="25" t="str">
        <f t="shared" ref="H229:AI229" si="312">IF(H71=_xlfn.UNICHAR(10003),CONCATENATE(_xlfn.UNICHAR(10003),_xlfn.UNICHAR(10003)),H72)</f>
        <v>✓✓</v>
      </c>
      <c r="I229" s="25">
        <f t="shared" si="312"/>
        <v>0.96666666666666667</v>
      </c>
      <c r="J229" s="25">
        <f t="shared" si="312"/>
        <v>0.8666666666666667</v>
      </c>
      <c r="K229" s="25" t="str">
        <f t="shared" si="312"/>
        <v>✓✓</v>
      </c>
      <c r="L229" s="25">
        <f t="shared" si="312"/>
        <v>0.9</v>
      </c>
      <c r="M229" s="25">
        <f t="shared" si="312"/>
        <v>0.53333333333333333</v>
      </c>
      <c r="N229" s="25">
        <f t="shared" si="312"/>
        <v>0.6333333333333333</v>
      </c>
      <c r="P229" s="25">
        <f t="shared" si="312"/>
        <v>0.7407407407407407</v>
      </c>
      <c r="Q229" s="25">
        <f t="shared" si="312"/>
        <v>0.81818181818181823</v>
      </c>
      <c r="R229" s="25">
        <f t="shared" si="312"/>
        <v>0.77272727272727271</v>
      </c>
      <c r="S229" s="25">
        <f t="shared" ref="S229" si="313">IF(S71=_xlfn.UNICHAR(10003),CONCATENATE(_xlfn.UNICHAR(10003),_xlfn.UNICHAR(10003)),S72)</f>
        <v>0</v>
      </c>
      <c r="U229" s="25">
        <f t="shared" ref="U229:V229" si="314">IF(U71=_xlfn.UNICHAR(10003),CONCATENATE(_xlfn.UNICHAR(10003),_xlfn.UNICHAR(10003)),U72)</f>
        <v>0.89655172413793105</v>
      </c>
      <c r="V229" s="25">
        <f t="shared" si="314"/>
        <v>0.72413793103448276</v>
      </c>
      <c r="W229" s="25">
        <f>IF(W71=_xlfn.UNICHAR(10003),CONCATENATE(_xlfn.UNICHAR(10003),_xlfn.UNICHAR(10003)),W72)</f>
        <v>0.65517241379310343</v>
      </c>
      <c r="X229" s="25">
        <f>IF(X71=_xlfn.UNICHAR(10003),CONCATENATE(_xlfn.UNICHAR(10003),_xlfn.UNICHAR(10003)),X72)</f>
        <v>0.86206896551724133</v>
      </c>
      <c r="Y229" s="25">
        <f t="shared" ref="Y229:AA229" si="315">IF(Y71=_xlfn.UNICHAR(10003),CONCATENATE(_xlfn.UNICHAR(10003),_xlfn.UNICHAR(10003)),Y72)</f>
        <v>0.72413793103448276</v>
      </c>
      <c r="Z229" s="25">
        <f t="shared" si="315"/>
        <v>0.72413793103448276</v>
      </c>
      <c r="AA229" s="25" t="str">
        <f t="shared" si="315"/>
        <v>✓</v>
      </c>
      <c r="AB229" s="25">
        <f>IF(AB71=_xlfn.UNICHAR(10003),CONCATENATE(_xlfn.UNICHAR(10003),_xlfn.UNICHAR(10003)),AB72)</f>
        <v>0.82758620689655171</v>
      </c>
      <c r="AC229" s="64"/>
      <c r="AE229" s="25">
        <f t="shared" ref="AE229" si="316">IF(AE71=_xlfn.UNICHAR(10003),CONCATENATE(_xlfn.UNICHAR(10003),_xlfn.UNICHAR(10003)),AE72)</f>
        <v>0.7407407407407407</v>
      </c>
      <c r="AF229" s="25" t="str">
        <f t="shared" si="312"/>
        <v>✓</v>
      </c>
      <c r="AG229" s="25">
        <f t="shared" si="312"/>
        <v>0.85185185185185186</v>
      </c>
      <c r="AH229" s="25">
        <f t="shared" si="312"/>
        <v>0.15</v>
      </c>
      <c r="AI229" s="25">
        <f t="shared" si="312"/>
        <v>0.2608695652173913</v>
      </c>
      <c r="AJ229" s="25">
        <f t="shared" ref="AJ229" si="317">IF(AJ71=_xlfn.UNICHAR(10003),CONCATENATE(_xlfn.UNICHAR(10003),_xlfn.UNICHAR(10003)),AJ72)</f>
        <v>0</v>
      </c>
      <c r="AK229" s="25">
        <f t="shared" ref="AK229:AL229" si="318">IF(AK71=_xlfn.UNICHAR(10003),CONCATENATE(_xlfn.UNICHAR(10003),_xlfn.UNICHAR(10003)),AK72)</f>
        <v>0</v>
      </c>
      <c r="AL229" s="25">
        <f t="shared" si="318"/>
        <v>0</v>
      </c>
      <c r="AM229" s="25"/>
      <c r="AN229" s="25"/>
      <c r="AO229" s="25"/>
      <c r="AP229" s="25" t="str">
        <f>IF(AP71=_xlfn.UNICHAR(10003),CONCATENATE(_xlfn.UNICHAR(10003),_xlfn.UNICHAR(10003)),AP72)</f>
        <v/>
      </c>
      <c r="AQ229" s="25">
        <f t="shared" ref="AQ229:AU229" si="319">IF(AQ71=_xlfn.UNICHAR(10003),CONCATENATE(_xlfn.UNICHAR(10003),_xlfn.UNICHAR(10003)),AQ72)</f>
        <v>0</v>
      </c>
      <c r="AR229" s="25">
        <f t="shared" si="319"/>
        <v>0</v>
      </c>
      <c r="AS229" s="25">
        <f t="shared" si="319"/>
        <v>0</v>
      </c>
      <c r="AT229" s="25">
        <f t="shared" si="319"/>
        <v>0</v>
      </c>
      <c r="AU229" s="25">
        <f t="shared" si="319"/>
        <v>0</v>
      </c>
    </row>
    <row r="230" spans="2:47" x14ac:dyDescent="0.25">
      <c r="B230" s="84" t="s">
        <v>130</v>
      </c>
      <c r="C230" s="85"/>
      <c r="D230" s="107"/>
      <c r="E230" s="108"/>
      <c r="F230" s="109"/>
      <c r="G230" s="25" t="str">
        <f t="shared" ref="G230:N230" si="320">G147</f>
        <v>✓</v>
      </c>
      <c r="H230" s="25" t="str">
        <f t="shared" si="320"/>
        <v>✓</v>
      </c>
      <c r="I230" s="25" t="str">
        <f t="shared" si="320"/>
        <v>✓</v>
      </c>
      <c r="J230" s="25" t="str">
        <f t="shared" si="320"/>
        <v>✓</v>
      </c>
      <c r="K230" s="25" t="str">
        <f t="shared" si="320"/>
        <v>✓</v>
      </c>
      <c r="L230" s="25" t="str">
        <f t="shared" si="320"/>
        <v>✓</v>
      </c>
      <c r="M230" s="25">
        <f t="shared" si="320"/>
        <v>0</v>
      </c>
      <c r="N230" s="25">
        <f t="shared" si="320"/>
        <v>0.8</v>
      </c>
      <c r="P230" s="25" t="str">
        <f t="shared" ref="P230:AF230" si="321">P147</f>
        <v>✓</v>
      </c>
      <c r="Q230" s="25">
        <f t="shared" si="321"/>
        <v>0</v>
      </c>
      <c r="R230" s="25" t="str">
        <f t="shared" si="321"/>
        <v>✓</v>
      </c>
      <c r="S230" s="25">
        <f t="shared" ref="S230" si="322">S147</f>
        <v>0</v>
      </c>
      <c r="U230" s="25" t="str">
        <f t="shared" si="321"/>
        <v>✓</v>
      </c>
      <c r="V230" s="25" t="str">
        <f t="shared" si="321"/>
        <v>✓</v>
      </c>
      <c r="W230" s="25">
        <f>W147</f>
        <v>0</v>
      </c>
      <c r="X230" s="25">
        <f>X147</f>
        <v>0.6</v>
      </c>
      <c r="Y230" s="25">
        <f t="shared" ref="Y230:AA230" si="323">Y147</f>
        <v>0.2</v>
      </c>
      <c r="Z230" s="25" t="str">
        <f t="shared" si="323"/>
        <v>✓</v>
      </c>
      <c r="AA230" s="25">
        <f t="shared" si="323"/>
        <v>0.8</v>
      </c>
      <c r="AB230" s="25">
        <f>AB147</f>
        <v>0</v>
      </c>
      <c r="AC230" s="64"/>
      <c r="AE230" s="25" t="str">
        <f t="shared" ref="AE230" si="324">AE147</f>
        <v>✓</v>
      </c>
      <c r="AF230" s="25" t="str">
        <f t="shared" si="321"/>
        <v>✓</v>
      </c>
      <c r="AG230" s="25" t="str">
        <f t="shared" ref="AG230:AI230" si="325">AG147</f>
        <v>✓</v>
      </c>
      <c r="AH230" s="25" t="str">
        <f t="shared" si="325"/>
        <v/>
      </c>
      <c r="AI230" s="25">
        <f t="shared" si="325"/>
        <v>0.2</v>
      </c>
      <c r="AJ230" s="25">
        <f t="shared" ref="AJ230" si="326">AJ147</f>
        <v>0</v>
      </c>
      <c r="AK230" s="25" t="str">
        <f t="shared" ref="AK230:AL230" si="327">AK147</f>
        <v/>
      </c>
      <c r="AL230" s="25" t="str">
        <f t="shared" si="327"/>
        <v/>
      </c>
      <c r="AM230" s="25"/>
      <c r="AN230" s="25"/>
      <c r="AO230" s="25"/>
      <c r="AP230" s="25" t="str">
        <f t="shared" ref="AP230:AU230" si="328">AP147</f>
        <v/>
      </c>
      <c r="AQ230" s="25">
        <f t="shared" si="328"/>
        <v>0</v>
      </c>
      <c r="AR230" s="25">
        <f t="shared" si="328"/>
        <v>0</v>
      </c>
      <c r="AS230" s="25">
        <f t="shared" si="328"/>
        <v>0</v>
      </c>
      <c r="AT230" s="25">
        <f t="shared" si="328"/>
        <v>0</v>
      </c>
      <c r="AU230" s="25">
        <f t="shared" si="328"/>
        <v>0</v>
      </c>
    </row>
    <row r="231" spans="2:47" x14ac:dyDescent="0.25">
      <c r="B231" s="84" t="s">
        <v>131</v>
      </c>
      <c r="C231" s="85"/>
      <c r="D231" s="107"/>
      <c r="E231" s="108"/>
      <c r="F231" s="109"/>
      <c r="G231" s="25" t="str">
        <f t="shared" ref="G231:N231" si="329">G153</f>
        <v>✓</v>
      </c>
      <c r="H231" s="25" t="str">
        <f t="shared" si="329"/>
        <v>✓</v>
      </c>
      <c r="I231" s="25" t="str">
        <f t="shared" si="329"/>
        <v>✓</v>
      </c>
      <c r="J231" s="25" t="str">
        <f t="shared" si="329"/>
        <v>✓</v>
      </c>
      <c r="K231" s="25" t="str">
        <f t="shared" si="329"/>
        <v>✓</v>
      </c>
      <c r="L231" s="25" t="str">
        <f t="shared" si="329"/>
        <v>✓</v>
      </c>
      <c r="M231" s="25">
        <f t="shared" si="329"/>
        <v>0</v>
      </c>
      <c r="N231" s="25">
        <f t="shared" si="329"/>
        <v>0.5</v>
      </c>
      <c r="P231" s="25" t="str">
        <f t="shared" ref="P231:AF231" si="330">P153</f>
        <v>✓</v>
      </c>
      <c r="Q231" s="25">
        <f t="shared" si="330"/>
        <v>0</v>
      </c>
      <c r="R231" s="25">
        <f t="shared" si="330"/>
        <v>0.5</v>
      </c>
      <c r="S231" s="25">
        <f t="shared" ref="S231" si="331">S153</f>
        <v>0</v>
      </c>
      <c r="U231" s="25" t="str">
        <f t="shared" si="330"/>
        <v>✓</v>
      </c>
      <c r="V231" s="25" t="str">
        <f t="shared" si="330"/>
        <v>✓</v>
      </c>
      <c r="W231" s="25">
        <f>W153</f>
        <v>0.5</v>
      </c>
      <c r="X231" s="25">
        <f>X153</f>
        <v>0.5</v>
      </c>
      <c r="Y231" s="25" t="str">
        <f t="shared" ref="Y231:AA231" si="332">Y153</f>
        <v>✓</v>
      </c>
      <c r="Z231" s="25">
        <f t="shared" si="332"/>
        <v>0.5</v>
      </c>
      <c r="AA231" s="25">
        <f t="shared" si="332"/>
        <v>0.5</v>
      </c>
      <c r="AB231" s="25" t="str">
        <f>AB153</f>
        <v>✓</v>
      </c>
      <c r="AC231" s="64"/>
      <c r="AE231" s="25">
        <f t="shared" ref="AE231" si="333">AE153</f>
        <v>0.5</v>
      </c>
      <c r="AF231" s="25" t="str">
        <f t="shared" si="330"/>
        <v>✓</v>
      </c>
      <c r="AG231" s="25">
        <f t="shared" ref="AG231:AI231" si="334">AG153</f>
        <v>0.5</v>
      </c>
      <c r="AH231" s="25">
        <f t="shared" si="334"/>
        <v>0</v>
      </c>
      <c r="AI231" s="25">
        <f t="shared" si="334"/>
        <v>0</v>
      </c>
      <c r="AJ231" s="25">
        <f t="shared" ref="AJ231" si="335">AJ153</f>
        <v>0</v>
      </c>
      <c r="AK231" s="25">
        <f t="shared" ref="AK231:AL231" si="336">AK153</f>
        <v>0</v>
      </c>
      <c r="AL231" s="25">
        <f t="shared" si="336"/>
        <v>0.5</v>
      </c>
      <c r="AM231" s="25"/>
      <c r="AN231" s="25"/>
      <c r="AO231" s="25"/>
      <c r="AP231" s="25" t="str">
        <f t="shared" ref="AP231:AU231" si="337">AP153</f>
        <v/>
      </c>
      <c r="AQ231" s="25">
        <f t="shared" si="337"/>
        <v>0</v>
      </c>
      <c r="AR231" s="25">
        <f t="shared" si="337"/>
        <v>0</v>
      </c>
      <c r="AS231" s="25">
        <f t="shared" si="337"/>
        <v>0</v>
      </c>
      <c r="AT231" s="25">
        <f t="shared" si="337"/>
        <v>0</v>
      </c>
      <c r="AU231" s="25">
        <f t="shared" si="337"/>
        <v>0</v>
      </c>
    </row>
    <row r="232" spans="2:47" x14ac:dyDescent="0.25">
      <c r="B232" s="84" t="s">
        <v>132</v>
      </c>
      <c r="C232" s="85"/>
      <c r="D232" s="19"/>
      <c r="E232" s="19"/>
      <c r="F232" s="19"/>
      <c r="G232" s="25" t="str">
        <f t="shared" ref="G232:N232" si="338">G165</f>
        <v>✓</v>
      </c>
      <c r="H232" s="25" t="str">
        <f t="shared" si="338"/>
        <v>✓</v>
      </c>
      <c r="I232" s="25" t="str">
        <f t="shared" si="338"/>
        <v>✓</v>
      </c>
      <c r="J232" s="25" t="str">
        <f t="shared" si="338"/>
        <v>✓</v>
      </c>
      <c r="K232" s="25" t="str">
        <f t="shared" si="338"/>
        <v>✓</v>
      </c>
      <c r="L232" s="25" t="str">
        <f t="shared" si="338"/>
        <v>✓</v>
      </c>
      <c r="M232" s="25">
        <f t="shared" si="338"/>
        <v>0</v>
      </c>
      <c r="N232" s="25">
        <f t="shared" si="338"/>
        <v>0</v>
      </c>
      <c r="P232" s="25" t="str">
        <f t="shared" ref="P232:AF232" si="339">P165</f>
        <v/>
      </c>
      <c r="Q232" s="25" t="str">
        <f t="shared" si="339"/>
        <v/>
      </c>
      <c r="R232" s="25" t="str">
        <f t="shared" si="339"/>
        <v/>
      </c>
      <c r="S232" s="25" t="str">
        <f t="shared" ref="S232" si="340">S165</f>
        <v/>
      </c>
      <c r="U232" s="25">
        <f t="shared" si="339"/>
        <v>0.4</v>
      </c>
      <c r="V232" s="25">
        <f t="shared" si="339"/>
        <v>0.8</v>
      </c>
      <c r="W232" s="25">
        <f>W165</f>
        <v>0.2</v>
      </c>
      <c r="X232" s="25">
        <f>X165</f>
        <v>0</v>
      </c>
      <c r="Y232" s="25">
        <f t="shared" ref="Y232:Z232" si="341">Y165</f>
        <v>0</v>
      </c>
      <c r="Z232" s="25">
        <f t="shared" si="341"/>
        <v>0</v>
      </c>
      <c r="AA232" s="25">
        <f>AA165</f>
        <v>0.2</v>
      </c>
      <c r="AB232" s="25">
        <f>AB165</f>
        <v>0.2</v>
      </c>
      <c r="AC232" s="64"/>
      <c r="AE232" s="25">
        <f t="shared" ref="AE232" si="342">AE165</f>
        <v>0.2</v>
      </c>
      <c r="AF232" s="25">
        <f t="shared" si="339"/>
        <v>0</v>
      </c>
      <c r="AG232" s="25">
        <f t="shared" ref="AG232:AI232" si="343">AG165</f>
        <v>0.2</v>
      </c>
      <c r="AH232" s="25" t="str">
        <f t="shared" si="343"/>
        <v/>
      </c>
      <c r="AI232" s="25">
        <f t="shared" si="343"/>
        <v>0</v>
      </c>
      <c r="AJ232" s="25">
        <f t="shared" ref="AJ232" si="344">AJ165</f>
        <v>0</v>
      </c>
      <c r="AK232" s="25" t="str">
        <f t="shared" ref="AK232:AL232" si="345">AK165</f>
        <v/>
      </c>
      <c r="AL232" s="25" t="str">
        <f t="shared" si="345"/>
        <v/>
      </c>
      <c r="AM232" s="25"/>
      <c r="AN232" s="25"/>
      <c r="AO232" s="25"/>
      <c r="AP232" s="25" t="str">
        <f t="shared" ref="AP232:AU232" si="346">AP165</f>
        <v/>
      </c>
      <c r="AQ232" s="25" t="str">
        <f t="shared" si="346"/>
        <v/>
      </c>
      <c r="AR232" s="25">
        <f t="shared" si="346"/>
        <v>0</v>
      </c>
      <c r="AS232" s="25">
        <f t="shared" si="346"/>
        <v>0</v>
      </c>
      <c r="AT232" s="25">
        <f t="shared" si="346"/>
        <v>0</v>
      </c>
      <c r="AU232" s="25">
        <f t="shared" si="346"/>
        <v>0</v>
      </c>
    </row>
    <row r="233" spans="2:47" ht="15.75" customHeight="1" x14ac:dyDescent="0.25">
      <c r="B233" s="84" t="s">
        <v>12</v>
      </c>
      <c r="C233" s="85"/>
      <c r="D233" s="19"/>
      <c r="E233" s="19"/>
      <c r="F233" s="19"/>
      <c r="G233" s="25" t="str">
        <f t="shared" ref="G233:N233" si="347">G181</f>
        <v>✓</v>
      </c>
      <c r="H233" s="25" t="str">
        <f t="shared" si="347"/>
        <v>✓</v>
      </c>
      <c r="I233" s="25" t="str">
        <f t="shared" si="347"/>
        <v>✓</v>
      </c>
      <c r="J233" s="25">
        <f t="shared" si="347"/>
        <v>0.42857142857142855</v>
      </c>
      <c r="K233" s="25" t="str">
        <f t="shared" si="347"/>
        <v>✓</v>
      </c>
      <c r="L233" s="25" t="str">
        <f t="shared" si="347"/>
        <v>✓</v>
      </c>
      <c r="M233" s="25" t="str">
        <f t="shared" si="347"/>
        <v>✓</v>
      </c>
      <c r="N233" s="25" t="str">
        <f t="shared" si="347"/>
        <v>✓</v>
      </c>
      <c r="P233" s="25" t="str">
        <f t="shared" ref="P233:AF233" si="348">P181</f>
        <v>✓</v>
      </c>
      <c r="Q233" s="25">
        <f t="shared" si="348"/>
        <v>0.7142857142857143</v>
      </c>
      <c r="R233" s="25">
        <f t="shared" si="348"/>
        <v>0.8571428571428571</v>
      </c>
      <c r="S233" s="25">
        <f t="shared" ref="S233" si="349">S181</f>
        <v>0</v>
      </c>
      <c r="U233" s="25" t="str">
        <f t="shared" si="348"/>
        <v>✓</v>
      </c>
      <c r="V233" s="25" t="str">
        <f t="shared" si="348"/>
        <v>✓</v>
      </c>
      <c r="W233" s="25" t="str">
        <f>W181</f>
        <v>✓</v>
      </c>
      <c r="X233" s="25" t="str">
        <f>X181</f>
        <v>✓</v>
      </c>
      <c r="Y233" s="25" t="str">
        <f t="shared" ref="Y233:AA233" si="350">Y181</f>
        <v>✓</v>
      </c>
      <c r="Z233" s="25" t="str">
        <f t="shared" si="350"/>
        <v>✓</v>
      </c>
      <c r="AA233" s="25" t="str">
        <f t="shared" si="350"/>
        <v>✓</v>
      </c>
      <c r="AB233" s="25" t="str">
        <f>AB181</f>
        <v>✓</v>
      </c>
      <c r="AC233" s="64"/>
      <c r="AE233" s="25" t="str">
        <f t="shared" ref="AE233" si="351">AE181</f>
        <v>✓</v>
      </c>
      <c r="AF233" s="25" t="str">
        <f t="shared" si="348"/>
        <v>✓</v>
      </c>
      <c r="AG233" s="25" t="str">
        <f t="shared" ref="AG233:AI233" si="352">AG181</f>
        <v>✓</v>
      </c>
      <c r="AH233" s="25" t="str">
        <f t="shared" si="352"/>
        <v>✓</v>
      </c>
      <c r="AI233" s="25">
        <f t="shared" si="352"/>
        <v>0.5714285714285714</v>
      </c>
      <c r="AJ233" s="25">
        <f t="shared" ref="AJ233" si="353">AJ181</f>
        <v>0</v>
      </c>
      <c r="AK233" s="25" t="str">
        <f t="shared" ref="AK233:AL233" si="354">AK181</f>
        <v>✓</v>
      </c>
      <c r="AL233" s="25">
        <f t="shared" si="354"/>
        <v>0.2857142857142857</v>
      </c>
      <c r="AM233" s="25"/>
      <c r="AN233" s="25"/>
      <c r="AO233" s="25"/>
      <c r="AP233" s="25" t="str">
        <f t="shared" ref="AP233:AU233" si="355">AP181</f>
        <v/>
      </c>
      <c r="AQ233" s="25">
        <f t="shared" si="355"/>
        <v>0</v>
      </c>
      <c r="AR233" s="25">
        <f t="shared" si="355"/>
        <v>0</v>
      </c>
      <c r="AS233" s="25">
        <f t="shared" si="355"/>
        <v>0</v>
      </c>
      <c r="AT233" s="25">
        <f t="shared" si="355"/>
        <v>0</v>
      </c>
      <c r="AU233" s="25">
        <f t="shared" si="355"/>
        <v>0</v>
      </c>
    </row>
    <row r="234" spans="2:47" x14ac:dyDescent="0.25">
      <c r="B234" s="84" t="s">
        <v>105</v>
      </c>
      <c r="C234" s="85"/>
      <c r="D234" s="19"/>
      <c r="E234" s="19"/>
      <c r="F234" s="19"/>
      <c r="G234" s="25" t="str">
        <f t="shared" ref="G234:N234" si="356">G187</f>
        <v>✓</v>
      </c>
      <c r="H234" s="25" t="str">
        <f t="shared" si="356"/>
        <v>✓</v>
      </c>
      <c r="I234" s="25" t="str">
        <f t="shared" si="356"/>
        <v>✓</v>
      </c>
      <c r="J234" s="25" t="str">
        <f t="shared" si="356"/>
        <v>✓</v>
      </c>
      <c r="K234" s="25" t="str">
        <f t="shared" si="356"/>
        <v>✓</v>
      </c>
      <c r="L234" s="25" t="str">
        <f t="shared" si="356"/>
        <v>✓</v>
      </c>
      <c r="M234" s="25">
        <f t="shared" si="356"/>
        <v>0</v>
      </c>
      <c r="N234" s="25">
        <f t="shared" si="356"/>
        <v>0</v>
      </c>
      <c r="P234" s="25">
        <f t="shared" ref="P234:AF234" si="357">P187</f>
        <v>0.5</v>
      </c>
      <c r="Q234" s="25">
        <f t="shared" si="357"/>
        <v>0.5</v>
      </c>
      <c r="R234" s="25">
        <f t="shared" si="357"/>
        <v>0.5</v>
      </c>
      <c r="S234" s="25">
        <f t="shared" ref="S234" si="358">S187</f>
        <v>0</v>
      </c>
      <c r="U234" s="25">
        <f t="shared" si="357"/>
        <v>0.5</v>
      </c>
      <c r="V234" s="25">
        <f t="shared" si="357"/>
        <v>0</v>
      </c>
      <c r="W234" s="25">
        <f>W187</f>
        <v>0</v>
      </c>
      <c r="X234" s="25">
        <f>X187</f>
        <v>0</v>
      </c>
      <c r="Y234" s="25">
        <f t="shared" ref="Y234:AA234" si="359">Y187</f>
        <v>0.5</v>
      </c>
      <c r="Z234" s="25">
        <f t="shared" si="359"/>
        <v>0</v>
      </c>
      <c r="AA234" s="25">
        <f t="shared" si="359"/>
        <v>0</v>
      </c>
      <c r="AB234" s="25">
        <f>AB187</f>
        <v>0</v>
      </c>
      <c r="AC234" s="64"/>
      <c r="AE234" s="25">
        <f t="shared" ref="AE234" si="360">AE187</f>
        <v>0</v>
      </c>
      <c r="AF234" s="25">
        <f t="shared" si="357"/>
        <v>0.5</v>
      </c>
      <c r="AG234" s="25">
        <f t="shared" ref="AG234:AI234" si="361">AG187</f>
        <v>0</v>
      </c>
      <c r="AH234" s="25" t="str">
        <f t="shared" si="361"/>
        <v/>
      </c>
      <c r="AI234" s="25">
        <f t="shared" si="361"/>
        <v>0</v>
      </c>
      <c r="AJ234" s="25">
        <f t="shared" ref="AJ234" si="362">AJ187</f>
        <v>0</v>
      </c>
      <c r="AK234" s="25" t="str">
        <f t="shared" ref="AK234:AL234" si="363">AK187</f>
        <v/>
      </c>
      <c r="AL234" s="25" t="str">
        <f t="shared" si="363"/>
        <v/>
      </c>
      <c r="AM234" s="25"/>
      <c r="AN234" s="25"/>
      <c r="AO234" s="25"/>
      <c r="AP234" s="25" t="str">
        <f t="shared" ref="AP234:AU234" si="364">AP187</f>
        <v/>
      </c>
      <c r="AQ234" s="25">
        <f t="shared" si="364"/>
        <v>0</v>
      </c>
      <c r="AR234" s="25">
        <f t="shared" si="364"/>
        <v>0</v>
      </c>
      <c r="AS234" s="25">
        <f t="shared" si="364"/>
        <v>0</v>
      </c>
      <c r="AT234" s="25">
        <f t="shared" si="364"/>
        <v>0</v>
      </c>
      <c r="AU234" s="25">
        <f t="shared" si="364"/>
        <v>0</v>
      </c>
    </row>
    <row r="235" spans="2:47" x14ac:dyDescent="0.25">
      <c r="B235" s="84" t="s">
        <v>109</v>
      </c>
      <c r="C235" s="85"/>
      <c r="D235" s="19"/>
      <c r="E235" s="19"/>
      <c r="F235" s="19"/>
      <c r="G235" s="25" t="str">
        <f t="shared" ref="G235:N235" si="365">G193</f>
        <v>✓</v>
      </c>
      <c r="H235" s="25" t="str">
        <f t="shared" si="365"/>
        <v/>
      </c>
      <c r="I235" s="25" t="str">
        <f t="shared" si="365"/>
        <v/>
      </c>
      <c r="J235" s="25" t="str">
        <f t="shared" si="365"/>
        <v/>
      </c>
      <c r="K235" s="25" t="str">
        <f t="shared" si="365"/>
        <v/>
      </c>
      <c r="L235" s="25" t="str">
        <f t="shared" si="365"/>
        <v/>
      </c>
      <c r="M235" s="25" t="str">
        <f t="shared" si="365"/>
        <v/>
      </c>
      <c r="N235" s="25" t="str">
        <f t="shared" si="365"/>
        <v/>
      </c>
      <c r="P235" s="25" t="str">
        <f t="shared" ref="P235:AF235" si="366">P193</f>
        <v/>
      </c>
      <c r="Q235" s="25" t="str">
        <f t="shared" si="366"/>
        <v>✓</v>
      </c>
      <c r="R235" s="25" t="str">
        <f t="shared" si="366"/>
        <v>✓</v>
      </c>
      <c r="S235" s="25">
        <f t="shared" ref="S235" si="367">S193</f>
        <v>0</v>
      </c>
      <c r="U235" s="25" t="str">
        <f t="shared" si="366"/>
        <v/>
      </c>
      <c r="V235" s="25" t="str">
        <f t="shared" si="366"/>
        <v/>
      </c>
      <c r="W235" s="25" t="str">
        <f>W193</f>
        <v/>
      </c>
      <c r="X235" s="25" t="str">
        <f>X193</f>
        <v/>
      </c>
      <c r="Y235" s="25" t="str">
        <f t="shared" ref="Y235:AA235" si="368">Y193</f>
        <v/>
      </c>
      <c r="Z235" s="25" t="str">
        <f t="shared" si="368"/>
        <v/>
      </c>
      <c r="AA235" s="25" t="str">
        <f t="shared" si="368"/>
        <v/>
      </c>
      <c r="AB235" s="25" t="str">
        <f>AB193</f>
        <v/>
      </c>
      <c r="AC235" s="64"/>
      <c r="AE235" s="25" t="str">
        <f t="shared" ref="AE235" si="369">AE193</f>
        <v/>
      </c>
      <c r="AF235" s="25" t="str">
        <f t="shared" si="366"/>
        <v>✓</v>
      </c>
      <c r="AG235" s="25" t="str">
        <f t="shared" ref="AG235:AI235" si="370">AG193</f>
        <v/>
      </c>
      <c r="AH235" s="25">
        <f t="shared" si="370"/>
        <v>0</v>
      </c>
      <c r="AI235" s="25" t="str">
        <f t="shared" si="370"/>
        <v/>
      </c>
      <c r="AJ235" s="25" t="str">
        <f t="shared" ref="AJ235" si="371">AJ193</f>
        <v/>
      </c>
      <c r="AK235" s="25" t="str">
        <f t="shared" ref="AK235:AL235" si="372">AK193</f>
        <v/>
      </c>
      <c r="AL235" s="25" t="str">
        <f t="shared" si="372"/>
        <v/>
      </c>
      <c r="AM235" s="25"/>
      <c r="AN235" s="25"/>
      <c r="AO235" s="25"/>
      <c r="AP235" s="25" t="str">
        <f t="shared" ref="AP235:AU235" si="373">AP193</f>
        <v/>
      </c>
      <c r="AQ235" s="25">
        <f t="shared" si="373"/>
        <v>0</v>
      </c>
      <c r="AR235" s="25" t="str">
        <f t="shared" si="373"/>
        <v/>
      </c>
      <c r="AS235" s="25" t="str">
        <f t="shared" si="373"/>
        <v/>
      </c>
      <c r="AT235" s="25" t="str">
        <f t="shared" si="373"/>
        <v/>
      </c>
      <c r="AU235" s="25" t="str">
        <f t="shared" si="373"/>
        <v/>
      </c>
    </row>
    <row r="236" spans="2:47" x14ac:dyDescent="0.25">
      <c r="B236" s="84" t="s">
        <v>10</v>
      </c>
      <c r="C236" s="85"/>
      <c r="D236" s="19"/>
      <c r="E236" s="19"/>
      <c r="F236" s="19"/>
      <c r="G236" s="25" t="str">
        <f t="shared" ref="G236:N236" si="374">G209</f>
        <v>✓</v>
      </c>
      <c r="H236" s="25" t="str">
        <f t="shared" si="374"/>
        <v>✓</v>
      </c>
      <c r="I236" s="25" t="str">
        <f t="shared" si="374"/>
        <v>✓</v>
      </c>
      <c r="J236" s="25">
        <f t="shared" si="374"/>
        <v>0</v>
      </c>
      <c r="K236" s="25" t="str">
        <f t="shared" si="374"/>
        <v>✓</v>
      </c>
      <c r="L236" s="25" t="str">
        <f t="shared" si="374"/>
        <v>✓</v>
      </c>
      <c r="M236" s="25">
        <f t="shared" si="374"/>
        <v>0</v>
      </c>
      <c r="N236" s="25" t="str">
        <f t="shared" si="374"/>
        <v>✓</v>
      </c>
      <c r="P236" s="25" t="str">
        <f t="shared" ref="P236:AF236" si="375">P209</f>
        <v/>
      </c>
      <c r="Q236" s="25" t="str">
        <f t="shared" si="375"/>
        <v/>
      </c>
      <c r="R236" s="25" t="str">
        <f t="shared" si="375"/>
        <v/>
      </c>
      <c r="S236" s="25" t="str">
        <f t="shared" ref="S236" si="376">S209</f>
        <v/>
      </c>
      <c r="U236" s="25" t="str">
        <f t="shared" si="375"/>
        <v>✓</v>
      </c>
      <c r="V236" s="25">
        <f t="shared" si="375"/>
        <v>0.8571428571428571</v>
      </c>
      <c r="W236" s="25">
        <f>W209</f>
        <v>0.14285714285714285</v>
      </c>
      <c r="X236" s="25">
        <f>X209</f>
        <v>0.8571428571428571</v>
      </c>
      <c r="Y236" s="25">
        <f t="shared" ref="Y236:AA236" si="377">Y209</f>
        <v>0.42857142857142855</v>
      </c>
      <c r="Z236" s="25">
        <f t="shared" si="377"/>
        <v>0.14285714285714285</v>
      </c>
      <c r="AA236" s="25">
        <f t="shared" si="377"/>
        <v>0.5714285714285714</v>
      </c>
      <c r="AB236" s="25">
        <f>AB209</f>
        <v>0</v>
      </c>
      <c r="AC236" s="64"/>
      <c r="AE236" s="25">
        <f t="shared" ref="AE236" si="378">AE209</f>
        <v>0</v>
      </c>
      <c r="AF236" s="25" t="str">
        <f t="shared" si="375"/>
        <v>✓</v>
      </c>
      <c r="AG236" s="25">
        <f t="shared" ref="AG236:AI236" si="379">AG209</f>
        <v>0.14285714285714285</v>
      </c>
      <c r="AH236" s="25" t="str">
        <f t="shared" si="379"/>
        <v/>
      </c>
      <c r="AI236" s="25">
        <f t="shared" si="379"/>
        <v>0</v>
      </c>
      <c r="AJ236" s="25">
        <f t="shared" ref="AJ236" si="380">AJ209</f>
        <v>0</v>
      </c>
      <c r="AK236" s="25" t="str">
        <f t="shared" ref="AK236:AL236" si="381">AK209</f>
        <v/>
      </c>
      <c r="AL236" s="25" t="str">
        <f t="shared" si="381"/>
        <v/>
      </c>
      <c r="AM236" s="25"/>
      <c r="AN236" s="25"/>
      <c r="AO236" s="25"/>
      <c r="AP236" s="25" t="str">
        <f t="shared" ref="AP236:AU236" si="382">AP209</f>
        <v/>
      </c>
      <c r="AQ236" s="25" t="str">
        <f t="shared" si="382"/>
        <v/>
      </c>
      <c r="AR236" s="25">
        <f t="shared" si="382"/>
        <v>0</v>
      </c>
      <c r="AS236" s="25">
        <f t="shared" si="382"/>
        <v>0</v>
      </c>
      <c r="AT236" s="25">
        <f t="shared" si="382"/>
        <v>0</v>
      </c>
      <c r="AU236" s="25">
        <f t="shared" si="382"/>
        <v>0</v>
      </c>
    </row>
    <row r="237" spans="2:47" x14ac:dyDescent="0.25">
      <c r="B237" s="84" t="s">
        <v>14</v>
      </c>
      <c r="C237" s="85"/>
      <c r="D237" s="19"/>
      <c r="E237" s="19"/>
      <c r="F237" s="19"/>
      <c r="G237" s="25" t="str">
        <f>G225</f>
        <v>✓</v>
      </c>
      <c r="H237" s="25" t="str">
        <f>H225</f>
        <v>✓</v>
      </c>
      <c r="I237" s="25">
        <f t="shared" ref="I237:N237" si="383">I225</f>
        <v>0.5714285714285714</v>
      </c>
      <c r="J237" s="25">
        <f t="shared" si="383"/>
        <v>0</v>
      </c>
      <c r="K237" s="25">
        <f t="shared" si="383"/>
        <v>0.83333333333333337</v>
      </c>
      <c r="L237" s="25">
        <f t="shared" si="383"/>
        <v>0.83333333333333337</v>
      </c>
      <c r="M237" s="25">
        <f t="shared" si="383"/>
        <v>0.42857142857142855</v>
      </c>
      <c r="N237" s="25">
        <f t="shared" si="383"/>
        <v>0.14285714285714285</v>
      </c>
      <c r="P237" s="25">
        <f t="shared" ref="P237:AF237" si="384">P225</f>
        <v>0.83333333333333337</v>
      </c>
      <c r="Q237" s="25">
        <f>Q225</f>
        <v>0</v>
      </c>
      <c r="R237" s="25">
        <f>R225</f>
        <v>0.42857142857142855</v>
      </c>
      <c r="S237" s="25">
        <f>S225</f>
        <v>0</v>
      </c>
      <c r="U237" s="25">
        <f t="shared" si="384"/>
        <v>0.8571428571428571</v>
      </c>
      <c r="V237" s="25">
        <f t="shared" si="384"/>
        <v>0.5714285714285714</v>
      </c>
      <c r="W237" s="25">
        <f t="shared" ref="W237" si="385">W225</f>
        <v>0.14285714285714285</v>
      </c>
      <c r="X237" s="25">
        <f>X225</f>
        <v>0.33333333333333331</v>
      </c>
      <c r="Y237" s="25">
        <f t="shared" ref="Y237:AA237" si="386">Y225</f>
        <v>0.42857142857142855</v>
      </c>
      <c r="Z237" s="25">
        <f t="shared" si="386"/>
        <v>0.2857142857142857</v>
      </c>
      <c r="AA237" s="25">
        <f t="shared" si="386"/>
        <v>0.14285714285714285</v>
      </c>
      <c r="AB237" s="25">
        <f>AB225</f>
        <v>0.16666666666666666</v>
      </c>
      <c r="AC237" s="64"/>
      <c r="AE237" s="25">
        <f t="shared" ref="AE237" si="387">AE225</f>
        <v>0.42857142857142855</v>
      </c>
      <c r="AF237" s="25">
        <f t="shared" si="384"/>
        <v>0.66666666666666663</v>
      </c>
      <c r="AG237" s="25">
        <f t="shared" ref="AG237" si="388">AG225</f>
        <v>0.5714285714285714</v>
      </c>
      <c r="AH237" s="25">
        <f>AH225</f>
        <v>0.14285714285714285</v>
      </c>
      <c r="AI237" s="25">
        <f t="shared" ref="AI237" si="389">AI225</f>
        <v>0</v>
      </c>
      <c r="AJ237" s="25">
        <f t="shared" ref="AJ237" si="390">AJ225</f>
        <v>0</v>
      </c>
      <c r="AK237" s="25">
        <f>AK225</f>
        <v>0</v>
      </c>
      <c r="AL237" s="25">
        <f>AL225</f>
        <v>0</v>
      </c>
      <c r="AM237" s="25"/>
      <c r="AN237" s="25"/>
      <c r="AO237" s="25"/>
      <c r="AP237" s="25" t="str">
        <f>AP225</f>
        <v/>
      </c>
      <c r="AQ237" s="25">
        <f>AQ225</f>
        <v>0</v>
      </c>
      <c r="AR237" s="25">
        <f t="shared" ref="AR237:AU237" si="391">AR225</f>
        <v>0</v>
      </c>
      <c r="AS237" s="25">
        <f t="shared" si="391"/>
        <v>0</v>
      </c>
      <c r="AT237" s="25">
        <f t="shared" si="391"/>
        <v>0</v>
      </c>
      <c r="AU237" s="25">
        <f t="shared" si="391"/>
        <v>0</v>
      </c>
    </row>
    <row r="238" spans="2:47" x14ac:dyDescent="0.25">
      <c r="B238" s="84" t="s">
        <v>63</v>
      </c>
      <c r="C238" s="85"/>
      <c r="D238" s="19"/>
      <c r="E238" s="19"/>
      <c r="F238" s="19"/>
      <c r="G238" s="25">
        <f>IF((COUNTIF(G4:G225,"X"))/(COUNTIF(G4:G225,"X")+COUNTIF(G4:G225,"a")+COUNTIF(G4:G225,"t"))=1,1,(COUNTIF(G4:G225,"X"))/(COUNTIF(G4:G225,"X")+COUNTIF(G4:G225,"a")+COUNTIF(G4:G225,"t")))</f>
        <v>1</v>
      </c>
      <c r="H238" s="25">
        <f>IF((COUNTIF(H4:H225,"X"))/(COUNTIF(H4:H225,"X")+COUNTIF(H4:H225,"a")+COUNTIF(H4:H225,"t"))=1,1,(COUNTIF(H4:H225,"X"))/(COUNTIF(H4:H225,"X")+COUNTIF(H4:H225,"a")+COUNTIF(H4:H225,"t")))</f>
        <v>1</v>
      </c>
      <c r="I238" s="25">
        <f t="shared" ref="I238:N238" si="392">IF((COUNTIF(I4:I225,"X"))/(COUNTIF(I4:I225,"X")+COUNTIF(I4:I225,"a")+COUNTIF(I4:I225,"t"))=1,_xlfn.UNICHAR(10003),(COUNTIF(I4:I225,"X"))/(COUNTIF(I4:I225,"X")+COUNTIF(I4:I225,"a")+COUNTIF(I4:I225,"t")))</f>
        <v>0.67777777777777781</v>
      </c>
      <c r="J238" s="25">
        <f t="shared" si="392"/>
        <v>0.48314606741573035</v>
      </c>
      <c r="K238" s="25">
        <f t="shared" si="392"/>
        <v>0.9887640449438202</v>
      </c>
      <c r="L238" s="25">
        <f t="shared" si="392"/>
        <v>0.9438202247191011</v>
      </c>
      <c r="M238" s="25">
        <f t="shared" si="392"/>
        <v>0.5280898876404494</v>
      </c>
      <c r="N238" s="25">
        <f t="shared" si="392"/>
        <v>0.6404494382022472</v>
      </c>
      <c r="P238" s="25">
        <f>IF((COUNTIF(P4:P225,"X"))/(COUNTIF(P4:P225,"X")+COUNTIF(P4:P225,"a")+COUNTIF(P4:P225,"t"))=1,_xlfn.UNICHAR(10003),(COUNTIF(P4:P225,"X"))/(COUNTIF(P4:P225,"X")+COUNTIF(P4:P225,"a")+COUNTIF(P4:P225,"t")))</f>
        <v>0.55555555555555558</v>
      </c>
      <c r="Q238" s="25">
        <f>IF((COUNTIF(Q4:Q225,"X"))/(COUNTIF(Q4:Q225,"X")+COUNTIF(Q4:Q225,"a")+COUNTIF(Q4:Q225,"t"))=1,_xlfn.UNICHAR(10003),(COUNTIF(Q4:Q225,"X"))/(COUNTIF(Q4:Q225,"X")+COUNTIF(Q4:Q225,"a")+COUNTIF(Q4:Q225,"t")))</f>
        <v>0.45614035087719296</v>
      </c>
      <c r="R238" s="25">
        <f>IF((COUNTIF(R4:R225,"X"))/(COUNTIF(R4:R225,"X")+COUNTIF(R4:R225,"a")+COUNTIF(R4:R225,"t"))=1,_xlfn.UNICHAR(10003),(COUNTIF(R4:R225,"X"))/(COUNTIF(R4:R225,"X")+COUNTIF(R4:R225,"a")+COUNTIF(R4:R225,"t")))</f>
        <v>0.6333333333333333</v>
      </c>
      <c r="S238" s="25">
        <f>IF((COUNTIF(S4:S225,"X"))/(COUNTIF(S4:S225,"X")+COUNTIF(S4:S225,"a")+COUNTIF(S4:S225,"t"))=1,_xlfn.UNICHAR(10003),(COUNTIF(S4:S225,"X"))/(COUNTIF(S4:S225,"X")+COUNTIF(S4:S225,"a")+COUNTIF(S4:S225,"t")))</f>
        <v>0</v>
      </c>
      <c r="U238" s="25">
        <f t="shared" ref="U238:AB238" si="393">IF((COUNTIF(U4:U225,"X"))/(COUNTIF(U4:U225,"X")+COUNTIF(U4:U225,"a")+COUNTIF(U4:U225,"t"))=1,_xlfn.UNICHAR(10003),(COUNTIF(U4:U225,"X"))/(COUNTIF(U4:U225,"X")+COUNTIF(U4:U225,"a")+COUNTIF(U4:U225,"t")))</f>
        <v>0.88636363636363635</v>
      </c>
      <c r="V238" s="25">
        <f t="shared" si="393"/>
        <v>0.75862068965517238</v>
      </c>
      <c r="W238" s="25">
        <f t="shared" si="393"/>
        <v>0.52873563218390807</v>
      </c>
      <c r="X238" s="25">
        <f t="shared" si="393"/>
        <v>0.74712643678160917</v>
      </c>
      <c r="Y238" s="25">
        <f t="shared" si="393"/>
        <v>0.63218390804597702</v>
      </c>
      <c r="Z238" s="25">
        <f t="shared" si="393"/>
        <v>0.56321839080459768</v>
      </c>
      <c r="AA238" s="25">
        <f t="shared" si="393"/>
        <v>0.7857142857142857</v>
      </c>
      <c r="AB238" s="25">
        <f t="shared" si="393"/>
        <v>0.43023255813953487</v>
      </c>
      <c r="AC238" s="64"/>
      <c r="AE238" s="25">
        <f t="shared" ref="AE238:AL238" si="394">IF((COUNTIF(AE4:AE225,"X"))/(COUNTIF(AE4:AE225,"X")+COUNTIF(AE4:AE225,"a")+COUNTIF(AE4:AE225,"t"))=1,_xlfn.UNICHAR(10003),(COUNTIF(AE4:AE225,"X"))/(COUNTIF(AE4:AE225,"X")+COUNTIF(AE4:AE225,"a")+COUNTIF(AE4:AE225,"t")))</f>
        <v>0.61904761904761907</v>
      </c>
      <c r="AF238" s="25">
        <f t="shared" si="394"/>
        <v>0.86046511627906974</v>
      </c>
      <c r="AG238" s="25">
        <f t="shared" si="394"/>
        <v>0.73809523809523814</v>
      </c>
      <c r="AH238" s="25">
        <f t="shared" si="394"/>
        <v>0.26530612244897961</v>
      </c>
      <c r="AI238" s="25">
        <f t="shared" si="394"/>
        <v>0.14666666666666667</v>
      </c>
      <c r="AJ238" s="25">
        <f t="shared" si="394"/>
        <v>0</v>
      </c>
      <c r="AK238" s="25">
        <f t="shared" si="394"/>
        <v>0.23333333333333334</v>
      </c>
      <c r="AL238" s="25">
        <f t="shared" si="394"/>
        <v>0.13043478260869565</v>
      </c>
      <c r="AM238" s="25"/>
      <c r="AN238" s="25"/>
      <c r="AO238" s="25"/>
      <c r="AP238" s="25" t="e">
        <f t="shared" ref="AP238:AU238" si="395">IF((COUNTIF(AP4:AP225,"X"))/(COUNTIF(AP4:AP225,"X")+COUNTIF(AP4:AP225,"a")+COUNTIF(AP4:AP225,"t"))=1,_xlfn.UNICHAR(10003),(COUNTIF(AP4:AP225,"X"))/(COUNTIF(AP4:AP225,"X")+COUNTIF(AP4:AP225,"a")+COUNTIF(AP4:AP225,"t")))</f>
        <v>#DIV/0!</v>
      </c>
      <c r="AQ238" s="25">
        <f t="shared" si="395"/>
        <v>0</v>
      </c>
      <c r="AR238" s="25">
        <f t="shared" si="395"/>
        <v>0</v>
      </c>
      <c r="AS238" s="25">
        <f t="shared" si="395"/>
        <v>0</v>
      </c>
      <c r="AT238" s="25">
        <f t="shared" si="395"/>
        <v>0</v>
      </c>
      <c r="AU238" s="25">
        <f t="shared" si="395"/>
        <v>0</v>
      </c>
    </row>
    <row r="239" spans="2:47" x14ac:dyDescent="0.25">
      <c r="B239" s="84" t="s">
        <v>133</v>
      </c>
      <c r="C239" s="85"/>
      <c r="D239" s="19">
        <f>SUM(D225,D209,D193,D187,D181,D165,D153,D145,D129,D115,D104,D87,D69,D47,D38,D15,D124,D62,D140,D80,D10)</f>
        <v>92</v>
      </c>
      <c r="E239" s="19"/>
      <c r="F239" s="19"/>
      <c r="G239" s="25" t="str">
        <f t="shared" ref="G239:N239" si="396">IF((COUNTIF(G4:G225,"X"))/$D239=1,_xlfn.UNICHAR(10003),(COUNTIF(G4:G225,"X"))/$D239)</f>
        <v>✓</v>
      </c>
      <c r="H239" s="25">
        <f t="shared" si="396"/>
        <v>0.96739130434782605</v>
      </c>
      <c r="I239" s="25">
        <f t="shared" si="396"/>
        <v>0.66304347826086951</v>
      </c>
      <c r="J239" s="25">
        <f t="shared" si="396"/>
        <v>0.46739130434782611</v>
      </c>
      <c r="K239" s="25">
        <f t="shared" si="396"/>
        <v>0.95652173913043481</v>
      </c>
      <c r="L239" s="25">
        <f t="shared" si="396"/>
        <v>0.91304347826086951</v>
      </c>
      <c r="M239" s="25">
        <f t="shared" si="396"/>
        <v>0.51086956521739135</v>
      </c>
      <c r="N239" s="25">
        <f t="shared" si="396"/>
        <v>0.61956521739130432</v>
      </c>
      <c r="P239" s="25">
        <f>IF((COUNTIF(P4:P225,"X"))/$D239=1,_xlfn.UNICHAR(10003),(COUNTIF(P4:P225,"X"))/$D239)</f>
        <v>0.43478260869565216</v>
      </c>
      <c r="Q239" s="25">
        <f>IF((COUNTIF(Q4:Q225,"X"))/$D239=1,_xlfn.UNICHAR(10003),(COUNTIF(Q4:Q225,"X"))/$D239)</f>
        <v>0.28260869565217389</v>
      </c>
      <c r="R239" s="25">
        <f>IF((COUNTIF(R4:R225,"X"))/$D239=1,_xlfn.UNICHAR(10003),(COUNTIF(R4:R225,"X"))/$D239)</f>
        <v>0.41304347826086957</v>
      </c>
      <c r="S239" s="25">
        <f>IF((COUNTIF(S4:S225,"X"))/$D239=1,_xlfn.UNICHAR(10003),(COUNTIF(S4:S225,"X"))/$D239)</f>
        <v>0</v>
      </c>
      <c r="U239" s="25">
        <f t="shared" ref="U239:AB239" si="397">IF((COUNTIF(U4:U225,"X"))/$D239=1,_xlfn.UNICHAR(10003),(COUNTIF(U4:U225,"X"))/$D239)</f>
        <v>0.84782608695652173</v>
      </c>
      <c r="V239" s="25">
        <f t="shared" si="397"/>
        <v>0.71739130434782605</v>
      </c>
      <c r="W239" s="25">
        <f t="shared" si="397"/>
        <v>0.5</v>
      </c>
      <c r="X239" s="25">
        <f t="shared" si="397"/>
        <v>0.70652173913043481</v>
      </c>
      <c r="Y239" s="25">
        <f t="shared" si="397"/>
        <v>0.59782608695652173</v>
      </c>
      <c r="Z239" s="25">
        <f t="shared" si="397"/>
        <v>0.53260869565217395</v>
      </c>
      <c r="AA239" s="25">
        <f t="shared" si="397"/>
        <v>0.71739130434782605</v>
      </c>
      <c r="AB239" s="25">
        <f t="shared" si="397"/>
        <v>0.40217391304347827</v>
      </c>
      <c r="AC239" s="64"/>
      <c r="AE239" s="25">
        <f t="shared" ref="AE239:AL239" si="398">IF((COUNTIF(AE4:AE225,"X"))/$D239=1,_xlfn.UNICHAR(10003),(COUNTIF(AE4:AE225,"X"))/$D239)</f>
        <v>0.56521739130434778</v>
      </c>
      <c r="AF239" s="25">
        <f t="shared" si="398"/>
        <v>0.80434782608695654</v>
      </c>
      <c r="AG239" s="25">
        <f t="shared" si="398"/>
        <v>0.67391304347826086</v>
      </c>
      <c r="AH239" s="25">
        <f t="shared" si="398"/>
        <v>0.14130434782608695</v>
      </c>
      <c r="AI239" s="25">
        <f t="shared" si="398"/>
        <v>0.11956521739130435</v>
      </c>
      <c r="AJ239" s="25">
        <f t="shared" si="398"/>
        <v>0</v>
      </c>
      <c r="AK239" s="25">
        <f t="shared" si="398"/>
        <v>7.6086956521739135E-2</v>
      </c>
      <c r="AL239" s="25">
        <f t="shared" si="398"/>
        <v>3.2608695652173912E-2</v>
      </c>
      <c r="AM239" s="25"/>
      <c r="AN239" s="25"/>
      <c r="AO239" s="25"/>
      <c r="AP239" s="25">
        <f t="shared" ref="AP239:AU239" si="399">IF((COUNTIF(AP4:AP225,"X"))/$D239=1,_xlfn.UNICHAR(10003),(COUNTIF(AP4:AP225,"X"))/$D239)</f>
        <v>0</v>
      </c>
      <c r="AQ239" s="25">
        <f t="shared" si="399"/>
        <v>0</v>
      </c>
      <c r="AR239" s="25">
        <f t="shared" si="399"/>
        <v>0</v>
      </c>
      <c r="AS239" s="25">
        <f t="shared" si="399"/>
        <v>0</v>
      </c>
      <c r="AT239" s="25">
        <f t="shared" si="399"/>
        <v>0</v>
      </c>
      <c r="AU239" s="25">
        <f t="shared" si="399"/>
        <v>0</v>
      </c>
    </row>
    <row r="240" spans="2:47" x14ac:dyDescent="0.25">
      <c r="B240" s="84" t="s">
        <v>240</v>
      </c>
      <c r="C240" s="85"/>
      <c r="D240" s="19"/>
      <c r="E240" s="19"/>
      <c r="F240" s="19"/>
      <c r="G240" s="25">
        <f t="shared" ref="G240:N240" si="400">IF((COUNTIF(G4:G225,"t"))/(COUNTIF(G4:G225,"X")+COUNTIF(G4:G225,"a")+COUNTIF(G4:G225,"t"))=1,_xlfn.UNICHAR(10003),(COUNTIF(G4:G225,"t"))/(COUNTIF(G4:G225,"X")+COUNTIF(G4:G225,"a")+COUNTIF(G4:G225,"t")))</f>
        <v>0</v>
      </c>
      <c r="H240" s="25">
        <f t="shared" si="400"/>
        <v>0</v>
      </c>
      <c r="I240" s="25">
        <f t="shared" si="400"/>
        <v>0.31111111111111112</v>
      </c>
      <c r="J240" s="25">
        <f t="shared" si="400"/>
        <v>0.4606741573033708</v>
      </c>
      <c r="K240" s="25">
        <f t="shared" si="400"/>
        <v>1.1235955056179775E-2</v>
      </c>
      <c r="L240" s="25">
        <f t="shared" si="400"/>
        <v>2.247191011235955E-2</v>
      </c>
      <c r="M240" s="25">
        <f t="shared" si="400"/>
        <v>0.42696629213483145</v>
      </c>
      <c r="N240" s="25">
        <f t="shared" si="400"/>
        <v>0.1797752808988764</v>
      </c>
      <c r="P240" s="25">
        <f>IF((COUNTIF(P4:P225,"t"))/(COUNTIF(P4:P225,"X")+COUNTIF(P4:P225,"a")+COUNTIF(P4:P225,"t"))=1,_xlfn.UNICHAR(10003),(COUNTIF(P4:P225,"t"))/(COUNTIF(P4:P225,"X")+COUNTIF(P4:P225,"a")+COUNTIF(P4:P225,"t")))</f>
        <v>0.3611111111111111</v>
      </c>
      <c r="Q240" s="25">
        <f>IF((COUNTIF(Q4:Q225,"t"))/(COUNTIF(Q4:Q225,"X")+COUNTIF(Q4:Q225,"a")+COUNTIF(Q4:Q225,"t"))=1,_xlfn.UNICHAR(10003),(COUNTIF(Q4:Q225,"t"))/(COUNTIF(Q4:Q225,"X")+COUNTIF(Q4:Q225,"a")+COUNTIF(Q4:Q225,"t")))</f>
        <v>0.43859649122807015</v>
      </c>
      <c r="R240" s="25">
        <f>IF((COUNTIF(R4:R225,"t"))/(COUNTIF(R4:R225,"X")+COUNTIF(R4:R225,"a")+COUNTIF(R4:R225,"t"))=1,_xlfn.UNICHAR(10003),(COUNTIF(R4:R225,"t"))/(COUNTIF(R4:R225,"X")+COUNTIF(R4:R225,"a")+COUNTIF(R4:R225,"t")))</f>
        <v>0.31666666666666665</v>
      </c>
      <c r="S240" s="25" t="str">
        <f>IF((COUNTIF(S4:S225,"t"))/(COUNTIF(S4:S225,"X")+COUNTIF(S4:S225,"a")+COUNTIF(S4:S225,"t"))=1,_xlfn.UNICHAR(10003),(COUNTIF(S4:S225,"t"))/(COUNTIF(S4:S225,"X")+COUNTIF(S4:S225,"a")+COUNTIF(S4:S225,"t")))</f>
        <v>✓</v>
      </c>
      <c r="U240" s="25">
        <f t="shared" ref="U240:AB240" si="401">IF((COUNTIF(U4:U225,"t"))/(COUNTIF(U4:U225,"X")+COUNTIF(U4:U225,"a")+COUNTIF(U4:U225,"t"))=1,_xlfn.UNICHAR(10003),(COUNTIF(U4:U225,"t"))/(COUNTIF(U4:U225,"X")+COUNTIF(U4:U225,"a")+COUNTIF(U4:U225,"t")))</f>
        <v>7.9545454545454544E-2</v>
      </c>
      <c r="V240" s="25">
        <f t="shared" si="401"/>
        <v>0.2413793103448276</v>
      </c>
      <c r="W240" s="25">
        <f t="shared" si="401"/>
        <v>0.35632183908045978</v>
      </c>
      <c r="X240" s="25">
        <f t="shared" si="401"/>
        <v>0.11494252873563218</v>
      </c>
      <c r="Y240" s="25">
        <f t="shared" si="401"/>
        <v>0.25287356321839083</v>
      </c>
      <c r="Z240" s="25">
        <f t="shared" si="401"/>
        <v>0.2413793103448276</v>
      </c>
      <c r="AA240" s="25">
        <f t="shared" si="401"/>
        <v>0.14285714285714285</v>
      </c>
      <c r="AB240" s="25">
        <f t="shared" si="401"/>
        <v>0.5</v>
      </c>
      <c r="AC240" s="64"/>
      <c r="AE240" s="25">
        <f>IF((COUNTIF(AE4:AE225,"t"))/(COUNTIF(AE4:AE225,"X")+COUNTIF(AE4:AE225,"a")+COUNTIF(AE4:AE225,"t"))=1,_xlfn.UNICHAR(10003),(COUNTIF(AE4:AE225,"t"))/(COUNTIF(AE4:AE225,"X")+COUNTIF(AE4:AE225,"a")+COUNTIF(AE4:AE225,"t")))</f>
        <v>0.29761904761904762</v>
      </c>
      <c r="AF240" s="25">
        <f>IF((COUNTIF(AF4:AF225,"t"))/(COUNTIF(AF4:AF225,"X")+COUNTIF(AF4:AF225,"a")+COUNTIF(AF4:AF225,"t"))=1,_xlfn.UNICHAR(10003),(COUNTIF(AF4:AF225,"t"))/(COUNTIF(AF4:AF225,"X")+COUNTIF(AF4:AF225,"a")+COUNTIF(AF4:AF225,"t")))</f>
        <v>6.9767441860465115E-2</v>
      </c>
      <c r="AG240" s="25">
        <f>IF((COUNTIF(AG4:AG225,"t"))/(COUNTIF(AG4:AG225,"X")+COUNTIF(AG4:AG225,"a")+COUNTIF(AG4:AG225,"t"))=1,_xlfn.UNICHAR(10003),(COUNTIF(AG4:AG225,"t"))/(COUNTIF(AG4:AG225,"X")+COUNTIF(AG4:AG225,"a")+COUNTIF(AG4:AG225,"t")))</f>
        <v>0.25</v>
      </c>
      <c r="AH240" s="25">
        <f>IF((COUNTIF(AH4:AH225,"t"))/(COUNTIF(AH4:AH225,"X")+COUNTIF(AH4:AH225,"a")+COUNTIF(AH4:AH225,"t"))=1,_xlfn.UNICHAR(10003),(COUNTIF(AH4:AH225,"t"))/(COUNTIF(AH4:AH225,"X")+COUNTIF(AH4:AH225,"a")+COUNTIF(AH4:AH225,"t")))</f>
        <v>0.73469387755102045</v>
      </c>
      <c r="AI240" s="64"/>
      <c r="AJ240" s="25" t="str">
        <f>IF((COUNTIF(AJ4:AJ225,"t"))/(COUNTIF(AJ4:AJ225,"X")+COUNTIF(AJ4:AJ225,"a")+COUNTIF(AJ4:AJ225,"t"))=1,_xlfn.UNICHAR(10003),(COUNTIF(AJ4:AJ225,"t"))/(COUNTIF(AJ4:AJ225,"X")+COUNTIF(AJ4:AJ225,"a")+COUNTIF(AJ4:AJ225,"t")))</f>
        <v>✓</v>
      </c>
      <c r="AK240" s="25">
        <f>IF((COUNTIF(AK4:AK225,"t"))/(COUNTIF(AK4:AK225,"X")+COUNTIF(AK4:AK225,"a")+COUNTIF(AK4:AK225,"t"))=1,_xlfn.UNICHAR(10003),(COUNTIF(AK4:AK225,"t"))/(COUNTIF(AK4:AK225,"X")+COUNTIF(AK4:AK225,"a")+COUNTIF(AK4:AK225,"t")))</f>
        <v>0.76666666666666672</v>
      </c>
      <c r="AL240" s="64"/>
      <c r="AM240" s="64"/>
      <c r="AN240" s="64"/>
      <c r="AO240" s="64"/>
      <c r="AP240" s="64"/>
      <c r="AQ240" s="64"/>
      <c r="AR240" s="64"/>
      <c r="AS240" s="64"/>
      <c r="AT240" s="64"/>
      <c r="AU240" s="64"/>
    </row>
    <row r="241" spans="2:47" x14ac:dyDescent="0.25">
      <c r="B241" s="84" t="s">
        <v>239</v>
      </c>
      <c r="C241" s="85"/>
      <c r="D241" s="19"/>
      <c r="E241" s="19"/>
      <c r="F241" s="19"/>
      <c r="G241" s="25">
        <f t="shared" ref="G241:N241" si="402">IF((COUNTIF(G4:G225,"a"))/(COUNTIF(G4:G225,"X")+COUNTIF(G4:G225,"a")+COUNTIF(G4:G225,"t"))=1,_xlfn.UNICHAR(10003),(COUNTIF(G4:G225,"a"))/(COUNTIF(G4:G225,"X")+COUNTIF(G4:G225,"a")+COUNTIF(G4:G225,"t")))</f>
        <v>0</v>
      </c>
      <c r="H241" s="25">
        <f t="shared" si="402"/>
        <v>0</v>
      </c>
      <c r="I241" s="25">
        <f t="shared" si="402"/>
        <v>1.1111111111111112E-2</v>
      </c>
      <c r="J241" s="25">
        <f t="shared" si="402"/>
        <v>5.6179775280898875E-2</v>
      </c>
      <c r="K241" s="25">
        <f t="shared" si="402"/>
        <v>0</v>
      </c>
      <c r="L241" s="25">
        <f t="shared" si="402"/>
        <v>3.3707865168539325E-2</v>
      </c>
      <c r="M241" s="25">
        <f t="shared" si="402"/>
        <v>4.49438202247191E-2</v>
      </c>
      <c r="N241" s="25">
        <f t="shared" si="402"/>
        <v>0.1797752808988764</v>
      </c>
      <c r="P241" s="25">
        <f>IF((COUNTIF(P4:P225,"a"))/(COUNTIF(P4:P225,"X")+COUNTIF(P4:P225,"a")+COUNTIF(P4:P225,"t"))=1,_xlfn.UNICHAR(10003),(COUNTIF(P4:P225,"a"))/(COUNTIF(P4:P225,"X")+COUNTIF(P4:P225,"a")+COUNTIF(P4:P225,"t")))</f>
        <v>8.3333333333333329E-2</v>
      </c>
      <c r="Q241" s="25">
        <f>IF((COUNTIF(Q4:Q225,"a"))/(COUNTIF(Q4:Q225,"X")+COUNTIF(Q4:Q225,"a")+COUNTIF(Q4:Q225,"t"))=1,_xlfn.UNICHAR(10003),(COUNTIF(Q4:Q225,"a"))/(COUNTIF(Q4:Q225,"X")+COUNTIF(Q4:Q225,"a")+COUNTIF(Q4:Q225,"t")))</f>
        <v>0.10526315789473684</v>
      </c>
      <c r="R241" s="25">
        <f>IF((COUNTIF(R4:R225,"a"))/(COUNTIF(R4:R225,"X")+COUNTIF(R4:R225,"a")+COUNTIF(R4:R225,"t"))=1,_xlfn.UNICHAR(10003),(COUNTIF(R4:R225,"a"))/(COUNTIF(R4:R225,"X")+COUNTIF(R4:R225,"a")+COUNTIF(R4:R225,"t")))</f>
        <v>0.05</v>
      </c>
      <c r="S241" s="25">
        <f>IF((COUNTIF(S4:S225,"a"))/(COUNTIF(S4:S225,"X")+COUNTIF(S4:S225,"a")+COUNTIF(S4:S225,"t"))=1,_xlfn.UNICHAR(10003),(COUNTIF(S4:S225,"a"))/(COUNTIF(S4:S225,"X")+COUNTIF(S4:S225,"a")+COUNTIF(S4:S225,"t")))</f>
        <v>0</v>
      </c>
      <c r="U241" s="25">
        <f t="shared" ref="U241:AB241" si="403">IF((COUNTIF(U4:U225,"a"))/(COUNTIF(U4:U225,"X")+COUNTIF(U4:U225,"a")+COUNTIF(U4:U225,"t"))=1,_xlfn.UNICHAR(10003),(COUNTIF(U4:U225,"a"))/(COUNTIF(U4:U225,"X")+COUNTIF(U4:U225,"a")+COUNTIF(U4:U225,"t")))</f>
        <v>3.4090909090909088E-2</v>
      </c>
      <c r="V241" s="25">
        <f t="shared" si="403"/>
        <v>0</v>
      </c>
      <c r="W241" s="25">
        <f t="shared" si="403"/>
        <v>0.11494252873563218</v>
      </c>
      <c r="X241" s="25">
        <f t="shared" si="403"/>
        <v>0.13793103448275862</v>
      </c>
      <c r="Y241" s="25">
        <f t="shared" si="403"/>
        <v>0.11494252873563218</v>
      </c>
      <c r="Z241" s="25">
        <f t="shared" si="403"/>
        <v>0.19540229885057472</v>
      </c>
      <c r="AA241" s="25">
        <f t="shared" si="403"/>
        <v>7.1428571428571425E-2</v>
      </c>
      <c r="AB241" s="25">
        <f t="shared" si="403"/>
        <v>6.9767441860465115E-2</v>
      </c>
      <c r="AC241" s="64"/>
      <c r="AE241" s="25">
        <f>IF((COUNTIF(AE4:AE225,"a"))/(COUNTIF(AE4:AE225,"X")+COUNTIF(AE4:AE225,"a")+COUNTIF(AE4:AE225,"t"))=1,_xlfn.UNICHAR(10003),(COUNTIF(AE4:AE225,"a"))/(COUNTIF(AE4:AE225,"X")+COUNTIF(AE4:AE225,"a")+COUNTIF(AE4:AE225,"t")))</f>
        <v>8.3333333333333329E-2</v>
      </c>
      <c r="AF241" s="25">
        <f>IF((COUNTIF(AF4:AF225,"a"))/(COUNTIF(AF4:AF225,"X")+COUNTIF(AF4:AF225,"a")+COUNTIF(AF4:AF225,"t"))=1,_xlfn.UNICHAR(10003),(COUNTIF(AF4:AF225,"a"))/(COUNTIF(AF4:AF225,"X")+COUNTIF(AF4:AF225,"a")+COUNTIF(AF4:AF225,"t")))</f>
        <v>6.9767441860465115E-2</v>
      </c>
      <c r="AG241" s="25">
        <f>IF((COUNTIF(AG4:AG225,"a"))/(COUNTIF(AG4:AG225,"X")+COUNTIF(AG4:AG225,"a")+COUNTIF(AG4:AG225,"t"))=1,_xlfn.UNICHAR(10003),(COUNTIF(AG4:AG225,"a"))/(COUNTIF(AG4:AG225,"X")+COUNTIF(AG4:AG225,"a")+COUNTIF(AG4:AG225,"t")))</f>
        <v>1.1904761904761904E-2</v>
      </c>
      <c r="AH241" s="25">
        <f>IF((COUNTIF(AH4:AH225,"a"))/(COUNTIF(AH4:AH225,"X")+COUNTIF(AH4:AH225,"a")+COUNTIF(AH4:AH225,"t"))=1,_xlfn.UNICHAR(10003),(COUNTIF(AH4:AH225,"a"))/(COUNTIF(AH4:AH225,"X")+COUNTIF(AH4:AH225,"a")+COUNTIF(AH4:AH225,"t")))</f>
        <v>0</v>
      </c>
      <c r="AI241" s="64"/>
      <c r="AJ241" s="25">
        <f>IF((COUNTIF(AJ4:AJ225,"a"))/(COUNTIF(AJ4:AJ225,"X")+COUNTIF(AJ4:AJ225,"a")+COUNTIF(AJ4:AJ225,"t"))=1,_xlfn.UNICHAR(10003),(COUNTIF(AJ4:AJ225,"a"))/(COUNTIF(AJ4:AJ225,"X")+COUNTIF(AJ4:AJ225,"a")+COUNTIF(AJ4:AJ225,"t")))</f>
        <v>0</v>
      </c>
      <c r="AK241" s="25">
        <f>IF((COUNTIF(AK4:AK225,"a"))/(COUNTIF(AK4:AK225,"X")+COUNTIF(AK4:AK225,"a")+COUNTIF(AK4:AK225,"t"))=1,_xlfn.UNICHAR(10003),(COUNTIF(AK4:AK225,"a"))/(COUNTIF(AK4:AK225,"X")+COUNTIF(AK4:AK225,"a")+COUNTIF(AK4:AK225,"t")))</f>
        <v>0</v>
      </c>
      <c r="AL241" s="64"/>
      <c r="AM241" s="64"/>
      <c r="AN241" s="64"/>
      <c r="AO241" s="64"/>
      <c r="AP241" s="64"/>
      <c r="AQ241" s="64"/>
      <c r="AR241" s="64"/>
      <c r="AS241" s="64"/>
      <c r="AT241" s="64"/>
      <c r="AU241" s="64"/>
    </row>
    <row r="243" spans="2:47" x14ac:dyDescent="0.25">
      <c r="B243" s="33" t="s">
        <v>159</v>
      </c>
    </row>
    <row r="244" spans="2:47" x14ac:dyDescent="0.25">
      <c r="B244" s="33" t="s">
        <v>160</v>
      </c>
    </row>
    <row r="245" spans="2:47" x14ac:dyDescent="0.25">
      <c r="B245" s="33" t="s">
        <v>169</v>
      </c>
    </row>
  </sheetData>
  <mergeCells count="135">
    <mergeCell ref="AP2:AP3"/>
    <mergeCell ref="AP1:AU1"/>
    <mergeCell ref="B234:C234"/>
    <mergeCell ref="B134:B139"/>
    <mergeCell ref="C134:F135"/>
    <mergeCell ref="C136:F137"/>
    <mergeCell ref="C138:F139"/>
    <mergeCell ref="B230:C230"/>
    <mergeCell ref="B229:C229"/>
    <mergeCell ref="B228:C228"/>
    <mergeCell ref="C167:F168"/>
    <mergeCell ref="C173:F174"/>
    <mergeCell ref="C175:F176"/>
    <mergeCell ref="B167:B180"/>
    <mergeCell ref="C141:F142"/>
    <mergeCell ref="C143:F144"/>
    <mergeCell ref="C149:F150"/>
    <mergeCell ref="C151:F152"/>
    <mergeCell ref="C155:F156"/>
    <mergeCell ref="C157:F158"/>
    <mergeCell ref="B141:B144"/>
    <mergeCell ref="B149:B152"/>
    <mergeCell ref="B183:B186"/>
    <mergeCell ref="C4:F5"/>
    <mergeCell ref="B235:C235"/>
    <mergeCell ref="B236:C236"/>
    <mergeCell ref="B237:C237"/>
    <mergeCell ref="B239:C239"/>
    <mergeCell ref="B227:C227"/>
    <mergeCell ref="C197:F198"/>
    <mergeCell ref="C199:F200"/>
    <mergeCell ref="C201:F202"/>
    <mergeCell ref="C219:F220"/>
    <mergeCell ref="C207:F208"/>
    <mergeCell ref="B195:B208"/>
    <mergeCell ref="C221:F222"/>
    <mergeCell ref="C223:F224"/>
    <mergeCell ref="B211:B224"/>
    <mergeCell ref="C211:F212"/>
    <mergeCell ref="C213:F214"/>
    <mergeCell ref="C215:F216"/>
    <mergeCell ref="C217:F218"/>
    <mergeCell ref="C195:F196"/>
    <mergeCell ref="C203:F204"/>
    <mergeCell ref="C205:F206"/>
    <mergeCell ref="B233:C233"/>
    <mergeCell ref="B232:C232"/>
    <mergeCell ref="B231:C231"/>
    <mergeCell ref="C6:F7"/>
    <mergeCell ref="C8:F9"/>
    <mergeCell ref="B4:B9"/>
    <mergeCell ref="B74:B79"/>
    <mergeCell ref="C74:F75"/>
    <mergeCell ref="C76:F77"/>
    <mergeCell ref="C78:F79"/>
    <mergeCell ref="B16:B37"/>
    <mergeCell ref="C34:F35"/>
    <mergeCell ref="C32:F33"/>
    <mergeCell ref="C30:F31"/>
    <mergeCell ref="B11:B14"/>
    <mergeCell ref="C13:F14"/>
    <mergeCell ref="C50:F51"/>
    <mergeCell ref="C52:F53"/>
    <mergeCell ref="C36:F37"/>
    <mergeCell ref="C11:F12"/>
    <mergeCell ref="C54:F55"/>
    <mergeCell ref="C56:F57"/>
    <mergeCell ref="C58:F59"/>
    <mergeCell ref="C22:F23"/>
    <mergeCell ref="C24:F25"/>
    <mergeCell ref="C26:F27"/>
    <mergeCell ref="C43:F44"/>
    <mergeCell ref="B39:B46"/>
    <mergeCell ref="B48:B59"/>
    <mergeCell ref="C41:F42"/>
    <mergeCell ref="C45:F46"/>
    <mergeCell ref="C48:F49"/>
    <mergeCell ref="C107:F108"/>
    <mergeCell ref="C109:F110"/>
    <mergeCell ref="C111:F112"/>
    <mergeCell ref="C116:F117"/>
    <mergeCell ref="C105:F106"/>
    <mergeCell ref="B88:B103"/>
    <mergeCell ref="C81:F82"/>
    <mergeCell ref="C98:F99"/>
    <mergeCell ref="B63:B68"/>
    <mergeCell ref="C83:F84"/>
    <mergeCell ref="B105:B114"/>
    <mergeCell ref="B116:B123"/>
    <mergeCell ref="C100:F101"/>
    <mergeCell ref="C102:F103"/>
    <mergeCell ref="C88:F89"/>
    <mergeCell ref="C90:F91"/>
    <mergeCell ref="C92:F93"/>
    <mergeCell ref="C94:F95"/>
    <mergeCell ref="C96:F97"/>
    <mergeCell ref="C85:F86"/>
    <mergeCell ref="C127:F128"/>
    <mergeCell ref="C113:F114"/>
    <mergeCell ref="C118:F119"/>
    <mergeCell ref="C120:F121"/>
    <mergeCell ref="C122:F123"/>
    <mergeCell ref="C16:F17"/>
    <mergeCell ref="C63:F64"/>
    <mergeCell ref="C65:F66"/>
    <mergeCell ref="C67:F68"/>
    <mergeCell ref="C28:F29"/>
    <mergeCell ref="C39:F40"/>
    <mergeCell ref="C18:F19"/>
    <mergeCell ref="C20:F21"/>
    <mergeCell ref="C60:F61"/>
    <mergeCell ref="G1:AL1"/>
    <mergeCell ref="B241:C241"/>
    <mergeCell ref="B240:C240"/>
    <mergeCell ref="C163:F164"/>
    <mergeCell ref="B155:B164"/>
    <mergeCell ref="C159:F160"/>
    <mergeCell ref="C161:F162"/>
    <mergeCell ref="B81:B86"/>
    <mergeCell ref="B72:F72"/>
    <mergeCell ref="B132:F132"/>
    <mergeCell ref="B238:C238"/>
    <mergeCell ref="D228:F231"/>
    <mergeCell ref="B2:F3"/>
    <mergeCell ref="C183:F184"/>
    <mergeCell ref="C185:F186"/>
    <mergeCell ref="B189:B192"/>
    <mergeCell ref="C189:F190"/>
    <mergeCell ref="C191:F192"/>
    <mergeCell ref="C177:F178"/>
    <mergeCell ref="C179:F180"/>
    <mergeCell ref="C169:F170"/>
    <mergeCell ref="C171:F172"/>
    <mergeCell ref="B125:B128"/>
    <mergeCell ref="C125:F126"/>
  </mergeCells>
  <conditionalFormatting sqref="G16 G18 G20 G22 G24 G26 G28 G39 G41 G43 G45 G48 G81 G88 G90 G92 G94 G96 G98 G100 G102 G105 G107 G109 G111 G116 AO16 W16 AO18 W18 AO20 W20 AO22 W22 AO24 W24 AO26 W26 AO28 W28 AO39 W39 AO41 W41 AO43 W43 AO45 W45 AO48 W48 AO81 W81 AO88 W88 AO90 W90 AO92 W92 AO94 W94 AO96 W96 AO98 W98 AO100 W100 AO102 W102 AO105 W105 AO107 W107 AO109 W109 AO111 W111 AO116 W116 AO36 W36 AO34 W34 AO32 W32 AO30 W30 AO52 W52 AO50 W50 AO54 W54 AO56 W56 AO58 W58 AO63 W63 AO65 W65 AO83 W83 AO85 W85 AO67 W67 AO113 W113 AO118 W118 AO120 W120 AO122 W122 AO125 W125 AO127 W127 AO141 W141 AO143 W143 AO149 W149 AO151 W151 AO155 W155 AO157 W157 AO167 W167 AO173 W173 AO175 W175 AO177 W177 AO179 W179 AO169 W169 AO171 W171 AO183 W183 AO185 W185 AO189 W189 AO191 W191 AO11 W11 AO13 W13 AO211 W211 AO213 W213 AO215 W215 AO217 W217 AO219 W219 AO221 W221 AO223 W223 AO4 W4 AO6 W6 AO8 W8 AO74 W74 AO76 W76 AO78 W78 AO134 W134 AO136 W136 AO138 W138 AO195 W195 AO203 W203 AO205 W205 AO207 W207 AO197 W197 AO199 W199 AO201 W201 AL16:AL36">
    <cfRule type="expression" dxfId="17759" priority="26345">
      <formula>G4="X"</formula>
    </cfRule>
    <cfRule type="expression" dxfId="17758" priority="26346">
      <formula>G4="A"</formula>
    </cfRule>
    <cfRule type="expression" dxfId="17757" priority="26347">
      <formula>G4="T"</formula>
    </cfRule>
  </conditionalFormatting>
  <conditionalFormatting sqref="G36">
    <cfRule type="expression" dxfId="17756" priority="26285">
      <formula>G36="X"</formula>
    </cfRule>
    <cfRule type="expression" dxfId="17755" priority="26286">
      <formula>G36="A"</formula>
    </cfRule>
    <cfRule type="expression" dxfId="17754" priority="26287">
      <formula>G36="T"</formula>
    </cfRule>
  </conditionalFormatting>
  <conditionalFormatting sqref="G34">
    <cfRule type="expression" dxfId="17753" priority="26258">
      <formula>G34="X"</formula>
    </cfRule>
    <cfRule type="expression" dxfId="17752" priority="26259">
      <formula>G34="A"</formula>
    </cfRule>
    <cfRule type="expression" dxfId="17751" priority="26260">
      <formula>G34="T"</formula>
    </cfRule>
  </conditionalFormatting>
  <conditionalFormatting sqref="G32">
    <cfRule type="expression" dxfId="17750" priority="26252">
      <formula>G32="X"</formula>
    </cfRule>
    <cfRule type="expression" dxfId="17749" priority="26253">
      <formula>G32="A"</formula>
    </cfRule>
    <cfRule type="expression" dxfId="17748" priority="26254">
      <formula>G32="T"</formula>
    </cfRule>
  </conditionalFormatting>
  <conditionalFormatting sqref="G30">
    <cfRule type="expression" dxfId="17747" priority="26246">
      <formula>G30="X"</formula>
    </cfRule>
    <cfRule type="expression" dxfId="17746" priority="26247">
      <formula>G30="A"</formula>
    </cfRule>
    <cfRule type="expression" dxfId="17745" priority="26248">
      <formula>G30="T"</formula>
    </cfRule>
  </conditionalFormatting>
  <conditionalFormatting sqref="G52">
    <cfRule type="expression" dxfId="17744" priority="26092">
      <formula>G52="X"</formula>
    </cfRule>
    <cfRule type="expression" dxfId="17743" priority="26093">
      <formula>G52="A"</formula>
    </cfRule>
    <cfRule type="expression" dxfId="17742" priority="26094">
      <formula>G52="T"</formula>
    </cfRule>
  </conditionalFormatting>
  <conditionalFormatting sqref="G50">
    <cfRule type="expression" dxfId="17741" priority="26086">
      <formula>G50="X"</formula>
    </cfRule>
    <cfRule type="expression" dxfId="17740" priority="26087">
      <formula>G50="A"</formula>
    </cfRule>
    <cfRule type="expression" dxfId="17739" priority="26088">
      <formula>G50="T"</formula>
    </cfRule>
  </conditionalFormatting>
  <conditionalFormatting sqref="G54">
    <cfRule type="expression" dxfId="17738" priority="26080">
      <formula>G54="X"</formula>
    </cfRule>
    <cfRule type="expression" dxfId="17737" priority="26081">
      <formula>G54="A"</formula>
    </cfRule>
    <cfRule type="expression" dxfId="17736" priority="26082">
      <formula>G54="T"</formula>
    </cfRule>
  </conditionalFormatting>
  <conditionalFormatting sqref="G56">
    <cfRule type="expression" dxfId="17735" priority="26074">
      <formula>G56="X"</formula>
    </cfRule>
    <cfRule type="expression" dxfId="17734" priority="26075">
      <formula>G56="A"</formula>
    </cfRule>
    <cfRule type="expression" dxfId="17733" priority="26076">
      <formula>G56="T"</formula>
    </cfRule>
  </conditionalFormatting>
  <conditionalFormatting sqref="G58">
    <cfRule type="expression" dxfId="17732" priority="26068">
      <formula>G58="X"</formula>
    </cfRule>
    <cfRule type="expression" dxfId="17731" priority="26069">
      <formula>G58="A"</formula>
    </cfRule>
    <cfRule type="expression" dxfId="17730" priority="26070">
      <formula>G58="T"</formula>
    </cfRule>
  </conditionalFormatting>
  <conditionalFormatting sqref="G63">
    <cfRule type="expression" dxfId="17729" priority="25988">
      <formula>G63="X"</formula>
    </cfRule>
    <cfRule type="expression" dxfId="17728" priority="25989">
      <formula>G63="A"</formula>
    </cfRule>
    <cfRule type="expression" dxfId="17727" priority="25990">
      <formula>G63="T"</formula>
    </cfRule>
  </conditionalFormatting>
  <conditionalFormatting sqref="G65">
    <cfRule type="expression" dxfId="17726" priority="25970">
      <formula>G65="X"</formula>
    </cfRule>
    <cfRule type="expression" dxfId="17725" priority="25971">
      <formula>G65="A"</formula>
    </cfRule>
    <cfRule type="expression" dxfId="17724" priority="25972">
      <formula>G65="T"</formula>
    </cfRule>
  </conditionalFormatting>
  <conditionalFormatting sqref="G83">
    <cfRule type="expression" dxfId="17723" priority="25950">
      <formula>G83="X"</formula>
    </cfRule>
    <cfRule type="expression" dxfId="17722" priority="25951">
      <formula>G83="A"</formula>
    </cfRule>
    <cfRule type="expression" dxfId="17721" priority="25952">
      <formula>G83="T"</formula>
    </cfRule>
  </conditionalFormatting>
  <conditionalFormatting sqref="G85">
    <cfRule type="expression" dxfId="17720" priority="25938">
      <formula>G85="X"</formula>
    </cfRule>
    <cfRule type="expression" dxfId="17719" priority="25939">
      <formula>G85="A"</formula>
    </cfRule>
    <cfRule type="expression" dxfId="17718" priority="25940">
      <formula>G85="T"</formula>
    </cfRule>
  </conditionalFormatting>
  <conditionalFormatting sqref="G67">
    <cfRule type="expression" dxfId="17717" priority="25926">
      <formula>G67="X"</formula>
    </cfRule>
    <cfRule type="expression" dxfId="17716" priority="25927">
      <formula>G67="A"</formula>
    </cfRule>
    <cfRule type="expression" dxfId="17715" priority="25928">
      <formula>G67="T"</formula>
    </cfRule>
  </conditionalFormatting>
  <conditionalFormatting sqref="G113">
    <cfRule type="expression" dxfId="17714" priority="25881">
      <formula>G113="X"</formula>
    </cfRule>
    <cfRule type="expression" dxfId="17713" priority="25882">
      <formula>G113="A"</formula>
    </cfRule>
    <cfRule type="expression" dxfId="17712" priority="25883">
      <formula>G113="T"</formula>
    </cfRule>
  </conditionalFormatting>
  <conditionalFormatting sqref="G118">
    <cfRule type="expression" dxfId="17711" priority="25852">
      <formula>G118="X"</formula>
    </cfRule>
    <cfRule type="expression" dxfId="17710" priority="25853">
      <formula>G118="A"</formula>
    </cfRule>
    <cfRule type="expression" dxfId="17709" priority="25854">
      <formula>G118="T"</formula>
    </cfRule>
  </conditionalFormatting>
  <conditionalFormatting sqref="G120">
    <cfRule type="expression" dxfId="17708" priority="25846">
      <formula>G120="X"</formula>
    </cfRule>
    <cfRule type="expression" dxfId="17707" priority="25847">
      <formula>G120="A"</formula>
    </cfRule>
    <cfRule type="expression" dxfId="17706" priority="25848">
      <formula>G120="T"</formula>
    </cfRule>
  </conditionalFormatting>
  <conditionalFormatting sqref="G122">
    <cfRule type="expression" dxfId="17705" priority="25840">
      <formula>G122="X"</formula>
    </cfRule>
    <cfRule type="expression" dxfId="17704" priority="25841">
      <formula>G122="A"</formula>
    </cfRule>
    <cfRule type="expression" dxfId="17703" priority="25842">
      <formula>G122="T"</formula>
    </cfRule>
  </conditionalFormatting>
  <conditionalFormatting sqref="G125">
    <cfRule type="expression" dxfId="17702" priority="25776">
      <formula>G125="X"</formula>
    </cfRule>
    <cfRule type="expression" dxfId="17701" priority="25777">
      <formula>G125="A"</formula>
    </cfRule>
    <cfRule type="expression" dxfId="17700" priority="25778">
      <formula>G125="T"</formula>
    </cfRule>
  </conditionalFormatting>
  <conditionalFormatting sqref="G127">
    <cfRule type="expression" dxfId="17699" priority="25770">
      <formula>G127="X"</formula>
    </cfRule>
    <cfRule type="expression" dxfId="17698" priority="25771">
      <formula>G127="A"</formula>
    </cfRule>
    <cfRule type="expression" dxfId="17697" priority="25772">
      <formula>G127="T"</formula>
    </cfRule>
  </conditionalFormatting>
  <conditionalFormatting sqref="G141">
    <cfRule type="expression" dxfId="17696" priority="25728">
      <formula>G141="X"</formula>
    </cfRule>
    <cfRule type="expression" dxfId="17695" priority="25729">
      <formula>G141="A"</formula>
    </cfRule>
    <cfRule type="expression" dxfId="17694" priority="25730">
      <formula>G141="T"</formula>
    </cfRule>
  </conditionalFormatting>
  <conditionalFormatting sqref="G143">
    <cfRule type="expression" dxfId="17693" priority="25722">
      <formula>G143="X"</formula>
    </cfRule>
    <cfRule type="expression" dxfId="17692" priority="25723">
      <formula>G143="A"</formula>
    </cfRule>
    <cfRule type="expression" dxfId="17691" priority="25724">
      <formula>G143="T"</formula>
    </cfRule>
  </conditionalFormatting>
  <conditionalFormatting sqref="G149">
    <cfRule type="expression" dxfId="17690" priority="25691">
      <formula>G149="X"</formula>
    </cfRule>
    <cfRule type="expression" dxfId="17689" priority="25692">
      <formula>G149="A"</formula>
    </cfRule>
    <cfRule type="expression" dxfId="17688" priority="25693">
      <formula>G149="T"</formula>
    </cfRule>
  </conditionalFormatting>
  <conditionalFormatting sqref="G151">
    <cfRule type="expression" dxfId="17687" priority="25685">
      <formula>G151="X"</formula>
    </cfRule>
    <cfRule type="expression" dxfId="17686" priority="25686">
      <formula>G151="A"</formula>
    </cfRule>
    <cfRule type="expression" dxfId="17685" priority="25687">
      <formula>G151="T"</formula>
    </cfRule>
  </conditionalFormatting>
  <conditionalFormatting sqref="G155">
    <cfRule type="expression" dxfId="17684" priority="25654">
      <formula>G155="X"</formula>
    </cfRule>
    <cfRule type="expression" dxfId="17683" priority="25655">
      <formula>G155="A"</formula>
    </cfRule>
    <cfRule type="expression" dxfId="17682" priority="25656">
      <formula>G155="T"</formula>
    </cfRule>
  </conditionalFormatting>
  <conditionalFormatting sqref="G157">
    <cfRule type="expression" dxfId="17681" priority="25648">
      <formula>G157="X"</formula>
    </cfRule>
    <cfRule type="expression" dxfId="17680" priority="25649">
      <formula>G157="A"</formula>
    </cfRule>
    <cfRule type="expression" dxfId="17679" priority="25650">
      <formula>G157="T"</formula>
    </cfRule>
  </conditionalFormatting>
  <conditionalFormatting sqref="G167">
    <cfRule type="expression" dxfId="17678" priority="25617">
      <formula>G167="X"</formula>
    </cfRule>
    <cfRule type="expression" dxfId="17677" priority="25618">
      <formula>G167="A"</formula>
    </cfRule>
    <cfRule type="expression" dxfId="17676" priority="25619">
      <formula>G167="T"</formula>
    </cfRule>
  </conditionalFormatting>
  <conditionalFormatting sqref="G173">
    <cfRule type="expression" dxfId="17675" priority="25611">
      <formula>G173="X"</formula>
    </cfRule>
    <cfRule type="expression" dxfId="17674" priority="25612">
      <formula>G173="A"</formula>
    </cfRule>
    <cfRule type="expression" dxfId="17673" priority="25613">
      <formula>G173="T"</formula>
    </cfRule>
  </conditionalFormatting>
  <conditionalFormatting sqref="G175">
    <cfRule type="expression" dxfId="17672" priority="25581">
      <formula>G175="X"</formula>
    </cfRule>
    <cfRule type="expression" dxfId="17671" priority="25582">
      <formula>G175="A"</formula>
    </cfRule>
    <cfRule type="expression" dxfId="17670" priority="25583">
      <formula>G175="T"</formula>
    </cfRule>
  </conditionalFormatting>
  <conditionalFormatting sqref="G177">
    <cfRule type="expression" dxfId="17669" priority="25548">
      <formula>G177="X"</formula>
    </cfRule>
    <cfRule type="expression" dxfId="17668" priority="25549">
      <formula>G177="A"</formula>
    </cfRule>
    <cfRule type="expression" dxfId="17667" priority="25550">
      <formula>G177="T"</formula>
    </cfRule>
  </conditionalFormatting>
  <conditionalFormatting sqref="G179">
    <cfRule type="expression" dxfId="17666" priority="25536">
      <formula>G179="X"</formula>
    </cfRule>
    <cfRule type="expression" dxfId="17665" priority="25537">
      <formula>G179="A"</formula>
    </cfRule>
    <cfRule type="expression" dxfId="17664" priority="25538">
      <formula>G179="T"</formula>
    </cfRule>
  </conditionalFormatting>
  <conditionalFormatting sqref="G169">
    <cfRule type="expression" dxfId="17663" priority="25518">
      <formula>G169="X"</formula>
    </cfRule>
    <cfRule type="expression" dxfId="17662" priority="25519">
      <formula>G169="A"</formula>
    </cfRule>
    <cfRule type="expression" dxfId="17661" priority="25520">
      <formula>G169="T"</formula>
    </cfRule>
  </conditionalFormatting>
  <conditionalFormatting sqref="G171">
    <cfRule type="expression" dxfId="17660" priority="25506">
      <formula>G171="X"</formula>
    </cfRule>
    <cfRule type="expression" dxfId="17659" priority="25507">
      <formula>G171="A"</formula>
    </cfRule>
    <cfRule type="expression" dxfId="17658" priority="25508">
      <formula>G171="T"</formula>
    </cfRule>
  </conditionalFormatting>
  <conditionalFormatting sqref="G183">
    <cfRule type="expression" dxfId="17657" priority="25484">
      <formula>G183="X"</formula>
    </cfRule>
    <cfRule type="expression" dxfId="17656" priority="25485">
      <formula>G183="A"</formula>
    </cfRule>
    <cfRule type="expression" dxfId="17655" priority="25486">
      <formula>G183="T"</formula>
    </cfRule>
  </conditionalFormatting>
  <conditionalFormatting sqref="G185">
    <cfRule type="expression" dxfId="17654" priority="25478">
      <formula>G185="X"</formula>
    </cfRule>
    <cfRule type="expression" dxfId="17653" priority="25479">
      <formula>G185="A"</formula>
    </cfRule>
    <cfRule type="expression" dxfId="17652" priority="25480">
      <formula>G185="T"</formula>
    </cfRule>
  </conditionalFormatting>
  <conditionalFormatting sqref="G189">
    <cfRule type="expression" dxfId="17651" priority="25447">
      <formula>G189="X"</formula>
    </cfRule>
    <cfRule type="expression" dxfId="17650" priority="25448">
      <formula>G189="A"</formula>
    </cfRule>
    <cfRule type="expression" dxfId="17649" priority="25449">
      <formula>G189="T"</formula>
    </cfRule>
  </conditionalFormatting>
  <conditionalFormatting sqref="G191">
    <cfRule type="expression" dxfId="17648" priority="25441">
      <formula>G191="X"</formula>
    </cfRule>
    <cfRule type="expression" dxfId="17647" priority="25442">
      <formula>G191="A"</formula>
    </cfRule>
    <cfRule type="expression" dxfId="17646" priority="25443">
      <formula>G191="T"</formula>
    </cfRule>
  </conditionalFormatting>
  <conditionalFormatting sqref="G195">
    <cfRule type="expression" dxfId="17645" priority="25410">
      <formula>G195="X"</formula>
    </cfRule>
    <cfRule type="expression" dxfId="17644" priority="25411">
      <formula>G195="A"</formula>
    </cfRule>
    <cfRule type="expression" dxfId="17643" priority="25412">
      <formula>G195="T"</formula>
    </cfRule>
  </conditionalFormatting>
  <conditionalFormatting sqref="G203">
    <cfRule type="expression" dxfId="17642" priority="25404">
      <formula>G203="X"</formula>
    </cfRule>
    <cfRule type="expression" dxfId="17641" priority="25405">
      <formula>G203="A"</formula>
    </cfRule>
    <cfRule type="expression" dxfId="17640" priority="25406">
      <formula>G203="T"</formula>
    </cfRule>
  </conditionalFormatting>
  <conditionalFormatting sqref="G205">
    <cfRule type="expression" dxfId="17639" priority="25371">
      <formula>G205="X"</formula>
    </cfRule>
    <cfRule type="expression" dxfId="17638" priority="25372">
      <formula>G205="A"</formula>
    </cfRule>
    <cfRule type="expression" dxfId="17637" priority="25373">
      <formula>G205="T"</formula>
    </cfRule>
  </conditionalFormatting>
  <conditionalFormatting sqref="G207">
    <cfRule type="expression" dxfId="17636" priority="25244">
      <formula>G207="X"</formula>
    </cfRule>
    <cfRule type="expression" dxfId="17635" priority="25245">
      <formula>G207="A"</formula>
    </cfRule>
    <cfRule type="expression" dxfId="17634" priority="25246">
      <formula>G207="T"</formula>
    </cfRule>
  </conditionalFormatting>
  <conditionalFormatting sqref="G11">
    <cfRule type="expression" dxfId="17633" priority="24364">
      <formula>G11="X"</formula>
    </cfRule>
    <cfRule type="expression" dxfId="17632" priority="24365">
      <formula>G11="A"</formula>
    </cfRule>
    <cfRule type="expression" dxfId="17631" priority="24366">
      <formula>G11="T"</formula>
    </cfRule>
  </conditionalFormatting>
  <conditionalFormatting sqref="G12 AO12 W12 AO14 W14 AO17 W17 AO19 W19 AO21 W21 AO23 W23 AO25 W25 AO27 W27 AO29 W29 AO31 W31 AO33 W33 AO35 W35 AO37 W37 AO40 W40 AO42 W42 AO44 W44 AO46 W46 AO49 W49 AO51 W51 AO53 W53 AO55 W55 AO57 W57 AO59 W59 AO64 W64 AO66 W66 AO68 W68 AO82 W82 AO84 W84 AO86 W86 AO89 W89 AO91 W91 AO93 W93 AO95 W95 AO97 W97 AO99 W99 AO101 W101 AO103 W103 AO106 W106 AO108 W108 AO110 W110 AO112 W112 AO114 W114 AO117 W117 AO119 W119 AO121 W121 AO123 W123 AO126 W126 AO128 W128 AO142 W142 AO144 W144 AO150 W150 AO152 W152 AO156 W156 AO168 W168 AO170 W170 AO172 W172 AO174 W174 AO176 W176 AO178 W178 AO180 W180 AO184 W184 AO186 W186 AO190 W190 AO192 W192 AO208 W208 AO212 W212 AO214 W214 AO216 W216 AO218 W218 AO220 W220 AO222 W222 AO224 W224 AO5 W5 AO7 W7 AO9 W9 AO75 W75 AO77 W77 AO79 W79 AO135 W135 AO137 W137 AO139 W139 AO204 W204 AO206 W206 AO196 W196 AO198 W198 AO200 W200 AO202 W202 G158:L158 P158 U158:X158 P160 AO160:AQ160 AH160 AM158:AU158 AF158:AH158">
    <cfRule type="expression" dxfId="17630" priority="24361">
      <formula>G4="X"</formula>
    </cfRule>
    <cfRule type="expression" dxfId="17629" priority="24362">
      <formula>G4="A"</formula>
    </cfRule>
    <cfRule type="expression" dxfId="17628" priority="24363">
      <formula>G4="T"</formula>
    </cfRule>
  </conditionalFormatting>
  <conditionalFormatting sqref="G13">
    <cfRule type="expression" dxfId="17627" priority="24328">
      <formula>G13="X"</formula>
    </cfRule>
    <cfRule type="expression" dxfId="17626" priority="24329">
      <formula>G13="A"</formula>
    </cfRule>
    <cfRule type="expression" dxfId="17625" priority="24330">
      <formula>G13="T"</formula>
    </cfRule>
  </conditionalFormatting>
  <conditionalFormatting sqref="G14">
    <cfRule type="expression" dxfId="17624" priority="24292">
      <formula>G13="X"</formula>
    </cfRule>
    <cfRule type="expression" dxfId="17623" priority="24293">
      <formula>G13="A"</formula>
    </cfRule>
    <cfRule type="expression" dxfId="17622" priority="24294">
      <formula>G13="T"</formula>
    </cfRule>
  </conditionalFormatting>
  <conditionalFormatting sqref="G17">
    <cfRule type="expression" dxfId="17621" priority="24289">
      <formula>G16="X"</formula>
    </cfRule>
    <cfRule type="expression" dxfId="17620" priority="24290">
      <formula>G16="A"</formula>
    </cfRule>
    <cfRule type="expression" dxfId="17619" priority="24291">
      <formula>G16="T"</formula>
    </cfRule>
  </conditionalFormatting>
  <conditionalFormatting sqref="G19">
    <cfRule type="expression" dxfId="17618" priority="24283">
      <formula>G18="X"</formula>
    </cfRule>
    <cfRule type="expression" dxfId="17617" priority="24284">
      <formula>G18="A"</formula>
    </cfRule>
    <cfRule type="expression" dxfId="17616" priority="24285">
      <formula>G18="T"</formula>
    </cfRule>
  </conditionalFormatting>
  <conditionalFormatting sqref="G21">
    <cfRule type="expression" dxfId="17615" priority="24280">
      <formula>G20="X"</formula>
    </cfRule>
    <cfRule type="expression" dxfId="17614" priority="24281">
      <formula>G20="A"</formula>
    </cfRule>
    <cfRule type="expression" dxfId="17613" priority="24282">
      <formula>G20="T"</formula>
    </cfRule>
  </conditionalFormatting>
  <conditionalFormatting sqref="G23">
    <cfRule type="expression" dxfId="17612" priority="24277">
      <formula>G22="X"</formula>
    </cfRule>
    <cfRule type="expression" dxfId="17611" priority="24278">
      <formula>G22="A"</formula>
    </cfRule>
    <cfRule type="expression" dxfId="17610" priority="24279">
      <formula>G22="T"</formula>
    </cfRule>
  </conditionalFormatting>
  <conditionalFormatting sqref="G25">
    <cfRule type="expression" dxfId="17609" priority="24274">
      <formula>G24="X"</formula>
    </cfRule>
    <cfRule type="expression" dxfId="17608" priority="24275">
      <formula>G24="A"</formula>
    </cfRule>
    <cfRule type="expression" dxfId="17607" priority="24276">
      <formula>G24="T"</formula>
    </cfRule>
  </conditionalFormatting>
  <conditionalFormatting sqref="G27">
    <cfRule type="expression" dxfId="17606" priority="24271">
      <formula>G26="X"</formula>
    </cfRule>
    <cfRule type="expression" dxfId="17605" priority="24272">
      <formula>G26="A"</formula>
    </cfRule>
    <cfRule type="expression" dxfId="17604" priority="24273">
      <formula>G26="T"</formula>
    </cfRule>
  </conditionalFormatting>
  <conditionalFormatting sqref="G29">
    <cfRule type="expression" dxfId="17603" priority="24268">
      <formula>G28="X"</formula>
    </cfRule>
    <cfRule type="expression" dxfId="17602" priority="24269">
      <formula>G28="A"</formula>
    </cfRule>
    <cfRule type="expression" dxfId="17601" priority="24270">
      <formula>G28="T"</formula>
    </cfRule>
  </conditionalFormatting>
  <conditionalFormatting sqref="G31">
    <cfRule type="expression" dxfId="17600" priority="24265">
      <formula>G30="X"</formula>
    </cfRule>
    <cfRule type="expression" dxfId="17599" priority="24266">
      <formula>G30="A"</formula>
    </cfRule>
    <cfRule type="expression" dxfId="17598" priority="24267">
      <formula>G30="T"</formula>
    </cfRule>
  </conditionalFormatting>
  <conditionalFormatting sqref="G33">
    <cfRule type="expression" dxfId="17597" priority="24262">
      <formula>G32="X"</formula>
    </cfRule>
    <cfRule type="expression" dxfId="17596" priority="24263">
      <formula>G32="A"</formula>
    </cfRule>
    <cfRule type="expression" dxfId="17595" priority="24264">
      <formula>G32="T"</formula>
    </cfRule>
  </conditionalFormatting>
  <conditionalFormatting sqref="G35">
    <cfRule type="expression" dxfId="17594" priority="24259">
      <formula>G34="X"</formula>
    </cfRule>
    <cfRule type="expression" dxfId="17593" priority="24260">
      <formula>G34="A"</formula>
    </cfRule>
    <cfRule type="expression" dxfId="17592" priority="24261">
      <formula>G34="T"</formula>
    </cfRule>
  </conditionalFormatting>
  <conditionalFormatting sqref="G37">
    <cfRule type="expression" dxfId="17591" priority="24256">
      <formula>G36="X"</formula>
    </cfRule>
    <cfRule type="expression" dxfId="17590" priority="24257">
      <formula>G36="A"</formula>
    </cfRule>
    <cfRule type="expression" dxfId="17589" priority="24258">
      <formula>G36="T"</formula>
    </cfRule>
  </conditionalFormatting>
  <conditionalFormatting sqref="G40">
    <cfRule type="expression" dxfId="17588" priority="24253">
      <formula>G39="X"</formula>
    </cfRule>
    <cfRule type="expression" dxfId="17587" priority="24254">
      <formula>G39="A"</formula>
    </cfRule>
    <cfRule type="expression" dxfId="17586" priority="24255">
      <formula>G39="T"</formula>
    </cfRule>
  </conditionalFormatting>
  <conditionalFormatting sqref="G42">
    <cfRule type="expression" dxfId="17585" priority="24250">
      <formula>G41="X"</formula>
    </cfRule>
    <cfRule type="expression" dxfId="17584" priority="24251">
      <formula>G41="A"</formula>
    </cfRule>
    <cfRule type="expression" dxfId="17583" priority="24252">
      <formula>G41="T"</formula>
    </cfRule>
  </conditionalFormatting>
  <conditionalFormatting sqref="G44">
    <cfRule type="expression" dxfId="17582" priority="24247">
      <formula>G43="X"</formula>
    </cfRule>
    <cfRule type="expression" dxfId="17581" priority="24248">
      <formula>G43="A"</formula>
    </cfRule>
    <cfRule type="expression" dxfId="17580" priority="24249">
      <formula>G43="T"</formula>
    </cfRule>
  </conditionalFormatting>
  <conditionalFormatting sqref="G46">
    <cfRule type="expression" dxfId="17579" priority="24244">
      <formula>G45="X"</formula>
    </cfRule>
    <cfRule type="expression" dxfId="17578" priority="24245">
      <formula>G45="A"</formula>
    </cfRule>
    <cfRule type="expression" dxfId="17577" priority="24246">
      <formula>G45="T"</formula>
    </cfRule>
  </conditionalFormatting>
  <conditionalFormatting sqref="G49">
    <cfRule type="expression" dxfId="17576" priority="24241">
      <formula>G48="X"</formula>
    </cfRule>
    <cfRule type="expression" dxfId="17575" priority="24242">
      <formula>G48="A"</formula>
    </cfRule>
    <cfRule type="expression" dxfId="17574" priority="24243">
      <formula>G48="T"</formula>
    </cfRule>
  </conditionalFormatting>
  <conditionalFormatting sqref="G51">
    <cfRule type="expression" dxfId="17573" priority="24238">
      <formula>G50="X"</formula>
    </cfRule>
    <cfRule type="expression" dxfId="17572" priority="24239">
      <formula>G50="A"</formula>
    </cfRule>
    <cfRule type="expression" dxfId="17571" priority="24240">
      <formula>G50="T"</formula>
    </cfRule>
  </conditionalFormatting>
  <conditionalFormatting sqref="G53">
    <cfRule type="expression" dxfId="17570" priority="24235">
      <formula>G52="X"</formula>
    </cfRule>
    <cfRule type="expression" dxfId="17569" priority="24236">
      <formula>G52="A"</formula>
    </cfRule>
    <cfRule type="expression" dxfId="17568" priority="24237">
      <formula>G52="T"</formula>
    </cfRule>
  </conditionalFormatting>
  <conditionalFormatting sqref="G55">
    <cfRule type="expression" dxfId="17567" priority="24232">
      <formula>G54="X"</formula>
    </cfRule>
    <cfRule type="expression" dxfId="17566" priority="24233">
      <formula>G54="A"</formula>
    </cfRule>
    <cfRule type="expression" dxfId="17565" priority="24234">
      <formula>G54="T"</formula>
    </cfRule>
  </conditionalFormatting>
  <conditionalFormatting sqref="G57">
    <cfRule type="expression" dxfId="17564" priority="24229">
      <formula>G56="X"</formula>
    </cfRule>
    <cfRule type="expression" dxfId="17563" priority="24230">
      <formula>G56="A"</formula>
    </cfRule>
    <cfRule type="expression" dxfId="17562" priority="24231">
      <formula>G56="T"</formula>
    </cfRule>
  </conditionalFormatting>
  <conditionalFormatting sqref="G59">
    <cfRule type="expression" dxfId="17561" priority="24226">
      <formula>G58="X"</formula>
    </cfRule>
    <cfRule type="expression" dxfId="17560" priority="24227">
      <formula>G58="A"</formula>
    </cfRule>
    <cfRule type="expression" dxfId="17559" priority="24228">
      <formula>G58="T"</formula>
    </cfRule>
  </conditionalFormatting>
  <conditionalFormatting sqref="G64">
    <cfRule type="expression" dxfId="17558" priority="24223">
      <formula>G63="X"</formula>
    </cfRule>
    <cfRule type="expression" dxfId="17557" priority="24224">
      <formula>G63="A"</formula>
    </cfRule>
    <cfRule type="expression" dxfId="17556" priority="24225">
      <formula>G63="T"</formula>
    </cfRule>
  </conditionalFormatting>
  <conditionalFormatting sqref="G66">
    <cfRule type="expression" dxfId="17555" priority="24220">
      <formula>G65="X"</formula>
    </cfRule>
    <cfRule type="expression" dxfId="17554" priority="24221">
      <formula>G65="A"</formula>
    </cfRule>
    <cfRule type="expression" dxfId="17553" priority="24222">
      <formula>G65="T"</formula>
    </cfRule>
  </conditionalFormatting>
  <conditionalFormatting sqref="G68">
    <cfRule type="expression" dxfId="17552" priority="24217">
      <formula>G67="X"</formula>
    </cfRule>
    <cfRule type="expression" dxfId="17551" priority="24218">
      <formula>G67="A"</formula>
    </cfRule>
    <cfRule type="expression" dxfId="17550" priority="24219">
      <formula>G67="T"</formula>
    </cfRule>
  </conditionalFormatting>
  <conditionalFormatting sqref="G82">
    <cfRule type="expression" dxfId="17549" priority="24214">
      <formula>G81="X"</formula>
    </cfRule>
    <cfRule type="expression" dxfId="17548" priority="24215">
      <formula>G81="A"</formula>
    </cfRule>
    <cfRule type="expression" dxfId="17547" priority="24216">
      <formula>G81="T"</formula>
    </cfRule>
  </conditionalFormatting>
  <conditionalFormatting sqref="G84">
    <cfRule type="expression" dxfId="17546" priority="24211">
      <formula>G83="X"</formula>
    </cfRule>
    <cfRule type="expression" dxfId="17545" priority="24212">
      <formula>G83="A"</formula>
    </cfRule>
    <cfRule type="expression" dxfId="17544" priority="24213">
      <formula>G83="T"</formula>
    </cfRule>
  </conditionalFormatting>
  <conditionalFormatting sqref="G86">
    <cfRule type="expression" dxfId="17543" priority="24208">
      <formula>G85="X"</formula>
    </cfRule>
    <cfRule type="expression" dxfId="17542" priority="24209">
      <formula>G85="A"</formula>
    </cfRule>
    <cfRule type="expression" dxfId="17541" priority="24210">
      <formula>G85="T"</formula>
    </cfRule>
  </conditionalFormatting>
  <conditionalFormatting sqref="G89">
    <cfRule type="expression" dxfId="17540" priority="24205">
      <formula>G88="X"</formula>
    </cfRule>
    <cfRule type="expression" dxfId="17539" priority="24206">
      <formula>G88="A"</formula>
    </cfRule>
    <cfRule type="expression" dxfId="17538" priority="24207">
      <formula>G88="T"</formula>
    </cfRule>
  </conditionalFormatting>
  <conditionalFormatting sqref="G91">
    <cfRule type="expression" dxfId="17537" priority="24202">
      <formula>G90="X"</formula>
    </cfRule>
    <cfRule type="expression" dxfId="17536" priority="24203">
      <formula>G90="A"</formula>
    </cfRule>
    <cfRule type="expression" dxfId="17535" priority="24204">
      <formula>G90="T"</formula>
    </cfRule>
  </conditionalFormatting>
  <conditionalFormatting sqref="G93">
    <cfRule type="expression" dxfId="17534" priority="24199">
      <formula>G92="X"</formula>
    </cfRule>
    <cfRule type="expression" dxfId="17533" priority="24200">
      <formula>G92="A"</formula>
    </cfRule>
    <cfRule type="expression" dxfId="17532" priority="24201">
      <formula>G92="T"</formula>
    </cfRule>
  </conditionalFormatting>
  <conditionalFormatting sqref="G95">
    <cfRule type="expression" dxfId="17531" priority="24196">
      <formula>G94="X"</formula>
    </cfRule>
    <cfRule type="expression" dxfId="17530" priority="24197">
      <formula>G94="A"</formula>
    </cfRule>
    <cfRule type="expression" dxfId="17529" priority="24198">
      <formula>G94="T"</formula>
    </cfRule>
  </conditionalFormatting>
  <conditionalFormatting sqref="G97">
    <cfRule type="expression" dxfId="17528" priority="24193">
      <formula>G96="X"</formula>
    </cfRule>
    <cfRule type="expression" dxfId="17527" priority="24194">
      <formula>G96="A"</formula>
    </cfRule>
    <cfRule type="expression" dxfId="17526" priority="24195">
      <formula>G96="T"</formula>
    </cfRule>
  </conditionalFormatting>
  <conditionalFormatting sqref="G99">
    <cfRule type="expression" dxfId="17525" priority="24190">
      <formula>G98="X"</formula>
    </cfRule>
    <cfRule type="expression" dxfId="17524" priority="24191">
      <formula>G98="A"</formula>
    </cfRule>
    <cfRule type="expression" dxfId="17523" priority="24192">
      <formula>G98="T"</formula>
    </cfRule>
  </conditionalFormatting>
  <conditionalFormatting sqref="G101">
    <cfRule type="expression" dxfId="17522" priority="24187">
      <formula>G100="X"</formula>
    </cfRule>
    <cfRule type="expression" dxfId="17521" priority="24188">
      <formula>G100="A"</formula>
    </cfRule>
    <cfRule type="expression" dxfId="17520" priority="24189">
      <formula>G100="T"</formula>
    </cfRule>
  </conditionalFormatting>
  <conditionalFormatting sqref="G103">
    <cfRule type="expression" dxfId="17519" priority="24184">
      <formula>G102="X"</formula>
    </cfRule>
    <cfRule type="expression" dxfId="17518" priority="24185">
      <formula>G102="A"</formula>
    </cfRule>
    <cfRule type="expression" dxfId="17517" priority="24186">
      <formula>G102="T"</formula>
    </cfRule>
  </conditionalFormatting>
  <conditionalFormatting sqref="G106">
    <cfRule type="expression" dxfId="17516" priority="24181">
      <formula>G105="X"</formula>
    </cfRule>
    <cfRule type="expression" dxfId="17515" priority="24182">
      <formula>G105="A"</formula>
    </cfRule>
    <cfRule type="expression" dxfId="17514" priority="24183">
      <formula>G105="T"</formula>
    </cfRule>
  </conditionalFormatting>
  <conditionalFormatting sqref="G108">
    <cfRule type="expression" dxfId="17513" priority="24178">
      <formula>G107="X"</formula>
    </cfRule>
    <cfRule type="expression" dxfId="17512" priority="24179">
      <formula>G107="A"</formula>
    </cfRule>
    <cfRule type="expression" dxfId="17511" priority="24180">
      <formula>G107="T"</formula>
    </cfRule>
  </conditionalFormatting>
  <conditionalFormatting sqref="G110">
    <cfRule type="expression" dxfId="17510" priority="24175">
      <formula>G109="X"</formula>
    </cfRule>
    <cfRule type="expression" dxfId="17509" priority="24176">
      <formula>G109="A"</formula>
    </cfRule>
    <cfRule type="expression" dxfId="17508" priority="24177">
      <formula>G109="T"</formula>
    </cfRule>
  </conditionalFormatting>
  <conditionalFormatting sqref="G112">
    <cfRule type="expression" dxfId="17507" priority="24172">
      <formula>G111="X"</formula>
    </cfRule>
    <cfRule type="expression" dxfId="17506" priority="24173">
      <formula>G111="A"</formula>
    </cfRule>
    <cfRule type="expression" dxfId="17505" priority="24174">
      <formula>G111="T"</formula>
    </cfRule>
  </conditionalFormatting>
  <conditionalFormatting sqref="G114">
    <cfRule type="expression" dxfId="17504" priority="24169">
      <formula>G113="X"</formula>
    </cfRule>
    <cfRule type="expression" dxfId="17503" priority="24170">
      <formula>G113="A"</formula>
    </cfRule>
    <cfRule type="expression" dxfId="17502" priority="24171">
      <formula>G113="T"</formula>
    </cfRule>
  </conditionalFormatting>
  <conditionalFormatting sqref="G117">
    <cfRule type="expression" dxfId="17501" priority="24166">
      <formula>G116="X"</formula>
    </cfRule>
    <cfRule type="expression" dxfId="17500" priority="24167">
      <formula>G116="A"</formula>
    </cfRule>
    <cfRule type="expression" dxfId="17499" priority="24168">
      <formula>G116="T"</formula>
    </cfRule>
  </conditionalFormatting>
  <conditionalFormatting sqref="G119">
    <cfRule type="expression" dxfId="17498" priority="24163">
      <formula>G118="X"</formula>
    </cfRule>
    <cfRule type="expression" dxfId="17497" priority="24164">
      <formula>G118="A"</formula>
    </cfRule>
    <cfRule type="expression" dxfId="17496" priority="24165">
      <formula>G118="T"</formula>
    </cfRule>
  </conditionalFormatting>
  <conditionalFormatting sqref="G121">
    <cfRule type="expression" dxfId="17495" priority="24160">
      <formula>G120="X"</formula>
    </cfRule>
    <cfRule type="expression" dxfId="17494" priority="24161">
      <formula>G120="A"</formula>
    </cfRule>
    <cfRule type="expression" dxfId="17493" priority="24162">
      <formula>G120="T"</formula>
    </cfRule>
  </conditionalFormatting>
  <conditionalFormatting sqref="G123">
    <cfRule type="expression" dxfId="17492" priority="24157">
      <formula>G122="X"</formula>
    </cfRule>
    <cfRule type="expression" dxfId="17491" priority="24158">
      <formula>G122="A"</formula>
    </cfRule>
    <cfRule type="expression" dxfId="17490" priority="24159">
      <formula>G122="T"</formula>
    </cfRule>
  </conditionalFormatting>
  <conditionalFormatting sqref="G126">
    <cfRule type="expression" dxfId="17489" priority="24154">
      <formula>G125="X"</formula>
    </cfRule>
    <cfRule type="expression" dxfId="17488" priority="24155">
      <formula>G125="A"</formula>
    </cfRule>
    <cfRule type="expression" dxfId="17487" priority="24156">
      <formula>G125="T"</formula>
    </cfRule>
  </conditionalFormatting>
  <conditionalFormatting sqref="G128">
    <cfRule type="expression" dxfId="17486" priority="24151">
      <formula>G127="X"</formula>
    </cfRule>
    <cfRule type="expression" dxfId="17485" priority="24152">
      <formula>G127="A"</formula>
    </cfRule>
    <cfRule type="expression" dxfId="17484" priority="24153">
      <formula>G127="T"</formula>
    </cfRule>
  </conditionalFormatting>
  <conditionalFormatting sqref="G142">
    <cfRule type="expression" dxfId="17483" priority="24148">
      <formula>G141="X"</formula>
    </cfRule>
    <cfRule type="expression" dxfId="17482" priority="24149">
      <formula>G141="A"</formula>
    </cfRule>
    <cfRule type="expression" dxfId="17481" priority="24150">
      <formula>G141="T"</formula>
    </cfRule>
  </conditionalFormatting>
  <conditionalFormatting sqref="G144">
    <cfRule type="expression" dxfId="17480" priority="24145">
      <formula>G143="X"</formula>
    </cfRule>
    <cfRule type="expression" dxfId="17479" priority="24146">
      <formula>G143="A"</formula>
    </cfRule>
    <cfRule type="expression" dxfId="17478" priority="24147">
      <formula>G143="T"</formula>
    </cfRule>
  </conditionalFormatting>
  <conditionalFormatting sqref="G150">
    <cfRule type="expression" dxfId="17477" priority="24142">
      <formula>G149="X"</formula>
    </cfRule>
    <cfRule type="expression" dxfId="17476" priority="24143">
      <formula>G149="A"</formula>
    </cfRule>
    <cfRule type="expression" dxfId="17475" priority="24144">
      <formula>G149="T"</formula>
    </cfRule>
  </conditionalFormatting>
  <conditionalFormatting sqref="G152">
    <cfRule type="expression" dxfId="17474" priority="24139">
      <formula>G151="X"</formula>
    </cfRule>
    <cfRule type="expression" dxfId="17473" priority="24140">
      <formula>G151="A"</formula>
    </cfRule>
    <cfRule type="expression" dxfId="17472" priority="24141">
      <formula>G151="T"</formula>
    </cfRule>
  </conditionalFormatting>
  <conditionalFormatting sqref="G156">
    <cfRule type="expression" dxfId="17471" priority="24136">
      <formula>G155="X"</formula>
    </cfRule>
    <cfRule type="expression" dxfId="17470" priority="24137">
      <formula>G155="A"</formula>
    </cfRule>
    <cfRule type="expression" dxfId="17469" priority="24138">
      <formula>G155="T"</formula>
    </cfRule>
  </conditionalFormatting>
  <conditionalFormatting sqref="G168">
    <cfRule type="expression" dxfId="17468" priority="24130">
      <formula>G167="X"</formula>
    </cfRule>
    <cfRule type="expression" dxfId="17467" priority="24131">
      <formula>G167="A"</formula>
    </cfRule>
    <cfRule type="expression" dxfId="17466" priority="24132">
      <formula>G167="T"</formula>
    </cfRule>
  </conditionalFormatting>
  <conditionalFormatting sqref="G170">
    <cfRule type="expression" dxfId="17465" priority="24127">
      <formula>G169="X"</formula>
    </cfRule>
    <cfRule type="expression" dxfId="17464" priority="24128">
      <formula>G169="A"</formula>
    </cfRule>
    <cfRule type="expression" dxfId="17463" priority="24129">
      <formula>G169="T"</formula>
    </cfRule>
  </conditionalFormatting>
  <conditionalFormatting sqref="G172">
    <cfRule type="expression" dxfId="17462" priority="24124">
      <formula>G171="X"</formula>
    </cfRule>
    <cfRule type="expression" dxfId="17461" priority="24125">
      <formula>G171="A"</formula>
    </cfRule>
    <cfRule type="expression" dxfId="17460" priority="24126">
      <formula>G171="T"</formula>
    </cfRule>
  </conditionalFormatting>
  <conditionalFormatting sqref="G174">
    <cfRule type="expression" dxfId="17459" priority="24121">
      <formula>G173="X"</formula>
    </cfRule>
    <cfRule type="expression" dxfId="17458" priority="24122">
      <formula>G173="A"</formula>
    </cfRule>
    <cfRule type="expression" dxfId="17457" priority="24123">
      <formula>G173="T"</formula>
    </cfRule>
  </conditionalFormatting>
  <conditionalFormatting sqref="G176">
    <cfRule type="expression" dxfId="17456" priority="24118">
      <formula>G175="X"</formula>
    </cfRule>
    <cfRule type="expression" dxfId="17455" priority="24119">
      <formula>G175="A"</formula>
    </cfRule>
    <cfRule type="expression" dxfId="17454" priority="24120">
      <formula>G175="T"</formula>
    </cfRule>
  </conditionalFormatting>
  <conditionalFormatting sqref="G178">
    <cfRule type="expression" dxfId="17453" priority="24115">
      <formula>G177="X"</formula>
    </cfRule>
    <cfRule type="expression" dxfId="17452" priority="24116">
      <formula>G177="A"</formula>
    </cfRule>
    <cfRule type="expression" dxfId="17451" priority="24117">
      <formula>G177="T"</formula>
    </cfRule>
  </conditionalFormatting>
  <conditionalFormatting sqref="G180">
    <cfRule type="expression" dxfId="17450" priority="24112">
      <formula>G179="X"</formula>
    </cfRule>
    <cfRule type="expression" dxfId="17449" priority="24113">
      <formula>G179="A"</formula>
    </cfRule>
    <cfRule type="expression" dxfId="17448" priority="24114">
      <formula>G179="T"</formula>
    </cfRule>
  </conditionalFormatting>
  <conditionalFormatting sqref="G184">
    <cfRule type="expression" dxfId="17447" priority="24109">
      <formula>G183="X"</formula>
    </cfRule>
    <cfRule type="expression" dxfId="17446" priority="24110">
      <formula>G183="A"</formula>
    </cfRule>
    <cfRule type="expression" dxfId="17445" priority="24111">
      <formula>G183="T"</formula>
    </cfRule>
  </conditionalFormatting>
  <conditionalFormatting sqref="G186">
    <cfRule type="expression" dxfId="17444" priority="24106">
      <formula>G185="X"</formula>
    </cfRule>
    <cfRule type="expression" dxfId="17443" priority="24107">
      <formula>G185="A"</formula>
    </cfRule>
    <cfRule type="expression" dxfId="17442" priority="24108">
      <formula>G185="T"</formula>
    </cfRule>
  </conditionalFormatting>
  <conditionalFormatting sqref="G190">
    <cfRule type="expression" dxfId="17441" priority="24103">
      <formula>G189="X"</formula>
    </cfRule>
    <cfRule type="expression" dxfId="17440" priority="24104">
      <formula>G189="A"</formula>
    </cfRule>
    <cfRule type="expression" dxfId="17439" priority="24105">
      <formula>G189="T"</formula>
    </cfRule>
  </conditionalFormatting>
  <conditionalFormatting sqref="G192">
    <cfRule type="expression" dxfId="17438" priority="24100">
      <formula>G191="X"</formula>
    </cfRule>
    <cfRule type="expression" dxfId="17437" priority="24101">
      <formula>G191="A"</formula>
    </cfRule>
    <cfRule type="expression" dxfId="17436" priority="24102">
      <formula>G191="T"</formula>
    </cfRule>
  </conditionalFormatting>
  <conditionalFormatting sqref="G204">
    <cfRule type="expression" dxfId="17435" priority="24094">
      <formula>G203="X"</formula>
    </cfRule>
    <cfRule type="expression" dxfId="17434" priority="24095">
      <formula>G203="A"</formula>
    </cfRule>
    <cfRule type="expression" dxfId="17433" priority="24096">
      <formula>G203="T"</formula>
    </cfRule>
  </conditionalFormatting>
  <conditionalFormatting sqref="G206">
    <cfRule type="expression" dxfId="17432" priority="24091">
      <formula>G205="X"</formula>
    </cfRule>
    <cfRule type="expression" dxfId="17431" priority="24092">
      <formula>G205="A"</formula>
    </cfRule>
    <cfRule type="expression" dxfId="17430" priority="24093">
      <formula>G205="T"</formula>
    </cfRule>
  </conditionalFormatting>
  <conditionalFormatting sqref="G208">
    <cfRule type="expression" dxfId="17429" priority="24088">
      <formula>G207="X"</formula>
    </cfRule>
    <cfRule type="expression" dxfId="17428" priority="24089">
      <formula>G207="A"</formula>
    </cfRule>
    <cfRule type="expression" dxfId="17427" priority="24090">
      <formula>G207="T"</formula>
    </cfRule>
  </conditionalFormatting>
  <conditionalFormatting sqref="G196">
    <cfRule type="expression" dxfId="17426" priority="24085">
      <formula>G195="X"</formula>
    </cfRule>
    <cfRule type="expression" dxfId="17425" priority="24086">
      <formula>G195="A"</formula>
    </cfRule>
    <cfRule type="expression" dxfId="17424" priority="24087">
      <formula>G195="T"</formula>
    </cfRule>
  </conditionalFormatting>
  <conditionalFormatting sqref="G211">
    <cfRule type="expression" dxfId="17423" priority="24073">
      <formula>G211="X"</formula>
    </cfRule>
    <cfRule type="expression" dxfId="17422" priority="24074">
      <formula>G211="A"</formula>
    </cfRule>
    <cfRule type="expression" dxfId="17421" priority="24075">
      <formula>G211="T"</formula>
    </cfRule>
  </conditionalFormatting>
  <conditionalFormatting sqref="G212">
    <cfRule type="expression" dxfId="17420" priority="24055">
      <formula>G211="X"</formula>
    </cfRule>
    <cfRule type="expression" dxfId="17419" priority="24056">
      <formula>G211="A"</formula>
    </cfRule>
    <cfRule type="expression" dxfId="17418" priority="24057">
      <formula>G211="T"</formula>
    </cfRule>
  </conditionalFormatting>
  <conditionalFormatting sqref="G213">
    <cfRule type="expression" dxfId="17417" priority="24049">
      <formula>G213="X"</formula>
    </cfRule>
    <cfRule type="expression" dxfId="17416" priority="24050">
      <formula>G213="A"</formula>
    </cfRule>
    <cfRule type="expression" dxfId="17415" priority="24051">
      <formula>G213="T"</formula>
    </cfRule>
  </conditionalFormatting>
  <conditionalFormatting sqref="G214">
    <cfRule type="expression" dxfId="17414" priority="24031">
      <formula>G213="X"</formula>
    </cfRule>
    <cfRule type="expression" dxfId="17413" priority="24032">
      <formula>G213="A"</formula>
    </cfRule>
    <cfRule type="expression" dxfId="17412" priority="24033">
      <formula>G213="T"</formula>
    </cfRule>
  </conditionalFormatting>
  <conditionalFormatting sqref="G215">
    <cfRule type="expression" dxfId="17411" priority="24025">
      <formula>G215="X"</formula>
    </cfRule>
    <cfRule type="expression" dxfId="17410" priority="24026">
      <formula>G215="A"</formula>
    </cfRule>
    <cfRule type="expression" dxfId="17409" priority="24027">
      <formula>G215="T"</formula>
    </cfRule>
  </conditionalFormatting>
  <conditionalFormatting sqref="G216">
    <cfRule type="expression" dxfId="17408" priority="24007">
      <formula>G215="X"</formula>
    </cfRule>
    <cfRule type="expression" dxfId="17407" priority="24008">
      <formula>G215="A"</formula>
    </cfRule>
    <cfRule type="expression" dxfId="17406" priority="24009">
      <formula>G215="T"</formula>
    </cfRule>
  </conditionalFormatting>
  <conditionalFormatting sqref="G217">
    <cfRule type="expression" dxfId="17405" priority="24001">
      <formula>G217="X"</formula>
    </cfRule>
    <cfRule type="expression" dxfId="17404" priority="24002">
      <formula>G217="A"</formula>
    </cfRule>
    <cfRule type="expression" dxfId="17403" priority="24003">
      <formula>G217="T"</formula>
    </cfRule>
  </conditionalFormatting>
  <conditionalFormatting sqref="G218">
    <cfRule type="expression" dxfId="17402" priority="23983">
      <formula>G217="X"</formula>
    </cfRule>
    <cfRule type="expression" dxfId="17401" priority="23984">
      <formula>G217="A"</formula>
    </cfRule>
    <cfRule type="expression" dxfId="17400" priority="23985">
      <formula>G217="T"</formula>
    </cfRule>
  </conditionalFormatting>
  <conditionalFormatting sqref="G219">
    <cfRule type="expression" dxfId="17399" priority="23977">
      <formula>G219="X"</formula>
    </cfRule>
    <cfRule type="expression" dxfId="17398" priority="23978">
      <formula>G219="A"</formula>
    </cfRule>
    <cfRule type="expression" dxfId="17397" priority="23979">
      <formula>G219="T"</formula>
    </cfRule>
  </conditionalFormatting>
  <conditionalFormatting sqref="G220">
    <cfRule type="expression" dxfId="17396" priority="23959">
      <formula>G219="X"</formula>
    </cfRule>
    <cfRule type="expression" dxfId="17395" priority="23960">
      <formula>G219="A"</formula>
    </cfRule>
    <cfRule type="expression" dxfId="17394" priority="23961">
      <formula>G219="T"</formula>
    </cfRule>
  </conditionalFormatting>
  <conditionalFormatting sqref="G221">
    <cfRule type="expression" dxfId="17393" priority="23953">
      <formula>G221="X"</formula>
    </cfRule>
    <cfRule type="expression" dxfId="17392" priority="23954">
      <formula>G221="A"</formula>
    </cfRule>
    <cfRule type="expression" dxfId="17391" priority="23955">
      <formula>G221="T"</formula>
    </cfRule>
  </conditionalFormatting>
  <conditionalFormatting sqref="G222">
    <cfRule type="expression" dxfId="17390" priority="23935">
      <formula>G221="X"</formula>
    </cfRule>
    <cfRule type="expression" dxfId="17389" priority="23936">
      <formula>G221="A"</formula>
    </cfRule>
    <cfRule type="expression" dxfId="17388" priority="23937">
      <formula>G221="T"</formula>
    </cfRule>
  </conditionalFormatting>
  <conditionalFormatting sqref="G223">
    <cfRule type="expression" dxfId="17387" priority="23929">
      <formula>G223="X"</formula>
    </cfRule>
    <cfRule type="expression" dxfId="17386" priority="23930">
      <formula>G223="A"</formula>
    </cfRule>
    <cfRule type="expression" dxfId="17385" priority="23931">
      <formula>G223="T"</formula>
    </cfRule>
  </conditionalFormatting>
  <conditionalFormatting sqref="G224">
    <cfRule type="expression" dxfId="17384" priority="23911">
      <formula>G223="X"</formula>
    </cfRule>
    <cfRule type="expression" dxfId="17383" priority="23912">
      <formula>G223="A"</formula>
    </cfRule>
    <cfRule type="expression" dxfId="17382" priority="23913">
      <formula>G223="T"</formula>
    </cfRule>
  </conditionalFormatting>
  <conditionalFormatting sqref="G4">
    <cfRule type="expression" dxfId="17381" priority="23844">
      <formula>G4="X"</formula>
    </cfRule>
    <cfRule type="expression" dxfId="17380" priority="23845">
      <formula>G4="A"</formula>
    </cfRule>
    <cfRule type="expression" dxfId="17379" priority="23846">
      <formula>G4="T"</formula>
    </cfRule>
  </conditionalFormatting>
  <conditionalFormatting sqref="G5">
    <cfRule type="expression" dxfId="17378" priority="23841">
      <formula>G4="X"</formula>
    </cfRule>
    <cfRule type="expression" dxfId="17377" priority="23842">
      <formula>G4="A"</formula>
    </cfRule>
    <cfRule type="expression" dxfId="17376" priority="23843">
      <formula>G4="T"</formula>
    </cfRule>
  </conditionalFormatting>
  <conditionalFormatting sqref="G6">
    <cfRule type="expression" dxfId="17375" priority="23823">
      <formula>G6="X"</formula>
    </cfRule>
    <cfRule type="expression" dxfId="17374" priority="23824">
      <formula>G6="A"</formula>
    </cfRule>
    <cfRule type="expression" dxfId="17373" priority="23825">
      <formula>G6="T"</formula>
    </cfRule>
  </conditionalFormatting>
  <conditionalFormatting sqref="G7">
    <cfRule type="expression" dxfId="17372" priority="23805">
      <formula>G6="X"</formula>
    </cfRule>
    <cfRule type="expression" dxfId="17371" priority="23806">
      <formula>G6="A"</formula>
    </cfRule>
    <cfRule type="expression" dxfId="17370" priority="23807">
      <formula>G6="T"</formula>
    </cfRule>
  </conditionalFormatting>
  <conditionalFormatting sqref="G8">
    <cfRule type="expression" dxfId="17369" priority="23802">
      <formula>G8="X"</formula>
    </cfRule>
    <cfRule type="expression" dxfId="17368" priority="23803">
      <formula>G8="A"</formula>
    </cfRule>
    <cfRule type="expression" dxfId="17367" priority="23804">
      <formula>G8="T"</formula>
    </cfRule>
  </conditionalFormatting>
  <conditionalFormatting sqref="G9">
    <cfRule type="expression" dxfId="17366" priority="23784">
      <formula>G8="X"</formula>
    </cfRule>
    <cfRule type="expression" dxfId="17365" priority="23785">
      <formula>G8="A"</formula>
    </cfRule>
    <cfRule type="expression" dxfId="17364" priority="23786">
      <formula>G8="T"</formula>
    </cfRule>
  </conditionalFormatting>
  <conditionalFormatting sqref="G74">
    <cfRule type="expression" dxfId="17363" priority="23775">
      <formula>G74="X"</formula>
    </cfRule>
    <cfRule type="expression" dxfId="17362" priority="23776">
      <formula>G74="A"</formula>
    </cfRule>
    <cfRule type="expression" dxfId="17361" priority="23777">
      <formula>G74="T"</formula>
    </cfRule>
  </conditionalFormatting>
  <conditionalFormatting sqref="G75">
    <cfRule type="expression" dxfId="17360" priority="23772">
      <formula>G74="X"</formula>
    </cfRule>
    <cfRule type="expression" dxfId="17359" priority="23773">
      <formula>G74="A"</formula>
    </cfRule>
    <cfRule type="expression" dxfId="17358" priority="23774">
      <formula>G74="T"</formula>
    </cfRule>
  </conditionalFormatting>
  <conditionalFormatting sqref="G76">
    <cfRule type="expression" dxfId="17357" priority="23754">
      <formula>G76="X"</formula>
    </cfRule>
    <cfRule type="expression" dxfId="17356" priority="23755">
      <formula>G76="A"</formula>
    </cfRule>
    <cfRule type="expression" dxfId="17355" priority="23756">
      <formula>G76="T"</formula>
    </cfRule>
  </conditionalFormatting>
  <conditionalFormatting sqref="G77">
    <cfRule type="expression" dxfId="17354" priority="23736">
      <formula>G76="X"</formula>
    </cfRule>
    <cfRule type="expression" dxfId="17353" priority="23737">
      <formula>G76="A"</formula>
    </cfRule>
    <cfRule type="expression" dxfId="17352" priority="23738">
      <formula>G76="T"</formula>
    </cfRule>
  </conditionalFormatting>
  <conditionalFormatting sqref="G78">
    <cfRule type="expression" dxfId="17351" priority="23733">
      <formula>G78="X"</formula>
    </cfRule>
    <cfRule type="expression" dxfId="17350" priority="23734">
      <formula>G78="A"</formula>
    </cfRule>
    <cfRule type="expression" dxfId="17349" priority="23735">
      <formula>G78="T"</formula>
    </cfRule>
  </conditionalFormatting>
  <conditionalFormatting sqref="G79">
    <cfRule type="expression" dxfId="17348" priority="23715">
      <formula>G78="X"</formula>
    </cfRule>
    <cfRule type="expression" dxfId="17347" priority="23716">
      <formula>G78="A"</formula>
    </cfRule>
    <cfRule type="expression" dxfId="17346" priority="23717">
      <formula>G78="T"</formula>
    </cfRule>
  </conditionalFormatting>
  <conditionalFormatting sqref="G134">
    <cfRule type="expression" dxfId="17345" priority="23706">
      <formula>G134="X"</formula>
    </cfRule>
    <cfRule type="expression" dxfId="17344" priority="23707">
      <formula>G134="A"</formula>
    </cfRule>
    <cfRule type="expression" dxfId="17343" priority="23708">
      <formula>G134="T"</formula>
    </cfRule>
  </conditionalFormatting>
  <conditionalFormatting sqref="G135">
    <cfRule type="expression" dxfId="17342" priority="23703">
      <formula>G134="X"</formula>
    </cfRule>
    <cfRule type="expression" dxfId="17341" priority="23704">
      <formula>G134="A"</formula>
    </cfRule>
    <cfRule type="expression" dxfId="17340" priority="23705">
      <formula>G134="T"</formula>
    </cfRule>
  </conditionalFormatting>
  <conditionalFormatting sqref="G136">
    <cfRule type="expression" dxfId="17339" priority="23685">
      <formula>G136="X"</formula>
    </cfRule>
    <cfRule type="expression" dxfId="17338" priority="23686">
      <formula>G136="A"</formula>
    </cfRule>
    <cfRule type="expression" dxfId="17337" priority="23687">
      <formula>G136="T"</formula>
    </cfRule>
  </conditionalFormatting>
  <conditionalFormatting sqref="G137">
    <cfRule type="expression" dxfId="17336" priority="23667">
      <formula>G136="X"</formula>
    </cfRule>
    <cfRule type="expression" dxfId="17335" priority="23668">
      <formula>G136="A"</formula>
    </cfRule>
    <cfRule type="expression" dxfId="17334" priority="23669">
      <formula>G136="T"</formula>
    </cfRule>
  </conditionalFormatting>
  <conditionalFormatting sqref="G138">
    <cfRule type="expression" dxfId="17333" priority="23664">
      <formula>G138="X"</formula>
    </cfRule>
    <cfRule type="expression" dxfId="17332" priority="23665">
      <formula>G138="A"</formula>
    </cfRule>
    <cfRule type="expression" dxfId="17331" priority="23666">
      <formula>G138="T"</formula>
    </cfRule>
  </conditionalFormatting>
  <conditionalFormatting sqref="G139">
    <cfRule type="expression" dxfId="17330" priority="23646">
      <formula>G138="X"</formula>
    </cfRule>
    <cfRule type="expression" dxfId="17329" priority="23647">
      <formula>G138="A"</formula>
    </cfRule>
    <cfRule type="expression" dxfId="17328" priority="23648">
      <formula>G138="T"</formula>
    </cfRule>
  </conditionalFormatting>
  <conditionalFormatting sqref="AO239:AO241 G131 W239 W225:X225 W209:X209 W193:X193 W187:X187 W181:X181 W153:X153 W147:X147 W145:X145 W140:X140 W131:X132 W129:X129 W115:X115 W104:X104 W87:X87 W80:X80 W71:X72 W69 W47:X47 W38:X38 W15:X15 W10:X10 AF10 AF15 AF38 AF47 AF69 AF71:AF72 AF80 AF87 AF104 AF115 AF124 AF129 AF131:AF132 AF140 AF145 AF187 AF193 AF209 AF225 AM225:AO225 AM209:AO209 AM193:AO193 AM187:AO187 AM181:AO181 AM165:AO165 AM153:AO153 AM147:AO147 AM145:AO145 AM140:AO140 AM131:AO132 AM129:AO129 AM124:AO124 AM115:AO115 AM104:AO104 AM87:AO87 AM80:AO80 AM71:AO72 AM69:AO69 AM62:AO62 AM47:AO47 AM38:AO38 AM15:AO15 AM10:AO10 AE181:AF181 AF153 AF147 W124:X124 AE165:AG165">
    <cfRule type="expression" dxfId="17327" priority="23527" stopIfTrue="1">
      <formula>G10=1</formula>
    </cfRule>
    <cfRule type="colorScale" priority="23528">
      <colorScale>
        <cfvo type="num" val="0"/>
        <cfvo type="num" val="0.5"/>
        <cfvo type="num" val="1"/>
        <color rgb="FFF8696B"/>
        <color theme="4" tint="0.79998168889431442"/>
        <color rgb="FF5A8AC6"/>
      </colorScale>
    </cfRule>
  </conditionalFormatting>
  <conditionalFormatting sqref="G71:L71 P71">
    <cfRule type="expression" dxfId="17326" priority="23530" stopIfTrue="1">
      <formula>G71=1</formula>
    </cfRule>
    <cfRule type="colorScale" priority="23531">
      <colorScale>
        <cfvo type="num" val="0"/>
        <cfvo type="num" val="0.5"/>
        <cfvo type="num" val="1"/>
        <color rgb="FFF8696B"/>
        <color theme="4" tint="0.79998168889431442"/>
        <color rgb="FF5A8AC6"/>
      </colorScale>
    </cfRule>
  </conditionalFormatting>
  <conditionalFormatting sqref="G71:L71 X71 P71 AF71 AM71:AN71">
    <cfRule type="expression" dxfId="17325" priority="23529" stopIfTrue="1">
      <formula>G4=""</formula>
    </cfRule>
  </conditionalFormatting>
  <conditionalFormatting sqref="G131 W131:X131 AF131 AM131:AO131">
    <cfRule type="expression" dxfId="17324" priority="23526" stopIfTrue="1">
      <formula>G74=""</formula>
    </cfRule>
  </conditionalFormatting>
  <conditionalFormatting sqref="H16 H18 H20 H22 H24 H26 H28 H39 H41 H43 H45 H48 H81 H88 H90 H92 H94 H96 H98 H100 H102 H105 H107 H109 H111 H116">
    <cfRule type="expression" dxfId="17323" priority="22995">
      <formula>H16="X"</formula>
    </cfRule>
    <cfRule type="expression" dxfId="17322" priority="22996">
      <formula>H16="A"</formula>
    </cfRule>
    <cfRule type="expression" dxfId="17321" priority="22997">
      <formula>H16="T"</formula>
    </cfRule>
  </conditionalFormatting>
  <conditionalFormatting sqref="H36">
    <cfRule type="expression" dxfId="17320" priority="22992">
      <formula>H36="X"</formula>
    </cfRule>
    <cfRule type="expression" dxfId="17319" priority="22993">
      <formula>H36="A"</formula>
    </cfRule>
    <cfRule type="expression" dxfId="17318" priority="22994">
      <formula>H36="T"</formula>
    </cfRule>
  </conditionalFormatting>
  <conditionalFormatting sqref="H34">
    <cfRule type="expression" dxfId="17317" priority="22989">
      <formula>H34="X"</formula>
    </cfRule>
    <cfRule type="expression" dxfId="17316" priority="22990">
      <formula>H34="A"</formula>
    </cfRule>
    <cfRule type="expression" dxfId="17315" priority="22991">
      <formula>H34="T"</formula>
    </cfRule>
  </conditionalFormatting>
  <conditionalFormatting sqref="H32">
    <cfRule type="expression" dxfId="17314" priority="22986">
      <formula>H32="X"</formula>
    </cfRule>
    <cfRule type="expression" dxfId="17313" priority="22987">
      <formula>H32="A"</formula>
    </cfRule>
    <cfRule type="expression" dxfId="17312" priority="22988">
      <formula>H32="T"</formula>
    </cfRule>
  </conditionalFormatting>
  <conditionalFormatting sqref="H30">
    <cfRule type="expression" dxfId="17311" priority="22983">
      <formula>H30="X"</formula>
    </cfRule>
    <cfRule type="expression" dxfId="17310" priority="22984">
      <formula>H30="A"</formula>
    </cfRule>
    <cfRule type="expression" dxfId="17309" priority="22985">
      <formula>H30="T"</formula>
    </cfRule>
  </conditionalFormatting>
  <conditionalFormatting sqref="H52">
    <cfRule type="expression" dxfId="17308" priority="22980">
      <formula>H52="X"</formula>
    </cfRule>
    <cfRule type="expression" dxfId="17307" priority="22981">
      <formula>H52="A"</formula>
    </cfRule>
    <cfRule type="expression" dxfId="17306" priority="22982">
      <formula>H52="T"</formula>
    </cfRule>
  </conditionalFormatting>
  <conditionalFormatting sqref="H50">
    <cfRule type="expression" dxfId="17305" priority="22977">
      <formula>H50="X"</formula>
    </cfRule>
    <cfRule type="expression" dxfId="17304" priority="22978">
      <formula>H50="A"</formula>
    </cfRule>
    <cfRule type="expression" dxfId="17303" priority="22979">
      <formula>H50="T"</formula>
    </cfRule>
  </conditionalFormatting>
  <conditionalFormatting sqref="H54">
    <cfRule type="expression" dxfId="17302" priority="22974">
      <formula>H54="X"</formula>
    </cfRule>
    <cfRule type="expression" dxfId="17301" priority="22975">
      <formula>H54="A"</formula>
    </cfRule>
    <cfRule type="expression" dxfId="17300" priority="22976">
      <formula>H54="T"</formula>
    </cfRule>
  </conditionalFormatting>
  <conditionalFormatting sqref="H56">
    <cfRule type="expression" dxfId="17299" priority="22971">
      <formula>H56="X"</formula>
    </cfRule>
    <cfRule type="expression" dxfId="17298" priority="22972">
      <formula>H56="A"</formula>
    </cfRule>
    <cfRule type="expression" dxfId="17297" priority="22973">
      <formula>H56="T"</formula>
    </cfRule>
  </conditionalFormatting>
  <conditionalFormatting sqref="H58">
    <cfRule type="expression" dxfId="17296" priority="22968">
      <formula>H58="X"</formula>
    </cfRule>
    <cfRule type="expression" dxfId="17295" priority="22969">
      <formula>H58="A"</formula>
    </cfRule>
    <cfRule type="expression" dxfId="17294" priority="22970">
      <formula>H58="T"</formula>
    </cfRule>
  </conditionalFormatting>
  <conditionalFormatting sqref="H63">
    <cfRule type="expression" dxfId="17293" priority="22965">
      <formula>H63="X"</formula>
    </cfRule>
    <cfRule type="expression" dxfId="17292" priority="22966">
      <formula>H63="A"</formula>
    </cfRule>
    <cfRule type="expression" dxfId="17291" priority="22967">
      <formula>H63="T"</formula>
    </cfRule>
  </conditionalFormatting>
  <conditionalFormatting sqref="H65">
    <cfRule type="expression" dxfId="17290" priority="22962">
      <formula>H65="X"</formula>
    </cfRule>
    <cfRule type="expression" dxfId="17289" priority="22963">
      <formula>H65="A"</formula>
    </cfRule>
    <cfRule type="expression" dxfId="17288" priority="22964">
      <formula>H65="T"</formula>
    </cfRule>
  </conditionalFormatting>
  <conditionalFormatting sqref="H83">
    <cfRule type="expression" dxfId="17287" priority="22959">
      <formula>H83="X"</formula>
    </cfRule>
    <cfRule type="expression" dxfId="17286" priority="22960">
      <formula>H83="A"</formula>
    </cfRule>
    <cfRule type="expression" dxfId="17285" priority="22961">
      <formula>H83="T"</formula>
    </cfRule>
  </conditionalFormatting>
  <conditionalFormatting sqref="H85">
    <cfRule type="expression" dxfId="17284" priority="22956">
      <formula>H85="X"</formula>
    </cfRule>
    <cfRule type="expression" dxfId="17283" priority="22957">
      <formula>H85="A"</formula>
    </cfRule>
    <cfRule type="expression" dxfId="17282" priority="22958">
      <formula>H85="T"</formula>
    </cfRule>
  </conditionalFormatting>
  <conditionalFormatting sqref="H67">
    <cfRule type="expression" dxfId="17281" priority="22953">
      <formula>H67="X"</formula>
    </cfRule>
    <cfRule type="expression" dxfId="17280" priority="22954">
      <formula>H67="A"</formula>
    </cfRule>
    <cfRule type="expression" dxfId="17279" priority="22955">
      <formula>H67="T"</formula>
    </cfRule>
  </conditionalFormatting>
  <conditionalFormatting sqref="H113">
    <cfRule type="expression" dxfId="17278" priority="22950">
      <formula>H113="X"</formula>
    </cfRule>
    <cfRule type="expression" dxfId="17277" priority="22951">
      <formula>H113="A"</formula>
    </cfRule>
    <cfRule type="expression" dxfId="17276" priority="22952">
      <formula>H113="T"</formula>
    </cfRule>
  </conditionalFormatting>
  <conditionalFormatting sqref="H118">
    <cfRule type="expression" dxfId="17275" priority="22947">
      <formula>H118="X"</formula>
    </cfRule>
    <cfRule type="expression" dxfId="17274" priority="22948">
      <formula>H118="A"</formula>
    </cfRule>
    <cfRule type="expression" dxfId="17273" priority="22949">
      <formula>H118="T"</formula>
    </cfRule>
  </conditionalFormatting>
  <conditionalFormatting sqref="H120">
    <cfRule type="expression" dxfId="17272" priority="22944">
      <formula>H120="X"</formula>
    </cfRule>
    <cfRule type="expression" dxfId="17271" priority="22945">
      <formula>H120="A"</formula>
    </cfRule>
    <cfRule type="expression" dxfId="17270" priority="22946">
      <formula>H120="T"</formula>
    </cfRule>
  </conditionalFormatting>
  <conditionalFormatting sqref="H122">
    <cfRule type="expression" dxfId="17269" priority="22941">
      <formula>H122="X"</formula>
    </cfRule>
    <cfRule type="expression" dxfId="17268" priority="22942">
      <formula>H122="A"</formula>
    </cfRule>
    <cfRule type="expression" dxfId="17267" priority="22943">
      <formula>H122="T"</formula>
    </cfRule>
  </conditionalFormatting>
  <conditionalFormatting sqref="H125">
    <cfRule type="expression" dxfId="17266" priority="22938">
      <formula>H125="X"</formula>
    </cfRule>
    <cfRule type="expression" dxfId="17265" priority="22939">
      <formula>H125="A"</formula>
    </cfRule>
    <cfRule type="expression" dxfId="17264" priority="22940">
      <formula>H125="T"</formula>
    </cfRule>
  </conditionalFormatting>
  <conditionalFormatting sqref="H127">
    <cfRule type="expression" dxfId="17263" priority="22935">
      <formula>H127="X"</formula>
    </cfRule>
    <cfRule type="expression" dxfId="17262" priority="22936">
      <formula>H127="A"</formula>
    </cfRule>
    <cfRule type="expression" dxfId="17261" priority="22937">
      <formula>H127="T"</formula>
    </cfRule>
  </conditionalFormatting>
  <conditionalFormatting sqref="H141">
    <cfRule type="expression" dxfId="17260" priority="22932">
      <formula>H141="X"</formula>
    </cfRule>
    <cfRule type="expression" dxfId="17259" priority="22933">
      <formula>H141="A"</formula>
    </cfRule>
    <cfRule type="expression" dxfId="17258" priority="22934">
      <formula>H141="T"</formula>
    </cfRule>
  </conditionalFormatting>
  <conditionalFormatting sqref="H143">
    <cfRule type="expression" dxfId="17257" priority="22929">
      <formula>H143="X"</formula>
    </cfRule>
    <cfRule type="expression" dxfId="17256" priority="22930">
      <formula>H143="A"</formula>
    </cfRule>
    <cfRule type="expression" dxfId="17255" priority="22931">
      <formula>H143="T"</formula>
    </cfRule>
  </conditionalFormatting>
  <conditionalFormatting sqref="H149">
    <cfRule type="expression" dxfId="17254" priority="22926">
      <formula>H149="X"</formula>
    </cfRule>
    <cfRule type="expression" dxfId="17253" priority="22927">
      <formula>H149="A"</formula>
    </cfRule>
    <cfRule type="expression" dxfId="17252" priority="22928">
      <formula>H149="T"</formula>
    </cfRule>
  </conditionalFormatting>
  <conditionalFormatting sqref="H151">
    <cfRule type="expression" dxfId="17251" priority="22923">
      <formula>H151="X"</formula>
    </cfRule>
    <cfRule type="expression" dxfId="17250" priority="22924">
      <formula>H151="A"</formula>
    </cfRule>
    <cfRule type="expression" dxfId="17249" priority="22925">
      <formula>H151="T"</formula>
    </cfRule>
  </conditionalFormatting>
  <conditionalFormatting sqref="H155">
    <cfRule type="expression" dxfId="17248" priority="22920">
      <formula>H155="X"</formula>
    </cfRule>
    <cfRule type="expression" dxfId="17247" priority="22921">
      <formula>H155="A"</formula>
    </cfRule>
    <cfRule type="expression" dxfId="17246" priority="22922">
      <formula>H155="T"</formula>
    </cfRule>
  </conditionalFormatting>
  <conditionalFormatting sqref="H157">
    <cfRule type="expression" dxfId="17245" priority="22917">
      <formula>H157="X"</formula>
    </cfRule>
    <cfRule type="expression" dxfId="17244" priority="22918">
      <formula>H157="A"</formula>
    </cfRule>
    <cfRule type="expression" dxfId="17243" priority="22919">
      <formula>H157="T"</formula>
    </cfRule>
  </conditionalFormatting>
  <conditionalFormatting sqref="H167">
    <cfRule type="expression" dxfId="17242" priority="22914">
      <formula>H167="X"</formula>
    </cfRule>
    <cfRule type="expression" dxfId="17241" priority="22915">
      <formula>H167="A"</formula>
    </cfRule>
    <cfRule type="expression" dxfId="17240" priority="22916">
      <formula>H167="T"</formula>
    </cfRule>
  </conditionalFormatting>
  <conditionalFormatting sqref="H173">
    <cfRule type="expression" dxfId="17239" priority="22911">
      <formula>H173="X"</formula>
    </cfRule>
    <cfRule type="expression" dxfId="17238" priority="22912">
      <formula>H173="A"</formula>
    </cfRule>
    <cfRule type="expression" dxfId="17237" priority="22913">
      <formula>H173="T"</formula>
    </cfRule>
  </conditionalFormatting>
  <conditionalFormatting sqref="H175">
    <cfRule type="expression" dxfId="17236" priority="22908">
      <formula>H175="X"</formula>
    </cfRule>
    <cfRule type="expression" dxfId="17235" priority="22909">
      <formula>H175="A"</formula>
    </cfRule>
    <cfRule type="expression" dxfId="17234" priority="22910">
      <formula>H175="T"</formula>
    </cfRule>
  </conditionalFormatting>
  <conditionalFormatting sqref="H177">
    <cfRule type="expression" dxfId="17233" priority="22905">
      <formula>H177="X"</formula>
    </cfRule>
    <cfRule type="expression" dxfId="17232" priority="22906">
      <formula>H177="A"</formula>
    </cfRule>
    <cfRule type="expression" dxfId="17231" priority="22907">
      <formula>H177="T"</formula>
    </cfRule>
  </conditionalFormatting>
  <conditionalFormatting sqref="H179">
    <cfRule type="expression" dxfId="17230" priority="22902">
      <formula>H179="X"</formula>
    </cfRule>
    <cfRule type="expression" dxfId="17229" priority="22903">
      <formula>H179="A"</formula>
    </cfRule>
    <cfRule type="expression" dxfId="17228" priority="22904">
      <formula>H179="T"</formula>
    </cfRule>
  </conditionalFormatting>
  <conditionalFormatting sqref="H169">
    <cfRule type="expression" dxfId="17227" priority="22899">
      <formula>H169="X"</formula>
    </cfRule>
    <cfRule type="expression" dxfId="17226" priority="22900">
      <formula>H169="A"</formula>
    </cfRule>
    <cfRule type="expression" dxfId="17225" priority="22901">
      <formula>H169="T"</formula>
    </cfRule>
  </conditionalFormatting>
  <conditionalFormatting sqref="H171">
    <cfRule type="expression" dxfId="17224" priority="22896">
      <formula>H171="X"</formula>
    </cfRule>
    <cfRule type="expression" dxfId="17223" priority="22897">
      <formula>H171="A"</formula>
    </cfRule>
    <cfRule type="expression" dxfId="17222" priority="22898">
      <formula>H171="T"</formula>
    </cfRule>
  </conditionalFormatting>
  <conditionalFormatting sqref="H183">
    <cfRule type="expression" dxfId="17221" priority="22893">
      <formula>H183="X"</formula>
    </cfRule>
    <cfRule type="expression" dxfId="17220" priority="22894">
      <formula>H183="A"</formula>
    </cfRule>
    <cfRule type="expression" dxfId="17219" priority="22895">
      <formula>H183="T"</formula>
    </cfRule>
  </conditionalFormatting>
  <conditionalFormatting sqref="H185">
    <cfRule type="expression" dxfId="17218" priority="22890">
      <formula>H185="X"</formula>
    </cfRule>
    <cfRule type="expression" dxfId="17217" priority="22891">
      <formula>H185="A"</formula>
    </cfRule>
    <cfRule type="expression" dxfId="17216" priority="22892">
      <formula>H185="T"</formula>
    </cfRule>
  </conditionalFormatting>
  <conditionalFormatting sqref="H189">
    <cfRule type="expression" dxfId="17215" priority="22887">
      <formula>H189="X"</formula>
    </cfRule>
    <cfRule type="expression" dxfId="17214" priority="22888">
      <formula>H189="A"</formula>
    </cfRule>
    <cfRule type="expression" dxfId="17213" priority="22889">
      <formula>H189="T"</formula>
    </cfRule>
  </conditionalFormatting>
  <conditionalFormatting sqref="H191">
    <cfRule type="expression" dxfId="17212" priority="22884">
      <formula>H191="X"</formula>
    </cfRule>
    <cfRule type="expression" dxfId="17211" priority="22885">
      <formula>H191="A"</formula>
    </cfRule>
    <cfRule type="expression" dxfId="17210" priority="22886">
      <formula>H191="T"</formula>
    </cfRule>
  </conditionalFormatting>
  <conditionalFormatting sqref="H11">
    <cfRule type="expression" dxfId="17209" priority="22869">
      <formula>H11="X"</formula>
    </cfRule>
    <cfRule type="expression" dxfId="17208" priority="22870">
      <formula>H11="A"</formula>
    </cfRule>
    <cfRule type="expression" dxfId="17207" priority="22871">
      <formula>H11="T"</formula>
    </cfRule>
  </conditionalFormatting>
  <conditionalFormatting sqref="H12">
    <cfRule type="expression" dxfId="17206" priority="22866">
      <formula>H11="X"</formula>
    </cfRule>
    <cfRule type="expression" dxfId="17205" priority="22867">
      <formula>H11="A"</formula>
    </cfRule>
    <cfRule type="expression" dxfId="17204" priority="22868">
      <formula>H11="T"</formula>
    </cfRule>
  </conditionalFormatting>
  <conditionalFormatting sqref="H13">
    <cfRule type="expression" dxfId="17203" priority="22863">
      <formula>H13="X"</formula>
    </cfRule>
    <cfRule type="expression" dxfId="17202" priority="22864">
      <formula>H13="A"</formula>
    </cfRule>
    <cfRule type="expression" dxfId="17201" priority="22865">
      <formula>H13="T"</formula>
    </cfRule>
  </conditionalFormatting>
  <conditionalFormatting sqref="H14">
    <cfRule type="expression" dxfId="17200" priority="22860">
      <formula>H13="X"</formula>
    </cfRule>
    <cfRule type="expression" dxfId="17199" priority="22861">
      <formula>H13="A"</formula>
    </cfRule>
    <cfRule type="expression" dxfId="17198" priority="22862">
      <formula>H13="T"</formula>
    </cfRule>
  </conditionalFormatting>
  <conditionalFormatting sqref="H17">
    <cfRule type="expression" dxfId="17197" priority="22857">
      <formula>H16="X"</formula>
    </cfRule>
    <cfRule type="expression" dxfId="17196" priority="22858">
      <formula>H16="A"</formula>
    </cfRule>
    <cfRule type="expression" dxfId="17195" priority="22859">
      <formula>H16="T"</formula>
    </cfRule>
  </conditionalFormatting>
  <conditionalFormatting sqref="H19">
    <cfRule type="expression" dxfId="17194" priority="22851">
      <formula>H18="X"</formula>
    </cfRule>
    <cfRule type="expression" dxfId="17193" priority="22852">
      <formula>H18="A"</formula>
    </cfRule>
    <cfRule type="expression" dxfId="17192" priority="22853">
      <formula>H18="T"</formula>
    </cfRule>
  </conditionalFormatting>
  <conditionalFormatting sqref="H21">
    <cfRule type="expression" dxfId="17191" priority="22848">
      <formula>H20="X"</formula>
    </cfRule>
    <cfRule type="expression" dxfId="17190" priority="22849">
      <formula>H20="A"</formula>
    </cfRule>
    <cfRule type="expression" dxfId="17189" priority="22850">
      <formula>H20="T"</formula>
    </cfRule>
  </conditionalFormatting>
  <conditionalFormatting sqref="H23">
    <cfRule type="expression" dxfId="17188" priority="22845">
      <formula>H22="X"</formula>
    </cfRule>
    <cfRule type="expression" dxfId="17187" priority="22846">
      <formula>H22="A"</formula>
    </cfRule>
    <cfRule type="expression" dxfId="17186" priority="22847">
      <formula>H22="T"</formula>
    </cfRule>
  </conditionalFormatting>
  <conditionalFormatting sqref="H25">
    <cfRule type="expression" dxfId="17185" priority="22842">
      <formula>H24="X"</formula>
    </cfRule>
    <cfRule type="expression" dxfId="17184" priority="22843">
      <formula>H24="A"</formula>
    </cfRule>
    <cfRule type="expression" dxfId="17183" priority="22844">
      <formula>H24="T"</formula>
    </cfRule>
  </conditionalFormatting>
  <conditionalFormatting sqref="H27">
    <cfRule type="expression" dxfId="17182" priority="22839">
      <formula>H26="X"</formula>
    </cfRule>
    <cfRule type="expression" dxfId="17181" priority="22840">
      <formula>H26="A"</formula>
    </cfRule>
    <cfRule type="expression" dxfId="17180" priority="22841">
      <formula>H26="T"</formula>
    </cfRule>
  </conditionalFormatting>
  <conditionalFormatting sqref="H29">
    <cfRule type="expression" dxfId="17179" priority="22836">
      <formula>H28="X"</formula>
    </cfRule>
    <cfRule type="expression" dxfId="17178" priority="22837">
      <formula>H28="A"</formula>
    </cfRule>
    <cfRule type="expression" dxfId="17177" priority="22838">
      <formula>H28="T"</formula>
    </cfRule>
  </conditionalFormatting>
  <conditionalFormatting sqref="H31">
    <cfRule type="expression" dxfId="17176" priority="22833">
      <formula>H30="X"</formula>
    </cfRule>
    <cfRule type="expression" dxfId="17175" priority="22834">
      <formula>H30="A"</formula>
    </cfRule>
    <cfRule type="expression" dxfId="17174" priority="22835">
      <formula>H30="T"</formula>
    </cfRule>
  </conditionalFormatting>
  <conditionalFormatting sqref="H33">
    <cfRule type="expression" dxfId="17173" priority="22830">
      <formula>H32="X"</formula>
    </cfRule>
    <cfRule type="expression" dxfId="17172" priority="22831">
      <formula>H32="A"</formula>
    </cfRule>
    <cfRule type="expression" dxfId="17171" priority="22832">
      <formula>H32="T"</formula>
    </cfRule>
  </conditionalFormatting>
  <conditionalFormatting sqref="H35">
    <cfRule type="expression" dxfId="17170" priority="22827">
      <formula>H34="X"</formula>
    </cfRule>
    <cfRule type="expression" dxfId="17169" priority="22828">
      <formula>H34="A"</formula>
    </cfRule>
    <cfRule type="expression" dxfId="17168" priority="22829">
      <formula>H34="T"</formula>
    </cfRule>
  </conditionalFormatting>
  <conditionalFormatting sqref="H37">
    <cfRule type="expression" dxfId="17167" priority="22824">
      <formula>H36="X"</formula>
    </cfRule>
    <cfRule type="expression" dxfId="17166" priority="22825">
      <formula>H36="A"</formula>
    </cfRule>
    <cfRule type="expression" dxfId="17165" priority="22826">
      <formula>H36="T"</formula>
    </cfRule>
  </conditionalFormatting>
  <conditionalFormatting sqref="H40">
    <cfRule type="expression" dxfId="17164" priority="22821">
      <formula>H39="X"</formula>
    </cfRule>
    <cfRule type="expression" dxfId="17163" priority="22822">
      <formula>H39="A"</formula>
    </cfRule>
    <cfRule type="expression" dxfId="17162" priority="22823">
      <formula>H39="T"</formula>
    </cfRule>
  </conditionalFormatting>
  <conditionalFormatting sqref="H42">
    <cfRule type="expression" dxfId="17161" priority="22818">
      <formula>H41="X"</formula>
    </cfRule>
    <cfRule type="expression" dxfId="17160" priority="22819">
      <formula>H41="A"</formula>
    </cfRule>
    <cfRule type="expression" dxfId="17159" priority="22820">
      <formula>H41="T"</formula>
    </cfRule>
  </conditionalFormatting>
  <conditionalFormatting sqref="H44">
    <cfRule type="expression" dxfId="17158" priority="22815">
      <formula>H43="X"</formula>
    </cfRule>
    <cfRule type="expression" dxfId="17157" priority="22816">
      <formula>H43="A"</formula>
    </cfRule>
    <cfRule type="expression" dxfId="17156" priority="22817">
      <formula>H43="T"</formula>
    </cfRule>
  </conditionalFormatting>
  <conditionalFormatting sqref="H46">
    <cfRule type="expression" dxfId="17155" priority="22812">
      <formula>H45="X"</formula>
    </cfRule>
    <cfRule type="expression" dxfId="17154" priority="22813">
      <formula>H45="A"</formula>
    </cfRule>
    <cfRule type="expression" dxfId="17153" priority="22814">
      <formula>H45="T"</formula>
    </cfRule>
  </conditionalFormatting>
  <conditionalFormatting sqref="H49">
    <cfRule type="expression" dxfId="17152" priority="22809">
      <formula>H48="X"</formula>
    </cfRule>
    <cfRule type="expression" dxfId="17151" priority="22810">
      <formula>H48="A"</formula>
    </cfRule>
    <cfRule type="expression" dxfId="17150" priority="22811">
      <formula>H48="T"</formula>
    </cfRule>
  </conditionalFormatting>
  <conditionalFormatting sqref="H51">
    <cfRule type="expression" dxfId="17149" priority="22806">
      <formula>H50="X"</formula>
    </cfRule>
    <cfRule type="expression" dxfId="17148" priority="22807">
      <formula>H50="A"</formula>
    </cfRule>
    <cfRule type="expression" dxfId="17147" priority="22808">
      <formula>H50="T"</formula>
    </cfRule>
  </conditionalFormatting>
  <conditionalFormatting sqref="H53">
    <cfRule type="expression" dxfId="17146" priority="22803">
      <formula>H52="X"</formula>
    </cfRule>
    <cfRule type="expression" dxfId="17145" priority="22804">
      <formula>H52="A"</formula>
    </cfRule>
    <cfRule type="expression" dxfId="17144" priority="22805">
      <formula>H52="T"</formula>
    </cfRule>
  </conditionalFormatting>
  <conditionalFormatting sqref="H55">
    <cfRule type="expression" dxfId="17143" priority="22800">
      <formula>H54="X"</formula>
    </cfRule>
    <cfRule type="expression" dxfId="17142" priority="22801">
      <formula>H54="A"</formula>
    </cfRule>
    <cfRule type="expression" dxfId="17141" priority="22802">
      <formula>H54="T"</formula>
    </cfRule>
  </conditionalFormatting>
  <conditionalFormatting sqref="H57">
    <cfRule type="expression" dxfId="17140" priority="22797">
      <formula>H56="X"</formula>
    </cfRule>
    <cfRule type="expression" dxfId="17139" priority="22798">
      <formula>H56="A"</formula>
    </cfRule>
    <cfRule type="expression" dxfId="17138" priority="22799">
      <formula>H56="T"</formula>
    </cfRule>
  </conditionalFormatting>
  <conditionalFormatting sqref="H59">
    <cfRule type="expression" dxfId="17137" priority="22794">
      <formula>H58="X"</formula>
    </cfRule>
    <cfRule type="expression" dxfId="17136" priority="22795">
      <formula>H58="A"</formula>
    </cfRule>
    <cfRule type="expression" dxfId="17135" priority="22796">
      <formula>H58="T"</formula>
    </cfRule>
  </conditionalFormatting>
  <conditionalFormatting sqref="H64">
    <cfRule type="expression" dxfId="17134" priority="22791">
      <formula>H63="X"</formula>
    </cfRule>
    <cfRule type="expression" dxfId="17133" priority="22792">
      <formula>H63="A"</formula>
    </cfRule>
    <cfRule type="expression" dxfId="17132" priority="22793">
      <formula>H63="T"</formula>
    </cfRule>
  </conditionalFormatting>
  <conditionalFormatting sqref="H66">
    <cfRule type="expression" dxfId="17131" priority="22788">
      <formula>H65="X"</formula>
    </cfRule>
    <cfRule type="expression" dxfId="17130" priority="22789">
      <formula>H65="A"</formula>
    </cfRule>
    <cfRule type="expression" dxfId="17129" priority="22790">
      <formula>H65="T"</formula>
    </cfRule>
  </conditionalFormatting>
  <conditionalFormatting sqref="H68">
    <cfRule type="expression" dxfId="17128" priority="22785">
      <formula>H67="X"</formula>
    </cfRule>
    <cfRule type="expression" dxfId="17127" priority="22786">
      <formula>H67="A"</formula>
    </cfRule>
    <cfRule type="expression" dxfId="17126" priority="22787">
      <formula>H67="T"</formula>
    </cfRule>
  </conditionalFormatting>
  <conditionalFormatting sqref="H82">
    <cfRule type="expression" dxfId="17125" priority="22782">
      <formula>H81="X"</formula>
    </cfRule>
    <cfRule type="expression" dxfId="17124" priority="22783">
      <formula>H81="A"</formula>
    </cfRule>
    <cfRule type="expression" dxfId="17123" priority="22784">
      <formula>H81="T"</formula>
    </cfRule>
  </conditionalFormatting>
  <conditionalFormatting sqref="H84">
    <cfRule type="expression" dxfId="17122" priority="22779">
      <formula>H83="X"</formula>
    </cfRule>
    <cfRule type="expression" dxfId="17121" priority="22780">
      <formula>H83="A"</formula>
    </cfRule>
    <cfRule type="expression" dxfId="17120" priority="22781">
      <formula>H83="T"</formula>
    </cfRule>
  </conditionalFormatting>
  <conditionalFormatting sqref="H86">
    <cfRule type="expression" dxfId="17119" priority="22776">
      <formula>H85="X"</formula>
    </cfRule>
    <cfRule type="expression" dxfId="17118" priority="22777">
      <formula>H85="A"</formula>
    </cfRule>
    <cfRule type="expression" dxfId="17117" priority="22778">
      <formula>H85="T"</formula>
    </cfRule>
  </conditionalFormatting>
  <conditionalFormatting sqref="H89">
    <cfRule type="expression" dxfId="17116" priority="22773">
      <formula>H88="X"</formula>
    </cfRule>
    <cfRule type="expression" dxfId="17115" priority="22774">
      <formula>H88="A"</formula>
    </cfRule>
    <cfRule type="expression" dxfId="17114" priority="22775">
      <formula>H88="T"</formula>
    </cfRule>
  </conditionalFormatting>
  <conditionalFormatting sqref="H91">
    <cfRule type="expression" dxfId="17113" priority="22770">
      <formula>H90="X"</formula>
    </cfRule>
    <cfRule type="expression" dxfId="17112" priority="22771">
      <formula>H90="A"</formula>
    </cfRule>
    <cfRule type="expression" dxfId="17111" priority="22772">
      <formula>H90="T"</formula>
    </cfRule>
  </conditionalFormatting>
  <conditionalFormatting sqref="H93">
    <cfRule type="expression" dxfId="17110" priority="22767">
      <formula>H92="X"</formula>
    </cfRule>
    <cfRule type="expression" dxfId="17109" priority="22768">
      <formula>H92="A"</formula>
    </cfRule>
    <cfRule type="expression" dxfId="17108" priority="22769">
      <formula>H92="T"</formula>
    </cfRule>
  </conditionalFormatting>
  <conditionalFormatting sqref="H95">
    <cfRule type="expression" dxfId="17107" priority="22764">
      <formula>H94="X"</formula>
    </cfRule>
    <cfRule type="expression" dxfId="17106" priority="22765">
      <formula>H94="A"</formula>
    </cfRule>
    <cfRule type="expression" dxfId="17105" priority="22766">
      <formula>H94="T"</formula>
    </cfRule>
  </conditionalFormatting>
  <conditionalFormatting sqref="H97">
    <cfRule type="expression" dxfId="17104" priority="22761">
      <formula>H96="X"</formula>
    </cfRule>
    <cfRule type="expression" dxfId="17103" priority="22762">
      <formula>H96="A"</formula>
    </cfRule>
    <cfRule type="expression" dxfId="17102" priority="22763">
      <formula>H96="T"</formula>
    </cfRule>
  </conditionalFormatting>
  <conditionalFormatting sqref="H99">
    <cfRule type="expression" dxfId="17101" priority="22758">
      <formula>H98="X"</formula>
    </cfRule>
    <cfRule type="expression" dxfId="17100" priority="22759">
      <formula>H98="A"</formula>
    </cfRule>
    <cfRule type="expression" dxfId="17099" priority="22760">
      <formula>H98="T"</formula>
    </cfRule>
  </conditionalFormatting>
  <conditionalFormatting sqref="H101">
    <cfRule type="expression" dxfId="17098" priority="22755">
      <formula>H100="X"</formula>
    </cfRule>
    <cfRule type="expression" dxfId="17097" priority="22756">
      <formula>H100="A"</formula>
    </cfRule>
    <cfRule type="expression" dxfId="17096" priority="22757">
      <formula>H100="T"</formula>
    </cfRule>
  </conditionalFormatting>
  <conditionalFormatting sqref="H103">
    <cfRule type="expression" dxfId="17095" priority="22752">
      <formula>H102="X"</formula>
    </cfRule>
    <cfRule type="expression" dxfId="17094" priority="22753">
      <formula>H102="A"</formula>
    </cfRule>
    <cfRule type="expression" dxfId="17093" priority="22754">
      <formula>H102="T"</formula>
    </cfRule>
  </conditionalFormatting>
  <conditionalFormatting sqref="H106">
    <cfRule type="expression" dxfId="17092" priority="22749">
      <formula>H105="X"</formula>
    </cfRule>
    <cfRule type="expression" dxfId="17091" priority="22750">
      <formula>H105="A"</formula>
    </cfRule>
    <cfRule type="expression" dxfId="17090" priority="22751">
      <formula>H105="T"</formula>
    </cfRule>
  </conditionalFormatting>
  <conditionalFormatting sqref="H108">
    <cfRule type="expression" dxfId="17089" priority="22746">
      <formula>H107="X"</formula>
    </cfRule>
    <cfRule type="expression" dxfId="17088" priority="22747">
      <formula>H107="A"</formula>
    </cfRule>
    <cfRule type="expression" dxfId="17087" priority="22748">
      <formula>H107="T"</formula>
    </cfRule>
  </conditionalFormatting>
  <conditionalFormatting sqref="H110">
    <cfRule type="expression" dxfId="17086" priority="22743">
      <formula>H109="X"</formula>
    </cfRule>
    <cfRule type="expression" dxfId="17085" priority="22744">
      <formula>H109="A"</formula>
    </cfRule>
    <cfRule type="expression" dxfId="17084" priority="22745">
      <formula>H109="T"</formula>
    </cfRule>
  </conditionalFormatting>
  <conditionalFormatting sqref="H112">
    <cfRule type="expression" dxfId="17083" priority="22740">
      <formula>H111="X"</formula>
    </cfRule>
    <cfRule type="expression" dxfId="17082" priority="22741">
      <formula>H111="A"</formula>
    </cfRule>
    <cfRule type="expression" dxfId="17081" priority="22742">
      <formula>H111="T"</formula>
    </cfRule>
  </conditionalFormatting>
  <conditionalFormatting sqref="H114">
    <cfRule type="expression" dxfId="17080" priority="22737">
      <formula>H113="X"</formula>
    </cfRule>
    <cfRule type="expression" dxfId="17079" priority="22738">
      <formula>H113="A"</formula>
    </cfRule>
    <cfRule type="expression" dxfId="17078" priority="22739">
      <formula>H113="T"</formula>
    </cfRule>
  </conditionalFormatting>
  <conditionalFormatting sqref="H117">
    <cfRule type="expression" dxfId="17077" priority="22734">
      <formula>H116="X"</formula>
    </cfRule>
    <cfRule type="expression" dxfId="17076" priority="22735">
      <formula>H116="A"</formula>
    </cfRule>
    <cfRule type="expression" dxfId="17075" priority="22736">
      <formula>H116="T"</formula>
    </cfRule>
  </conditionalFormatting>
  <conditionalFormatting sqref="H119">
    <cfRule type="expression" dxfId="17074" priority="22731">
      <formula>H118="X"</formula>
    </cfRule>
    <cfRule type="expression" dxfId="17073" priority="22732">
      <formula>H118="A"</formula>
    </cfRule>
    <cfRule type="expression" dxfId="17072" priority="22733">
      <formula>H118="T"</formula>
    </cfRule>
  </conditionalFormatting>
  <conditionalFormatting sqref="H121">
    <cfRule type="expression" dxfId="17071" priority="22728">
      <formula>H120="X"</formula>
    </cfRule>
    <cfRule type="expression" dxfId="17070" priority="22729">
      <formula>H120="A"</formula>
    </cfRule>
    <cfRule type="expression" dxfId="17069" priority="22730">
      <formula>H120="T"</formula>
    </cfRule>
  </conditionalFormatting>
  <conditionalFormatting sqref="H123">
    <cfRule type="expression" dxfId="17068" priority="22725">
      <formula>H122="X"</formula>
    </cfRule>
    <cfRule type="expression" dxfId="17067" priority="22726">
      <formula>H122="A"</formula>
    </cfRule>
    <cfRule type="expression" dxfId="17066" priority="22727">
      <formula>H122="T"</formula>
    </cfRule>
  </conditionalFormatting>
  <conditionalFormatting sqref="H126">
    <cfRule type="expression" dxfId="17065" priority="22722">
      <formula>H125="X"</formula>
    </cfRule>
    <cfRule type="expression" dxfId="17064" priority="22723">
      <formula>H125="A"</formula>
    </cfRule>
    <cfRule type="expression" dxfId="17063" priority="22724">
      <formula>H125="T"</formula>
    </cfRule>
  </conditionalFormatting>
  <conditionalFormatting sqref="H128">
    <cfRule type="expression" dxfId="17062" priority="22719">
      <formula>H127="X"</formula>
    </cfRule>
    <cfRule type="expression" dxfId="17061" priority="22720">
      <formula>H127="A"</formula>
    </cfRule>
    <cfRule type="expression" dxfId="17060" priority="22721">
      <formula>H127="T"</formula>
    </cfRule>
  </conditionalFormatting>
  <conditionalFormatting sqref="H142">
    <cfRule type="expression" dxfId="17059" priority="22716">
      <formula>H141="X"</formula>
    </cfRule>
    <cfRule type="expression" dxfId="17058" priority="22717">
      <formula>H141="A"</formula>
    </cfRule>
    <cfRule type="expression" dxfId="17057" priority="22718">
      <formula>H141="T"</formula>
    </cfRule>
  </conditionalFormatting>
  <conditionalFormatting sqref="H144">
    <cfRule type="expression" dxfId="17056" priority="22713">
      <formula>H143="X"</formula>
    </cfRule>
    <cfRule type="expression" dxfId="17055" priority="22714">
      <formula>H143="A"</formula>
    </cfRule>
    <cfRule type="expression" dxfId="17054" priority="22715">
      <formula>H143="T"</formula>
    </cfRule>
  </conditionalFormatting>
  <conditionalFormatting sqref="H150">
    <cfRule type="expression" dxfId="17053" priority="22710">
      <formula>H149="X"</formula>
    </cfRule>
    <cfRule type="expression" dxfId="17052" priority="22711">
      <formula>H149="A"</formula>
    </cfRule>
    <cfRule type="expression" dxfId="17051" priority="22712">
      <formula>H149="T"</formula>
    </cfRule>
  </conditionalFormatting>
  <conditionalFormatting sqref="H152">
    <cfRule type="expression" dxfId="17050" priority="22707">
      <formula>H151="X"</formula>
    </cfRule>
    <cfRule type="expression" dxfId="17049" priority="22708">
      <formula>H151="A"</formula>
    </cfRule>
    <cfRule type="expression" dxfId="17048" priority="22709">
      <formula>H151="T"</formula>
    </cfRule>
  </conditionalFormatting>
  <conditionalFormatting sqref="H156">
    <cfRule type="expression" dxfId="17047" priority="22704">
      <formula>H155="X"</formula>
    </cfRule>
    <cfRule type="expression" dxfId="17046" priority="22705">
      <formula>H155="A"</formula>
    </cfRule>
    <cfRule type="expression" dxfId="17045" priority="22706">
      <formula>H155="T"</formula>
    </cfRule>
  </conditionalFormatting>
  <conditionalFormatting sqref="H168">
    <cfRule type="expression" dxfId="17044" priority="22698">
      <formula>H167="X"</formula>
    </cfRule>
    <cfRule type="expression" dxfId="17043" priority="22699">
      <formula>H167="A"</formula>
    </cfRule>
    <cfRule type="expression" dxfId="17042" priority="22700">
      <formula>H167="T"</formula>
    </cfRule>
  </conditionalFormatting>
  <conditionalFormatting sqref="H170">
    <cfRule type="expression" dxfId="17041" priority="22695">
      <formula>H169="X"</formula>
    </cfRule>
    <cfRule type="expression" dxfId="17040" priority="22696">
      <formula>H169="A"</formula>
    </cfRule>
    <cfRule type="expression" dxfId="17039" priority="22697">
      <formula>H169="T"</formula>
    </cfRule>
  </conditionalFormatting>
  <conditionalFormatting sqref="H172">
    <cfRule type="expression" dxfId="17038" priority="22692">
      <formula>H171="X"</formula>
    </cfRule>
    <cfRule type="expression" dxfId="17037" priority="22693">
      <formula>H171="A"</formula>
    </cfRule>
    <cfRule type="expression" dxfId="17036" priority="22694">
      <formula>H171="T"</formula>
    </cfRule>
  </conditionalFormatting>
  <conditionalFormatting sqref="H174">
    <cfRule type="expression" dxfId="17035" priority="22689">
      <formula>H173="X"</formula>
    </cfRule>
    <cfRule type="expression" dxfId="17034" priority="22690">
      <formula>H173="A"</formula>
    </cfRule>
    <cfRule type="expression" dxfId="17033" priority="22691">
      <formula>H173="T"</formula>
    </cfRule>
  </conditionalFormatting>
  <conditionalFormatting sqref="H176">
    <cfRule type="expression" dxfId="17032" priority="22686">
      <formula>H175="X"</formula>
    </cfRule>
    <cfRule type="expression" dxfId="17031" priority="22687">
      <formula>H175="A"</formula>
    </cfRule>
    <cfRule type="expression" dxfId="17030" priority="22688">
      <formula>H175="T"</formula>
    </cfRule>
  </conditionalFormatting>
  <conditionalFormatting sqref="H178">
    <cfRule type="expression" dxfId="17029" priority="22683">
      <formula>H177="X"</formula>
    </cfRule>
    <cfRule type="expression" dxfId="17028" priority="22684">
      <formula>H177="A"</formula>
    </cfRule>
    <cfRule type="expression" dxfId="17027" priority="22685">
      <formula>H177="T"</formula>
    </cfRule>
  </conditionalFormatting>
  <conditionalFormatting sqref="H180">
    <cfRule type="expression" dxfId="17026" priority="22680">
      <formula>H179="X"</formula>
    </cfRule>
    <cfRule type="expression" dxfId="17025" priority="22681">
      <formula>H179="A"</formula>
    </cfRule>
    <cfRule type="expression" dxfId="17024" priority="22682">
      <formula>H179="T"</formula>
    </cfRule>
  </conditionalFormatting>
  <conditionalFormatting sqref="H184">
    <cfRule type="expression" dxfId="17023" priority="22677">
      <formula>H183="X"</formula>
    </cfRule>
    <cfRule type="expression" dxfId="17022" priority="22678">
      <formula>H183="A"</formula>
    </cfRule>
    <cfRule type="expression" dxfId="17021" priority="22679">
      <formula>H183="T"</formula>
    </cfRule>
  </conditionalFormatting>
  <conditionalFormatting sqref="H186">
    <cfRule type="expression" dxfId="17020" priority="22674">
      <formula>H185="X"</formula>
    </cfRule>
    <cfRule type="expression" dxfId="17019" priority="22675">
      <formula>H185="A"</formula>
    </cfRule>
    <cfRule type="expression" dxfId="17018" priority="22676">
      <formula>H185="T"</formula>
    </cfRule>
  </conditionalFormatting>
  <conditionalFormatting sqref="H190">
    <cfRule type="expression" dxfId="17017" priority="22671">
      <formula>H189="X"</formula>
    </cfRule>
    <cfRule type="expression" dxfId="17016" priority="22672">
      <formula>H189="A"</formula>
    </cfRule>
    <cfRule type="expression" dxfId="17015" priority="22673">
      <formula>H189="T"</formula>
    </cfRule>
  </conditionalFormatting>
  <conditionalFormatting sqref="H192">
    <cfRule type="expression" dxfId="17014" priority="22668">
      <formula>H191="X"</formula>
    </cfRule>
    <cfRule type="expression" dxfId="17013" priority="22669">
      <formula>H191="A"</formula>
    </cfRule>
    <cfRule type="expression" dxfId="17012" priority="22670">
      <formula>H191="T"</formula>
    </cfRule>
  </conditionalFormatting>
  <conditionalFormatting sqref="H208">
    <cfRule type="expression" dxfId="17011" priority="22659">
      <formula>H207="X"</formula>
    </cfRule>
    <cfRule type="expression" dxfId="17010" priority="22660">
      <formula>H207="A"</formula>
    </cfRule>
    <cfRule type="expression" dxfId="17009" priority="22661">
      <formula>H207="T"</formula>
    </cfRule>
  </conditionalFormatting>
  <conditionalFormatting sqref="H211">
    <cfRule type="expression" dxfId="17008" priority="22653">
      <formula>H211="X"</formula>
    </cfRule>
    <cfRule type="expression" dxfId="17007" priority="22654">
      <formula>H211="A"</formula>
    </cfRule>
    <cfRule type="expression" dxfId="17006" priority="22655">
      <formula>H211="T"</formula>
    </cfRule>
  </conditionalFormatting>
  <conditionalFormatting sqref="H212">
    <cfRule type="expression" dxfId="17005" priority="22650">
      <formula>H211="X"</formula>
    </cfRule>
    <cfRule type="expression" dxfId="17004" priority="22651">
      <formula>H211="A"</formula>
    </cfRule>
    <cfRule type="expression" dxfId="17003" priority="22652">
      <formula>H211="T"</formula>
    </cfRule>
  </conditionalFormatting>
  <conditionalFormatting sqref="H213">
    <cfRule type="expression" dxfId="17002" priority="22647">
      <formula>H213="X"</formula>
    </cfRule>
    <cfRule type="expression" dxfId="17001" priority="22648">
      <formula>H213="A"</formula>
    </cfRule>
    <cfRule type="expression" dxfId="17000" priority="22649">
      <formula>H213="T"</formula>
    </cfRule>
  </conditionalFormatting>
  <conditionalFormatting sqref="H214">
    <cfRule type="expression" dxfId="16999" priority="22644">
      <formula>H213="X"</formula>
    </cfRule>
    <cfRule type="expression" dxfId="16998" priority="22645">
      <formula>H213="A"</formula>
    </cfRule>
    <cfRule type="expression" dxfId="16997" priority="22646">
      <formula>H213="T"</formula>
    </cfRule>
  </conditionalFormatting>
  <conditionalFormatting sqref="H215">
    <cfRule type="expression" dxfId="16996" priority="22641">
      <formula>H215="X"</formula>
    </cfRule>
    <cfRule type="expression" dxfId="16995" priority="22642">
      <formula>H215="A"</formula>
    </cfRule>
    <cfRule type="expression" dxfId="16994" priority="22643">
      <formula>H215="T"</formula>
    </cfRule>
  </conditionalFormatting>
  <conditionalFormatting sqref="H216">
    <cfRule type="expression" dxfId="16993" priority="22638">
      <formula>H215="X"</formula>
    </cfRule>
    <cfRule type="expression" dxfId="16992" priority="22639">
      <formula>H215="A"</formula>
    </cfRule>
    <cfRule type="expression" dxfId="16991" priority="22640">
      <formula>H215="T"</formula>
    </cfRule>
  </conditionalFormatting>
  <conditionalFormatting sqref="H217">
    <cfRule type="expression" dxfId="16990" priority="22635">
      <formula>H217="X"</formula>
    </cfRule>
    <cfRule type="expression" dxfId="16989" priority="22636">
      <formula>H217="A"</formula>
    </cfRule>
    <cfRule type="expression" dxfId="16988" priority="22637">
      <formula>H217="T"</formula>
    </cfRule>
  </conditionalFormatting>
  <conditionalFormatting sqref="H218">
    <cfRule type="expression" dxfId="16987" priority="22632">
      <formula>H217="X"</formula>
    </cfRule>
    <cfRule type="expression" dxfId="16986" priority="22633">
      <formula>H217="A"</formula>
    </cfRule>
    <cfRule type="expression" dxfId="16985" priority="22634">
      <formula>H217="T"</formula>
    </cfRule>
  </conditionalFormatting>
  <conditionalFormatting sqref="H219">
    <cfRule type="expression" dxfId="16984" priority="22629">
      <formula>H219="X"</formula>
    </cfRule>
    <cfRule type="expression" dxfId="16983" priority="22630">
      <formula>H219="A"</formula>
    </cfRule>
    <cfRule type="expression" dxfId="16982" priority="22631">
      <formula>H219="T"</formula>
    </cfRule>
  </conditionalFormatting>
  <conditionalFormatting sqref="H220">
    <cfRule type="expression" dxfId="16981" priority="22626">
      <formula>H219="X"</formula>
    </cfRule>
    <cfRule type="expression" dxfId="16980" priority="22627">
      <formula>H219="A"</formula>
    </cfRule>
    <cfRule type="expression" dxfId="16979" priority="22628">
      <formula>H219="T"</formula>
    </cfRule>
  </conditionalFormatting>
  <conditionalFormatting sqref="H221">
    <cfRule type="expression" dxfId="16978" priority="22623">
      <formula>H221="X"</formula>
    </cfRule>
    <cfRule type="expression" dxfId="16977" priority="22624">
      <formula>H221="A"</formula>
    </cfRule>
    <cfRule type="expression" dxfId="16976" priority="22625">
      <formula>H221="T"</formula>
    </cfRule>
  </conditionalFormatting>
  <conditionalFormatting sqref="H222">
    <cfRule type="expression" dxfId="16975" priority="22620">
      <formula>H221="X"</formula>
    </cfRule>
    <cfRule type="expression" dxfId="16974" priority="22621">
      <formula>H221="A"</formula>
    </cfRule>
    <cfRule type="expression" dxfId="16973" priority="22622">
      <formula>H221="T"</formula>
    </cfRule>
  </conditionalFormatting>
  <conditionalFormatting sqref="H223">
    <cfRule type="expression" dxfId="16972" priority="22617">
      <formula>H223="X"</formula>
    </cfRule>
    <cfRule type="expression" dxfId="16971" priority="22618">
      <formula>H223="A"</formula>
    </cfRule>
    <cfRule type="expression" dxfId="16970" priority="22619">
      <formula>H223="T"</formula>
    </cfRule>
  </conditionalFormatting>
  <conditionalFormatting sqref="H224">
    <cfRule type="expression" dxfId="16969" priority="22614">
      <formula>H223="X"</formula>
    </cfRule>
    <cfRule type="expression" dxfId="16968" priority="22615">
      <formula>H223="A"</formula>
    </cfRule>
    <cfRule type="expression" dxfId="16967" priority="22616">
      <formula>H223="T"</formula>
    </cfRule>
  </conditionalFormatting>
  <conditionalFormatting sqref="H4">
    <cfRule type="expression" dxfId="16966" priority="22611">
      <formula>H4="X"</formula>
    </cfRule>
    <cfRule type="expression" dxfId="16965" priority="22612">
      <formula>H4="A"</formula>
    </cfRule>
    <cfRule type="expression" dxfId="16964" priority="22613">
      <formula>H4="T"</formula>
    </cfRule>
  </conditionalFormatting>
  <conditionalFormatting sqref="H5">
    <cfRule type="expression" dxfId="16963" priority="22608">
      <formula>H4="X"</formula>
    </cfRule>
    <cfRule type="expression" dxfId="16962" priority="22609">
      <formula>H4="A"</formula>
    </cfRule>
    <cfRule type="expression" dxfId="16961" priority="22610">
      <formula>H4="T"</formula>
    </cfRule>
  </conditionalFormatting>
  <conditionalFormatting sqref="H6">
    <cfRule type="expression" dxfId="16960" priority="22605">
      <formula>H6="X"</formula>
    </cfRule>
    <cfRule type="expression" dxfId="16959" priority="22606">
      <formula>H6="A"</formula>
    </cfRule>
    <cfRule type="expression" dxfId="16958" priority="22607">
      <formula>H6="T"</formula>
    </cfRule>
  </conditionalFormatting>
  <conditionalFormatting sqref="H7">
    <cfRule type="expression" dxfId="16957" priority="22602">
      <formula>H6="X"</formula>
    </cfRule>
    <cfRule type="expression" dxfId="16956" priority="22603">
      <formula>H6="A"</formula>
    </cfRule>
    <cfRule type="expression" dxfId="16955" priority="22604">
      <formula>H6="T"</formula>
    </cfRule>
  </conditionalFormatting>
  <conditionalFormatting sqref="H8">
    <cfRule type="expression" dxfId="16954" priority="22599">
      <formula>H8="X"</formula>
    </cfRule>
    <cfRule type="expression" dxfId="16953" priority="22600">
      <formula>H8="A"</formula>
    </cfRule>
    <cfRule type="expression" dxfId="16952" priority="22601">
      <formula>H8="T"</formula>
    </cfRule>
  </conditionalFormatting>
  <conditionalFormatting sqref="H9">
    <cfRule type="expression" dxfId="16951" priority="22596">
      <formula>H8="X"</formula>
    </cfRule>
    <cfRule type="expression" dxfId="16950" priority="22597">
      <formula>H8="A"</formula>
    </cfRule>
    <cfRule type="expression" dxfId="16949" priority="22598">
      <formula>H8="T"</formula>
    </cfRule>
  </conditionalFormatting>
  <conditionalFormatting sqref="H74">
    <cfRule type="expression" dxfId="16948" priority="22593">
      <formula>H74="X"</formula>
    </cfRule>
    <cfRule type="expression" dxfId="16947" priority="22594">
      <formula>H74="A"</formula>
    </cfRule>
    <cfRule type="expression" dxfId="16946" priority="22595">
      <formula>H74="T"</formula>
    </cfRule>
  </conditionalFormatting>
  <conditionalFormatting sqref="H75">
    <cfRule type="expression" dxfId="16945" priority="22590">
      <formula>H74="X"</formula>
    </cfRule>
    <cfRule type="expression" dxfId="16944" priority="22591">
      <formula>H74="A"</formula>
    </cfRule>
    <cfRule type="expression" dxfId="16943" priority="22592">
      <formula>H74="T"</formula>
    </cfRule>
  </conditionalFormatting>
  <conditionalFormatting sqref="H76">
    <cfRule type="expression" dxfId="16942" priority="22587">
      <formula>H76="X"</formula>
    </cfRule>
    <cfRule type="expression" dxfId="16941" priority="22588">
      <formula>H76="A"</formula>
    </cfRule>
    <cfRule type="expression" dxfId="16940" priority="22589">
      <formula>H76="T"</formula>
    </cfRule>
  </conditionalFormatting>
  <conditionalFormatting sqref="H77">
    <cfRule type="expression" dxfId="16939" priority="22584">
      <formula>H76="X"</formula>
    </cfRule>
    <cfRule type="expression" dxfId="16938" priority="22585">
      <formula>H76="A"</formula>
    </cfRule>
    <cfRule type="expression" dxfId="16937" priority="22586">
      <formula>H76="T"</formula>
    </cfRule>
  </conditionalFormatting>
  <conditionalFormatting sqref="H78">
    <cfRule type="expression" dxfId="16936" priority="22581">
      <formula>H78="X"</formula>
    </cfRule>
    <cfRule type="expression" dxfId="16935" priority="22582">
      <formula>H78="A"</formula>
    </cfRule>
    <cfRule type="expression" dxfId="16934" priority="22583">
      <formula>H78="T"</formula>
    </cfRule>
  </conditionalFormatting>
  <conditionalFormatting sqref="H79">
    <cfRule type="expression" dxfId="16933" priority="22578">
      <formula>H78="X"</formula>
    </cfRule>
    <cfRule type="expression" dxfId="16932" priority="22579">
      <formula>H78="A"</formula>
    </cfRule>
    <cfRule type="expression" dxfId="16931" priority="22580">
      <formula>H78="T"</formula>
    </cfRule>
  </conditionalFormatting>
  <conditionalFormatting sqref="H134">
    <cfRule type="expression" dxfId="16930" priority="22575">
      <formula>H134="X"</formula>
    </cfRule>
    <cfRule type="expression" dxfId="16929" priority="22576">
      <formula>H134="A"</formula>
    </cfRule>
    <cfRule type="expression" dxfId="16928" priority="22577">
      <formula>H134="T"</formula>
    </cfRule>
  </conditionalFormatting>
  <conditionalFormatting sqref="H135">
    <cfRule type="expression" dxfId="16927" priority="22572">
      <formula>H134="X"</formula>
    </cfRule>
    <cfRule type="expression" dxfId="16926" priority="22573">
      <formula>H134="A"</formula>
    </cfRule>
    <cfRule type="expression" dxfId="16925" priority="22574">
      <formula>H134="T"</formula>
    </cfRule>
  </conditionalFormatting>
  <conditionalFormatting sqref="H136">
    <cfRule type="expression" dxfId="16924" priority="22569">
      <formula>H136="X"</formula>
    </cfRule>
    <cfRule type="expression" dxfId="16923" priority="22570">
      <formula>H136="A"</formula>
    </cfRule>
    <cfRule type="expression" dxfId="16922" priority="22571">
      <formula>H136="T"</formula>
    </cfRule>
  </conditionalFormatting>
  <conditionalFormatting sqref="H137">
    <cfRule type="expression" dxfId="16921" priority="22566">
      <formula>H136="X"</formula>
    </cfRule>
    <cfRule type="expression" dxfId="16920" priority="22567">
      <formula>H136="A"</formula>
    </cfRule>
    <cfRule type="expression" dxfId="16919" priority="22568">
      <formula>H136="T"</formula>
    </cfRule>
  </conditionalFormatting>
  <conditionalFormatting sqref="H138">
    <cfRule type="expression" dxfId="16918" priority="22563">
      <formula>H138="X"</formula>
    </cfRule>
    <cfRule type="expression" dxfId="16917" priority="22564">
      <formula>H138="A"</formula>
    </cfRule>
    <cfRule type="expression" dxfId="16916" priority="22565">
      <formula>H138="T"</formula>
    </cfRule>
  </conditionalFormatting>
  <conditionalFormatting sqref="H139">
    <cfRule type="expression" dxfId="16915" priority="22560">
      <formula>H138="X"</formula>
    </cfRule>
    <cfRule type="expression" dxfId="16914" priority="22561">
      <formula>H138="A"</formula>
    </cfRule>
    <cfRule type="expression" dxfId="16913" priority="22562">
      <formula>H138="T"</formula>
    </cfRule>
  </conditionalFormatting>
  <conditionalFormatting sqref="H15 W193:X193 W187:X187 W153:X153 W145:X145 W129:X129 W15:X15 AF15 AF129 AF145 AF187 AF193 AM193:AO193 AM187:AO187 AM153:AO153 AM145:AO145 AM129:AO129 AM15:AO15 AF153">
    <cfRule type="expression" dxfId="16912" priority="22554" stopIfTrue="1">
      <formula>H11=""</formula>
    </cfRule>
  </conditionalFormatting>
  <conditionalFormatting sqref="H15">
    <cfRule type="expression" dxfId="16911" priority="22555" stopIfTrue="1">
      <formula>H15=1</formula>
    </cfRule>
    <cfRule type="colorScale" priority="22556">
      <colorScale>
        <cfvo type="num" val="0"/>
        <cfvo type="num" val="0.5"/>
        <cfvo type="num" val="1"/>
        <color rgb="FFF8696B"/>
        <color theme="4" tint="0.79998168889431442"/>
        <color rgb="FF5A8AC6"/>
      </colorScale>
    </cfRule>
  </conditionalFormatting>
  <conditionalFormatting sqref="H38 W38:X38 AF38 AM38:AO38 P38 AC38">
    <cfRule type="expression" dxfId="16910" priority="22551" stopIfTrue="1">
      <formula>H16=""</formula>
    </cfRule>
  </conditionalFormatting>
  <conditionalFormatting sqref="H38">
    <cfRule type="expression" dxfId="16909" priority="22552" stopIfTrue="1">
      <formula>H38=1</formula>
    </cfRule>
    <cfRule type="colorScale" priority="22553">
      <colorScale>
        <cfvo type="num" val="0"/>
        <cfvo type="num" val="0.5"/>
        <cfvo type="num" val="1"/>
        <color rgb="FFF8696B"/>
        <color theme="4" tint="0.79998168889431442"/>
        <color rgb="FF5A8AC6"/>
      </colorScale>
    </cfRule>
  </conditionalFormatting>
  <conditionalFormatting sqref="H47 W47:X47 AF47 AF124 AM124:AO124 AM47:AO47 W124:X124">
    <cfRule type="expression" dxfId="16908" priority="22548" stopIfTrue="1">
      <formula>H39=""</formula>
    </cfRule>
  </conditionalFormatting>
  <conditionalFormatting sqref="H47">
    <cfRule type="expression" dxfId="16907" priority="22549" stopIfTrue="1">
      <formula>H47=1</formula>
    </cfRule>
    <cfRule type="colorScale" priority="22550">
      <colorScale>
        <cfvo type="num" val="0"/>
        <cfvo type="num" val="0.5"/>
        <cfvo type="num" val="1"/>
        <color rgb="FFF8696B"/>
        <color theme="4" tint="0.79998168889431442"/>
        <color rgb="FF5A8AC6"/>
      </colorScale>
    </cfRule>
  </conditionalFormatting>
  <conditionalFormatting sqref="AM62:AO62 AC62">
    <cfRule type="expression" dxfId="16906" priority="22545" stopIfTrue="1">
      <formula>AC48=""</formula>
    </cfRule>
  </conditionalFormatting>
  <conditionalFormatting sqref="H69 AO71 W71 W140:X140 W87:X87 W80:X80 W69 W10:X10 AF10 AF69 AF80 AF87 AF140 AM140:AO140 AM87:AO87 AM80:AO80 AM69:AO69 AM10:AO10">
    <cfRule type="expression" dxfId="16905" priority="22542" stopIfTrue="1">
      <formula>H4=""</formula>
    </cfRule>
  </conditionalFormatting>
  <conditionalFormatting sqref="H69">
    <cfRule type="expression" dxfId="16904" priority="22543" stopIfTrue="1">
      <formula>H69=1</formula>
    </cfRule>
    <cfRule type="colorScale" priority="22544">
      <colorScale>
        <cfvo type="num" val="0"/>
        <cfvo type="num" val="0.5"/>
        <cfvo type="num" val="1"/>
        <color rgb="FFF8696B"/>
        <color theme="4" tint="0.79998168889431442"/>
        <color rgb="FF5A8AC6"/>
      </colorScale>
    </cfRule>
  </conditionalFormatting>
  <conditionalFormatting sqref="I237:L238 H230:H237 AO230:AO241 W230:W239">
    <cfRule type="expression" dxfId="16903" priority="22431" stopIfTrue="1">
      <formula>H230=_xlfn.UNICHAR(10003)</formula>
    </cfRule>
    <cfRule type="colorScale" priority="22432">
      <colorScale>
        <cfvo type="num" val="0"/>
        <cfvo type="num" val="0.5"/>
        <cfvo type="num" val="1"/>
        <color rgb="FFF8696B"/>
        <color theme="4" tint="0.79998168889431442"/>
        <color rgb="FF5A8AC6"/>
      </colorScale>
    </cfRule>
  </conditionalFormatting>
  <conditionalFormatting sqref="H239">
    <cfRule type="expression" dxfId="16902" priority="22429" stopIfTrue="1">
      <formula>H239=_xlfn.UNICHAR(10003)</formula>
    </cfRule>
    <cfRule type="colorScale" priority="22430">
      <colorScale>
        <cfvo type="num" val="0"/>
        <cfvo type="num" val="0.5"/>
        <cfvo type="num" val="1"/>
        <color rgb="FFF8696B"/>
        <color theme="4" tint="0.79998168889431442"/>
        <color rgb="FF5A8AC6"/>
      </colorScale>
    </cfRule>
  </conditionalFormatting>
  <conditionalFormatting sqref="H239">
    <cfRule type="expression" dxfId="16901" priority="22427" stopIfTrue="1">
      <formula>H239=1</formula>
    </cfRule>
    <cfRule type="colorScale" priority="22428">
      <colorScale>
        <cfvo type="num" val="0"/>
        <cfvo type="num" val="0.5"/>
        <cfvo type="num" val="1"/>
        <color rgb="FFF8696B"/>
        <color theme="4" tint="0.79998168889431442"/>
        <color rgb="FF5A8AC6"/>
      </colorScale>
    </cfRule>
  </conditionalFormatting>
  <conditionalFormatting sqref="I16 I18 I20 I22 I24 I26 I28 I39 I41 I43 I45 I48 I81 I88 I90 I92 I94 I96 I98 I100 I102 I105 I107 I109 I111 I116">
    <cfRule type="expression" dxfId="16900" priority="22424">
      <formula>I16="X"</formula>
    </cfRule>
    <cfRule type="expression" dxfId="16899" priority="22425">
      <formula>I16="A"</formula>
    </cfRule>
    <cfRule type="expression" dxfId="16898" priority="22426">
      <formula>I16="T"</formula>
    </cfRule>
  </conditionalFormatting>
  <conditionalFormatting sqref="I36">
    <cfRule type="expression" dxfId="16897" priority="22421">
      <formula>I36="X"</formula>
    </cfRule>
    <cfRule type="expression" dxfId="16896" priority="22422">
      <formula>I36="A"</formula>
    </cfRule>
    <cfRule type="expression" dxfId="16895" priority="22423">
      <formula>I36="T"</formula>
    </cfRule>
  </conditionalFormatting>
  <conditionalFormatting sqref="I34">
    <cfRule type="expression" dxfId="16894" priority="22418">
      <formula>I34="X"</formula>
    </cfRule>
    <cfRule type="expression" dxfId="16893" priority="22419">
      <formula>I34="A"</formula>
    </cfRule>
    <cfRule type="expression" dxfId="16892" priority="22420">
      <formula>I34="T"</formula>
    </cfRule>
  </conditionalFormatting>
  <conditionalFormatting sqref="I32">
    <cfRule type="expression" dxfId="16891" priority="22415">
      <formula>I32="X"</formula>
    </cfRule>
    <cfRule type="expression" dxfId="16890" priority="22416">
      <formula>I32="A"</formula>
    </cfRule>
    <cfRule type="expression" dxfId="16889" priority="22417">
      <formula>I32="T"</formula>
    </cfRule>
  </conditionalFormatting>
  <conditionalFormatting sqref="I30">
    <cfRule type="expression" dxfId="16888" priority="22412">
      <formula>I30="X"</formula>
    </cfRule>
    <cfRule type="expression" dxfId="16887" priority="22413">
      <formula>I30="A"</formula>
    </cfRule>
    <cfRule type="expression" dxfId="16886" priority="22414">
      <formula>I30="T"</formula>
    </cfRule>
  </conditionalFormatting>
  <conditionalFormatting sqref="I52">
    <cfRule type="expression" dxfId="16885" priority="22409">
      <formula>I52="X"</formula>
    </cfRule>
    <cfRule type="expression" dxfId="16884" priority="22410">
      <formula>I52="A"</formula>
    </cfRule>
    <cfRule type="expression" dxfId="16883" priority="22411">
      <formula>I52="T"</formula>
    </cfRule>
  </conditionalFormatting>
  <conditionalFormatting sqref="I50">
    <cfRule type="expression" dxfId="16882" priority="22406">
      <formula>I50="X"</formula>
    </cfRule>
    <cfRule type="expression" dxfId="16881" priority="22407">
      <formula>I50="A"</formula>
    </cfRule>
    <cfRule type="expression" dxfId="16880" priority="22408">
      <formula>I50="T"</formula>
    </cfRule>
  </conditionalFormatting>
  <conditionalFormatting sqref="I54">
    <cfRule type="expression" dxfId="16879" priority="22403">
      <formula>I54="X"</formula>
    </cfRule>
    <cfRule type="expression" dxfId="16878" priority="22404">
      <formula>I54="A"</formula>
    </cfRule>
    <cfRule type="expression" dxfId="16877" priority="22405">
      <formula>I54="T"</formula>
    </cfRule>
  </conditionalFormatting>
  <conditionalFormatting sqref="I56">
    <cfRule type="expression" dxfId="16876" priority="22400">
      <formula>I56="X"</formula>
    </cfRule>
    <cfRule type="expression" dxfId="16875" priority="22401">
      <formula>I56="A"</formula>
    </cfRule>
    <cfRule type="expression" dxfId="16874" priority="22402">
      <formula>I56="T"</formula>
    </cfRule>
  </conditionalFormatting>
  <conditionalFormatting sqref="I58">
    <cfRule type="expression" dxfId="16873" priority="22397">
      <formula>I58="X"</formula>
    </cfRule>
    <cfRule type="expression" dxfId="16872" priority="22398">
      <formula>I58="A"</formula>
    </cfRule>
    <cfRule type="expression" dxfId="16871" priority="22399">
      <formula>I58="T"</formula>
    </cfRule>
  </conditionalFormatting>
  <conditionalFormatting sqref="I63">
    <cfRule type="expression" dxfId="16870" priority="22394">
      <formula>I63="X"</formula>
    </cfRule>
    <cfRule type="expression" dxfId="16869" priority="22395">
      <formula>I63="A"</formula>
    </cfRule>
    <cfRule type="expression" dxfId="16868" priority="22396">
      <formula>I63="T"</formula>
    </cfRule>
  </conditionalFormatting>
  <conditionalFormatting sqref="I65">
    <cfRule type="expression" dxfId="16867" priority="22391">
      <formula>I65="X"</formula>
    </cfRule>
    <cfRule type="expression" dxfId="16866" priority="22392">
      <formula>I65="A"</formula>
    </cfRule>
    <cfRule type="expression" dxfId="16865" priority="22393">
      <formula>I65="T"</formula>
    </cfRule>
  </conditionalFormatting>
  <conditionalFormatting sqref="I83">
    <cfRule type="expression" dxfId="16864" priority="22388">
      <formula>I83="X"</formula>
    </cfRule>
    <cfRule type="expression" dxfId="16863" priority="22389">
      <formula>I83="A"</formula>
    </cfRule>
    <cfRule type="expression" dxfId="16862" priority="22390">
      <formula>I83="T"</formula>
    </cfRule>
  </conditionalFormatting>
  <conditionalFormatting sqref="I85">
    <cfRule type="expression" dxfId="16861" priority="22385">
      <formula>I85="X"</formula>
    </cfRule>
    <cfRule type="expression" dxfId="16860" priority="22386">
      <formula>I85="A"</formula>
    </cfRule>
    <cfRule type="expression" dxfId="16859" priority="22387">
      <formula>I85="T"</formula>
    </cfRule>
  </conditionalFormatting>
  <conditionalFormatting sqref="I67">
    <cfRule type="expression" dxfId="16858" priority="22382">
      <formula>I67="X"</formula>
    </cfRule>
    <cfRule type="expression" dxfId="16857" priority="22383">
      <formula>I67="A"</formula>
    </cfRule>
    <cfRule type="expression" dxfId="16856" priority="22384">
      <formula>I67="T"</formula>
    </cfRule>
  </conditionalFormatting>
  <conditionalFormatting sqref="I113">
    <cfRule type="expression" dxfId="16855" priority="22379">
      <formula>I113="X"</formula>
    </cfRule>
    <cfRule type="expression" dxfId="16854" priority="22380">
      <formula>I113="A"</formula>
    </cfRule>
    <cfRule type="expression" dxfId="16853" priority="22381">
      <formula>I113="T"</formula>
    </cfRule>
  </conditionalFormatting>
  <conditionalFormatting sqref="I118">
    <cfRule type="expression" dxfId="16852" priority="22376">
      <formula>I118="X"</formula>
    </cfRule>
    <cfRule type="expression" dxfId="16851" priority="22377">
      <formula>I118="A"</formula>
    </cfRule>
    <cfRule type="expression" dxfId="16850" priority="22378">
      <formula>I118="T"</formula>
    </cfRule>
  </conditionalFormatting>
  <conditionalFormatting sqref="I120">
    <cfRule type="expression" dxfId="16849" priority="22373">
      <formula>I120="X"</formula>
    </cfRule>
    <cfRule type="expression" dxfId="16848" priority="22374">
      <formula>I120="A"</formula>
    </cfRule>
    <cfRule type="expression" dxfId="16847" priority="22375">
      <formula>I120="T"</formula>
    </cfRule>
  </conditionalFormatting>
  <conditionalFormatting sqref="I122">
    <cfRule type="expression" dxfId="16846" priority="22370">
      <formula>I122="X"</formula>
    </cfRule>
    <cfRule type="expression" dxfId="16845" priority="22371">
      <formula>I122="A"</formula>
    </cfRule>
    <cfRule type="expression" dxfId="16844" priority="22372">
      <formula>I122="T"</formula>
    </cfRule>
  </conditionalFormatting>
  <conditionalFormatting sqref="I125">
    <cfRule type="expression" dxfId="16843" priority="22367">
      <formula>I125="X"</formula>
    </cfRule>
    <cfRule type="expression" dxfId="16842" priority="22368">
      <formula>I125="A"</formula>
    </cfRule>
    <cfRule type="expression" dxfId="16841" priority="22369">
      <formula>I125="T"</formula>
    </cfRule>
  </conditionalFormatting>
  <conditionalFormatting sqref="I127">
    <cfRule type="expression" dxfId="16840" priority="22364">
      <formula>I127="X"</formula>
    </cfRule>
    <cfRule type="expression" dxfId="16839" priority="22365">
      <formula>I127="A"</formula>
    </cfRule>
    <cfRule type="expression" dxfId="16838" priority="22366">
      <formula>I127="T"</formula>
    </cfRule>
  </conditionalFormatting>
  <conditionalFormatting sqref="I141">
    <cfRule type="expression" dxfId="16837" priority="22361">
      <formula>I141="X"</formula>
    </cfRule>
    <cfRule type="expression" dxfId="16836" priority="22362">
      <formula>I141="A"</formula>
    </cfRule>
    <cfRule type="expression" dxfId="16835" priority="22363">
      <formula>I141="T"</formula>
    </cfRule>
  </conditionalFormatting>
  <conditionalFormatting sqref="I143">
    <cfRule type="expression" dxfId="16834" priority="22358">
      <formula>I143="X"</formula>
    </cfRule>
    <cfRule type="expression" dxfId="16833" priority="22359">
      <formula>I143="A"</formula>
    </cfRule>
    <cfRule type="expression" dxfId="16832" priority="22360">
      <formula>I143="T"</formula>
    </cfRule>
  </conditionalFormatting>
  <conditionalFormatting sqref="I149">
    <cfRule type="expression" dxfId="16831" priority="22355">
      <formula>I149="X"</formula>
    </cfRule>
    <cfRule type="expression" dxfId="16830" priority="22356">
      <formula>I149="A"</formula>
    </cfRule>
    <cfRule type="expression" dxfId="16829" priority="22357">
      <formula>I149="T"</formula>
    </cfRule>
  </conditionalFormatting>
  <conditionalFormatting sqref="I151">
    <cfRule type="expression" dxfId="16828" priority="22352">
      <formula>I151="X"</formula>
    </cfRule>
    <cfRule type="expression" dxfId="16827" priority="22353">
      <formula>I151="A"</formula>
    </cfRule>
    <cfRule type="expression" dxfId="16826" priority="22354">
      <formula>I151="T"</formula>
    </cfRule>
  </conditionalFormatting>
  <conditionalFormatting sqref="I155">
    <cfRule type="expression" dxfId="16825" priority="22349">
      <formula>I155="X"</formula>
    </cfRule>
    <cfRule type="expression" dxfId="16824" priority="22350">
      <formula>I155="A"</formula>
    </cfRule>
    <cfRule type="expression" dxfId="16823" priority="22351">
      <formula>I155="T"</formula>
    </cfRule>
  </conditionalFormatting>
  <conditionalFormatting sqref="I157">
    <cfRule type="expression" dxfId="16822" priority="22346">
      <formula>I157="X"</formula>
    </cfRule>
    <cfRule type="expression" dxfId="16821" priority="22347">
      <formula>I157="A"</formula>
    </cfRule>
    <cfRule type="expression" dxfId="16820" priority="22348">
      <formula>I157="T"</formula>
    </cfRule>
  </conditionalFormatting>
  <conditionalFormatting sqref="I167">
    <cfRule type="expression" dxfId="16819" priority="22343">
      <formula>I167="X"</formula>
    </cfRule>
    <cfRule type="expression" dxfId="16818" priority="22344">
      <formula>I167="A"</formula>
    </cfRule>
    <cfRule type="expression" dxfId="16817" priority="22345">
      <formula>I167="T"</formula>
    </cfRule>
  </conditionalFormatting>
  <conditionalFormatting sqref="I173">
    <cfRule type="expression" dxfId="16816" priority="22340">
      <formula>I173="X"</formula>
    </cfRule>
    <cfRule type="expression" dxfId="16815" priority="22341">
      <formula>I173="A"</formula>
    </cfRule>
    <cfRule type="expression" dxfId="16814" priority="22342">
      <formula>I173="T"</formula>
    </cfRule>
  </conditionalFormatting>
  <conditionalFormatting sqref="I175">
    <cfRule type="expression" dxfId="16813" priority="22337">
      <formula>I175="X"</formula>
    </cfRule>
    <cfRule type="expression" dxfId="16812" priority="22338">
      <formula>I175="A"</formula>
    </cfRule>
    <cfRule type="expression" dxfId="16811" priority="22339">
      <formula>I175="T"</formula>
    </cfRule>
  </conditionalFormatting>
  <conditionalFormatting sqref="I177">
    <cfRule type="expression" dxfId="16810" priority="22334">
      <formula>I177="X"</formula>
    </cfRule>
    <cfRule type="expression" dxfId="16809" priority="22335">
      <formula>I177="A"</formula>
    </cfRule>
    <cfRule type="expression" dxfId="16808" priority="22336">
      <formula>I177="T"</formula>
    </cfRule>
  </conditionalFormatting>
  <conditionalFormatting sqref="I179">
    <cfRule type="expression" dxfId="16807" priority="22331">
      <formula>I179="X"</formula>
    </cfRule>
    <cfRule type="expression" dxfId="16806" priority="22332">
      <formula>I179="A"</formula>
    </cfRule>
    <cfRule type="expression" dxfId="16805" priority="22333">
      <formula>I179="T"</formula>
    </cfRule>
  </conditionalFormatting>
  <conditionalFormatting sqref="I169">
    <cfRule type="expression" dxfId="16804" priority="22328">
      <formula>I169="X"</formula>
    </cfRule>
    <cfRule type="expression" dxfId="16803" priority="22329">
      <formula>I169="A"</formula>
    </cfRule>
    <cfRule type="expression" dxfId="16802" priority="22330">
      <formula>I169="T"</formula>
    </cfRule>
  </conditionalFormatting>
  <conditionalFormatting sqref="I171">
    <cfRule type="expression" dxfId="16801" priority="22325">
      <formula>I171="X"</formula>
    </cfRule>
    <cfRule type="expression" dxfId="16800" priority="22326">
      <formula>I171="A"</formula>
    </cfRule>
    <cfRule type="expression" dxfId="16799" priority="22327">
      <formula>I171="T"</formula>
    </cfRule>
  </conditionalFormatting>
  <conditionalFormatting sqref="I183">
    <cfRule type="expression" dxfId="16798" priority="22322">
      <formula>I183="X"</formula>
    </cfRule>
    <cfRule type="expression" dxfId="16797" priority="22323">
      <formula>I183="A"</formula>
    </cfRule>
    <cfRule type="expression" dxfId="16796" priority="22324">
      <formula>I183="T"</formula>
    </cfRule>
  </conditionalFormatting>
  <conditionalFormatting sqref="I185">
    <cfRule type="expression" dxfId="16795" priority="22319">
      <formula>I185="X"</formula>
    </cfRule>
    <cfRule type="expression" dxfId="16794" priority="22320">
      <formula>I185="A"</formula>
    </cfRule>
    <cfRule type="expression" dxfId="16793" priority="22321">
      <formula>I185="T"</formula>
    </cfRule>
  </conditionalFormatting>
  <conditionalFormatting sqref="I189">
    <cfRule type="expression" dxfId="16792" priority="22316">
      <formula>I189="X"</formula>
    </cfRule>
    <cfRule type="expression" dxfId="16791" priority="22317">
      <formula>I189="A"</formula>
    </cfRule>
    <cfRule type="expression" dxfId="16790" priority="22318">
      <formula>I189="T"</formula>
    </cfRule>
  </conditionalFormatting>
  <conditionalFormatting sqref="I191">
    <cfRule type="expression" dxfId="16789" priority="22313">
      <formula>I191="X"</formula>
    </cfRule>
    <cfRule type="expression" dxfId="16788" priority="22314">
      <formula>I191="A"</formula>
    </cfRule>
    <cfRule type="expression" dxfId="16787" priority="22315">
      <formula>I191="T"</formula>
    </cfRule>
  </conditionalFormatting>
  <conditionalFormatting sqref="I11">
    <cfRule type="expression" dxfId="16786" priority="22298">
      <formula>I11="X"</formula>
    </cfRule>
    <cfRule type="expression" dxfId="16785" priority="22299">
      <formula>I11="A"</formula>
    </cfRule>
    <cfRule type="expression" dxfId="16784" priority="22300">
      <formula>I11="T"</formula>
    </cfRule>
  </conditionalFormatting>
  <conditionalFormatting sqref="I12">
    <cfRule type="expression" dxfId="16783" priority="22295">
      <formula>I11="X"</formula>
    </cfRule>
    <cfRule type="expression" dxfId="16782" priority="22296">
      <formula>I11="A"</formula>
    </cfRule>
    <cfRule type="expression" dxfId="16781" priority="22297">
      <formula>I11="T"</formula>
    </cfRule>
  </conditionalFormatting>
  <conditionalFormatting sqref="I13">
    <cfRule type="expression" dxfId="16780" priority="22292">
      <formula>I13="X"</formula>
    </cfRule>
    <cfRule type="expression" dxfId="16779" priority="22293">
      <formula>I13="A"</formula>
    </cfRule>
    <cfRule type="expression" dxfId="16778" priority="22294">
      <formula>I13="T"</formula>
    </cfRule>
  </conditionalFormatting>
  <conditionalFormatting sqref="I14">
    <cfRule type="expression" dxfId="16777" priority="22289">
      <formula>I13="X"</formula>
    </cfRule>
    <cfRule type="expression" dxfId="16776" priority="22290">
      <formula>I13="A"</formula>
    </cfRule>
    <cfRule type="expression" dxfId="16775" priority="22291">
      <formula>I13="T"</formula>
    </cfRule>
  </conditionalFormatting>
  <conditionalFormatting sqref="I17">
    <cfRule type="expression" dxfId="16774" priority="22286">
      <formula>I16="X"</formula>
    </cfRule>
    <cfRule type="expression" dxfId="16773" priority="22287">
      <formula>I16="A"</formula>
    </cfRule>
    <cfRule type="expression" dxfId="16772" priority="22288">
      <formula>I16="T"</formula>
    </cfRule>
  </conditionalFormatting>
  <conditionalFormatting sqref="I19">
    <cfRule type="expression" dxfId="16771" priority="22280">
      <formula>I18="X"</formula>
    </cfRule>
    <cfRule type="expression" dxfId="16770" priority="22281">
      <formula>I18="A"</formula>
    </cfRule>
    <cfRule type="expression" dxfId="16769" priority="22282">
      <formula>I18="T"</formula>
    </cfRule>
  </conditionalFormatting>
  <conditionalFormatting sqref="I21">
    <cfRule type="expression" dxfId="16768" priority="22277">
      <formula>I20="X"</formula>
    </cfRule>
    <cfRule type="expression" dxfId="16767" priority="22278">
      <formula>I20="A"</formula>
    </cfRule>
    <cfRule type="expression" dxfId="16766" priority="22279">
      <formula>I20="T"</formula>
    </cfRule>
  </conditionalFormatting>
  <conditionalFormatting sqref="I23">
    <cfRule type="expression" dxfId="16765" priority="22274">
      <formula>I22="X"</formula>
    </cfRule>
    <cfRule type="expression" dxfId="16764" priority="22275">
      <formula>I22="A"</formula>
    </cfRule>
    <cfRule type="expression" dxfId="16763" priority="22276">
      <formula>I22="T"</formula>
    </cfRule>
  </conditionalFormatting>
  <conditionalFormatting sqref="I25">
    <cfRule type="expression" dxfId="16762" priority="22271">
      <formula>I24="X"</formula>
    </cfRule>
    <cfRule type="expression" dxfId="16761" priority="22272">
      <formula>I24="A"</formula>
    </cfRule>
    <cfRule type="expression" dxfId="16760" priority="22273">
      <formula>I24="T"</formula>
    </cfRule>
  </conditionalFormatting>
  <conditionalFormatting sqref="I27">
    <cfRule type="expression" dxfId="16759" priority="22268">
      <formula>I26="X"</formula>
    </cfRule>
    <cfRule type="expression" dxfId="16758" priority="22269">
      <formula>I26="A"</formula>
    </cfRule>
    <cfRule type="expression" dxfId="16757" priority="22270">
      <formula>I26="T"</formula>
    </cfRule>
  </conditionalFormatting>
  <conditionalFormatting sqref="I29">
    <cfRule type="expression" dxfId="16756" priority="22265">
      <formula>I28="X"</formula>
    </cfRule>
    <cfRule type="expression" dxfId="16755" priority="22266">
      <formula>I28="A"</formula>
    </cfRule>
    <cfRule type="expression" dxfId="16754" priority="22267">
      <formula>I28="T"</formula>
    </cfRule>
  </conditionalFormatting>
  <conditionalFormatting sqref="I31">
    <cfRule type="expression" dxfId="16753" priority="22262">
      <formula>I30="X"</formula>
    </cfRule>
    <cfRule type="expression" dxfId="16752" priority="22263">
      <formula>I30="A"</formula>
    </cfRule>
    <cfRule type="expression" dxfId="16751" priority="22264">
      <formula>I30="T"</formula>
    </cfRule>
  </conditionalFormatting>
  <conditionalFormatting sqref="I33">
    <cfRule type="expression" dxfId="16750" priority="22259">
      <formula>I32="X"</formula>
    </cfRule>
    <cfRule type="expression" dxfId="16749" priority="22260">
      <formula>I32="A"</formula>
    </cfRule>
    <cfRule type="expression" dxfId="16748" priority="22261">
      <formula>I32="T"</formula>
    </cfRule>
  </conditionalFormatting>
  <conditionalFormatting sqref="I35">
    <cfRule type="expression" dxfId="16747" priority="22256">
      <formula>I34="X"</formula>
    </cfRule>
    <cfRule type="expression" dxfId="16746" priority="22257">
      <formula>I34="A"</formula>
    </cfRule>
    <cfRule type="expression" dxfId="16745" priority="22258">
      <formula>I34="T"</formula>
    </cfRule>
  </conditionalFormatting>
  <conditionalFormatting sqref="I37">
    <cfRule type="expression" dxfId="16744" priority="22253">
      <formula>I36="X"</formula>
    </cfRule>
    <cfRule type="expression" dxfId="16743" priority="22254">
      <formula>I36="A"</formula>
    </cfRule>
    <cfRule type="expression" dxfId="16742" priority="22255">
      <formula>I36="T"</formula>
    </cfRule>
  </conditionalFormatting>
  <conditionalFormatting sqref="I40">
    <cfRule type="expression" dxfId="16741" priority="22250">
      <formula>I39="X"</formula>
    </cfRule>
    <cfRule type="expression" dxfId="16740" priority="22251">
      <formula>I39="A"</formula>
    </cfRule>
    <cfRule type="expression" dxfId="16739" priority="22252">
      <formula>I39="T"</formula>
    </cfRule>
  </conditionalFormatting>
  <conditionalFormatting sqref="I42">
    <cfRule type="expression" dxfId="16738" priority="22247">
      <formula>I41="X"</formula>
    </cfRule>
    <cfRule type="expression" dxfId="16737" priority="22248">
      <formula>I41="A"</formula>
    </cfRule>
    <cfRule type="expression" dxfId="16736" priority="22249">
      <formula>I41="T"</formula>
    </cfRule>
  </conditionalFormatting>
  <conditionalFormatting sqref="I44">
    <cfRule type="expression" dxfId="16735" priority="22244">
      <formula>I43="X"</formula>
    </cfRule>
    <cfRule type="expression" dxfId="16734" priority="22245">
      <formula>I43="A"</formula>
    </cfRule>
    <cfRule type="expression" dxfId="16733" priority="22246">
      <formula>I43="T"</formula>
    </cfRule>
  </conditionalFormatting>
  <conditionalFormatting sqref="I46">
    <cfRule type="expression" dxfId="16732" priority="22241">
      <formula>I45="X"</formula>
    </cfRule>
    <cfRule type="expression" dxfId="16731" priority="22242">
      <formula>I45="A"</formula>
    </cfRule>
    <cfRule type="expression" dxfId="16730" priority="22243">
      <formula>I45="T"</formula>
    </cfRule>
  </conditionalFormatting>
  <conditionalFormatting sqref="I49">
    <cfRule type="expression" dxfId="16729" priority="22238">
      <formula>I48="X"</formula>
    </cfRule>
    <cfRule type="expression" dxfId="16728" priority="22239">
      <formula>I48="A"</formula>
    </cfRule>
    <cfRule type="expression" dxfId="16727" priority="22240">
      <formula>I48="T"</formula>
    </cfRule>
  </conditionalFormatting>
  <conditionalFormatting sqref="I51">
    <cfRule type="expression" dxfId="16726" priority="22235">
      <formula>I50="X"</formula>
    </cfRule>
    <cfRule type="expression" dxfId="16725" priority="22236">
      <formula>I50="A"</formula>
    </cfRule>
    <cfRule type="expression" dxfId="16724" priority="22237">
      <formula>I50="T"</formula>
    </cfRule>
  </conditionalFormatting>
  <conditionalFormatting sqref="I53">
    <cfRule type="expression" dxfId="16723" priority="22232">
      <formula>I52="X"</formula>
    </cfRule>
    <cfRule type="expression" dxfId="16722" priority="22233">
      <formula>I52="A"</formula>
    </cfRule>
    <cfRule type="expression" dxfId="16721" priority="22234">
      <formula>I52="T"</formula>
    </cfRule>
  </conditionalFormatting>
  <conditionalFormatting sqref="I55">
    <cfRule type="expression" dxfId="16720" priority="22229">
      <formula>I54="X"</formula>
    </cfRule>
    <cfRule type="expression" dxfId="16719" priority="22230">
      <formula>I54="A"</formula>
    </cfRule>
    <cfRule type="expression" dxfId="16718" priority="22231">
      <formula>I54="T"</formula>
    </cfRule>
  </conditionalFormatting>
  <conditionalFormatting sqref="I57">
    <cfRule type="expression" dxfId="16717" priority="22226">
      <formula>I56="X"</formula>
    </cfRule>
    <cfRule type="expression" dxfId="16716" priority="22227">
      <formula>I56="A"</formula>
    </cfRule>
    <cfRule type="expression" dxfId="16715" priority="22228">
      <formula>I56="T"</formula>
    </cfRule>
  </conditionalFormatting>
  <conditionalFormatting sqref="I59">
    <cfRule type="expression" dxfId="16714" priority="22223">
      <formula>I58="X"</formula>
    </cfRule>
    <cfRule type="expression" dxfId="16713" priority="22224">
      <formula>I58="A"</formula>
    </cfRule>
    <cfRule type="expression" dxfId="16712" priority="22225">
      <formula>I58="T"</formula>
    </cfRule>
  </conditionalFormatting>
  <conditionalFormatting sqref="I64">
    <cfRule type="expression" dxfId="16711" priority="22220">
      <formula>I63="X"</formula>
    </cfRule>
    <cfRule type="expression" dxfId="16710" priority="22221">
      <formula>I63="A"</formula>
    </cfRule>
    <cfRule type="expression" dxfId="16709" priority="22222">
      <formula>I63="T"</formula>
    </cfRule>
  </conditionalFormatting>
  <conditionalFormatting sqref="I66">
    <cfRule type="expression" dxfId="16708" priority="22217">
      <formula>I65="X"</formula>
    </cfRule>
    <cfRule type="expression" dxfId="16707" priority="22218">
      <formula>I65="A"</formula>
    </cfRule>
    <cfRule type="expression" dxfId="16706" priority="22219">
      <formula>I65="T"</formula>
    </cfRule>
  </conditionalFormatting>
  <conditionalFormatting sqref="I68">
    <cfRule type="expression" dxfId="16705" priority="22214">
      <formula>I67="X"</formula>
    </cfRule>
    <cfRule type="expression" dxfId="16704" priority="22215">
      <formula>I67="A"</formula>
    </cfRule>
    <cfRule type="expression" dxfId="16703" priority="22216">
      <formula>I67="T"</formula>
    </cfRule>
  </conditionalFormatting>
  <conditionalFormatting sqref="I82">
    <cfRule type="expression" dxfId="16702" priority="22211">
      <formula>I81="X"</formula>
    </cfRule>
    <cfRule type="expression" dxfId="16701" priority="22212">
      <formula>I81="A"</formula>
    </cfRule>
    <cfRule type="expression" dxfId="16700" priority="22213">
      <formula>I81="T"</formula>
    </cfRule>
  </conditionalFormatting>
  <conditionalFormatting sqref="I84">
    <cfRule type="expression" dxfId="16699" priority="22208">
      <formula>I83="X"</formula>
    </cfRule>
    <cfRule type="expression" dxfId="16698" priority="22209">
      <formula>I83="A"</formula>
    </cfRule>
    <cfRule type="expression" dxfId="16697" priority="22210">
      <formula>I83="T"</formula>
    </cfRule>
  </conditionalFormatting>
  <conditionalFormatting sqref="I86">
    <cfRule type="expression" dxfId="16696" priority="22205">
      <formula>I85="X"</formula>
    </cfRule>
    <cfRule type="expression" dxfId="16695" priority="22206">
      <formula>I85="A"</formula>
    </cfRule>
    <cfRule type="expression" dxfId="16694" priority="22207">
      <formula>I85="T"</formula>
    </cfRule>
  </conditionalFormatting>
  <conditionalFormatting sqref="I89">
    <cfRule type="expression" dxfId="16693" priority="22202">
      <formula>I88="X"</formula>
    </cfRule>
    <cfRule type="expression" dxfId="16692" priority="22203">
      <formula>I88="A"</formula>
    </cfRule>
    <cfRule type="expression" dxfId="16691" priority="22204">
      <formula>I88="T"</formula>
    </cfRule>
  </conditionalFormatting>
  <conditionalFormatting sqref="I91">
    <cfRule type="expression" dxfId="16690" priority="22199">
      <formula>I90="X"</formula>
    </cfRule>
    <cfRule type="expression" dxfId="16689" priority="22200">
      <formula>I90="A"</formula>
    </cfRule>
    <cfRule type="expression" dxfId="16688" priority="22201">
      <formula>I90="T"</formula>
    </cfRule>
  </conditionalFormatting>
  <conditionalFormatting sqref="I93">
    <cfRule type="expression" dxfId="16687" priority="22196">
      <formula>I92="X"</formula>
    </cfRule>
    <cfRule type="expression" dxfId="16686" priority="22197">
      <formula>I92="A"</formula>
    </cfRule>
    <cfRule type="expression" dxfId="16685" priority="22198">
      <formula>I92="T"</formula>
    </cfRule>
  </conditionalFormatting>
  <conditionalFormatting sqref="I95">
    <cfRule type="expression" dxfId="16684" priority="22193">
      <formula>I94="X"</formula>
    </cfRule>
    <cfRule type="expression" dxfId="16683" priority="22194">
      <formula>I94="A"</formula>
    </cfRule>
    <cfRule type="expression" dxfId="16682" priority="22195">
      <formula>I94="T"</formula>
    </cfRule>
  </conditionalFormatting>
  <conditionalFormatting sqref="I97">
    <cfRule type="expression" dxfId="16681" priority="22190">
      <formula>I96="X"</formula>
    </cfRule>
    <cfRule type="expression" dxfId="16680" priority="22191">
      <formula>I96="A"</formula>
    </cfRule>
    <cfRule type="expression" dxfId="16679" priority="22192">
      <formula>I96="T"</formula>
    </cfRule>
  </conditionalFormatting>
  <conditionalFormatting sqref="I99">
    <cfRule type="expression" dxfId="16678" priority="22187">
      <formula>I98="X"</formula>
    </cfRule>
    <cfRule type="expression" dxfId="16677" priority="22188">
      <formula>I98="A"</formula>
    </cfRule>
    <cfRule type="expression" dxfId="16676" priority="22189">
      <formula>I98="T"</formula>
    </cfRule>
  </conditionalFormatting>
  <conditionalFormatting sqref="I101">
    <cfRule type="expression" dxfId="16675" priority="22184">
      <formula>I100="X"</formula>
    </cfRule>
    <cfRule type="expression" dxfId="16674" priority="22185">
      <formula>I100="A"</formula>
    </cfRule>
    <cfRule type="expression" dxfId="16673" priority="22186">
      <formula>I100="T"</formula>
    </cfRule>
  </conditionalFormatting>
  <conditionalFormatting sqref="I103">
    <cfRule type="expression" dxfId="16672" priority="22181">
      <formula>I102="X"</formula>
    </cfRule>
    <cfRule type="expression" dxfId="16671" priority="22182">
      <formula>I102="A"</formula>
    </cfRule>
    <cfRule type="expression" dxfId="16670" priority="22183">
      <formula>I102="T"</formula>
    </cfRule>
  </conditionalFormatting>
  <conditionalFormatting sqref="I106">
    <cfRule type="expression" dxfId="16669" priority="22178">
      <formula>I105="X"</formula>
    </cfRule>
    <cfRule type="expression" dxfId="16668" priority="22179">
      <formula>I105="A"</formula>
    </cfRule>
    <cfRule type="expression" dxfId="16667" priority="22180">
      <formula>I105="T"</formula>
    </cfRule>
  </conditionalFormatting>
  <conditionalFormatting sqref="I108">
    <cfRule type="expression" dxfId="16666" priority="22175">
      <formula>I107="X"</formula>
    </cfRule>
    <cfRule type="expression" dxfId="16665" priority="22176">
      <formula>I107="A"</formula>
    </cfRule>
    <cfRule type="expression" dxfId="16664" priority="22177">
      <formula>I107="T"</formula>
    </cfRule>
  </conditionalFormatting>
  <conditionalFormatting sqref="I110">
    <cfRule type="expression" dxfId="16663" priority="22172">
      <formula>I109="X"</formula>
    </cfRule>
    <cfRule type="expression" dxfId="16662" priority="22173">
      <formula>I109="A"</formula>
    </cfRule>
    <cfRule type="expression" dxfId="16661" priority="22174">
      <formula>I109="T"</formula>
    </cfRule>
  </conditionalFormatting>
  <conditionalFormatting sqref="I112">
    <cfRule type="expression" dxfId="16660" priority="22169">
      <formula>I111="X"</formula>
    </cfRule>
    <cfRule type="expression" dxfId="16659" priority="22170">
      <formula>I111="A"</formula>
    </cfRule>
    <cfRule type="expression" dxfId="16658" priority="22171">
      <formula>I111="T"</formula>
    </cfRule>
  </conditionalFormatting>
  <conditionalFormatting sqref="I114">
    <cfRule type="expression" dxfId="16657" priority="22166">
      <formula>I113="X"</formula>
    </cfRule>
    <cfRule type="expression" dxfId="16656" priority="22167">
      <formula>I113="A"</formula>
    </cfRule>
    <cfRule type="expression" dxfId="16655" priority="22168">
      <formula>I113="T"</formula>
    </cfRule>
  </conditionalFormatting>
  <conditionalFormatting sqref="I117">
    <cfRule type="expression" dxfId="16654" priority="22163">
      <formula>I116="X"</formula>
    </cfRule>
    <cfRule type="expression" dxfId="16653" priority="22164">
      <formula>I116="A"</formula>
    </cfRule>
    <cfRule type="expression" dxfId="16652" priority="22165">
      <formula>I116="T"</formula>
    </cfRule>
  </conditionalFormatting>
  <conditionalFormatting sqref="I119">
    <cfRule type="expression" dxfId="16651" priority="22160">
      <formula>I118="X"</formula>
    </cfRule>
    <cfRule type="expression" dxfId="16650" priority="22161">
      <formula>I118="A"</formula>
    </cfRule>
    <cfRule type="expression" dxfId="16649" priority="22162">
      <formula>I118="T"</formula>
    </cfRule>
  </conditionalFormatting>
  <conditionalFormatting sqref="I121">
    <cfRule type="expression" dxfId="16648" priority="22157">
      <formula>I120="X"</formula>
    </cfRule>
    <cfRule type="expression" dxfId="16647" priority="22158">
      <formula>I120="A"</formula>
    </cfRule>
    <cfRule type="expression" dxfId="16646" priority="22159">
      <formula>I120="T"</formula>
    </cfRule>
  </conditionalFormatting>
  <conditionalFormatting sqref="I123">
    <cfRule type="expression" dxfId="16645" priority="22154">
      <formula>I122="X"</formula>
    </cfRule>
    <cfRule type="expression" dxfId="16644" priority="22155">
      <formula>I122="A"</formula>
    </cfRule>
    <cfRule type="expression" dxfId="16643" priority="22156">
      <formula>I122="T"</formula>
    </cfRule>
  </conditionalFormatting>
  <conditionalFormatting sqref="I126">
    <cfRule type="expression" dxfId="16642" priority="22151">
      <formula>I125="X"</formula>
    </cfRule>
    <cfRule type="expression" dxfId="16641" priority="22152">
      <formula>I125="A"</formula>
    </cfRule>
    <cfRule type="expression" dxfId="16640" priority="22153">
      <formula>I125="T"</formula>
    </cfRule>
  </conditionalFormatting>
  <conditionalFormatting sqref="I128">
    <cfRule type="expression" dxfId="16639" priority="22148">
      <formula>I127="X"</formula>
    </cfRule>
    <cfRule type="expression" dxfId="16638" priority="22149">
      <formula>I127="A"</formula>
    </cfRule>
    <cfRule type="expression" dxfId="16637" priority="22150">
      <formula>I127="T"</formula>
    </cfRule>
  </conditionalFormatting>
  <conditionalFormatting sqref="I142">
    <cfRule type="expression" dxfId="16636" priority="22145">
      <formula>I141="X"</formula>
    </cfRule>
    <cfRule type="expression" dxfId="16635" priority="22146">
      <formula>I141="A"</formula>
    </cfRule>
    <cfRule type="expression" dxfId="16634" priority="22147">
      <formula>I141="T"</formula>
    </cfRule>
  </conditionalFormatting>
  <conditionalFormatting sqref="I144">
    <cfRule type="expression" dxfId="16633" priority="22142">
      <formula>I143="X"</formula>
    </cfRule>
    <cfRule type="expression" dxfId="16632" priority="22143">
      <formula>I143="A"</formula>
    </cfRule>
    <cfRule type="expression" dxfId="16631" priority="22144">
      <formula>I143="T"</formula>
    </cfRule>
  </conditionalFormatting>
  <conditionalFormatting sqref="I150">
    <cfRule type="expression" dxfId="16630" priority="22139">
      <formula>I149="X"</formula>
    </cfRule>
    <cfRule type="expression" dxfId="16629" priority="22140">
      <formula>I149="A"</formula>
    </cfRule>
    <cfRule type="expression" dxfId="16628" priority="22141">
      <formula>I149="T"</formula>
    </cfRule>
  </conditionalFormatting>
  <conditionalFormatting sqref="I152">
    <cfRule type="expression" dxfId="16627" priority="22136">
      <formula>I151="X"</formula>
    </cfRule>
    <cfRule type="expression" dxfId="16626" priority="22137">
      <formula>I151="A"</formula>
    </cfRule>
    <cfRule type="expression" dxfId="16625" priority="22138">
      <formula>I151="T"</formula>
    </cfRule>
  </conditionalFormatting>
  <conditionalFormatting sqref="I156">
    <cfRule type="expression" dxfId="16624" priority="22133">
      <formula>I155="X"</formula>
    </cfRule>
    <cfRule type="expression" dxfId="16623" priority="22134">
      <formula>I155="A"</formula>
    </cfRule>
    <cfRule type="expression" dxfId="16622" priority="22135">
      <formula>I155="T"</formula>
    </cfRule>
  </conditionalFormatting>
  <conditionalFormatting sqref="I168">
    <cfRule type="expression" dxfId="16621" priority="22127">
      <formula>I167="X"</formula>
    </cfRule>
    <cfRule type="expression" dxfId="16620" priority="22128">
      <formula>I167="A"</formula>
    </cfRule>
    <cfRule type="expression" dxfId="16619" priority="22129">
      <formula>I167="T"</formula>
    </cfRule>
  </conditionalFormatting>
  <conditionalFormatting sqref="I170">
    <cfRule type="expression" dxfId="16618" priority="22124">
      <formula>I169="X"</formula>
    </cfRule>
    <cfRule type="expression" dxfId="16617" priority="22125">
      <formula>I169="A"</formula>
    </cfRule>
    <cfRule type="expression" dxfId="16616" priority="22126">
      <formula>I169="T"</formula>
    </cfRule>
  </conditionalFormatting>
  <conditionalFormatting sqref="I172">
    <cfRule type="expression" dxfId="16615" priority="22121">
      <formula>I171="X"</formula>
    </cfRule>
    <cfRule type="expression" dxfId="16614" priority="22122">
      <formula>I171="A"</formula>
    </cfRule>
    <cfRule type="expression" dxfId="16613" priority="22123">
      <formula>I171="T"</formula>
    </cfRule>
  </conditionalFormatting>
  <conditionalFormatting sqref="I174">
    <cfRule type="expression" dxfId="16612" priority="22118">
      <formula>I173="X"</formula>
    </cfRule>
    <cfRule type="expression" dxfId="16611" priority="22119">
      <formula>I173="A"</formula>
    </cfRule>
    <cfRule type="expression" dxfId="16610" priority="22120">
      <formula>I173="T"</formula>
    </cfRule>
  </conditionalFormatting>
  <conditionalFormatting sqref="I176">
    <cfRule type="expression" dxfId="16609" priority="22115">
      <formula>I175="X"</formula>
    </cfRule>
    <cfRule type="expression" dxfId="16608" priority="22116">
      <formula>I175="A"</formula>
    </cfRule>
    <cfRule type="expression" dxfId="16607" priority="22117">
      <formula>I175="T"</formula>
    </cfRule>
  </conditionalFormatting>
  <conditionalFormatting sqref="I178">
    <cfRule type="expression" dxfId="16606" priority="22112">
      <formula>I177="X"</formula>
    </cfRule>
    <cfRule type="expression" dxfId="16605" priority="22113">
      <formula>I177="A"</formula>
    </cfRule>
    <cfRule type="expression" dxfId="16604" priority="22114">
      <formula>I177="T"</formula>
    </cfRule>
  </conditionalFormatting>
  <conditionalFormatting sqref="I180">
    <cfRule type="expression" dxfId="16603" priority="22109">
      <formula>I179="X"</formula>
    </cfRule>
    <cfRule type="expression" dxfId="16602" priority="22110">
      <formula>I179="A"</formula>
    </cfRule>
    <cfRule type="expression" dxfId="16601" priority="22111">
      <formula>I179="T"</formula>
    </cfRule>
  </conditionalFormatting>
  <conditionalFormatting sqref="I184">
    <cfRule type="expression" dxfId="16600" priority="22106">
      <formula>I183="X"</formula>
    </cfRule>
    <cfRule type="expression" dxfId="16599" priority="22107">
      <formula>I183="A"</formula>
    </cfRule>
    <cfRule type="expression" dxfId="16598" priority="22108">
      <formula>I183="T"</formula>
    </cfRule>
  </conditionalFormatting>
  <conditionalFormatting sqref="I186">
    <cfRule type="expression" dxfId="16597" priority="22103">
      <formula>I185="X"</formula>
    </cfRule>
    <cfRule type="expression" dxfId="16596" priority="22104">
      <formula>I185="A"</formula>
    </cfRule>
    <cfRule type="expression" dxfId="16595" priority="22105">
      <formula>I185="T"</formula>
    </cfRule>
  </conditionalFormatting>
  <conditionalFormatting sqref="I190">
    <cfRule type="expression" dxfId="16594" priority="22100">
      <formula>I189="X"</formula>
    </cfRule>
    <cfRule type="expression" dxfId="16593" priority="22101">
      <formula>I189="A"</formula>
    </cfRule>
    <cfRule type="expression" dxfId="16592" priority="22102">
      <formula>I189="T"</formula>
    </cfRule>
  </conditionalFormatting>
  <conditionalFormatting sqref="I192">
    <cfRule type="expression" dxfId="16591" priority="22097">
      <formula>I191="X"</formula>
    </cfRule>
    <cfRule type="expression" dxfId="16590" priority="22098">
      <formula>I191="A"</formula>
    </cfRule>
    <cfRule type="expression" dxfId="16589" priority="22099">
      <formula>I191="T"</formula>
    </cfRule>
  </conditionalFormatting>
  <conditionalFormatting sqref="I208">
    <cfRule type="expression" dxfId="16588" priority="22088">
      <formula>I207="X"</formula>
    </cfRule>
    <cfRule type="expression" dxfId="16587" priority="22089">
      <formula>I207="A"</formula>
    </cfRule>
    <cfRule type="expression" dxfId="16586" priority="22090">
      <formula>I207="T"</formula>
    </cfRule>
  </conditionalFormatting>
  <conditionalFormatting sqref="I211">
    <cfRule type="expression" dxfId="16585" priority="22082">
      <formula>I211="X"</formula>
    </cfRule>
    <cfRule type="expression" dxfId="16584" priority="22083">
      <formula>I211="A"</formula>
    </cfRule>
    <cfRule type="expression" dxfId="16583" priority="22084">
      <formula>I211="T"</formula>
    </cfRule>
  </conditionalFormatting>
  <conditionalFormatting sqref="I212">
    <cfRule type="expression" dxfId="16582" priority="22079">
      <formula>I211="X"</formula>
    </cfRule>
    <cfRule type="expression" dxfId="16581" priority="22080">
      <formula>I211="A"</formula>
    </cfRule>
    <cfRule type="expression" dxfId="16580" priority="22081">
      <formula>I211="T"</formula>
    </cfRule>
  </conditionalFormatting>
  <conditionalFormatting sqref="I213">
    <cfRule type="expression" dxfId="16579" priority="22076">
      <formula>I213="X"</formula>
    </cfRule>
    <cfRule type="expression" dxfId="16578" priority="22077">
      <formula>I213="A"</formula>
    </cfRule>
    <cfRule type="expression" dxfId="16577" priority="22078">
      <formula>I213="T"</formula>
    </cfRule>
  </conditionalFormatting>
  <conditionalFormatting sqref="I214">
    <cfRule type="expression" dxfId="16576" priority="22073">
      <formula>I213="X"</formula>
    </cfRule>
    <cfRule type="expression" dxfId="16575" priority="22074">
      <formula>I213="A"</formula>
    </cfRule>
    <cfRule type="expression" dxfId="16574" priority="22075">
      <formula>I213="T"</formula>
    </cfRule>
  </conditionalFormatting>
  <conditionalFormatting sqref="I215">
    <cfRule type="expression" dxfId="16573" priority="22070">
      <formula>I215="X"</formula>
    </cfRule>
    <cfRule type="expression" dxfId="16572" priority="22071">
      <formula>I215="A"</formula>
    </cfRule>
    <cfRule type="expression" dxfId="16571" priority="22072">
      <formula>I215="T"</formula>
    </cfRule>
  </conditionalFormatting>
  <conditionalFormatting sqref="I216">
    <cfRule type="expression" dxfId="16570" priority="22067">
      <formula>I215="X"</formula>
    </cfRule>
    <cfRule type="expression" dxfId="16569" priority="22068">
      <formula>I215="A"</formula>
    </cfRule>
    <cfRule type="expression" dxfId="16568" priority="22069">
      <formula>I215="T"</formula>
    </cfRule>
  </conditionalFormatting>
  <conditionalFormatting sqref="I217">
    <cfRule type="expression" dxfId="16567" priority="22064">
      <formula>I217="X"</formula>
    </cfRule>
    <cfRule type="expression" dxfId="16566" priority="22065">
      <formula>I217="A"</formula>
    </cfRule>
    <cfRule type="expression" dxfId="16565" priority="22066">
      <formula>I217="T"</formula>
    </cfRule>
  </conditionalFormatting>
  <conditionalFormatting sqref="I218">
    <cfRule type="expression" dxfId="16564" priority="22061">
      <formula>I217="X"</formula>
    </cfRule>
    <cfRule type="expression" dxfId="16563" priority="22062">
      <formula>I217="A"</formula>
    </cfRule>
    <cfRule type="expression" dxfId="16562" priority="22063">
      <formula>I217="T"</formula>
    </cfRule>
  </conditionalFormatting>
  <conditionalFormatting sqref="I219">
    <cfRule type="expression" dxfId="16561" priority="22058">
      <formula>I219="X"</formula>
    </cfRule>
    <cfRule type="expression" dxfId="16560" priority="22059">
      <formula>I219="A"</formula>
    </cfRule>
    <cfRule type="expression" dxfId="16559" priority="22060">
      <formula>I219="T"</formula>
    </cfRule>
  </conditionalFormatting>
  <conditionalFormatting sqref="I220">
    <cfRule type="expression" dxfId="16558" priority="22055">
      <formula>I219="X"</formula>
    </cfRule>
    <cfRule type="expression" dxfId="16557" priority="22056">
      <formula>I219="A"</formula>
    </cfRule>
    <cfRule type="expression" dxfId="16556" priority="22057">
      <formula>I219="T"</formula>
    </cfRule>
  </conditionalFormatting>
  <conditionalFormatting sqref="I221">
    <cfRule type="expression" dxfId="16555" priority="22052">
      <formula>I221="X"</formula>
    </cfRule>
    <cfRule type="expression" dxfId="16554" priority="22053">
      <formula>I221="A"</formula>
    </cfRule>
    <cfRule type="expression" dxfId="16553" priority="22054">
      <formula>I221="T"</formula>
    </cfRule>
  </conditionalFormatting>
  <conditionalFormatting sqref="I222">
    <cfRule type="expression" dxfId="16552" priority="22049">
      <formula>I221="X"</formula>
    </cfRule>
    <cfRule type="expression" dxfId="16551" priority="22050">
      <formula>I221="A"</formula>
    </cfRule>
    <cfRule type="expression" dxfId="16550" priority="22051">
      <formula>I221="T"</formula>
    </cfRule>
  </conditionalFormatting>
  <conditionalFormatting sqref="I223">
    <cfRule type="expression" dxfId="16549" priority="22046">
      <formula>I223="X"</formula>
    </cfRule>
    <cfRule type="expression" dxfId="16548" priority="22047">
      <formula>I223="A"</formula>
    </cfRule>
    <cfRule type="expression" dxfId="16547" priority="22048">
      <formula>I223="T"</formula>
    </cfRule>
  </conditionalFormatting>
  <conditionalFormatting sqref="I224">
    <cfRule type="expression" dxfId="16546" priority="22043">
      <formula>I223="X"</formula>
    </cfRule>
    <cfRule type="expression" dxfId="16545" priority="22044">
      <formula>I223="A"</formula>
    </cfRule>
    <cfRule type="expression" dxfId="16544" priority="22045">
      <formula>I223="T"</formula>
    </cfRule>
  </conditionalFormatting>
  <conditionalFormatting sqref="I4">
    <cfRule type="expression" dxfId="16543" priority="22040">
      <formula>I4="X"</formula>
    </cfRule>
    <cfRule type="expression" dxfId="16542" priority="22041">
      <formula>I4="A"</formula>
    </cfRule>
    <cfRule type="expression" dxfId="16541" priority="22042">
      <formula>I4="T"</formula>
    </cfRule>
  </conditionalFormatting>
  <conditionalFormatting sqref="I5">
    <cfRule type="expression" dxfId="16540" priority="22037">
      <formula>I4="X"</formula>
    </cfRule>
    <cfRule type="expression" dxfId="16539" priority="22038">
      <formula>I4="A"</formula>
    </cfRule>
    <cfRule type="expression" dxfId="16538" priority="22039">
      <formula>I4="T"</formula>
    </cfRule>
  </conditionalFormatting>
  <conditionalFormatting sqref="I6">
    <cfRule type="expression" dxfId="16537" priority="22034">
      <formula>I6="X"</formula>
    </cfRule>
    <cfRule type="expression" dxfId="16536" priority="22035">
      <formula>I6="A"</formula>
    </cfRule>
    <cfRule type="expression" dxfId="16535" priority="22036">
      <formula>I6="T"</formula>
    </cfRule>
  </conditionalFormatting>
  <conditionalFormatting sqref="I7">
    <cfRule type="expression" dxfId="16534" priority="22031">
      <formula>I6="X"</formula>
    </cfRule>
    <cfRule type="expression" dxfId="16533" priority="22032">
      <formula>I6="A"</formula>
    </cfRule>
    <cfRule type="expression" dxfId="16532" priority="22033">
      <formula>I6="T"</formula>
    </cfRule>
  </conditionalFormatting>
  <conditionalFormatting sqref="I8">
    <cfRule type="expression" dxfId="16531" priority="22028">
      <formula>I8="X"</formula>
    </cfRule>
    <cfRule type="expression" dxfId="16530" priority="22029">
      <formula>I8="A"</formula>
    </cfRule>
    <cfRule type="expression" dxfId="16529" priority="22030">
      <formula>I8="T"</formula>
    </cfRule>
  </conditionalFormatting>
  <conditionalFormatting sqref="I9">
    <cfRule type="expression" dxfId="16528" priority="22025">
      <formula>I8="X"</formula>
    </cfRule>
    <cfRule type="expression" dxfId="16527" priority="22026">
      <formula>I8="A"</formula>
    </cfRule>
    <cfRule type="expression" dxfId="16526" priority="22027">
      <formula>I8="T"</formula>
    </cfRule>
  </conditionalFormatting>
  <conditionalFormatting sqref="I74">
    <cfRule type="expression" dxfId="16525" priority="22022">
      <formula>I74="X"</formula>
    </cfRule>
    <cfRule type="expression" dxfId="16524" priority="22023">
      <formula>I74="A"</formula>
    </cfRule>
    <cfRule type="expression" dxfId="16523" priority="22024">
      <formula>I74="T"</formula>
    </cfRule>
  </conditionalFormatting>
  <conditionalFormatting sqref="I75">
    <cfRule type="expression" dxfId="16522" priority="22019">
      <formula>I74="X"</formula>
    </cfRule>
    <cfRule type="expression" dxfId="16521" priority="22020">
      <formula>I74="A"</formula>
    </cfRule>
    <cfRule type="expression" dxfId="16520" priority="22021">
      <formula>I74="T"</formula>
    </cfRule>
  </conditionalFormatting>
  <conditionalFormatting sqref="I76">
    <cfRule type="expression" dxfId="16519" priority="22016">
      <formula>I76="X"</formula>
    </cfRule>
    <cfRule type="expression" dxfId="16518" priority="22017">
      <formula>I76="A"</formula>
    </cfRule>
    <cfRule type="expression" dxfId="16517" priority="22018">
      <formula>I76="T"</formula>
    </cfRule>
  </conditionalFormatting>
  <conditionalFormatting sqref="I77">
    <cfRule type="expression" dxfId="16516" priority="22013">
      <formula>I76="X"</formula>
    </cfRule>
    <cfRule type="expression" dxfId="16515" priority="22014">
      <formula>I76="A"</formula>
    </cfRule>
    <cfRule type="expression" dxfId="16514" priority="22015">
      <formula>I76="T"</formula>
    </cfRule>
  </conditionalFormatting>
  <conditionalFormatting sqref="I78">
    <cfRule type="expression" dxfId="16513" priority="22010">
      <formula>I78="X"</formula>
    </cfRule>
    <cfRule type="expression" dxfId="16512" priority="22011">
      <formula>I78="A"</formula>
    </cfRule>
    <cfRule type="expression" dxfId="16511" priority="22012">
      <formula>I78="T"</formula>
    </cfRule>
  </conditionalFormatting>
  <conditionalFormatting sqref="I79">
    <cfRule type="expression" dxfId="16510" priority="22007">
      <formula>I78="X"</formula>
    </cfRule>
    <cfRule type="expression" dxfId="16509" priority="22008">
      <formula>I78="A"</formula>
    </cfRule>
    <cfRule type="expression" dxfId="16508" priority="22009">
      <formula>I78="T"</formula>
    </cfRule>
  </conditionalFormatting>
  <conditionalFormatting sqref="I134">
    <cfRule type="expression" dxfId="16507" priority="22004">
      <formula>I134="X"</formula>
    </cfRule>
    <cfRule type="expression" dxfId="16506" priority="22005">
      <formula>I134="A"</formula>
    </cfRule>
    <cfRule type="expression" dxfId="16505" priority="22006">
      <formula>I134="T"</formula>
    </cfRule>
  </conditionalFormatting>
  <conditionalFormatting sqref="I135">
    <cfRule type="expression" dxfId="16504" priority="22001">
      <formula>I134="X"</formula>
    </cfRule>
    <cfRule type="expression" dxfId="16503" priority="22002">
      <formula>I134="A"</formula>
    </cfRule>
    <cfRule type="expression" dxfId="16502" priority="22003">
      <formula>I134="T"</formula>
    </cfRule>
  </conditionalFormatting>
  <conditionalFormatting sqref="I136">
    <cfRule type="expression" dxfId="16501" priority="21998">
      <formula>I136="X"</formula>
    </cfRule>
    <cfRule type="expression" dxfId="16500" priority="21999">
      <formula>I136="A"</formula>
    </cfRule>
    <cfRule type="expression" dxfId="16499" priority="22000">
      <formula>I136="T"</formula>
    </cfRule>
  </conditionalFormatting>
  <conditionalFormatting sqref="I137">
    <cfRule type="expression" dxfId="16498" priority="21995">
      <formula>I136="X"</formula>
    </cfRule>
    <cfRule type="expression" dxfId="16497" priority="21996">
      <formula>I136="A"</formula>
    </cfRule>
    <cfRule type="expression" dxfId="16496" priority="21997">
      <formula>I136="T"</formula>
    </cfRule>
  </conditionalFormatting>
  <conditionalFormatting sqref="I138">
    <cfRule type="expression" dxfId="16495" priority="21992">
      <formula>I138="X"</formula>
    </cfRule>
    <cfRule type="expression" dxfId="16494" priority="21993">
      <formula>I138="A"</formula>
    </cfRule>
    <cfRule type="expression" dxfId="16493" priority="21994">
      <formula>I138="T"</formula>
    </cfRule>
  </conditionalFormatting>
  <conditionalFormatting sqref="I139">
    <cfRule type="expression" dxfId="16492" priority="21989">
      <formula>I138="X"</formula>
    </cfRule>
    <cfRule type="expression" dxfId="16491" priority="21990">
      <formula>I138="A"</formula>
    </cfRule>
    <cfRule type="expression" dxfId="16490" priority="21991">
      <formula>I138="T"</formula>
    </cfRule>
  </conditionalFormatting>
  <conditionalFormatting sqref="I15">
    <cfRule type="expression" dxfId="16489" priority="21983" stopIfTrue="1">
      <formula>I11=""</formula>
    </cfRule>
  </conditionalFormatting>
  <conditionalFormatting sqref="I15">
    <cfRule type="expression" dxfId="16488" priority="21984" stopIfTrue="1">
      <formula>I15=1</formula>
    </cfRule>
    <cfRule type="colorScale" priority="21985">
      <colorScale>
        <cfvo type="num" val="0"/>
        <cfvo type="num" val="0.5"/>
        <cfvo type="num" val="1"/>
        <color rgb="FFF8696B"/>
        <color theme="4" tint="0.79998168889431442"/>
        <color rgb="FF5A8AC6"/>
      </colorScale>
    </cfRule>
  </conditionalFormatting>
  <conditionalFormatting sqref="I38">
    <cfRule type="expression" dxfId="16487" priority="21980" stopIfTrue="1">
      <formula>I16=""</formula>
    </cfRule>
  </conditionalFormatting>
  <conditionalFormatting sqref="I38">
    <cfRule type="expression" dxfId="16486" priority="21981" stopIfTrue="1">
      <formula>I38=1</formula>
    </cfRule>
    <cfRule type="colorScale" priority="21982">
      <colorScale>
        <cfvo type="num" val="0"/>
        <cfvo type="num" val="0.5"/>
        <cfvo type="num" val="1"/>
        <color rgb="FFF8696B"/>
        <color theme="4" tint="0.79998168889431442"/>
        <color rgb="FF5A8AC6"/>
      </colorScale>
    </cfRule>
  </conditionalFormatting>
  <conditionalFormatting sqref="I47">
    <cfRule type="expression" dxfId="16485" priority="21977" stopIfTrue="1">
      <formula>I39=""</formula>
    </cfRule>
  </conditionalFormatting>
  <conditionalFormatting sqref="I47">
    <cfRule type="expression" dxfId="16484" priority="21978" stopIfTrue="1">
      <formula>I47=1</formula>
    </cfRule>
    <cfRule type="colorScale" priority="21979">
      <colorScale>
        <cfvo type="num" val="0"/>
        <cfvo type="num" val="0.5"/>
        <cfvo type="num" val="1"/>
        <color rgb="FFF8696B"/>
        <color theme="4" tint="0.79998168889431442"/>
        <color rgb="FF5A8AC6"/>
      </colorScale>
    </cfRule>
  </conditionalFormatting>
  <conditionalFormatting sqref="I69">
    <cfRule type="expression" dxfId="16483" priority="21971" stopIfTrue="1">
      <formula>I63=""</formula>
    </cfRule>
  </conditionalFormatting>
  <conditionalFormatting sqref="I69">
    <cfRule type="expression" dxfId="16482" priority="21972" stopIfTrue="1">
      <formula>I69=1</formula>
    </cfRule>
    <cfRule type="colorScale" priority="21973">
      <colorScale>
        <cfvo type="num" val="0"/>
        <cfvo type="num" val="0.5"/>
        <cfvo type="num" val="1"/>
        <color rgb="FFF8696B"/>
        <color theme="4" tint="0.79998168889431442"/>
        <color rgb="FF5A8AC6"/>
      </colorScale>
    </cfRule>
  </conditionalFormatting>
  <conditionalFormatting sqref="I230:I236">
    <cfRule type="expression" dxfId="16481" priority="21915" stopIfTrue="1">
      <formula>I230=_xlfn.UNICHAR(10003)</formula>
    </cfRule>
    <cfRule type="colorScale" priority="21916">
      <colorScale>
        <cfvo type="num" val="0"/>
        <cfvo type="num" val="0.5"/>
        <cfvo type="num" val="1"/>
        <color rgb="FFF8696B"/>
        <color theme="4" tint="0.79998168889431442"/>
        <color rgb="FF5A8AC6"/>
      </colorScale>
    </cfRule>
  </conditionalFormatting>
  <conditionalFormatting sqref="I239">
    <cfRule type="expression" dxfId="16480" priority="21913" stopIfTrue="1">
      <formula>I239=_xlfn.UNICHAR(10003)</formula>
    </cfRule>
    <cfRule type="colorScale" priority="21914">
      <colorScale>
        <cfvo type="num" val="0"/>
        <cfvo type="num" val="0.5"/>
        <cfvo type="num" val="1"/>
        <color rgb="FFF8696B"/>
        <color theme="4" tint="0.79998168889431442"/>
        <color rgb="FF5A8AC6"/>
      </colorScale>
    </cfRule>
  </conditionalFormatting>
  <conditionalFormatting sqref="I239">
    <cfRule type="expression" dxfId="16479" priority="21911" stopIfTrue="1">
      <formula>I239=1</formula>
    </cfRule>
    <cfRule type="colorScale" priority="21912">
      <colorScale>
        <cfvo type="num" val="0"/>
        <cfvo type="num" val="0.5"/>
        <cfvo type="num" val="1"/>
        <color rgb="FFF8696B"/>
        <color theme="4" tint="0.79998168889431442"/>
        <color rgb="FF5A8AC6"/>
      </colorScale>
    </cfRule>
  </conditionalFormatting>
  <conditionalFormatting sqref="J16 J18 J20 J22 J24 J26 J28 J39 J41 J43 J45 J48 J81 J88 J90 J92 J94 J96 J98 J100 J102 J105 J107 J109 J111 J116">
    <cfRule type="expression" dxfId="16478" priority="21908">
      <formula>J16="X"</formula>
    </cfRule>
    <cfRule type="expression" dxfId="16477" priority="21909">
      <formula>J16="A"</formula>
    </cfRule>
    <cfRule type="expression" dxfId="16476" priority="21910">
      <formula>J16="T"</formula>
    </cfRule>
  </conditionalFormatting>
  <conditionalFormatting sqref="J36">
    <cfRule type="expression" dxfId="16475" priority="21905">
      <formula>J36="X"</formula>
    </cfRule>
    <cfRule type="expression" dxfId="16474" priority="21906">
      <formula>J36="A"</formula>
    </cfRule>
    <cfRule type="expression" dxfId="16473" priority="21907">
      <formula>J36="T"</formula>
    </cfRule>
  </conditionalFormatting>
  <conditionalFormatting sqref="J34">
    <cfRule type="expression" dxfId="16472" priority="21902">
      <formula>J34="X"</formula>
    </cfRule>
    <cfRule type="expression" dxfId="16471" priority="21903">
      <formula>J34="A"</formula>
    </cfRule>
    <cfRule type="expression" dxfId="16470" priority="21904">
      <formula>J34="T"</formula>
    </cfRule>
  </conditionalFormatting>
  <conditionalFormatting sqref="J32">
    <cfRule type="expression" dxfId="16469" priority="21899">
      <formula>J32="X"</formula>
    </cfRule>
    <cfRule type="expression" dxfId="16468" priority="21900">
      <formula>J32="A"</formula>
    </cfRule>
    <cfRule type="expression" dxfId="16467" priority="21901">
      <formula>J32="T"</formula>
    </cfRule>
  </conditionalFormatting>
  <conditionalFormatting sqref="J30">
    <cfRule type="expression" dxfId="16466" priority="21896">
      <formula>J30="X"</formula>
    </cfRule>
    <cfRule type="expression" dxfId="16465" priority="21897">
      <formula>J30="A"</formula>
    </cfRule>
    <cfRule type="expression" dxfId="16464" priority="21898">
      <formula>J30="T"</formula>
    </cfRule>
  </conditionalFormatting>
  <conditionalFormatting sqref="J52">
    <cfRule type="expression" dxfId="16463" priority="21893">
      <formula>J52="X"</formula>
    </cfRule>
    <cfRule type="expression" dxfId="16462" priority="21894">
      <formula>J52="A"</formula>
    </cfRule>
    <cfRule type="expression" dxfId="16461" priority="21895">
      <formula>J52="T"</formula>
    </cfRule>
  </conditionalFormatting>
  <conditionalFormatting sqref="J50">
    <cfRule type="expression" dxfId="16460" priority="21890">
      <formula>J50="X"</formula>
    </cfRule>
    <cfRule type="expression" dxfId="16459" priority="21891">
      <formula>J50="A"</formula>
    </cfRule>
    <cfRule type="expression" dxfId="16458" priority="21892">
      <formula>J50="T"</formula>
    </cfRule>
  </conditionalFormatting>
  <conditionalFormatting sqref="J54">
    <cfRule type="expression" dxfId="16457" priority="21887">
      <formula>J54="X"</formula>
    </cfRule>
    <cfRule type="expression" dxfId="16456" priority="21888">
      <formula>J54="A"</formula>
    </cfRule>
    <cfRule type="expression" dxfId="16455" priority="21889">
      <formula>J54="T"</formula>
    </cfRule>
  </conditionalFormatting>
  <conditionalFormatting sqref="J56">
    <cfRule type="expression" dxfId="16454" priority="21884">
      <formula>J56="X"</formula>
    </cfRule>
    <cfRule type="expression" dxfId="16453" priority="21885">
      <formula>J56="A"</formula>
    </cfRule>
    <cfRule type="expression" dxfId="16452" priority="21886">
      <formula>J56="T"</formula>
    </cfRule>
  </conditionalFormatting>
  <conditionalFormatting sqref="J58">
    <cfRule type="expression" dxfId="16451" priority="21881">
      <formula>J58="X"</formula>
    </cfRule>
    <cfRule type="expression" dxfId="16450" priority="21882">
      <formula>J58="A"</formula>
    </cfRule>
    <cfRule type="expression" dxfId="16449" priority="21883">
      <formula>J58="T"</formula>
    </cfRule>
  </conditionalFormatting>
  <conditionalFormatting sqref="J63">
    <cfRule type="expression" dxfId="16448" priority="21878">
      <formula>J63="X"</formula>
    </cfRule>
    <cfRule type="expression" dxfId="16447" priority="21879">
      <formula>J63="A"</formula>
    </cfRule>
    <cfRule type="expression" dxfId="16446" priority="21880">
      <formula>J63="T"</formula>
    </cfRule>
  </conditionalFormatting>
  <conditionalFormatting sqref="J65">
    <cfRule type="expression" dxfId="16445" priority="21875">
      <formula>J65="X"</formula>
    </cfRule>
    <cfRule type="expression" dxfId="16444" priority="21876">
      <formula>J65="A"</formula>
    </cfRule>
    <cfRule type="expression" dxfId="16443" priority="21877">
      <formula>J65="T"</formula>
    </cfRule>
  </conditionalFormatting>
  <conditionalFormatting sqref="J83">
    <cfRule type="expression" dxfId="16442" priority="21872">
      <formula>J83="X"</formula>
    </cfRule>
    <cfRule type="expression" dxfId="16441" priority="21873">
      <formula>J83="A"</formula>
    </cfRule>
    <cfRule type="expression" dxfId="16440" priority="21874">
      <formula>J83="T"</formula>
    </cfRule>
  </conditionalFormatting>
  <conditionalFormatting sqref="J85">
    <cfRule type="expression" dxfId="16439" priority="21869">
      <formula>J85="X"</formula>
    </cfRule>
    <cfRule type="expression" dxfId="16438" priority="21870">
      <formula>J85="A"</formula>
    </cfRule>
    <cfRule type="expression" dxfId="16437" priority="21871">
      <formula>J85="T"</formula>
    </cfRule>
  </conditionalFormatting>
  <conditionalFormatting sqref="J67">
    <cfRule type="expression" dxfId="16436" priority="21866">
      <formula>J67="X"</formula>
    </cfRule>
    <cfRule type="expression" dxfId="16435" priority="21867">
      <formula>J67="A"</formula>
    </cfRule>
    <cfRule type="expression" dxfId="16434" priority="21868">
      <formula>J67="T"</formula>
    </cfRule>
  </conditionalFormatting>
  <conditionalFormatting sqref="J113">
    <cfRule type="expression" dxfId="16433" priority="21863">
      <formula>J113="X"</formula>
    </cfRule>
    <cfRule type="expression" dxfId="16432" priority="21864">
      <formula>J113="A"</formula>
    </cfRule>
    <cfRule type="expression" dxfId="16431" priority="21865">
      <formula>J113="T"</formula>
    </cfRule>
  </conditionalFormatting>
  <conditionalFormatting sqref="J118">
    <cfRule type="expression" dxfId="16430" priority="21860">
      <formula>J118="X"</formula>
    </cfRule>
    <cfRule type="expression" dxfId="16429" priority="21861">
      <formula>J118="A"</formula>
    </cfRule>
    <cfRule type="expression" dxfId="16428" priority="21862">
      <formula>J118="T"</formula>
    </cfRule>
  </conditionalFormatting>
  <conditionalFormatting sqref="J120">
    <cfRule type="expression" dxfId="16427" priority="21857">
      <formula>J120="X"</formula>
    </cfRule>
    <cfRule type="expression" dxfId="16426" priority="21858">
      <formula>J120="A"</formula>
    </cfRule>
    <cfRule type="expression" dxfId="16425" priority="21859">
      <formula>J120="T"</formula>
    </cfRule>
  </conditionalFormatting>
  <conditionalFormatting sqref="J122">
    <cfRule type="expression" dxfId="16424" priority="21854">
      <formula>J122="X"</formula>
    </cfRule>
    <cfRule type="expression" dxfId="16423" priority="21855">
      <formula>J122="A"</formula>
    </cfRule>
    <cfRule type="expression" dxfId="16422" priority="21856">
      <formula>J122="T"</formula>
    </cfRule>
  </conditionalFormatting>
  <conditionalFormatting sqref="J125">
    <cfRule type="expression" dxfId="16421" priority="21851">
      <formula>J125="X"</formula>
    </cfRule>
    <cfRule type="expression" dxfId="16420" priority="21852">
      <formula>J125="A"</formula>
    </cfRule>
    <cfRule type="expression" dxfId="16419" priority="21853">
      <formula>J125="T"</formula>
    </cfRule>
  </conditionalFormatting>
  <conditionalFormatting sqref="J127">
    <cfRule type="expression" dxfId="16418" priority="21848">
      <formula>J127="X"</formula>
    </cfRule>
    <cfRule type="expression" dxfId="16417" priority="21849">
      <formula>J127="A"</formula>
    </cfRule>
    <cfRule type="expression" dxfId="16416" priority="21850">
      <formula>J127="T"</formula>
    </cfRule>
  </conditionalFormatting>
  <conditionalFormatting sqref="J141">
    <cfRule type="expression" dxfId="16415" priority="21845">
      <formula>J141="X"</formula>
    </cfRule>
    <cfRule type="expression" dxfId="16414" priority="21846">
      <formula>J141="A"</formula>
    </cfRule>
    <cfRule type="expression" dxfId="16413" priority="21847">
      <formula>J141="T"</formula>
    </cfRule>
  </conditionalFormatting>
  <conditionalFormatting sqref="J143">
    <cfRule type="expression" dxfId="16412" priority="21842">
      <formula>J143="X"</formula>
    </cfRule>
    <cfRule type="expression" dxfId="16411" priority="21843">
      <formula>J143="A"</formula>
    </cfRule>
    <cfRule type="expression" dxfId="16410" priority="21844">
      <formula>J143="T"</formula>
    </cfRule>
  </conditionalFormatting>
  <conditionalFormatting sqref="J149">
    <cfRule type="expression" dxfId="16409" priority="21839">
      <formula>J149="X"</formula>
    </cfRule>
    <cfRule type="expression" dxfId="16408" priority="21840">
      <formula>J149="A"</formula>
    </cfRule>
    <cfRule type="expression" dxfId="16407" priority="21841">
      <formula>J149="T"</formula>
    </cfRule>
  </conditionalFormatting>
  <conditionalFormatting sqref="J151">
    <cfRule type="expression" dxfId="16406" priority="21836">
      <formula>J151="X"</formula>
    </cfRule>
    <cfRule type="expression" dxfId="16405" priority="21837">
      <formula>J151="A"</formula>
    </cfRule>
    <cfRule type="expression" dxfId="16404" priority="21838">
      <formula>J151="T"</formula>
    </cfRule>
  </conditionalFormatting>
  <conditionalFormatting sqref="J155">
    <cfRule type="expression" dxfId="16403" priority="21833">
      <formula>J155="X"</formula>
    </cfRule>
    <cfRule type="expression" dxfId="16402" priority="21834">
      <formula>J155="A"</formula>
    </cfRule>
    <cfRule type="expression" dxfId="16401" priority="21835">
      <formula>J155="T"</formula>
    </cfRule>
  </conditionalFormatting>
  <conditionalFormatting sqref="J157">
    <cfRule type="expression" dxfId="16400" priority="21830">
      <formula>J157="X"</formula>
    </cfRule>
    <cfRule type="expression" dxfId="16399" priority="21831">
      <formula>J157="A"</formula>
    </cfRule>
    <cfRule type="expression" dxfId="16398" priority="21832">
      <formula>J157="T"</formula>
    </cfRule>
  </conditionalFormatting>
  <conditionalFormatting sqref="J167">
    <cfRule type="expression" dxfId="16397" priority="21827">
      <formula>J167="X"</formula>
    </cfRule>
    <cfRule type="expression" dxfId="16396" priority="21828">
      <formula>J167="A"</formula>
    </cfRule>
    <cfRule type="expression" dxfId="16395" priority="21829">
      <formula>J167="T"</formula>
    </cfRule>
  </conditionalFormatting>
  <conditionalFormatting sqref="J173">
    <cfRule type="expression" dxfId="16394" priority="21824">
      <formula>J173="X"</formula>
    </cfRule>
    <cfRule type="expression" dxfId="16393" priority="21825">
      <formula>J173="A"</formula>
    </cfRule>
    <cfRule type="expression" dxfId="16392" priority="21826">
      <formula>J173="T"</formula>
    </cfRule>
  </conditionalFormatting>
  <conditionalFormatting sqref="J175">
    <cfRule type="expression" dxfId="16391" priority="21821">
      <formula>J175="X"</formula>
    </cfRule>
    <cfRule type="expression" dxfId="16390" priority="21822">
      <formula>J175="A"</formula>
    </cfRule>
    <cfRule type="expression" dxfId="16389" priority="21823">
      <formula>J175="T"</formula>
    </cfRule>
  </conditionalFormatting>
  <conditionalFormatting sqref="J177">
    <cfRule type="expression" dxfId="16388" priority="21818">
      <formula>J177="X"</formula>
    </cfRule>
    <cfRule type="expression" dxfId="16387" priority="21819">
      <formula>J177="A"</formula>
    </cfRule>
    <cfRule type="expression" dxfId="16386" priority="21820">
      <formula>J177="T"</formula>
    </cfRule>
  </conditionalFormatting>
  <conditionalFormatting sqref="J179">
    <cfRule type="expression" dxfId="16385" priority="21815">
      <formula>J179="X"</formula>
    </cfRule>
    <cfRule type="expression" dxfId="16384" priority="21816">
      <formula>J179="A"</formula>
    </cfRule>
    <cfRule type="expression" dxfId="16383" priority="21817">
      <formula>J179="T"</formula>
    </cfRule>
  </conditionalFormatting>
  <conditionalFormatting sqref="J169">
    <cfRule type="expression" dxfId="16382" priority="21812">
      <formula>J169="X"</formula>
    </cfRule>
    <cfRule type="expression" dxfId="16381" priority="21813">
      <formula>J169="A"</formula>
    </cfRule>
    <cfRule type="expression" dxfId="16380" priority="21814">
      <formula>J169="T"</formula>
    </cfRule>
  </conditionalFormatting>
  <conditionalFormatting sqref="J171">
    <cfRule type="expression" dxfId="16379" priority="21809">
      <formula>J171="X"</formula>
    </cfRule>
    <cfRule type="expression" dxfId="16378" priority="21810">
      <formula>J171="A"</formula>
    </cfRule>
    <cfRule type="expression" dxfId="16377" priority="21811">
      <formula>J171="T"</formula>
    </cfRule>
  </conditionalFormatting>
  <conditionalFormatting sqref="J183">
    <cfRule type="expression" dxfId="16376" priority="21806">
      <formula>J183="X"</formula>
    </cfRule>
    <cfRule type="expression" dxfId="16375" priority="21807">
      <formula>J183="A"</formula>
    </cfRule>
    <cfRule type="expression" dxfId="16374" priority="21808">
      <formula>J183="T"</formula>
    </cfRule>
  </conditionalFormatting>
  <conditionalFormatting sqref="J185">
    <cfRule type="expression" dxfId="16373" priority="21803">
      <formula>J185="X"</formula>
    </cfRule>
    <cfRule type="expression" dxfId="16372" priority="21804">
      <formula>J185="A"</formula>
    </cfRule>
    <cfRule type="expression" dxfId="16371" priority="21805">
      <formula>J185="T"</formula>
    </cfRule>
  </conditionalFormatting>
  <conditionalFormatting sqref="J189">
    <cfRule type="expression" dxfId="16370" priority="21800">
      <formula>J189="X"</formula>
    </cfRule>
    <cfRule type="expression" dxfId="16369" priority="21801">
      <formula>J189="A"</formula>
    </cfRule>
    <cfRule type="expression" dxfId="16368" priority="21802">
      <formula>J189="T"</formula>
    </cfRule>
  </conditionalFormatting>
  <conditionalFormatting sqref="J191">
    <cfRule type="expression" dxfId="16367" priority="21797">
      <formula>J191="X"</formula>
    </cfRule>
    <cfRule type="expression" dxfId="16366" priority="21798">
      <formula>J191="A"</formula>
    </cfRule>
    <cfRule type="expression" dxfId="16365" priority="21799">
      <formula>J191="T"</formula>
    </cfRule>
  </conditionalFormatting>
  <conditionalFormatting sqref="J11">
    <cfRule type="expression" dxfId="16364" priority="21782">
      <formula>J11="X"</formula>
    </cfRule>
    <cfRule type="expression" dxfId="16363" priority="21783">
      <formula>J11="A"</formula>
    </cfRule>
    <cfRule type="expression" dxfId="16362" priority="21784">
      <formula>J11="T"</formula>
    </cfRule>
  </conditionalFormatting>
  <conditionalFormatting sqref="J12">
    <cfRule type="expression" dxfId="16361" priority="21779">
      <formula>J11="X"</formula>
    </cfRule>
    <cfRule type="expression" dxfId="16360" priority="21780">
      <formula>J11="A"</formula>
    </cfRule>
    <cfRule type="expression" dxfId="16359" priority="21781">
      <formula>J11="T"</formula>
    </cfRule>
  </conditionalFormatting>
  <conditionalFormatting sqref="J13">
    <cfRule type="expression" dxfId="16358" priority="21776">
      <formula>J13="X"</formula>
    </cfRule>
    <cfRule type="expression" dxfId="16357" priority="21777">
      <formula>J13="A"</formula>
    </cfRule>
    <cfRule type="expression" dxfId="16356" priority="21778">
      <formula>J13="T"</formula>
    </cfRule>
  </conditionalFormatting>
  <conditionalFormatting sqref="J14">
    <cfRule type="expression" dxfId="16355" priority="21773">
      <formula>J13="X"</formula>
    </cfRule>
    <cfRule type="expression" dxfId="16354" priority="21774">
      <formula>J13="A"</formula>
    </cfRule>
    <cfRule type="expression" dxfId="16353" priority="21775">
      <formula>J13="T"</formula>
    </cfRule>
  </conditionalFormatting>
  <conditionalFormatting sqref="J17">
    <cfRule type="expression" dxfId="16352" priority="21770">
      <formula>J16="X"</formula>
    </cfRule>
    <cfRule type="expression" dxfId="16351" priority="21771">
      <formula>J16="A"</formula>
    </cfRule>
    <cfRule type="expression" dxfId="16350" priority="21772">
      <formula>J16="T"</formula>
    </cfRule>
  </conditionalFormatting>
  <conditionalFormatting sqref="J19">
    <cfRule type="expression" dxfId="16349" priority="21764">
      <formula>J18="X"</formula>
    </cfRule>
    <cfRule type="expression" dxfId="16348" priority="21765">
      <formula>J18="A"</formula>
    </cfRule>
    <cfRule type="expression" dxfId="16347" priority="21766">
      <formula>J18="T"</formula>
    </cfRule>
  </conditionalFormatting>
  <conditionalFormatting sqref="J21">
    <cfRule type="expression" dxfId="16346" priority="21761">
      <formula>J20="X"</formula>
    </cfRule>
    <cfRule type="expression" dxfId="16345" priority="21762">
      <formula>J20="A"</formula>
    </cfRule>
    <cfRule type="expression" dxfId="16344" priority="21763">
      <formula>J20="T"</formula>
    </cfRule>
  </conditionalFormatting>
  <conditionalFormatting sqref="J23">
    <cfRule type="expression" dxfId="16343" priority="21758">
      <formula>J22="X"</formula>
    </cfRule>
    <cfRule type="expression" dxfId="16342" priority="21759">
      <formula>J22="A"</formula>
    </cfRule>
    <cfRule type="expression" dxfId="16341" priority="21760">
      <formula>J22="T"</formula>
    </cfRule>
  </conditionalFormatting>
  <conditionalFormatting sqref="J25">
    <cfRule type="expression" dxfId="16340" priority="21755">
      <formula>J24="X"</formula>
    </cfRule>
    <cfRule type="expression" dxfId="16339" priority="21756">
      <formula>J24="A"</formula>
    </cfRule>
    <cfRule type="expression" dxfId="16338" priority="21757">
      <formula>J24="T"</formula>
    </cfRule>
  </conditionalFormatting>
  <conditionalFormatting sqref="J27">
    <cfRule type="expression" dxfId="16337" priority="21752">
      <formula>J26="X"</formula>
    </cfRule>
    <cfRule type="expression" dxfId="16336" priority="21753">
      <formula>J26="A"</formula>
    </cfRule>
    <cfRule type="expression" dxfId="16335" priority="21754">
      <formula>J26="T"</formula>
    </cfRule>
  </conditionalFormatting>
  <conditionalFormatting sqref="J29">
    <cfRule type="expression" dxfId="16334" priority="21749">
      <formula>J28="X"</formula>
    </cfRule>
    <cfRule type="expression" dxfId="16333" priority="21750">
      <formula>J28="A"</formula>
    </cfRule>
    <cfRule type="expression" dxfId="16332" priority="21751">
      <formula>J28="T"</formula>
    </cfRule>
  </conditionalFormatting>
  <conditionalFormatting sqref="J31">
    <cfRule type="expression" dxfId="16331" priority="21746">
      <formula>J30="X"</formula>
    </cfRule>
    <cfRule type="expression" dxfId="16330" priority="21747">
      <formula>J30="A"</formula>
    </cfRule>
    <cfRule type="expression" dxfId="16329" priority="21748">
      <formula>J30="T"</formula>
    </cfRule>
  </conditionalFormatting>
  <conditionalFormatting sqref="J33">
    <cfRule type="expression" dxfId="16328" priority="21743">
      <formula>J32="X"</formula>
    </cfRule>
    <cfRule type="expression" dxfId="16327" priority="21744">
      <formula>J32="A"</formula>
    </cfRule>
    <cfRule type="expression" dxfId="16326" priority="21745">
      <formula>J32="T"</formula>
    </cfRule>
  </conditionalFormatting>
  <conditionalFormatting sqref="J35">
    <cfRule type="expression" dxfId="16325" priority="21740">
      <formula>J34="X"</formula>
    </cfRule>
    <cfRule type="expression" dxfId="16324" priority="21741">
      <formula>J34="A"</formula>
    </cfRule>
    <cfRule type="expression" dxfId="16323" priority="21742">
      <formula>J34="T"</formula>
    </cfRule>
  </conditionalFormatting>
  <conditionalFormatting sqref="J37">
    <cfRule type="expression" dxfId="16322" priority="21737">
      <formula>J36="X"</formula>
    </cfRule>
    <cfRule type="expression" dxfId="16321" priority="21738">
      <formula>J36="A"</formula>
    </cfRule>
    <cfRule type="expression" dxfId="16320" priority="21739">
      <formula>J36="T"</formula>
    </cfRule>
  </conditionalFormatting>
  <conditionalFormatting sqref="J40">
    <cfRule type="expression" dxfId="16319" priority="21734">
      <formula>J39="X"</formula>
    </cfRule>
    <cfRule type="expression" dxfId="16318" priority="21735">
      <formula>J39="A"</formula>
    </cfRule>
    <cfRule type="expression" dxfId="16317" priority="21736">
      <formula>J39="T"</formula>
    </cfRule>
  </conditionalFormatting>
  <conditionalFormatting sqref="J42">
    <cfRule type="expression" dxfId="16316" priority="21731">
      <formula>J41="X"</formula>
    </cfRule>
    <cfRule type="expression" dxfId="16315" priority="21732">
      <formula>J41="A"</formula>
    </cfRule>
    <cfRule type="expression" dxfId="16314" priority="21733">
      <formula>J41="T"</formula>
    </cfRule>
  </conditionalFormatting>
  <conditionalFormatting sqref="J44">
    <cfRule type="expression" dxfId="16313" priority="21728">
      <formula>J43="X"</formula>
    </cfRule>
    <cfRule type="expression" dxfId="16312" priority="21729">
      <formula>J43="A"</formula>
    </cfRule>
    <cfRule type="expression" dxfId="16311" priority="21730">
      <formula>J43="T"</formula>
    </cfRule>
  </conditionalFormatting>
  <conditionalFormatting sqref="J46">
    <cfRule type="expression" dxfId="16310" priority="21725">
      <formula>J45="X"</formula>
    </cfRule>
    <cfRule type="expression" dxfId="16309" priority="21726">
      <formula>J45="A"</formula>
    </cfRule>
    <cfRule type="expression" dxfId="16308" priority="21727">
      <formula>J45="T"</formula>
    </cfRule>
  </conditionalFormatting>
  <conditionalFormatting sqref="J49">
    <cfRule type="expression" dxfId="16307" priority="21722">
      <formula>J48="X"</formula>
    </cfRule>
    <cfRule type="expression" dxfId="16306" priority="21723">
      <formula>J48="A"</formula>
    </cfRule>
    <cfRule type="expression" dxfId="16305" priority="21724">
      <formula>J48="T"</formula>
    </cfRule>
  </conditionalFormatting>
  <conditionalFormatting sqref="J51">
    <cfRule type="expression" dxfId="16304" priority="21719">
      <formula>J50="X"</formula>
    </cfRule>
    <cfRule type="expression" dxfId="16303" priority="21720">
      <formula>J50="A"</formula>
    </cfRule>
    <cfRule type="expression" dxfId="16302" priority="21721">
      <formula>J50="T"</formula>
    </cfRule>
  </conditionalFormatting>
  <conditionalFormatting sqref="J53">
    <cfRule type="expression" dxfId="16301" priority="21716">
      <formula>J52="X"</formula>
    </cfRule>
    <cfRule type="expression" dxfId="16300" priority="21717">
      <formula>J52="A"</formula>
    </cfRule>
    <cfRule type="expression" dxfId="16299" priority="21718">
      <formula>J52="T"</formula>
    </cfRule>
  </conditionalFormatting>
  <conditionalFormatting sqref="J55">
    <cfRule type="expression" dxfId="16298" priority="21713">
      <formula>J54="X"</formula>
    </cfRule>
    <cfRule type="expression" dxfId="16297" priority="21714">
      <formula>J54="A"</formula>
    </cfRule>
    <cfRule type="expression" dxfId="16296" priority="21715">
      <formula>J54="T"</formula>
    </cfRule>
  </conditionalFormatting>
  <conditionalFormatting sqref="J57">
    <cfRule type="expression" dxfId="16295" priority="21710">
      <formula>J56="X"</formula>
    </cfRule>
    <cfRule type="expression" dxfId="16294" priority="21711">
      <formula>J56="A"</formula>
    </cfRule>
    <cfRule type="expression" dxfId="16293" priority="21712">
      <formula>J56="T"</formula>
    </cfRule>
  </conditionalFormatting>
  <conditionalFormatting sqref="J59">
    <cfRule type="expression" dxfId="16292" priority="21707">
      <formula>J58="X"</formula>
    </cfRule>
    <cfRule type="expression" dxfId="16291" priority="21708">
      <formula>J58="A"</formula>
    </cfRule>
    <cfRule type="expression" dxfId="16290" priority="21709">
      <formula>J58="T"</formula>
    </cfRule>
  </conditionalFormatting>
  <conditionalFormatting sqref="J64">
    <cfRule type="expression" dxfId="16289" priority="21704">
      <formula>J63="X"</formula>
    </cfRule>
    <cfRule type="expression" dxfId="16288" priority="21705">
      <formula>J63="A"</formula>
    </cfRule>
    <cfRule type="expression" dxfId="16287" priority="21706">
      <formula>J63="T"</formula>
    </cfRule>
  </conditionalFormatting>
  <conditionalFormatting sqref="J66">
    <cfRule type="expression" dxfId="16286" priority="21701">
      <formula>J65="X"</formula>
    </cfRule>
    <cfRule type="expression" dxfId="16285" priority="21702">
      <formula>J65="A"</formula>
    </cfRule>
    <cfRule type="expression" dxfId="16284" priority="21703">
      <formula>J65="T"</formula>
    </cfRule>
  </conditionalFormatting>
  <conditionalFormatting sqref="J68">
    <cfRule type="expression" dxfId="16283" priority="21698">
      <formula>J67="X"</formula>
    </cfRule>
    <cfRule type="expression" dxfId="16282" priority="21699">
      <formula>J67="A"</formula>
    </cfRule>
    <cfRule type="expression" dxfId="16281" priority="21700">
      <formula>J67="T"</formula>
    </cfRule>
  </conditionalFormatting>
  <conditionalFormatting sqref="J82">
    <cfRule type="expression" dxfId="16280" priority="21695">
      <formula>J81="X"</formula>
    </cfRule>
    <cfRule type="expression" dxfId="16279" priority="21696">
      <formula>J81="A"</formula>
    </cfRule>
    <cfRule type="expression" dxfId="16278" priority="21697">
      <formula>J81="T"</formula>
    </cfRule>
  </conditionalFormatting>
  <conditionalFormatting sqref="J84">
    <cfRule type="expression" dxfId="16277" priority="21692">
      <formula>J83="X"</formula>
    </cfRule>
    <cfRule type="expression" dxfId="16276" priority="21693">
      <formula>J83="A"</formula>
    </cfRule>
    <cfRule type="expression" dxfId="16275" priority="21694">
      <formula>J83="T"</formula>
    </cfRule>
  </conditionalFormatting>
  <conditionalFormatting sqref="J86">
    <cfRule type="expression" dxfId="16274" priority="21689">
      <formula>J85="X"</formula>
    </cfRule>
    <cfRule type="expression" dxfId="16273" priority="21690">
      <formula>J85="A"</formula>
    </cfRule>
    <cfRule type="expression" dxfId="16272" priority="21691">
      <formula>J85="T"</formula>
    </cfRule>
  </conditionalFormatting>
  <conditionalFormatting sqref="J89">
    <cfRule type="expression" dxfId="16271" priority="21686">
      <formula>J88="X"</formula>
    </cfRule>
    <cfRule type="expression" dxfId="16270" priority="21687">
      <formula>J88="A"</formula>
    </cfRule>
    <cfRule type="expression" dxfId="16269" priority="21688">
      <formula>J88="T"</formula>
    </cfRule>
  </conditionalFormatting>
  <conditionalFormatting sqref="J91">
    <cfRule type="expression" dxfId="16268" priority="21683">
      <formula>J90="X"</formula>
    </cfRule>
    <cfRule type="expression" dxfId="16267" priority="21684">
      <formula>J90="A"</formula>
    </cfRule>
    <cfRule type="expression" dxfId="16266" priority="21685">
      <formula>J90="T"</formula>
    </cfRule>
  </conditionalFormatting>
  <conditionalFormatting sqref="J93">
    <cfRule type="expression" dxfId="16265" priority="21680">
      <formula>J92="X"</formula>
    </cfRule>
    <cfRule type="expression" dxfId="16264" priority="21681">
      <formula>J92="A"</formula>
    </cfRule>
    <cfRule type="expression" dxfId="16263" priority="21682">
      <formula>J92="T"</formula>
    </cfRule>
  </conditionalFormatting>
  <conditionalFormatting sqref="J95">
    <cfRule type="expression" dxfId="16262" priority="21677">
      <formula>J94="X"</formula>
    </cfRule>
    <cfRule type="expression" dxfId="16261" priority="21678">
      <formula>J94="A"</formula>
    </cfRule>
    <cfRule type="expression" dxfId="16260" priority="21679">
      <formula>J94="T"</formula>
    </cfRule>
  </conditionalFormatting>
  <conditionalFormatting sqref="J97">
    <cfRule type="expression" dxfId="16259" priority="21674">
      <formula>J96="X"</formula>
    </cfRule>
    <cfRule type="expression" dxfId="16258" priority="21675">
      <formula>J96="A"</formula>
    </cfRule>
    <cfRule type="expression" dxfId="16257" priority="21676">
      <formula>J96="T"</formula>
    </cfRule>
  </conditionalFormatting>
  <conditionalFormatting sqref="J99">
    <cfRule type="expression" dxfId="16256" priority="21671">
      <formula>J98="X"</formula>
    </cfRule>
    <cfRule type="expression" dxfId="16255" priority="21672">
      <formula>J98="A"</formula>
    </cfRule>
    <cfRule type="expression" dxfId="16254" priority="21673">
      <formula>J98="T"</formula>
    </cfRule>
  </conditionalFormatting>
  <conditionalFormatting sqref="J101">
    <cfRule type="expression" dxfId="16253" priority="21668">
      <formula>J100="X"</formula>
    </cfRule>
    <cfRule type="expression" dxfId="16252" priority="21669">
      <formula>J100="A"</formula>
    </cfRule>
    <cfRule type="expression" dxfId="16251" priority="21670">
      <formula>J100="T"</formula>
    </cfRule>
  </conditionalFormatting>
  <conditionalFormatting sqref="J103">
    <cfRule type="expression" dxfId="16250" priority="21665">
      <formula>J102="X"</formula>
    </cfRule>
    <cfRule type="expression" dxfId="16249" priority="21666">
      <formula>J102="A"</formula>
    </cfRule>
    <cfRule type="expression" dxfId="16248" priority="21667">
      <formula>J102="T"</formula>
    </cfRule>
  </conditionalFormatting>
  <conditionalFormatting sqref="J106">
    <cfRule type="expression" dxfId="16247" priority="21662">
      <formula>J105="X"</formula>
    </cfRule>
    <cfRule type="expression" dxfId="16246" priority="21663">
      <formula>J105="A"</formula>
    </cfRule>
    <cfRule type="expression" dxfId="16245" priority="21664">
      <formula>J105="T"</formula>
    </cfRule>
  </conditionalFormatting>
  <conditionalFormatting sqref="J108">
    <cfRule type="expression" dxfId="16244" priority="21659">
      <formula>J107="X"</formula>
    </cfRule>
    <cfRule type="expression" dxfId="16243" priority="21660">
      <formula>J107="A"</formula>
    </cfRule>
    <cfRule type="expression" dxfId="16242" priority="21661">
      <formula>J107="T"</formula>
    </cfRule>
  </conditionalFormatting>
  <conditionalFormatting sqref="J110">
    <cfRule type="expression" dxfId="16241" priority="21656">
      <formula>J109="X"</formula>
    </cfRule>
    <cfRule type="expression" dxfId="16240" priority="21657">
      <formula>J109="A"</formula>
    </cfRule>
    <cfRule type="expression" dxfId="16239" priority="21658">
      <formula>J109="T"</formula>
    </cfRule>
  </conditionalFormatting>
  <conditionalFormatting sqref="J112">
    <cfRule type="expression" dxfId="16238" priority="21653">
      <formula>J111="X"</formula>
    </cfRule>
    <cfRule type="expression" dxfId="16237" priority="21654">
      <formula>J111="A"</formula>
    </cfRule>
    <cfRule type="expression" dxfId="16236" priority="21655">
      <formula>J111="T"</formula>
    </cfRule>
  </conditionalFormatting>
  <conditionalFormatting sqref="J114">
    <cfRule type="expression" dxfId="16235" priority="21650">
      <formula>J113="X"</formula>
    </cfRule>
    <cfRule type="expression" dxfId="16234" priority="21651">
      <formula>J113="A"</formula>
    </cfRule>
    <cfRule type="expression" dxfId="16233" priority="21652">
      <formula>J113="T"</formula>
    </cfRule>
  </conditionalFormatting>
  <conditionalFormatting sqref="J117">
    <cfRule type="expression" dxfId="16232" priority="21647">
      <formula>J116="X"</formula>
    </cfRule>
    <cfRule type="expression" dxfId="16231" priority="21648">
      <formula>J116="A"</formula>
    </cfRule>
    <cfRule type="expression" dxfId="16230" priority="21649">
      <formula>J116="T"</formula>
    </cfRule>
  </conditionalFormatting>
  <conditionalFormatting sqref="J119">
    <cfRule type="expression" dxfId="16229" priority="21644">
      <formula>J118="X"</formula>
    </cfRule>
    <cfRule type="expression" dxfId="16228" priority="21645">
      <formula>J118="A"</formula>
    </cfRule>
    <cfRule type="expression" dxfId="16227" priority="21646">
      <formula>J118="T"</formula>
    </cfRule>
  </conditionalFormatting>
  <conditionalFormatting sqref="J121">
    <cfRule type="expression" dxfId="16226" priority="21641">
      <formula>J120="X"</formula>
    </cfRule>
    <cfRule type="expression" dxfId="16225" priority="21642">
      <formula>J120="A"</formula>
    </cfRule>
    <cfRule type="expression" dxfId="16224" priority="21643">
      <formula>J120="T"</formula>
    </cfRule>
  </conditionalFormatting>
  <conditionalFormatting sqref="J123">
    <cfRule type="expression" dxfId="16223" priority="21638">
      <formula>J122="X"</formula>
    </cfRule>
    <cfRule type="expression" dxfId="16222" priority="21639">
      <formula>J122="A"</formula>
    </cfRule>
    <cfRule type="expression" dxfId="16221" priority="21640">
      <formula>J122="T"</formula>
    </cfRule>
  </conditionalFormatting>
  <conditionalFormatting sqref="J126">
    <cfRule type="expression" dxfId="16220" priority="21635">
      <formula>J125="X"</formula>
    </cfRule>
    <cfRule type="expression" dxfId="16219" priority="21636">
      <formula>J125="A"</formula>
    </cfRule>
    <cfRule type="expression" dxfId="16218" priority="21637">
      <formula>J125="T"</formula>
    </cfRule>
  </conditionalFormatting>
  <conditionalFormatting sqref="J128">
    <cfRule type="expression" dxfId="16217" priority="21632">
      <formula>J127="X"</formula>
    </cfRule>
    <cfRule type="expression" dxfId="16216" priority="21633">
      <formula>J127="A"</formula>
    </cfRule>
    <cfRule type="expression" dxfId="16215" priority="21634">
      <formula>J127="T"</formula>
    </cfRule>
  </conditionalFormatting>
  <conditionalFormatting sqref="J142">
    <cfRule type="expression" dxfId="16214" priority="21629">
      <formula>J141="X"</formula>
    </cfRule>
    <cfRule type="expression" dxfId="16213" priority="21630">
      <formula>J141="A"</formula>
    </cfRule>
    <cfRule type="expression" dxfId="16212" priority="21631">
      <formula>J141="T"</formula>
    </cfRule>
  </conditionalFormatting>
  <conditionalFormatting sqref="J144">
    <cfRule type="expression" dxfId="16211" priority="21626">
      <formula>J143="X"</formula>
    </cfRule>
    <cfRule type="expression" dxfId="16210" priority="21627">
      <formula>J143="A"</formula>
    </cfRule>
    <cfRule type="expression" dxfId="16209" priority="21628">
      <formula>J143="T"</formula>
    </cfRule>
  </conditionalFormatting>
  <conditionalFormatting sqref="J150">
    <cfRule type="expression" dxfId="16208" priority="21623">
      <formula>J149="X"</formula>
    </cfRule>
    <cfRule type="expression" dxfId="16207" priority="21624">
      <formula>J149="A"</formula>
    </cfRule>
    <cfRule type="expression" dxfId="16206" priority="21625">
      <formula>J149="T"</formula>
    </cfRule>
  </conditionalFormatting>
  <conditionalFormatting sqref="J152">
    <cfRule type="expression" dxfId="16205" priority="21620">
      <formula>J151="X"</formula>
    </cfRule>
    <cfRule type="expression" dxfId="16204" priority="21621">
      <formula>J151="A"</formula>
    </cfRule>
    <cfRule type="expression" dxfId="16203" priority="21622">
      <formula>J151="T"</formula>
    </cfRule>
  </conditionalFormatting>
  <conditionalFormatting sqref="J156">
    <cfRule type="expression" dxfId="16202" priority="21617">
      <formula>J155="X"</formula>
    </cfRule>
    <cfRule type="expression" dxfId="16201" priority="21618">
      <formula>J155="A"</formula>
    </cfRule>
    <cfRule type="expression" dxfId="16200" priority="21619">
      <formula>J155="T"</formula>
    </cfRule>
  </conditionalFormatting>
  <conditionalFormatting sqref="J168">
    <cfRule type="expression" dxfId="16199" priority="21611">
      <formula>J167="X"</formula>
    </cfRule>
    <cfRule type="expression" dxfId="16198" priority="21612">
      <formula>J167="A"</formula>
    </cfRule>
    <cfRule type="expression" dxfId="16197" priority="21613">
      <formula>J167="T"</formula>
    </cfRule>
  </conditionalFormatting>
  <conditionalFormatting sqref="J170">
    <cfRule type="expression" dxfId="16196" priority="21608">
      <formula>J169="X"</formula>
    </cfRule>
    <cfRule type="expression" dxfId="16195" priority="21609">
      <formula>J169="A"</formula>
    </cfRule>
    <cfRule type="expression" dxfId="16194" priority="21610">
      <formula>J169="T"</formula>
    </cfRule>
  </conditionalFormatting>
  <conditionalFormatting sqref="J172">
    <cfRule type="expression" dxfId="16193" priority="21605">
      <formula>J171="X"</formula>
    </cfRule>
    <cfRule type="expression" dxfId="16192" priority="21606">
      <formula>J171="A"</formula>
    </cfRule>
    <cfRule type="expression" dxfId="16191" priority="21607">
      <formula>J171="T"</formula>
    </cfRule>
  </conditionalFormatting>
  <conditionalFormatting sqref="J174">
    <cfRule type="expression" dxfId="16190" priority="21602">
      <formula>J173="X"</formula>
    </cfRule>
    <cfRule type="expression" dxfId="16189" priority="21603">
      <formula>J173="A"</formula>
    </cfRule>
    <cfRule type="expression" dxfId="16188" priority="21604">
      <formula>J173="T"</formula>
    </cfRule>
  </conditionalFormatting>
  <conditionalFormatting sqref="J176">
    <cfRule type="expression" dxfId="16187" priority="21599">
      <formula>J175="X"</formula>
    </cfRule>
    <cfRule type="expression" dxfId="16186" priority="21600">
      <formula>J175="A"</formula>
    </cfRule>
    <cfRule type="expression" dxfId="16185" priority="21601">
      <formula>J175="T"</formula>
    </cfRule>
  </conditionalFormatting>
  <conditionalFormatting sqref="J178">
    <cfRule type="expression" dxfId="16184" priority="21596">
      <formula>J177="X"</formula>
    </cfRule>
    <cfRule type="expression" dxfId="16183" priority="21597">
      <formula>J177="A"</formula>
    </cfRule>
    <cfRule type="expression" dxfId="16182" priority="21598">
      <formula>J177="T"</formula>
    </cfRule>
  </conditionalFormatting>
  <conditionalFormatting sqref="J180">
    <cfRule type="expression" dxfId="16181" priority="21593">
      <formula>J179="X"</formula>
    </cfRule>
    <cfRule type="expression" dxfId="16180" priority="21594">
      <formula>J179="A"</formula>
    </cfRule>
    <cfRule type="expression" dxfId="16179" priority="21595">
      <formula>J179="T"</formula>
    </cfRule>
  </conditionalFormatting>
  <conditionalFormatting sqref="J184">
    <cfRule type="expression" dxfId="16178" priority="21590">
      <formula>J183="X"</formula>
    </cfRule>
    <cfRule type="expression" dxfId="16177" priority="21591">
      <formula>J183="A"</formula>
    </cfRule>
    <cfRule type="expression" dxfId="16176" priority="21592">
      <formula>J183="T"</formula>
    </cfRule>
  </conditionalFormatting>
  <conditionalFormatting sqref="J186">
    <cfRule type="expression" dxfId="16175" priority="21587">
      <formula>J185="X"</formula>
    </cfRule>
    <cfRule type="expression" dxfId="16174" priority="21588">
      <formula>J185="A"</formula>
    </cfRule>
    <cfRule type="expression" dxfId="16173" priority="21589">
      <formula>J185="T"</formula>
    </cfRule>
  </conditionalFormatting>
  <conditionalFormatting sqref="J190">
    <cfRule type="expression" dxfId="16172" priority="21584">
      <formula>J189="X"</formula>
    </cfRule>
    <cfRule type="expression" dxfId="16171" priority="21585">
      <formula>J189="A"</formula>
    </cfRule>
    <cfRule type="expression" dxfId="16170" priority="21586">
      <formula>J189="T"</formula>
    </cfRule>
  </conditionalFormatting>
  <conditionalFormatting sqref="J192">
    <cfRule type="expression" dxfId="16169" priority="21581">
      <formula>J191="X"</formula>
    </cfRule>
    <cfRule type="expression" dxfId="16168" priority="21582">
      <formula>J191="A"</formula>
    </cfRule>
    <cfRule type="expression" dxfId="16167" priority="21583">
      <formula>J191="T"</formula>
    </cfRule>
  </conditionalFormatting>
  <conditionalFormatting sqref="J208">
    <cfRule type="expression" dxfId="16166" priority="21572">
      <formula>J207="X"</formula>
    </cfRule>
    <cfRule type="expression" dxfId="16165" priority="21573">
      <formula>J207="A"</formula>
    </cfRule>
    <cfRule type="expression" dxfId="16164" priority="21574">
      <formula>J207="T"</formula>
    </cfRule>
  </conditionalFormatting>
  <conditionalFormatting sqref="J211">
    <cfRule type="expression" dxfId="16163" priority="21566">
      <formula>J211="X"</formula>
    </cfRule>
    <cfRule type="expression" dxfId="16162" priority="21567">
      <formula>J211="A"</formula>
    </cfRule>
    <cfRule type="expression" dxfId="16161" priority="21568">
      <formula>J211="T"</formula>
    </cfRule>
  </conditionalFormatting>
  <conditionalFormatting sqref="J212">
    <cfRule type="expression" dxfId="16160" priority="21563">
      <formula>J211="X"</formula>
    </cfRule>
    <cfRule type="expression" dxfId="16159" priority="21564">
      <formula>J211="A"</formula>
    </cfRule>
    <cfRule type="expression" dxfId="16158" priority="21565">
      <formula>J211="T"</formula>
    </cfRule>
  </conditionalFormatting>
  <conditionalFormatting sqref="J213">
    <cfRule type="expression" dxfId="16157" priority="21560">
      <formula>J213="X"</formula>
    </cfRule>
    <cfRule type="expression" dxfId="16156" priority="21561">
      <formula>J213="A"</formula>
    </cfRule>
    <cfRule type="expression" dxfId="16155" priority="21562">
      <formula>J213="T"</formula>
    </cfRule>
  </conditionalFormatting>
  <conditionalFormatting sqref="J214">
    <cfRule type="expression" dxfId="16154" priority="21557">
      <formula>J213="X"</formula>
    </cfRule>
    <cfRule type="expression" dxfId="16153" priority="21558">
      <formula>J213="A"</formula>
    </cfRule>
    <cfRule type="expression" dxfId="16152" priority="21559">
      <formula>J213="T"</formula>
    </cfRule>
  </conditionalFormatting>
  <conditionalFormatting sqref="J215">
    <cfRule type="expression" dxfId="16151" priority="21554">
      <formula>J215="X"</formula>
    </cfRule>
    <cfRule type="expression" dxfId="16150" priority="21555">
      <formula>J215="A"</formula>
    </cfRule>
    <cfRule type="expression" dxfId="16149" priority="21556">
      <formula>J215="T"</formula>
    </cfRule>
  </conditionalFormatting>
  <conditionalFormatting sqref="J216">
    <cfRule type="expression" dxfId="16148" priority="21551">
      <formula>J215="X"</formula>
    </cfRule>
    <cfRule type="expression" dxfId="16147" priority="21552">
      <formula>J215="A"</formula>
    </cfRule>
    <cfRule type="expression" dxfId="16146" priority="21553">
      <formula>J215="T"</formula>
    </cfRule>
  </conditionalFormatting>
  <conditionalFormatting sqref="J217">
    <cfRule type="expression" dxfId="16145" priority="21548">
      <formula>J217="X"</formula>
    </cfRule>
    <cfRule type="expression" dxfId="16144" priority="21549">
      <formula>J217="A"</formula>
    </cfRule>
    <cfRule type="expression" dxfId="16143" priority="21550">
      <formula>J217="T"</formula>
    </cfRule>
  </conditionalFormatting>
  <conditionalFormatting sqref="J218">
    <cfRule type="expression" dxfId="16142" priority="21545">
      <formula>J217="X"</formula>
    </cfRule>
    <cfRule type="expression" dxfId="16141" priority="21546">
      <formula>J217="A"</formula>
    </cfRule>
    <cfRule type="expression" dxfId="16140" priority="21547">
      <formula>J217="T"</formula>
    </cfRule>
  </conditionalFormatting>
  <conditionalFormatting sqref="J219">
    <cfRule type="expression" dxfId="16139" priority="21542">
      <formula>J219="X"</formula>
    </cfRule>
    <cfRule type="expression" dxfId="16138" priority="21543">
      <formula>J219="A"</formula>
    </cfRule>
    <cfRule type="expression" dxfId="16137" priority="21544">
      <formula>J219="T"</formula>
    </cfRule>
  </conditionalFormatting>
  <conditionalFormatting sqref="J220">
    <cfRule type="expression" dxfId="16136" priority="21539">
      <formula>J219="X"</formula>
    </cfRule>
    <cfRule type="expression" dxfId="16135" priority="21540">
      <formula>J219="A"</formula>
    </cfRule>
    <cfRule type="expression" dxfId="16134" priority="21541">
      <formula>J219="T"</formula>
    </cfRule>
  </conditionalFormatting>
  <conditionalFormatting sqref="J221">
    <cfRule type="expression" dxfId="16133" priority="21536">
      <formula>J221="X"</formula>
    </cfRule>
    <cfRule type="expression" dxfId="16132" priority="21537">
      <formula>J221="A"</formula>
    </cfRule>
    <cfRule type="expression" dxfId="16131" priority="21538">
      <formula>J221="T"</formula>
    </cfRule>
  </conditionalFormatting>
  <conditionalFormatting sqref="J222">
    <cfRule type="expression" dxfId="16130" priority="21533">
      <formula>J221="X"</formula>
    </cfRule>
    <cfRule type="expression" dxfId="16129" priority="21534">
      <formula>J221="A"</formula>
    </cfRule>
    <cfRule type="expression" dxfId="16128" priority="21535">
      <formula>J221="T"</formula>
    </cfRule>
  </conditionalFormatting>
  <conditionalFormatting sqref="J223">
    <cfRule type="expression" dxfId="16127" priority="21530">
      <formula>J223="X"</formula>
    </cfRule>
    <cfRule type="expression" dxfId="16126" priority="21531">
      <formula>J223="A"</formula>
    </cfRule>
    <cfRule type="expression" dxfId="16125" priority="21532">
      <formula>J223="T"</formula>
    </cfRule>
  </conditionalFormatting>
  <conditionalFormatting sqref="J224">
    <cfRule type="expression" dxfId="16124" priority="21527">
      <formula>J223="X"</formula>
    </cfRule>
    <cfRule type="expression" dxfId="16123" priority="21528">
      <formula>J223="A"</formula>
    </cfRule>
    <cfRule type="expression" dxfId="16122" priority="21529">
      <formula>J223="T"</formula>
    </cfRule>
  </conditionalFormatting>
  <conditionalFormatting sqref="J4">
    <cfRule type="expression" dxfId="16121" priority="21524">
      <formula>J4="X"</formula>
    </cfRule>
    <cfRule type="expression" dxfId="16120" priority="21525">
      <formula>J4="A"</formula>
    </cfRule>
    <cfRule type="expression" dxfId="16119" priority="21526">
      <formula>J4="T"</formula>
    </cfRule>
  </conditionalFormatting>
  <conditionalFormatting sqref="J5">
    <cfRule type="expression" dxfId="16118" priority="21521">
      <formula>J4="X"</formula>
    </cfRule>
    <cfRule type="expression" dxfId="16117" priority="21522">
      <formula>J4="A"</formula>
    </cfRule>
    <cfRule type="expression" dxfId="16116" priority="21523">
      <formula>J4="T"</formula>
    </cfRule>
  </conditionalFormatting>
  <conditionalFormatting sqref="J6">
    <cfRule type="expression" dxfId="16115" priority="21518">
      <formula>J6="X"</formula>
    </cfRule>
    <cfRule type="expression" dxfId="16114" priority="21519">
      <formula>J6="A"</formula>
    </cfRule>
    <cfRule type="expression" dxfId="16113" priority="21520">
      <formula>J6="T"</formula>
    </cfRule>
  </conditionalFormatting>
  <conditionalFormatting sqref="J7">
    <cfRule type="expression" dxfId="16112" priority="21515">
      <formula>J6="X"</formula>
    </cfRule>
    <cfRule type="expression" dxfId="16111" priority="21516">
      <formula>J6="A"</formula>
    </cfRule>
    <cfRule type="expression" dxfId="16110" priority="21517">
      <formula>J6="T"</formula>
    </cfRule>
  </conditionalFormatting>
  <conditionalFormatting sqref="J8">
    <cfRule type="expression" dxfId="16109" priority="21512">
      <formula>J8="X"</formula>
    </cfRule>
    <cfRule type="expression" dxfId="16108" priority="21513">
      <formula>J8="A"</formula>
    </cfRule>
    <cfRule type="expression" dxfId="16107" priority="21514">
      <formula>J8="T"</formula>
    </cfRule>
  </conditionalFormatting>
  <conditionalFormatting sqref="J9">
    <cfRule type="expression" dxfId="16106" priority="21509">
      <formula>J8="X"</formula>
    </cfRule>
    <cfRule type="expression" dxfId="16105" priority="21510">
      <formula>J8="A"</formula>
    </cfRule>
    <cfRule type="expression" dxfId="16104" priority="21511">
      <formula>J8="T"</formula>
    </cfRule>
  </conditionalFormatting>
  <conditionalFormatting sqref="J74">
    <cfRule type="expression" dxfId="16103" priority="21506">
      <formula>J74="X"</formula>
    </cfRule>
    <cfRule type="expression" dxfId="16102" priority="21507">
      <formula>J74="A"</formula>
    </cfRule>
    <cfRule type="expression" dxfId="16101" priority="21508">
      <formula>J74="T"</formula>
    </cfRule>
  </conditionalFormatting>
  <conditionalFormatting sqref="J75">
    <cfRule type="expression" dxfId="16100" priority="21503">
      <formula>J74="X"</formula>
    </cfRule>
    <cfRule type="expression" dxfId="16099" priority="21504">
      <formula>J74="A"</formula>
    </cfRule>
    <cfRule type="expression" dxfId="16098" priority="21505">
      <formula>J74="T"</formula>
    </cfRule>
  </conditionalFormatting>
  <conditionalFormatting sqref="J76">
    <cfRule type="expression" dxfId="16097" priority="21500">
      <formula>J76="X"</formula>
    </cfRule>
    <cfRule type="expression" dxfId="16096" priority="21501">
      <formula>J76="A"</formula>
    </cfRule>
    <cfRule type="expression" dxfId="16095" priority="21502">
      <formula>J76="T"</formula>
    </cfRule>
  </conditionalFormatting>
  <conditionalFormatting sqref="J77">
    <cfRule type="expression" dxfId="16094" priority="21497">
      <formula>J76="X"</formula>
    </cfRule>
    <cfRule type="expression" dxfId="16093" priority="21498">
      <formula>J76="A"</formula>
    </cfRule>
    <cfRule type="expression" dxfId="16092" priority="21499">
      <formula>J76="T"</formula>
    </cfRule>
  </conditionalFormatting>
  <conditionalFormatting sqref="J78">
    <cfRule type="expression" dxfId="16091" priority="21494">
      <formula>J78="X"</formula>
    </cfRule>
    <cfRule type="expression" dxfId="16090" priority="21495">
      <formula>J78="A"</formula>
    </cfRule>
    <cfRule type="expression" dxfId="16089" priority="21496">
      <formula>J78="T"</formula>
    </cfRule>
  </conditionalFormatting>
  <conditionalFormatting sqref="J79">
    <cfRule type="expression" dxfId="16088" priority="21491">
      <formula>J78="X"</formula>
    </cfRule>
    <cfRule type="expression" dxfId="16087" priority="21492">
      <formula>J78="A"</formula>
    </cfRule>
    <cfRule type="expression" dxfId="16086" priority="21493">
      <formula>J78="T"</formula>
    </cfRule>
  </conditionalFormatting>
  <conditionalFormatting sqref="J134">
    <cfRule type="expression" dxfId="16085" priority="21488">
      <formula>J134="X"</formula>
    </cfRule>
    <cfRule type="expression" dxfId="16084" priority="21489">
      <formula>J134="A"</formula>
    </cfRule>
    <cfRule type="expression" dxfId="16083" priority="21490">
      <formula>J134="T"</formula>
    </cfRule>
  </conditionalFormatting>
  <conditionalFormatting sqref="J135">
    <cfRule type="expression" dxfId="16082" priority="21485">
      <formula>J134="X"</formula>
    </cfRule>
    <cfRule type="expression" dxfId="16081" priority="21486">
      <formula>J134="A"</formula>
    </cfRule>
    <cfRule type="expression" dxfId="16080" priority="21487">
      <formula>J134="T"</formula>
    </cfRule>
  </conditionalFormatting>
  <conditionalFormatting sqref="J136">
    <cfRule type="expression" dxfId="16079" priority="21482">
      <formula>J136="X"</formula>
    </cfRule>
    <cfRule type="expression" dxfId="16078" priority="21483">
      <formula>J136="A"</formula>
    </cfRule>
    <cfRule type="expression" dxfId="16077" priority="21484">
      <formula>J136="T"</formula>
    </cfRule>
  </conditionalFormatting>
  <conditionalFormatting sqref="J137">
    <cfRule type="expression" dxfId="16076" priority="21479">
      <formula>J136="X"</formula>
    </cfRule>
    <cfRule type="expression" dxfId="16075" priority="21480">
      <formula>J136="A"</formula>
    </cfRule>
    <cfRule type="expression" dxfId="16074" priority="21481">
      <formula>J136="T"</formula>
    </cfRule>
  </conditionalFormatting>
  <conditionalFormatting sqref="J138">
    <cfRule type="expression" dxfId="16073" priority="21476">
      <formula>J138="X"</formula>
    </cfRule>
    <cfRule type="expression" dxfId="16072" priority="21477">
      <formula>J138="A"</formula>
    </cfRule>
    <cfRule type="expression" dxfId="16071" priority="21478">
      <formula>J138="T"</formula>
    </cfRule>
  </conditionalFormatting>
  <conditionalFormatting sqref="J139">
    <cfRule type="expression" dxfId="16070" priority="21473">
      <formula>J138="X"</formula>
    </cfRule>
    <cfRule type="expression" dxfId="16069" priority="21474">
      <formula>J138="A"</formula>
    </cfRule>
    <cfRule type="expression" dxfId="16068" priority="21475">
      <formula>J138="T"</formula>
    </cfRule>
  </conditionalFormatting>
  <conditionalFormatting sqref="J15">
    <cfRule type="expression" dxfId="16067" priority="21467" stopIfTrue="1">
      <formula>J11=""</formula>
    </cfRule>
  </conditionalFormatting>
  <conditionalFormatting sqref="J15">
    <cfRule type="expression" dxfId="16066" priority="21468" stopIfTrue="1">
      <formula>J15=1</formula>
    </cfRule>
    <cfRule type="colorScale" priority="21469">
      <colorScale>
        <cfvo type="num" val="0"/>
        <cfvo type="num" val="0.5"/>
        <cfvo type="num" val="1"/>
        <color rgb="FFF8696B"/>
        <color theme="4" tint="0.79998168889431442"/>
        <color rgb="FF5A8AC6"/>
      </colorScale>
    </cfRule>
  </conditionalFormatting>
  <conditionalFormatting sqref="J38">
    <cfRule type="expression" dxfId="16065" priority="21464" stopIfTrue="1">
      <formula>J16=""</formula>
    </cfRule>
  </conditionalFormatting>
  <conditionalFormatting sqref="J38">
    <cfRule type="expression" dxfId="16064" priority="21465" stopIfTrue="1">
      <formula>J38=1</formula>
    </cfRule>
    <cfRule type="colorScale" priority="21466">
      <colorScale>
        <cfvo type="num" val="0"/>
        <cfvo type="num" val="0.5"/>
        <cfvo type="num" val="1"/>
        <color rgb="FFF8696B"/>
        <color theme="4" tint="0.79998168889431442"/>
        <color rgb="FF5A8AC6"/>
      </colorScale>
    </cfRule>
  </conditionalFormatting>
  <conditionalFormatting sqref="J47">
    <cfRule type="expression" dxfId="16063" priority="21461" stopIfTrue="1">
      <formula>J39=""</formula>
    </cfRule>
  </conditionalFormatting>
  <conditionalFormatting sqref="J47">
    <cfRule type="expression" dxfId="16062" priority="21462" stopIfTrue="1">
      <formula>J47=1</formula>
    </cfRule>
    <cfRule type="colorScale" priority="21463">
      <colorScale>
        <cfvo type="num" val="0"/>
        <cfvo type="num" val="0.5"/>
        <cfvo type="num" val="1"/>
        <color rgb="FFF8696B"/>
        <color theme="4" tint="0.79998168889431442"/>
        <color rgb="FF5A8AC6"/>
      </colorScale>
    </cfRule>
  </conditionalFormatting>
  <conditionalFormatting sqref="J69">
    <cfRule type="expression" dxfId="16061" priority="21455" stopIfTrue="1">
      <formula>J63=""</formula>
    </cfRule>
  </conditionalFormatting>
  <conditionalFormatting sqref="J69">
    <cfRule type="expression" dxfId="16060" priority="21456" stopIfTrue="1">
      <formula>J69=1</formula>
    </cfRule>
    <cfRule type="colorScale" priority="21457">
      <colorScale>
        <cfvo type="num" val="0"/>
        <cfvo type="num" val="0.5"/>
        <cfvo type="num" val="1"/>
        <color rgb="FFF8696B"/>
        <color theme="4" tint="0.79998168889431442"/>
        <color rgb="FF5A8AC6"/>
      </colorScale>
    </cfRule>
  </conditionalFormatting>
  <conditionalFormatting sqref="J234:J236 J230:J232">
    <cfRule type="expression" dxfId="16059" priority="21399" stopIfTrue="1">
      <formula>J230=_xlfn.UNICHAR(10003)</formula>
    </cfRule>
    <cfRule type="colorScale" priority="21400">
      <colorScale>
        <cfvo type="num" val="0"/>
        <cfvo type="num" val="0.5"/>
        <cfvo type="num" val="1"/>
        <color rgb="FFF8696B"/>
        <color theme="4" tint="0.79998168889431442"/>
        <color rgb="FF5A8AC6"/>
      </colorScale>
    </cfRule>
  </conditionalFormatting>
  <conditionalFormatting sqref="J239">
    <cfRule type="expression" dxfId="16058" priority="21397" stopIfTrue="1">
      <formula>J239=_xlfn.UNICHAR(10003)</formula>
    </cfRule>
    <cfRule type="colorScale" priority="21398">
      <colorScale>
        <cfvo type="num" val="0"/>
        <cfvo type="num" val="0.5"/>
        <cfvo type="num" val="1"/>
        <color rgb="FFF8696B"/>
        <color theme="4" tint="0.79998168889431442"/>
        <color rgb="FF5A8AC6"/>
      </colorScale>
    </cfRule>
  </conditionalFormatting>
  <conditionalFormatting sqref="J239">
    <cfRule type="expression" dxfId="16057" priority="21395" stopIfTrue="1">
      <formula>J239=1</formula>
    </cfRule>
    <cfRule type="colorScale" priority="21396">
      <colorScale>
        <cfvo type="num" val="0"/>
        <cfvo type="num" val="0.5"/>
        <cfvo type="num" val="1"/>
        <color rgb="FFF8696B"/>
        <color theme="4" tint="0.79998168889431442"/>
        <color rgb="FF5A8AC6"/>
      </colorScale>
    </cfRule>
  </conditionalFormatting>
  <conditionalFormatting sqref="K16 K18 K20 K22 K24 K26 K28 K39 K41 K43 K45 K48 K81 K88 K90 K92 K94 K96 K98 K100 K102 K105 K107 K109 K111 K116">
    <cfRule type="expression" dxfId="16056" priority="21392">
      <formula>K16="X"</formula>
    </cfRule>
    <cfRule type="expression" dxfId="16055" priority="21393">
      <formula>K16="A"</formula>
    </cfRule>
    <cfRule type="expression" dxfId="16054" priority="21394">
      <formula>K16="T"</formula>
    </cfRule>
  </conditionalFormatting>
  <conditionalFormatting sqref="K36">
    <cfRule type="expression" dxfId="16053" priority="21389">
      <formula>K36="X"</formula>
    </cfRule>
    <cfRule type="expression" dxfId="16052" priority="21390">
      <formula>K36="A"</formula>
    </cfRule>
    <cfRule type="expression" dxfId="16051" priority="21391">
      <formula>K36="T"</formula>
    </cfRule>
  </conditionalFormatting>
  <conditionalFormatting sqref="K34">
    <cfRule type="expression" dxfId="16050" priority="21386">
      <formula>K34="X"</formula>
    </cfRule>
    <cfRule type="expression" dxfId="16049" priority="21387">
      <formula>K34="A"</formula>
    </cfRule>
    <cfRule type="expression" dxfId="16048" priority="21388">
      <formula>K34="T"</formula>
    </cfRule>
  </conditionalFormatting>
  <conditionalFormatting sqref="K32">
    <cfRule type="expression" dxfId="16047" priority="21383">
      <formula>K32="X"</formula>
    </cfRule>
    <cfRule type="expression" dxfId="16046" priority="21384">
      <formula>K32="A"</formula>
    </cfRule>
    <cfRule type="expression" dxfId="16045" priority="21385">
      <formula>K32="T"</formula>
    </cfRule>
  </conditionalFormatting>
  <conditionalFormatting sqref="K30">
    <cfRule type="expression" dxfId="16044" priority="21380">
      <formula>K30="X"</formula>
    </cfRule>
    <cfRule type="expression" dxfId="16043" priority="21381">
      <formula>K30="A"</formula>
    </cfRule>
    <cfRule type="expression" dxfId="16042" priority="21382">
      <formula>K30="T"</formula>
    </cfRule>
  </conditionalFormatting>
  <conditionalFormatting sqref="K52">
    <cfRule type="expression" dxfId="16041" priority="21377">
      <formula>K52="X"</formula>
    </cfRule>
    <cfRule type="expression" dxfId="16040" priority="21378">
      <formula>K52="A"</formula>
    </cfRule>
    <cfRule type="expression" dxfId="16039" priority="21379">
      <formula>K52="T"</formula>
    </cfRule>
  </conditionalFormatting>
  <conditionalFormatting sqref="K50">
    <cfRule type="expression" dxfId="16038" priority="21374">
      <formula>K50="X"</formula>
    </cfRule>
    <cfRule type="expression" dxfId="16037" priority="21375">
      <formula>K50="A"</formula>
    </cfRule>
    <cfRule type="expression" dxfId="16036" priority="21376">
      <formula>K50="T"</formula>
    </cfRule>
  </conditionalFormatting>
  <conditionalFormatting sqref="K54">
    <cfRule type="expression" dxfId="16035" priority="21371">
      <formula>K54="X"</formula>
    </cfRule>
    <cfRule type="expression" dxfId="16034" priority="21372">
      <formula>K54="A"</formula>
    </cfRule>
    <cfRule type="expression" dxfId="16033" priority="21373">
      <formula>K54="T"</formula>
    </cfRule>
  </conditionalFormatting>
  <conditionalFormatting sqref="K56">
    <cfRule type="expression" dxfId="16032" priority="21368">
      <formula>K56="X"</formula>
    </cfRule>
    <cfRule type="expression" dxfId="16031" priority="21369">
      <formula>K56="A"</formula>
    </cfRule>
    <cfRule type="expression" dxfId="16030" priority="21370">
      <formula>K56="T"</formula>
    </cfRule>
  </conditionalFormatting>
  <conditionalFormatting sqref="K58">
    <cfRule type="expression" dxfId="16029" priority="21365">
      <formula>K58="X"</formula>
    </cfRule>
    <cfRule type="expression" dxfId="16028" priority="21366">
      <formula>K58="A"</formula>
    </cfRule>
    <cfRule type="expression" dxfId="16027" priority="21367">
      <formula>K58="T"</formula>
    </cfRule>
  </conditionalFormatting>
  <conditionalFormatting sqref="K63">
    <cfRule type="expression" dxfId="16026" priority="21362">
      <formula>K63="X"</formula>
    </cfRule>
    <cfRule type="expression" dxfId="16025" priority="21363">
      <formula>K63="A"</formula>
    </cfRule>
    <cfRule type="expression" dxfId="16024" priority="21364">
      <formula>K63="T"</formula>
    </cfRule>
  </conditionalFormatting>
  <conditionalFormatting sqref="K65">
    <cfRule type="expression" dxfId="16023" priority="21359">
      <formula>K65="X"</formula>
    </cfRule>
    <cfRule type="expression" dxfId="16022" priority="21360">
      <formula>K65="A"</formula>
    </cfRule>
    <cfRule type="expression" dxfId="16021" priority="21361">
      <formula>K65="T"</formula>
    </cfRule>
  </conditionalFormatting>
  <conditionalFormatting sqref="K83">
    <cfRule type="expression" dxfId="16020" priority="21356">
      <formula>K83="X"</formula>
    </cfRule>
    <cfRule type="expression" dxfId="16019" priority="21357">
      <formula>K83="A"</formula>
    </cfRule>
    <cfRule type="expression" dxfId="16018" priority="21358">
      <formula>K83="T"</formula>
    </cfRule>
  </conditionalFormatting>
  <conditionalFormatting sqref="K85">
    <cfRule type="expression" dxfId="16017" priority="21353">
      <formula>K85="X"</formula>
    </cfRule>
    <cfRule type="expression" dxfId="16016" priority="21354">
      <formula>K85="A"</formula>
    </cfRule>
    <cfRule type="expression" dxfId="16015" priority="21355">
      <formula>K85="T"</formula>
    </cfRule>
  </conditionalFormatting>
  <conditionalFormatting sqref="K67">
    <cfRule type="expression" dxfId="16014" priority="21350">
      <formula>K67="X"</formula>
    </cfRule>
    <cfRule type="expression" dxfId="16013" priority="21351">
      <formula>K67="A"</formula>
    </cfRule>
    <cfRule type="expression" dxfId="16012" priority="21352">
      <formula>K67="T"</formula>
    </cfRule>
  </conditionalFormatting>
  <conditionalFormatting sqref="K113">
    <cfRule type="expression" dxfId="16011" priority="21347">
      <formula>K113="X"</formula>
    </cfRule>
    <cfRule type="expression" dxfId="16010" priority="21348">
      <formula>K113="A"</formula>
    </cfRule>
    <cfRule type="expression" dxfId="16009" priority="21349">
      <formula>K113="T"</formula>
    </cfRule>
  </conditionalFormatting>
  <conditionalFormatting sqref="K118">
    <cfRule type="expression" dxfId="16008" priority="21344">
      <formula>K118="X"</formula>
    </cfRule>
    <cfRule type="expression" dxfId="16007" priority="21345">
      <formula>K118="A"</formula>
    </cfRule>
    <cfRule type="expression" dxfId="16006" priority="21346">
      <formula>K118="T"</formula>
    </cfRule>
  </conditionalFormatting>
  <conditionalFormatting sqref="K120">
    <cfRule type="expression" dxfId="16005" priority="21341">
      <formula>K120="X"</formula>
    </cfRule>
    <cfRule type="expression" dxfId="16004" priority="21342">
      <formula>K120="A"</formula>
    </cfRule>
    <cfRule type="expression" dxfId="16003" priority="21343">
      <formula>K120="T"</formula>
    </cfRule>
  </conditionalFormatting>
  <conditionalFormatting sqref="K122">
    <cfRule type="expression" dxfId="16002" priority="21338">
      <formula>K122="X"</formula>
    </cfRule>
    <cfRule type="expression" dxfId="16001" priority="21339">
      <formula>K122="A"</formula>
    </cfRule>
    <cfRule type="expression" dxfId="16000" priority="21340">
      <formula>K122="T"</formula>
    </cfRule>
  </conditionalFormatting>
  <conditionalFormatting sqref="K125">
    <cfRule type="expression" dxfId="15999" priority="21335">
      <formula>K125="X"</formula>
    </cfRule>
    <cfRule type="expression" dxfId="15998" priority="21336">
      <formula>K125="A"</formula>
    </cfRule>
    <cfRule type="expression" dxfId="15997" priority="21337">
      <formula>K125="T"</formula>
    </cfRule>
  </conditionalFormatting>
  <conditionalFormatting sqref="K127">
    <cfRule type="expression" dxfId="15996" priority="21332">
      <formula>K127="X"</formula>
    </cfRule>
    <cfRule type="expression" dxfId="15995" priority="21333">
      <formula>K127="A"</formula>
    </cfRule>
    <cfRule type="expression" dxfId="15994" priority="21334">
      <formula>K127="T"</formula>
    </cfRule>
  </conditionalFormatting>
  <conditionalFormatting sqref="K141">
    <cfRule type="expression" dxfId="15993" priority="21329">
      <formula>K141="X"</formula>
    </cfRule>
    <cfRule type="expression" dxfId="15992" priority="21330">
      <formula>K141="A"</formula>
    </cfRule>
    <cfRule type="expression" dxfId="15991" priority="21331">
      <formula>K141="T"</formula>
    </cfRule>
  </conditionalFormatting>
  <conditionalFormatting sqref="K143">
    <cfRule type="expression" dxfId="15990" priority="21326">
      <formula>K143="X"</formula>
    </cfRule>
    <cfRule type="expression" dxfId="15989" priority="21327">
      <formula>K143="A"</formula>
    </cfRule>
    <cfRule type="expression" dxfId="15988" priority="21328">
      <formula>K143="T"</formula>
    </cfRule>
  </conditionalFormatting>
  <conditionalFormatting sqref="K149">
    <cfRule type="expression" dxfId="15987" priority="21323">
      <formula>K149="X"</formula>
    </cfRule>
    <cfRule type="expression" dxfId="15986" priority="21324">
      <formula>K149="A"</formula>
    </cfRule>
    <cfRule type="expression" dxfId="15985" priority="21325">
      <formula>K149="T"</formula>
    </cfRule>
  </conditionalFormatting>
  <conditionalFormatting sqref="K151">
    <cfRule type="expression" dxfId="15984" priority="21320">
      <formula>K151="X"</formula>
    </cfRule>
    <cfRule type="expression" dxfId="15983" priority="21321">
      <formula>K151="A"</formula>
    </cfRule>
    <cfRule type="expression" dxfId="15982" priority="21322">
      <formula>K151="T"</formula>
    </cfRule>
  </conditionalFormatting>
  <conditionalFormatting sqref="K155">
    <cfRule type="expression" dxfId="15981" priority="21317">
      <formula>K155="X"</formula>
    </cfRule>
    <cfRule type="expression" dxfId="15980" priority="21318">
      <formula>K155="A"</formula>
    </cfRule>
    <cfRule type="expression" dxfId="15979" priority="21319">
      <formula>K155="T"</formula>
    </cfRule>
  </conditionalFormatting>
  <conditionalFormatting sqref="K157">
    <cfRule type="expression" dxfId="15978" priority="21314">
      <formula>K157="X"</formula>
    </cfRule>
    <cfRule type="expression" dxfId="15977" priority="21315">
      <formula>K157="A"</formula>
    </cfRule>
    <cfRule type="expression" dxfId="15976" priority="21316">
      <formula>K157="T"</formula>
    </cfRule>
  </conditionalFormatting>
  <conditionalFormatting sqref="K167">
    <cfRule type="expression" dxfId="15975" priority="21311">
      <formula>K167="X"</formula>
    </cfRule>
    <cfRule type="expression" dxfId="15974" priority="21312">
      <formula>K167="A"</formula>
    </cfRule>
    <cfRule type="expression" dxfId="15973" priority="21313">
      <formula>K167="T"</formula>
    </cfRule>
  </conditionalFormatting>
  <conditionalFormatting sqref="K173">
    <cfRule type="expression" dxfId="15972" priority="21308">
      <formula>K173="X"</formula>
    </cfRule>
    <cfRule type="expression" dxfId="15971" priority="21309">
      <formula>K173="A"</formula>
    </cfRule>
    <cfRule type="expression" dxfId="15970" priority="21310">
      <formula>K173="T"</formula>
    </cfRule>
  </conditionalFormatting>
  <conditionalFormatting sqref="K175">
    <cfRule type="expression" dxfId="15969" priority="21305">
      <formula>K175="X"</formula>
    </cfRule>
    <cfRule type="expression" dxfId="15968" priority="21306">
      <formula>K175="A"</formula>
    </cfRule>
    <cfRule type="expression" dxfId="15967" priority="21307">
      <formula>K175="T"</formula>
    </cfRule>
  </conditionalFormatting>
  <conditionalFormatting sqref="K177">
    <cfRule type="expression" dxfId="15966" priority="21302">
      <formula>K177="X"</formula>
    </cfRule>
    <cfRule type="expression" dxfId="15965" priority="21303">
      <formula>K177="A"</formula>
    </cfRule>
    <cfRule type="expression" dxfId="15964" priority="21304">
      <formula>K177="T"</formula>
    </cfRule>
  </conditionalFormatting>
  <conditionalFormatting sqref="K179">
    <cfRule type="expression" dxfId="15963" priority="21299">
      <formula>K179="X"</formula>
    </cfRule>
    <cfRule type="expression" dxfId="15962" priority="21300">
      <formula>K179="A"</formula>
    </cfRule>
    <cfRule type="expression" dxfId="15961" priority="21301">
      <formula>K179="T"</formula>
    </cfRule>
  </conditionalFormatting>
  <conditionalFormatting sqref="K169">
    <cfRule type="expression" dxfId="15960" priority="21296">
      <formula>K169="X"</formula>
    </cfRule>
    <cfRule type="expression" dxfId="15959" priority="21297">
      <formula>K169="A"</formula>
    </cfRule>
    <cfRule type="expression" dxfId="15958" priority="21298">
      <formula>K169="T"</formula>
    </cfRule>
  </conditionalFormatting>
  <conditionalFormatting sqref="K171">
    <cfRule type="expression" dxfId="15957" priority="21293">
      <formula>K171="X"</formula>
    </cfRule>
    <cfRule type="expression" dxfId="15956" priority="21294">
      <formula>K171="A"</formula>
    </cfRule>
    <cfRule type="expression" dxfId="15955" priority="21295">
      <formula>K171="T"</formula>
    </cfRule>
  </conditionalFormatting>
  <conditionalFormatting sqref="K183">
    <cfRule type="expression" dxfId="15954" priority="21290">
      <formula>K183="X"</formula>
    </cfRule>
    <cfRule type="expression" dxfId="15953" priority="21291">
      <formula>K183="A"</formula>
    </cfRule>
    <cfRule type="expression" dxfId="15952" priority="21292">
      <formula>K183="T"</formula>
    </cfRule>
  </conditionalFormatting>
  <conditionalFormatting sqref="K185">
    <cfRule type="expression" dxfId="15951" priority="21287">
      <formula>K185="X"</formula>
    </cfRule>
    <cfRule type="expression" dxfId="15950" priority="21288">
      <formula>K185="A"</formula>
    </cfRule>
    <cfRule type="expression" dxfId="15949" priority="21289">
      <formula>K185="T"</formula>
    </cfRule>
  </conditionalFormatting>
  <conditionalFormatting sqref="K189">
    <cfRule type="expression" dxfId="15948" priority="21284">
      <formula>K189="X"</formula>
    </cfRule>
    <cfRule type="expression" dxfId="15947" priority="21285">
      <formula>K189="A"</formula>
    </cfRule>
    <cfRule type="expression" dxfId="15946" priority="21286">
      <formula>K189="T"</formula>
    </cfRule>
  </conditionalFormatting>
  <conditionalFormatting sqref="K191">
    <cfRule type="expression" dxfId="15945" priority="21281">
      <formula>K191="X"</formula>
    </cfRule>
    <cfRule type="expression" dxfId="15944" priority="21282">
      <formula>K191="A"</formula>
    </cfRule>
    <cfRule type="expression" dxfId="15943" priority="21283">
      <formula>K191="T"</formula>
    </cfRule>
  </conditionalFormatting>
  <conditionalFormatting sqref="K11">
    <cfRule type="expression" dxfId="15942" priority="21266">
      <formula>K11="X"</formula>
    </cfRule>
    <cfRule type="expression" dxfId="15941" priority="21267">
      <formula>K11="A"</formula>
    </cfRule>
    <cfRule type="expression" dxfId="15940" priority="21268">
      <formula>K11="T"</formula>
    </cfRule>
  </conditionalFormatting>
  <conditionalFormatting sqref="K12">
    <cfRule type="expression" dxfId="15939" priority="21263">
      <formula>K11="X"</formula>
    </cfRule>
    <cfRule type="expression" dxfId="15938" priority="21264">
      <formula>K11="A"</formula>
    </cfRule>
    <cfRule type="expression" dxfId="15937" priority="21265">
      <formula>K11="T"</formula>
    </cfRule>
  </conditionalFormatting>
  <conditionalFormatting sqref="K13">
    <cfRule type="expression" dxfId="15936" priority="21260">
      <formula>K13="X"</formula>
    </cfRule>
    <cfRule type="expression" dxfId="15935" priority="21261">
      <formula>K13="A"</formula>
    </cfRule>
    <cfRule type="expression" dxfId="15934" priority="21262">
      <formula>K13="T"</formula>
    </cfRule>
  </conditionalFormatting>
  <conditionalFormatting sqref="K14">
    <cfRule type="expression" dxfId="15933" priority="21257">
      <formula>K13="X"</formula>
    </cfRule>
    <cfRule type="expression" dxfId="15932" priority="21258">
      <formula>K13="A"</formula>
    </cfRule>
    <cfRule type="expression" dxfId="15931" priority="21259">
      <formula>K13="T"</formula>
    </cfRule>
  </conditionalFormatting>
  <conditionalFormatting sqref="K17">
    <cfRule type="expression" dxfId="15930" priority="21254">
      <formula>K16="X"</formula>
    </cfRule>
    <cfRule type="expression" dxfId="15929" priority="21255">
      <formula>K16="A"</formula>
    </cfRule>
    <cfRule type="expression" dxfId="15928" priority="21256">
      <formula>K16="T"</formula>
    </cfRule>
  </conditionalFormatting>
  <conditionalFormatting sqref="K40">
    <cfRule type="expression" dxfId="15927" priority="21218">
      <formula>K39="X"</formula>
    </cfRule>
    <cfRule type="expression" dxfId="15926" priority="21219">
      <formula>K39="A"</formula>
    </cfRule>
    <cfRule type="expression" dxfId="15925" priority="21220">
      <formula>K39="T"</formula>
    </cfRule>
  </conditionalFormatting>
  <conditionalFormatting sqref="K49">
    <cfRule type="expression" dxfId="15924" priority="21206">
      <formula>K48="X"</formula>
    </cfRule>
    <cfRule type="expression" dxfId="15923" priority="21207">
      <formula>K48="A"</formula>
    </cfRule>
    <cfRule type="expression" dxfId="15922" priority="21208">
      <formula>K48="T"</formula>
    </cfRule>
  </conditionalFormatting>
  <conditionalFormatting sqref="K64">
    <cfRule type="expression" dxfId="15921" priority="21188">
      <formula>K63="X"</formula>
    </cfRule>
    <cfRule type="expression" dxfId="15920" priority="21189">
      <formula>K63="A"</formula>
    </cfRule>
    <cfRule type="expression" dxfId="15919" priority="21190">
      <formula>K63="T"</formula>
    </cfRule>
  </conditionalFormatting>
  <conditionalFormatting sqref="K66">
    <cfRule type="expression" dxfId="15918" priority="21185">
      <formula>K65="X"</formula>
    </cfRule>
    <cfRule type="expression" dxfId="15917" priority="21186">
      <formula>K65="A"</formula>
    </cfRule>
    <cfRule type="expression" dxfId="15916" priority="21187">
      <formula>K65="T"</formula>
    </cfRule>
  </conditionalFormatting>
  <conditionalFormatting sqref="K68">
    <cfRule type="expression" dxfId="15915" priority="21182">
      <formula>K67="X"</formula>
    </cfRule>
    <cfRule type="expression" dxfId="15914" priority="21183">
      <formula>K67="A"</formula>
    </cfRule>
    <cfRule type="expression" dxfId="15913" priority="21184">
      <formula>K67="T"</formula>
    </cfRule>
  </conditionalFormatting>
  <conditionalFormatting sqref="K86">
    <cfRule type="expression" dxfId="15912" priority="21173">
      <formula>K85="X"</formula>
    </cfRule>
    <cfRule type="expression" dxfId="15911" priority="21174">
      <formula>K85="A"</formula>
    </cfRule>
    <cfRule type="expression" dxfId="15910" priority="21175">
      <formula>K85="T"</formula>
    </cfRule>
  </conditionalFormatting>
  <conditionalFormatting sqref="K95">
    <cfRule type="expression" dxfId="15909" priority="21161">
      <formula>K94="X"</formula>
    </cfRule>
    <cfRule type="expression" dxfId="15908" priority="21162">
      <formula>K94="A"</formula>
    </cfRule>
    <cfRule type="expression" dxfId="15907" priority="21163">
      <formula>K94="T"</formula>
    </cfRule>
  </conditionalFormatting>
  <conditionalFormatting sqref="K144">
    <cfRule type="expression" dxfId="15906" priority="21110">
      <formula>K143="X"</formula>
    </cfRule>
    <cfRule type="expression" dxfId="15905" priority="21111">
      <formula>K143="A"</formula>
    </cfRule>
    <cfRule type="expression" dxfId="15904" priority="21112">
      <formula>K143="T"</formula>
    </cfRule>
  </conditionalFormatting>
  <conditionalFormatting sqref="K150">
    <cfRule type="expression" dxfId="15903" priority="21107">
      <formula>K149="X"</formula>
    </cfRule>
    <cfRule type="expression" dxfId="15902" priority="21108">
      <formula>K149="A"</formula>
    </cfRule>
    <cfRule type="expression" dxfId="15901" priority="21109">
      <formula>K149="T"</formula>
    </cfRule>
  </conditionalFormatting>
  <conditionalFormatting sqref="K152">
    <cfRule type="expression" dxfId="15900" priority="21104">
      <formula>K151="X"</formula>
    </cfRule>
    <cfRule type="expression" dxfId="15899" priority="21105">
      <formula>K151="A"</formula>
    </cfRule>
    <cfRule type="expression" dxfId="15898" priority="21106">
      <formula>K151="T"</formula>
    </cfRule>
  </conditionalFormatting>
  <conditionalFormatting sqref="K156">
    <cfRule type="expression" dxfId="15897" priority="21101">
      <formula>K155="X"</formula>
    </cfRule>
    <cfRule type="expression" dxfId="15896" priority="21102">
      <formula>K155="A"</formula>
    </cfRule>
    <cfRule type="expression" dxfId="15895" priority="21103">
      <formula>K155="T"</formula>
    </cfRule>
  </conditionalFormatting>
  <conditionalFormatting sqref="K168">
    <cfRule type="expression" dxfId="15894" priority="21095">
      <formula>K167="X"</formula>
    </cfRule>
    <cfRule type="expression" dxfId="15893" priority="21096">
      <formula>K167="A"</formula>
    </cfRule>
    <cfRule type="expression" dxfId="15892" priority="21097">
      <formula>K167="T"</formula>
    </cfRule>
  </conditionalFormatting>
  <conditionalFormatting sqref="K170">
    <cfRule type="expression" dxfId="15891" priority="21092">
      <formula>K169="X"</formula>
    </cfRule>
    <cfRule type="expression" dxfId="15890" priority="21093">
      <formula>K169="A"</formula>
    </cfRule>
    <cfRule type="expression" dxfId="15889" priority="21094">
      <formula>K169="T"</formula>
    </cfRule>
  </conditionalFormatting>
  <conditionalFormatting sqref="K172">
    <cfRule type="expression" dxfId="15888" priority="21089">
      <formula>K171="X"</formula>
    </cfRule>
    <cfRule type="expression" dxfId="15887" priority="21090">
      <formula>K171="A"</formula>
    </cfRule>
    <cfRule type="expression" dxfId="15886" priority="21091">
      <formula>K171="T"</formula>
    </cfRule>
  </conditionalFormatting>
  <conditionalFormatting sqref="K174">
    <cfRule type="expression" dxfId="15885" priority="21086">
      <formula>K173="X"</formula>
    </cfRule>
    <cfRule type="expression" dxfId="15884" priority="21087">
      <formula>K173="A"</formula>
    </cfRule>
    <cfRule type="expression" dxfId="15883" priority="21088">
      <formula>K173="T"</formula>
    </cfRule>
  </conditionalFormatting>
  <conditionalFormatting sqref="K176">
    <cfRule type="expression" dxfId="15882" priority="21083">
      <formula>K175="X"</formula>
    </cfRule>
    <cfRule type="expression" dxfId="15881" priority="21084">
      <formula>K175="A"</formula>
    </cfRule>
    <cfRule type="expression" dxfId="15880" priority="21085">
      <formula>K175="T"</formula>
    </cfRule>
  </conditionalFormatting>
  <conditionalFormatting sqref="K178">
    <cfRule type="expression" dxfId="15879" priority="21080">
      <formula>K177="X"</formula>
    </cfRule>
    <cfRule type="expression" dxfId="15878" priority="21081">
      <formula>K177="A"</formula>
    </cfRule>
    <cfRule type="expression" dxfId="15877" priority="21082">
      <formula>K177="T"</formula>
    </cfRule>
  </conditionalFormatting>
  <conditionalFormatting sqref="K180">
    <cfRule type="expression" dxfId="15876" priority="21077">
      <formula>K179="X"</formula>
    </cfRule>
    <cfRule type="expression" dxfId="15875" priority="21078">
      <formula>K179="A"</formula>
    </cfRule>
    <cfRule type="expression" dxfId="15874" priority="21079">
      <formula>K179="T"</formula>
    </cfRule>
  </conditionalFormatting>
  <conditionalFormatting sqref="K184">
    <cfRule type="expression" dxfId="15873" priority="21074">
      <formula>K183="X"</formula>
    </cfRule>
    <cfRule type="expression" dxfId="15872" priority="21075">
      <formula>K183="A"</formula>
    </cfRule>
    <cfRule type="expression" dxfId="15871" priority="21076">
      <formula>K183="T"</formula>
    </cfRule>
  </conditionalFormatting>
  <conditionalFormatting sqref="K186">
    <cfRule type="expression" dxfId="15870" priority="21071">
      <formula>K185="X"</formula>
    </cfRule>
    <cfRule type="expression" dxfId="15869" priority="21072">
      <formula>K185="A"</formula>
    </cfRule>
    <cfRule type="expression" dxfId="15868" priority="21073">
      <formula>K185="T"</formula>
    </cfRule>
  </conditionalFormatting>
  <conditionalFormatting sqref="K190">
    <cfRule type="expression" dxfId="15867" priority="21068">
      <formula>K189="X"</formula>
    </cfRule>
    <cfRule type="expression" dxfId="15866" priority="21069">
      <formula>K189="A"</formula>
    </cfRule>
    <cfRule type="expression" dxfId="15865" priority="21070">
      <formula>K189="T"</formula>
    </cfRule>
  </conditionalFormatting>
  <conditionalFormatting sqref="K192">
    <cfRule type="expression" dxfId="15864" priority="21065">
      <formula>K191="X"</formula>
    </cfRule>
    <cfRule type="expression" dxfId="15863" priority="21066">
      <formula>K191="A"</formula>
    </cfRule>
    <cfRule type="expression" dxfId="15862" priority="21067">
      <formula>K191="T"</formula>
    </cfRule>
  </conditionalFormatting>
  <conditionalFormatting sqref="K211">
    <cfRule type="expression" dxfId="15861" priority="21050">
      <formula>K211="X"</formula>
    </cfRule>
    <cfRule type="expression" dxfId="15860" priority="21051">
      <formula>K211="A"</formula>
    </cfRule>
    <cfRule type="expression" dxfId="15859" priority="21052">
      <formula>K211="T"</formula>
    </cfRule>
  </conditionalFormatting>
  <conditionalFormatting sqref="K212">
    <cfRule type="expression" dxfId="15858" priority="21047">
      <formula>K211="X"</formula>
    </cfRule>
    <cfRule type="expression" dxfId="15857" priority="21048">
      <formula>K211="A"</formula>
    </cfRule>
    <cfRule type="expression" dxfId="15856" priority="21049">
      <formula>K211="T"</formula>
    </cfRule>
  </conditionalFormatting>
  <conditionalFormatting sqref="K213">
    <cfRule type="expression" dxfId="15855" priority="21044">
      <formula>K213="X"</formula>
    </cfRule>
    <cfRule type="expression" dxfId="15854" priority="21045">
      <formula>K213="A"</formula>
    </cfRule>
    <cfRule type="expression" dxfId="15853" priority="21046">
      <formula>K213="T"</formula>
    </cfRule>
  </conditionalFormatting>
  <conditionalFormatting sqref="K214">
    <cfRule type="expression" dxfId="15852" priority="21041">
      <formula>K213="X"</formula>
    </cfRule>
    <cfRule type="expression" dxfId="15851" priority="21042">
      <formula>K213="A"</formula>
    </cfRule>
    <cfRule type="expression" dxfId="15850" priority="21043">
      <formula>K213="T"</formula>
    </cfRule>
  </conditionalFormatting>
  <conditionalFormatting sqref="K215">
    <cfRule type="expression" dxfId="15849" priority="21038">
      <formula>K215="X"</formula>
    </cfRule>
    <cfRule type="expression" dxfId="15848" priority="21039">
      <formula>K215="A"</formula>
    </cfRule>
    <cfRule type="expression" dxfId="15847" priority="21040">
      <formula>K215="T"</formula>
    </cfRule>
  </conditionalFormatting>
  <conditionalFormatting sqref="K216">
    <cfRule type="expression" dxfId="15846" priority="21035">
      <formula>K215="X"</formula>
    </cfRule>
    <cfRule type="expression" dxfId="15845" priority="21036">
      <formula>K215="A"</formula>
    </cfRule>
    <cfRule type="expression" dxfId="15844" priority="21037">
      <formula>K215="T"</formula>
    </cfRule>
  </conditionalFormatting>
  <conditionalFormatting sqref="K217">
    <cfRule type="expression" dxfId="15843" priority="21032">
      <formula>K217="X"</formula>
    </cfRule>
    <cfRule type="expression" dxfId="15842" priority="21033">
      <formula>K217="A"</formula>
    </cfRule>
    <cfRule type="expression" dxfId="15841" priority="21034">
      <formula>K217="T"</formula>
    </cfRule>
  </conditionalFormatting>
  <conditionalFormatting sqref="K218">
    <cfRule type="expression" dxfId="15840" priority="21029">
      <formula>K217="X"</formula>
    </cfRule>
    <cfRule type="expression" dxfId="15839" priority="21030">
      <formula>K217="A"</formula>
    </cfRule>
    <cfRule type="expression" dxfId="15838" priority="21031">
      <formula>K217="T"</formula>
    </cfRule>
  </conditionalFormatting>
  <conditionalFormatting sqref="K219">
    <cfRule type="expression" dxfId="15837" priority="21026">
      <formula>K219="X"</formula>
    </cfRule>
    <cfRule type="expression" dxfId="15836" priority="21027">
      <formula>K219="A"</formula>
    </cfRule>
    <cfRule type="expression" dxfId="15835" priority="21028">
      <formula>K219="T"</formula>
    </cfRule>
  </conditionalFormatting>
  <conditionalFormatting sqref="K220">
    <cfRule type="expression" dxfId="15834" priority="21023">
      <formula>K219="X"</formula>
    </cfRule>
    <cfRule type="expression" dxfId="15833" priority="21024">
      <formula>K219="A"</formula>
    </cfRule>
    <cfRule type="expression" dxfId="15832" priority="21025">
      <formula>K219="T"</formula>
    </cfRule>
  </conditionalFormatting>
  <conditionalFormatting sqref="K222">
    <cfRule type="expression" dxfId="15831" priority="21017">
      <formula>K221="X"</formula>
    </cfRule>
    <cfRule type="expression" dxfId="15830" priority="21018">
      <formula>K221="A"</formula>
    </cfRule>
    <cfRule type="expression" dxfId="15829" priority="21019">
      <formula>K221="T"</formula>
    </cfRule>
  </conditionalFormatting>
  <conditionalFormatting sqref="K223">
    <cfRule type="expression" dxfId="15828" priority="21014">
      <formula>K223="X"</formula>
    </cfRule>
    <cfRule type="expression" dxfId="15827" priority="21015">
      <formula>K223="A"</formula>
    </cfRule>
    <cfRule type="expression" dxfId="15826" priority="21016">
      <formula>K223="T"</formula>
    </cfRule>
  </conditionalFormatting>
  <conditionalFormatting sqref="K224">
    <cfRule type="expression" dxfId="15825" priority="21011">
      <formula>K223="X"</formula>
    </cfRule>
    <cfRule type="expression" dxfId="15824" priority="21012">
      <formula>K223="A"</formula>
    </cfRule>
    <cfRule type="expression" dxfId="15823" priority="21013">
      <formula>K223="T"</formula>
    </cfRule>
  </conditionalFormatting>
  <conditionalFormatting sqref="K4">
    <cfRule type="expression" dxfId="15822" priority="21008">
      <formula>K4="X"</formula>
    </cfRule>
    <cfRule type="expression" dxfId="15821" priority="21009">
      <formula>K4="A"</formula>
    </cfRule>
    <cfRule type="expression" dxfId="15820" priority="21010">
      <formula>K4="T"</formula>
    </cfRule>
  </conditionalFormatting>
  <conditionalFormatting sqref="K5">
    <cfRule type="expression" dxfId="15819" priority="21005">
      <formula>K4="X"</formula>
    </cfRule>
    <cfRule type="expression" dxfId="15818" priority="21006">
      <formula>K4="A"</formula>
    </cfRule>
    <cfRule type="expression" dxfId="15817" priority="21007">
      <formula>K4="T"</formula>
    </cfRule>
  </conditionalFormatting>
  <conditionalFormatting sqref="K6">
    <cfRule type="expression" dxfId="15816" priority="21002">
      <formula>K6="X"</formula>
    </cfRule>
    <cfRule type="expression" dxfId="15815" priority="21003">
      <formula>K6="A"</formula>
    </cfRule>
    <cfRule type="expression" dxfId="15814" priority="21004">
      <formula>K6="T"</formula>
    </cfRule>
  </conditionalFormatting>
  <conditionalFormatting sqref="K7">
    <cfRule type="expression" dxfId="15813" priority="20999">
      <formula>K6="X"</formula>
    </cfRule>
    <cfRule type="expression" dxfId="15812" priority="21000">
      <formula>K6="A"</formula>
    </cfRule>
    <cfRule type="expression" dxfId="15811" priority="21001">
      <formula>K6="T"</formula>
    </cfRule>
  </conditionalFormatting>
  <conditionalFormatting sqref="K8">
    <cfRule type="expression" dxfId="15810" priority="20996">
      <formula>K8="X"</formula>
    </cfRule>
    <cfRule type="expression" dxfId="15809" priority="20997">
      <formula>K8="A"</formula>
    </cfRule>
    <cfRule type="expression" dxfId="15808" priority="20998">
      <formula>K8="T"</formula>
    </cfRule>
  </conditionalFormatting>
  <conditionalFormatting sqref="K9">
    <cfRule type="expression" dxfId="15807" priority="20993">
      <formula>K8="X"</formula>
    </cfRule>
    <cfRule type="expression" dxfId="15806" priority="20994">
      <formula>K8="A"</formula>
    </cfRule>
    <cfRule type="expression" dxfId="15805" priority="20995">
      <formula>K8="T"</formula>
    </cfRule>
  </conditionalFormatting>
  <conditionalFormatting sqref="K74">
    <cfRule type="expression" dxfId="15804" priority="20990">
      <formula>K74="X"</formula>
    </cfRule>
    <cfRule type="expression" dxfId="15803" priority="20991">
      <formula>K74="A"</formula>
    </cfRule>
    <cfRule type="expression" dxfId="15802" priority="20992">
      <formula>K74="T"</formula>
    </cfRule>
  </conditionalFormatting>
  <conditionalFormatting sqref="K75">
    <cfRule type="expression" dxfId="15801" priority="20987">
      <formula>K74="X"</formula>
    </cfRule>
    <cfRule type="expression" dxfId="15800" priority="20988">
      <formula>K74="A"</formula>
    </cfRule>
    <cfRule type="expression" dxfId="15799" priority="20989">
      <formula>K74="T"</formula>
    </cfRule>
  </conditionalFormatting>
  <conditionalFormatting sqref="K76">
    <cfRule type="expression" dxfId="15798" priority="20984">
      <formula>K76="X"</formula>
    </cfRule>
    <cfRule type="expression" dxfId="15797" priority="20985">
      <formula>K76="A"</formula>
    </cfRule>
    <cfRule type="expression" dxfId="15796" priority="20986">
      <formula>K76="T"</formula>
    </cfRule>
  </conditionalFormatting>
  <conditionalFormatting sqref="K78">
    <cfRule type="expression" dxfId="15795" priority="20978">
      <formula>K78="X"</formula>
    </cfRule>
    <cfRule type="expression" dxfId="15794" priority="20979">
      <formula>K78="A"</formula>
    </cfRule>
    <cfRule type="expression" dxfId="15793" priority="20980">
      <formula>K78="T"</formula>
    </cfRule>
  </conditionalFormatting>
  <conditionalFormatting sqref="K134">
    <cfRule type="expression" dxfId="15792" priority="20972">
      <formula>K134="X"</formula>
    </cfRule>
    <cfRule type="expression" dxfId="15791" priority="20973">
      <formula>K134="A"</formula>
    </cfRule>
    <cfRule type="expression" dxfId="15790" priority="20974">
      <formula>K134="T"</formula>
    </cfRule>
  </conditionalFormatting>
  <conditionalFormatting sqref="K135">
    <cfRule type="expression" dxfId="15789" priority="20969">
      <formula>K134="X"</formula>
    </cfRule>
    <cfRule type="expression" dxfId="15788" priority="20970">
      <formula>K134="A"</formula>
    </cfRule>
    <cfRule type="expression" dxfId="15787" priority="20971">
      <formula>K134="T"</formula>
    </cfRule>
  </conditionalFormatting>
  <conditionalFormatting sqref="K136">
    <cfRule type="expression" dxfId="15786" priority="20966">
      <formula>K136="X"</formula>
    </cfRule>
    <cfRule type="expression" dxfId="15785" priority="20967">
      <formula>K136="A"</formula>
    </cfRule>
    <cfRule type="expression" dxfId="15784" priority="20968">
      <formula>K136="T"</formula>
    </cfRule>
  </conditionalFormatting>
  <conditionalFormatting sqref="K138">
    <cfRule type="expression" dxfId="15783" priority="20960">
      <formula>K138="X"</formula>
    </cfRule>
    <cfRule type="expression" dxfId="15782" priority="20961">
      <formula>K138="A"</formula>
    </cfRule>
    <cfRule type="expression" dxfId="15781" priority="20962">
      <formula>K138="T"</formula>
    </cfRule>
  </conditionalFormatting>
  <conditionalFormatting sqref="K15">
    <cfRule type="expression" dxfId="15780" priority="20951" stopIfTrue="1">
      <formula>K11=""</formula>
    </cfRule>
  </conditionalFormatting>
  <conditionalFormatting sqref="K15">
    <cfRule type="expression" dxfId="15779" priority="20952" stopIfTrue="1">
      <formula>K15=1</formula>
    </cfRule>
    <cfRule type="colorScale" priority="20953">
      <colorScale>
        <cfvo type="num" val="0"/>
        <cfvo type="num" val="0.5"/>
        <cfvo type="num" val="1"/>
        <color rgb="FFF8696B"/>
        <color theme="4" tint="0.79998168889431442"/>
        <color rgb="FF5A8AC6"/>
      </colorScale>
    </cfRule>
  </conditionalFormatting>
  <conditionalFormatting sqref="K38">
    <cfRule type="expression" dxfId="15778" priority="20948" stopIfTrue="1">
      <formula>K16=""</formula>
    </cfRule>
  </conditionalFormatting>
  <conditionalFormatting sqref="K38">
    <cfRule type="expression" dxfId="15777" priority="20949" stopIfTrue="1">
      <formula>K38=1</formula>
    </cfRule>
    <cfRule type="colorScale" priority="20950">
      <colorScale>
        <cfvo type="num" val="0"/>
        <cfvo type="num" val="0.5"/>
        <cfvo type="num" val="1"/>
        <color rgb="FFF8696B"/>
        <color theme="4" tint="0.79998168889431442"/>
        <color rgb="FF5A8AC6"/>
      </colorScale>
    </cfRule>
  </conditionalFormatting>
  <conditionalFormatting sqref="K47">
    <cfRule type="expression" dxfId="15776" priority="20945" stopIfTrue="1">
      <formula>K39=""</formula>
    </cfRule>
  </conditionalFormatting>
  <conditionalFormatting sqref="K47">
    <cfRule type="expression" dxfId="15775" priority="20946" stopIfTrue="1">
      <formula>K47=1</formula>
    </cfRule>
    <cfRule type="colorScale" priority="20947">
      <colorScale>
        <cfvo type="num" val="0"/>
        <cfvo type="num" val="0.5"/>
        <cfvo type="num" val="1"/>
        <color rgb="FFF8696B"/>
        <color theme="4" tint="0.79998168889431442"/>
        <color rgb="FF5A8AC6"/>
      </colorScale>
    </cfRule>
  </conditionalFormatting>
  <conditionalFormatting sqref="K69">
    <cfRule type="expression" dxfId="15774" priority="20939" stopIfTrue="1">
      <formula>K63=""</formula>
    </cfRule>
  </conditionalFormatting>
  <conditionalFormatting sqref="K69">
    <cfRule type="expression" dxfId="15773" priority="20940" stopIfTrue="1">
      <formula>K69=1</formula>
    </cfRule>
    <cfRule type="colorScale" priority="20941">
      <colorScale>
        <cfvo type="num" val="0"/>
        <cfvo type="num" val="0.5"/>
        <cfvo type="num" val="1"/>
        <color rgb="FFF8696B"/>
        <color theme="4" tint="0.79998168889431442"/>
        <color rgb="FF5A8AC6"/>
      </colorScale>
    </cfRule>
  </conditionalFormatting>
  <conditionalFormatting sqref="K230:K236">
    <cfRule type="expression" dxfId="15772" priority="20883" stopIfTrue="1">
      <formula>K230=_xlfn.UNICHAR(10003)</formula>
    </cfRule>
    <cfRule type="colorScale" priority="20884">
      <colorScale>
        <cfvo type="num" val="0"/>
        <cfvo type="num" val="0.5"/>
        <cfvo type="num" val="1"/>
        <color rgb="FFF8696B"/>
        <color theme="4" tint="0.79998168889431442"/>
        <color rgb="FF5A8AC6"/>
      </colorScale>
    </cfRule>
  </conditionalFormatting>
  <conditionalFormatting sqref="K239">
    <cfRule type="expression" dxfId="15771" priority="20881" stopIfTrue="1">
      <formula>K239=_xlfn.UNICHAR(10003)</formula>
    </cfRule>
    <cfRule type="colorScale" priority="20882">
      <colorScale>
        <cfvo type="num" val="0"/>
        <cfvo type="num" val="0.5"/>
        <cfvo type="num" val="1"/>
        <color rgb="FFF8696B"/>
        <color theme="4" tint="0.79998168889431442"/>
        <color rgb="FF5A8AC6"/>
      </colorScale>
    </cfRule>
  </conditionalFormatting>
  <conditionalFormatting sqref="K239">
    <cfRule type="expression" dxfId="15770" priority="20879" stopIfTrue="1">
      <formula>K239=1</formula>
    </cfRule>
    <cfRule type="colorScale" priority="20880">
      <colorScale>
        <cfvo type="num" val="0"/>
        <cfvo type="num" val="0.5"/>
        <cfvo type="num" val="1"/>
        <color rgb="FFF8696B"/>
        <color theme="4" tint="0.79998168889431442"/>
        <color rgb="FF5A8AC6"/>
      </colorScale>
    </cfRule>
  </conditionalFormatting>
  <conditionalFormatting sqref="L16 L18 L20 L22 L24 L26 L28 L39 L41 L43 L45 L48 L81 L88 L90 L92 L94 L96 L98 L100 L102 L105 L107 L109 L111 L116">
    <cfRule type="expression" dxfId="15769" priority="20876">
      <formula>L16="X"</formula>
    </cfRule>
    <cfRule type="expression" dxfId="15768" priority="20877">
      <formula>L16="A"</formula>
    </cfRule>
    <cfRule type="expression" dxfId="15767" priority="20878">
      <formula>L16="T"</formula>
    </cfRule>
  </conditionalFormatting>
  <conditionalFormatting sqref="L36">
    <cfRule type="expression" dxfId="15766" priority="20873">
      <formula>L36="X"</formula>
    </cfRule>
    <cfRule type="expression" dxfId="15765" priority="20874">
      <formula>L36="A"</formula>
    </cfRule>
    <cfRule type="expression" dxfId="15764" priority="20875">
      <formula>L36="T"</formula>
    </cfRule>
  </conditionalFormatting>
  <conditionalFormatting sqref="L34">
    <cfRule type="expression" dxfId="15763" priority="20870">
      <formula>L34="X"</formula>
    </cfRule>
    <cfRule type="expression" dxfId="15762" priority="20871">
      <formula>L34="A"</formula>
    </cfRule>
    <cfRule type="expression" dxfId="15761" priority="20872">
      <formula>L34="T"</formula>
    </cfRule>
  </conditionalFormatting>
  <conditionalFormatting sqref="L32">
    <cfRule type="expression" dxfId="15760" priority="20867">
      <formula>L32="X"</formula>
    </cfRule>
    <cfRule type="expression" dxfId="15759" priority="20868">
      <formula>L32="A"</formula>
    </cfRule>
    <cfRule type="expression" dxfId="15758" priority="20869">
      <formula>L32="T"</formula>
    </cfRule>
  </conditionalFormatting>
  <conditionalFormatting sqref="L30">
    <cfRule type="expression" dxfId="15757" priority="20864">
      <formula>L30="X"</formula>
    </cfRule>
    <cfRule type="expression" dxfId="15756" priority="20865">
      <formula>L30="A"</formula>
    </cfRule>
    <cfRule type="expression" dxfId="15755" priority="20866">
      <formula>L30="T"</formula>
    </cfRule>
  </conditionalFormatting>
  <conditionalFormatting sqref="L52">
    <cfRule type="expression" dxfId="15754" priority="20861">
      <formula>L52="X"</formula>
    </cfRule>
    <cfRule type="expression" dxfId="15753" priority="20862">
      <formula>L52="A"</formula>
    </cfRule>
    <cfRule type="expression" dxfId="15752" priority="20863">
      <formula>L52="T"</formula>
    </cfRule>
  </conditionalFormatting>
  <conditionalFormatting sqref="L50">
    <cfRule type="expression" dxfId="15751" priority="20858">
      <formula>L50="X"</formula>
    </cfRule>
    <cfRule type="expression" dxfId="15750" priority="20859">
      <formula>L50="A"</formula>
    </cfRule>
    <cfRule type="expression" dxfId="15749" priority="20860">
      <formula>L50="T"</formula>
    </cfRule>
  </conditionalFormatting>
  <conditionalFormatting sqref="L54">
    <cfRule type="expression" dxfId="15748" priority="20855">
      <formula>L54="X"</formula>
    </cfRule>
    <cfRule type="expression" dxfId="15747" priority="20856">
      <formula>L54="A"</formula>
    </cfRule>
    <cfRule type="expression" dxfId="15746" priority="20857">
      <formula>L54="T"</formula>
    </cfRule>
  </conditionalFormatting>
  <conditionalFormatting sqref="L56">
    <cfRule type="expression" dxfId="15745" priority="20852">
      <formula>L56="X"</formula>
    </cfRule>
    <cfRule type="expression" dxfId="15744" priority="20853">
      <formula>L56="A"</formula>
    </cfRule>
    <cfRule type="expression" dxfId="15743" priority="20854">
      <formula>L56="T"</formula>
    </cfRule>
  </conditionalFormatting>
  <conditionalFormatting sqref="L58">
    <cfRule type="expression" dxfId="15742" priority="20849">
      <formula>L58="X"</formula>
    </cfRule>
    <cfRule type="expression" dxfId="15741" priority="20850">
      <formula>L58="A"</formula>
    </cfRule>
    <cfRule type="expression" dxfId="15740" priority="20851">
      <formula>L58="T"</formula>
    </cfRule>
  </conditionalFormatting>
  <conditionalFormatting sqref="L63">
    <cfRule type="expression" dxfId="15739" priority="20846">
      <formula>L63="X"</formula>
    </cfRule>
    <cfRule type="expression" dxfId="15738" priority="20847">
      <formula>L63="A"</formula>
    </cfRule>
    <cfRule type="expression" dxfId="15737" priority="20848">
      <formula>L63="T"</formula>
    </cfRule>
  </conditionalFormatting>
  <conditionalFormatting sqref="L65">
    <cfRule type="expression" dxfId="15736" priority="20843">
      <formula>L65="X"</formula>
    </cfRule>
    <cfRule type="expression" dxfId="15735" priority="20844">
      <formula>L65="A"</formula>
    </cfRule>
    <cfRule type="expression" dxfId="15734" priority="20845">
      <formula>L65="T"</formula>
    </cfRule>
  </conditionalFormatting>
  <conditionalFormatting sqref="L83">
    <cfRule type="expression" dxfId="15733" priority="20840">
      <formula>L83="X"</formula>
    </cfRule>
    <cfRule type="expression" dxfId="15732" priority="20841">
      <formula>L83="A"</formula>
    </cfRule>
    <cfRule type="expression" dxfId="15731" priority="20842">
      <formula>L83="T"</formula>
    </cfRule>
  </conditionalFormatting>
  <conditionalFormatting sqref="L85">
    <cfRule type="expression" dxfId="15730" priority="20837">
      <formula>L85="X"</formula>
    </cfRule>
    <cfRule type="expression" dxfId="15729" priority="20838">
      <formula>L85="A"</formula>
    </cfRule>
    <cfRule type="expression" dxfId="15728" priority="20839">
      <formula>L85="T"</formula>
    </cfRule>
  </conditionalFormatting>
  <conditionalFormatting sqref="L67">
    <cfRule type="expression" dxfId="15727" priority="20834">
      <formula>L67="X"</formula>
    </cfRule>
    <cfRule type="expression" dxfId="15726" priority="20835">
      <formula>L67="A"</formula>
    </cfRule>
    <cfRule type="expression" dxfId="15725" priority="20836">
      <formula>L67="T"</formula>
    </cfRule>
  </conditionalFormatting>
  <conditionalFormatting sqref="L113">
    <cfRule type="expression" dxfId="15724" priority="20831">
      <formula>L113="X"</formula>
    </cfRule>
    <cfRule type="expression" dxfId="15723" priority="20832">
      <formula>L113="A"</formula>
    </cfRule>
    <cfRule type="expression" dxfId="15722" priority="20833">
      <formula>L113="T"</formula>
    </cfRule>
  </conditionalFormatting>
  <conditionalFormatting sqref="L118">
    <cfRule type="expression" dxfId="15721" priority="20828">
      <formula>L118="X"</formula>
    </cfRule>
    <cfRule type="expression" dxfId="15720" priority="20829">
      <formula>L118="A"</formula>
    </cfRule>
    <cfRule type="expression" dxfId="15719" priority="20830">
      <formula>L118="T"</formula>
    </cfRule>
  </conditionalFormatting>
  <conditionalFormatting sqref="L120">
    <cfRule type="expression" dxfId="15718" priority="20825">
      <formula>L120="X"</formula>
    </cfRule>
    <cfRule type="expression" dxfId="15717" priority="20826">
      <formula>L120="A"</formula>
    </cfRule>
    <cfRule type="expression" dxfId="15716" priority="20827">
      <formula>L120="T"</formula>
    </cfRule>
  </conditionalFormatting>
  <conditionalFormatting sqref="L122">
    <cfRule type="expression" dxfId="15715" priority="20822">
      <formula>L122="X"</formula>
    </cfRule>
    <cfRule type="expression" dxfId="15714" priority="20823">
      <formula>L122="A"</formula>
    </cfRule>
    <cfRule type="expression" dxfId="15713" priority="20824">
      <formula>L122="T"</formula>
    </cfRule>
  </conditionalFormatting>
  <conditionalFormatting sqref="L125">
    <cfRule type="expression" dxfId="15712" priority="20819">
      <formula>L125="X"</formula>
    </cfRule>
    <cfRule type="expression" dxfId="15711" priority="20820">
      <formula>L125="A"</formula>
    </cfRule>
    <cfRule type="expression" dxfId="15710" priority="20821">
      <formula>L125="T"</formula>
    </cfRule>
  </conditionalFormatting>
  <conditionalFormatting sqref="L127">
    <cfRule type="expression" dxfId="15709" priority="20816">
      <formula>L127="X"</formula>
    </cfRule>
    <cfRule type="expression" dxfId="15708" priority="20817">
      <formula>L127="A"</formula>
    </cfRule>
    <cfRule type="expression" dxfId="15707" priority="20818">
      <formula>L127="T"</formula>
    </cfRule>
  </conditionalFormatting>
  <conditionalFormatting sqref="L141">
    <cfRule type="expression" dxfId="15706" priority="20813">
      <formula>L141="X"</formula>
    </cfRule>
    <cfRule type="expression" dxfId="15705" priority="20814">
      <formula>L141="A"</formula>
    </cfRule>
    <cfRule type="expression" dxfId="15704" priority="20815">
      <formula>L141="T"</formula>
    </cfRule>
  </conditionalFormatting>
  <conditionalFormatting sqref="L143">
    <cfRule type="expression" dxfId="15703" priority="20810">
      <formula>L143="X"</formula>
    </cfRule>
    <cfRule type="expression" dxfId="15702" priority="20811">
      <formula>L143="A"</formula>
    </cfRule>
    <cfRule type="expression" dxfId="15701" priority="20812">
      <formula>L143="T"</formula>
    </cfRule>
  </conditionalFormatting>
  <conditionalFormatting sqref="L149">
    <cfRule type="expression" dxfId="15700" priority="20807">
      <formula>L149="X"</formula>
    </cfRule>
    <cfRule type="expression" dxfId="15699" priority="20808">
      <formula>L149="A"</formula>
    </cfRule>
    <cfRule type="expression" dxfId="15698" priority="20809">
      <formula>L149="T"</formula>
    </cfRule>
  </conditionalFormatting>
  <conditionalFormatting sqref="L151">
    <cfRule type="expression" dxfId="15697" priority="20804">
      <formula>L151="X"</formula>
    </cfRule>
    <cfRule type="expression" dxfId="15696" priority="20805">
      <formula>L151="A"</formula>
    </cfRule>
    <cfRule type="expression" dxfId="15695" priority="20806">
      <formula>L151="T"</formula>
    </cfRule>
  </conditionalFormatting>
  <conditionalFormatting sqref="L155">
    <cfRule type="expression" dxfId="15694" priority="20801">
      <formula>L155="X"</formula>
    </cfRule>
    <cfRule type="expression" dxfId="15693" priority="20802">
      <formula>L155="A"</formula>
    </cfRule>
    <cfRule type="expression" dxfId="15692" priority="20803">
      <formula>L155="T"</formula>
    </cfRule>
  </conditionalFormatting>
  <conditionalFormatting sqref="L157">
    <cfRule type="expression" dxfId="15691" priority="20798">
      <formula>L157="X"</formula>
    </cfRule>
    <cfRule type="expression" dxfId="15690" priority="20799">
      <formula>L157="A"</formula>
    </cfRule>
    <cfRule type="expression" dxfId="15689" priority="20800">
      <formula>L157="T"</formula>
    </cfRule>
  </conditionalFormatting>
  <conditionalFormatting sqref="L167">
    <cfRule type="expression" dxfId="15688" priority="20795">
      <formula>L167="X"</formula>
    </cfRule>
    <cfRule type="expression" dxfId="15687" priority="20796">
      <formula>L167="A"</formula>
    </cfRule>
    <cfRule type="expression" dxfId="15686" priority="20797">
      <formula>L167="T"</formula>
    </cfRule>
  </conditionalFormatting>
  <conditionalFormatting sqref="L173">
    <cfRule type="expression" dxfId="15685" priority="20792">
      <formula>L173="X"</formula>
    </cfRule>
    <cfRule type="expression" dxfId="15684" priority="20793">
      <formula>L173="A"</formula>
    </cfRule>
    <cfRule type="expression" dxfId="15683" priority="20794">
      <formula>L173="T"</formula>
    </cfRule>
  </conditionalFormatting>
  <conditionalFormatting sqref="L175">
    <cfRule type="expression" dxfId="15682" priority="20789">
      <formula>L175="X"</formula>
    </cfRule>
    <cfRule type="expression" dxfId="15681" priority="20790">
      <formula>L175="A"</formula>
    </cfRule>
    <cfRule type="expression" dxfId="15680" priority="20791">
      <formula>L175="T"</formula>
    </cfRule>
  </conditionalFormatting>
  <conditionalFormatting sqref="L177">
    <cfRule type="expression" dxfId="15679" priority="20786">
      <formula>L177="X"</formula>
    </cfRule>
    <cfRule type="expression" dxfId="15678" priority="20787">
      <formula>L177="A"</formula>
    </cfRule>
    <cfRule type="expression" dxfId="15677" priority="20788">
      <formula>L177="T"</formula>
    </cfRule>
  </conditionalFormatting>
  <conditionalFormatting sqref="L179">
    <cfRule type="expression" dxfId="15676" priority="20783">
      <formula>L179="X"</formula>
    </cfRule>
    <cfRule type="expression" dxfId="15675" priority="20784">
      <formula>L179="A"</formula>
    </cfRule>
    <cfRule type="expression" dxfId="15674" priority="20785">
      <formula>L179="T"</formula>
    </cfRule>
  </conditionalFormatting>
  <conditionalFormatting sqref="L169">
    <cfRule type="expression" dxfId="15673" priority="20780">
      <formula>L169="X"</formula>
    </cfRule>
    <cfRule type="expression" dxfId="15672" priority="20781">
      <formula>L169="A"</formula>
    </cfRule>
    <cfRule type="expression" dxfId="15671" priority="20782">
      <formula>L169="T"</formula>
    </cfRule>
  </conditionalFormatting>
  <conditionalFormatting sqref="L171">
    <cfRule type="expression" dxfId="15670" priority="20777">
      <formula>L171="X"</formula>
    </cfRule>
    <cfRule type="expression" dxfId="15669" priority="20778">
      <formula>L171="A"</formula>
    </cfRule>
    <cfRule type="expression" dxfId="15668" priority="20779">
      <formula>L171="T"</formula>
    </cfRule>
  </conditionalFormatting>
  <conditionalFormatting sqref="L183">
    <cfRule type="expression" dxfId="15667" priority="20774">
      <formula>L183="X"</formula>
    </cfRule>
    <cfRule type="expression" dxfId="15666" priority="20775">
      <formula>L183="A"</formula>
    </cfRule>
    <cfRule type="expression" dxfId="15665" priority="20776">
      <formula>L183="T"</formula>
    </cfRule>
  </conditionalFormatting>
  <conditionalFormatting sqref="L185">
    <cfRule type="expression" dxfId="15664" priority="20771">
      <formula>L185="X"</formula>
    </cfRule>
    <cfRule type="expression" dxfId="15663" priority="20772">
      <formula>L185="A"</formula>
    </cfRule>
    <cfRule type="expression" dxfId="15662" priority="20773">
      <formula>L185="T"</formula>
    </cfRule>
  </conditionalFormatting>
  <conditionalFormatting sqref="L189">
    <cfRule type="expression" dxfId="15661" priority="20768">
      <formula>L189="X"</formula>
    </cfRule>
    <cfRule type="expression" dxfId="15660" priority="20769">
      <formula>L189="A"</formula>
    </cfRule>
    <cfRule type="expression" dxfId="15659" priority="20770">
      <formula>L189="T"</formula>
    </cfRule>
  </conditionalFormatting>
  <conditionalFormatting sqref="L191">
    <cfRule type="expression" dxfId="15658" priority="20765">
      <formula>L191="X"</formula>
    </cfRule>
    <cfRule type="expression" dxfId="15657" priority="20766">
      <formula>L191="A"</formula>
    </cfRule>
    <cfRule type="expression" dxfId="15656" priority="20767">
      <formula>L191="T"</formula>
    </cfRule>
  </conditionalFormatting>
  <conditionalFormatting sqref="L11">
    <cfRule type="expression" dxfId="15655" priority="20750">
      <formula>L11="X"</formula>
    </cfRule>
    <cfRule type="expression" dxfId="15654" priority="20751">
      <formula>L11="A"</formula>
    </cfRule>
    <cfRule type="expression" dxfId="15653" priority="20752">
      <formula>L11="T"</formula>
    </cfRule>
  </conditionalFormatting>
  <conditionalFormatting sqref="L12">
    <cfRule type="expression" dxfId="15652" priority="20747">
      <formula>L11="X"</formula>
    </cfRule>
    <cfRule type="expression" dxfId="15651" priority="20748">
      <formula>L11="A"</formula>
    </cfRule>
    <cfRule type="expression" dxfId="15650" priority="20749">
      <formula>L11="T"</formula>
    </cfRule>
  </conditionalFormatting>
  <conditionalFormatting sqref="L13">
    <cfRule type="expression" dxfId="15649" priority="20744">
      <formula>L13="X"</formula>
    </cfRule>
    <cfRule type="expression" dxfId="15648" priority="20745">
      <formula>L13="A"</formula>
    </cfRule>
    <cfRule type="expression" dxfId="15647" priority="20746">
      <formula>L13="T"</formula>
    </cfRule>
  </conditionalFormatting>
  <conditionalFormatting sqref="L14">
    <cfRule type="expression" dxfId="15646" priority="20741">
      <formula>L13="X"</formula>
    </cfRule>
    <cfRule type="expression" dxfId="15645" priority="20742">
      <formula>L13="A"</formula>
    </cfRule>
    <cfRule type="expression" dxfId="15644" priority="20743">
      <formula>L13="T"</formula>
    </cfRule>
  </conditionalFormatting>
  <conditionalFormatting sqref="L17">
    <cfRule type="expression" dxfId="15643" priority="20738">
      <formula>L16="X"</formula>
    </cfRule>
    <cfRule type="expression" dxfId="15642" priority="20739">
      <formula>L16="A"</formula>
    </cfRule>
    <cfRule type="expression" dxfId="15641" priority="20740">
      <formula>L16="T"</formula>
    </cfRule>
  </conditionalFormatting>
  <conditionalFormatting sqref="L19">
    <cfRule type="expression" dxfId="15640" priority="20732">
      <formula>L18="X"</formula>
    </cfRule>
    <cfRule type="expression" dxfId="15639" priority="20733">
      <formula>L18="A"</formula>
    </cfRule>
    <cfRule type="expression" dxfId="15638" priority="20734">
      <formula>L18="T"</formula>
    </cfRule>
  </conditionalFormatting>
  <conditionalFormatting sqref="L21">
    <cfRule type="expression" dxfId="15637" priority="20729">
      <formula>L20="X"</formula>
    </cfRule>
    <cfRule type="expression" dxfId="15636" priority="20730">
      <formula>L20="A"</formula>
    </cfRule>
    <cfRule type="expression" dxfId="15635" priority="20731">
      <formula>L20="T"</formula>
    </cfRule>
  </conditionalFormatting>
  <conditionalFormatting sqref="L23">
    <cfRule type="expression" dxfId="15634" priority="20726">
      <formula>L22="X"</formula>
    </cfRule>
    <cfRule type="expression" dxfId="15633" priority="20727">
      <formula>L22="A"</formula>
    </cfRule>
    <cfRule type="expression" dxfId="15632" priority="20728">
      <formula>L22="T"</formula>
    </cfRule>
  </conditionalFormatting>
  <conditionalFormatting sqref="L25">
    <cfRule type="expression" dxfId="15631" priority="20723">
      <formula>L24="X"</formula>
    </cfRule>
    <cfRule type="expression" dxfId="15630" priority="20724">
      <formula>L24="A"</formula>
    </cfRule>
    <cfRule type="expression" dxfId="15629" priority="20725">
      <formula>L24="T"</formula>
    </cfRule>
  </conditionalFormatting>
  <conditionalFormatting sqref="L27">
    <cfRule type="expression" dxfId="15628" priority="20720">
      <formula>L26="X"</formula>
    </cfRule>
    <cfRule type="expression" dxfId="15627" priority="20721">
      <formula>L26="A"</formula>
    </cfRule>
    <cfRule type="expression" dxfId="15626" priority="20722">
      <formula>L26="T"</formula>
    </cfRule>
  </conditionalFormatting>
  <conditionalFormatting sqref="L29">
    <cfRule type="expression" dxfId="15625" priority="20717">
      <formula>L28="X"</formula>
    </cfRule>
    <cfRule type="expression" dxfId="15624" priority="20718">
      <formula>L28="A"</formula>
    </cfRule>
    <cfRule type="expression" dxfId="15623" priority="20719">
      <formula>L28="T"</formula>
    </cfRule>
  </conditionalFormatting>
  <conditionalFormatting sqref="L31">
    <cfRule type="expression" dxfId="15622" priority="20714">
      <formula>L30="X"</formula>
    </cfRule>
    <cfRule type="expression" dxfId="15621" priority="20715">
      <formula>L30="A"</formula>
    </cfRule>
    <cfRule type="expression" dxfId="15620" priority="20716">
      <formula>L30="T"</formula>
    </cfRule>
  </conditionalFormatting>
  <conditionalFormatting sqref="L33">
    <cfRule type="expression" dxfId="15619" priority="20711">
      <formula>L32="X"</formula>
    </cfRule>
    <cfRule type="expression" dxfId="15618" priority="20712">
      <formula>L32="A"</formula>
    </cfRule>
    <cfRule type="expression" dxfId="15617" priority="20713">
      <formula>L32="T"</formula>
    </cfRule>
  </conditionalFormatting>
  <conditionalFormatting sqref="L35">
    <cfRule type="expression" dxfId="15616" priority="20708">
      <formula>L34="X"</formula>
    </cfRule>
    <cfRule type="expression" dxfId="15615" priority="20709">
      <formula>L34="A"</formula>
    </cfRule>
    <cfRule type="expression" dxfId="15614" priority="20710">
      <formula>L34="T"</formula>
    </cfRule>
  </conditionalFormatting>
  <conditionalFormatting sqref="L37">
    <cfRule type="expression" dxfId="15613" priority="20705">
      <formula>L36="X"</formula>
    </cfRule>
    <cfRule type="expression" dxfId="15612" priority="20706">
      <formula>L36="A"</formula>
    </cfRule>
    <cfRule type="expression" dxfId="15611" priority="20707">
      <formula>L36="T"</formula>
    </cfRule>
  </conditionalFormatting>
  <conditionalFormatting sqref="L40">
    <cfRule type="expression" dxfId="15610" priority="20702">
      <formula>L39="X"</formula>
    </cfRule>
    <cfRule type="expression" dxfId="15609" priority="20703">
      <formula>L39="A"</formula>
    </cfRule>
    <cfRule type="expression" dxfId="15608" priority="20704">
      <formula>L39="T"</formula>
    </cfRule>
  </conditionalFormatting>
  <conditionalFormatting sqref="L42">
    <cfRule type="expression" dxfId="15607" priority="20699">
      <formula>L41="X"</formula>
    </cfRule>
    <cfRule type="expression" dxfId="15606" priority="20700">
      <formula>L41="A"</formula>
    </cfRule>
    <cfRule type="expression" dxfId="15605" priority="20701">
      <formula>L41="T"</formula>
    </cfRule>
  </conditionalFormatting>
  <conditionalFormatting sqref="L44">
    <cfRule type="expression" dxfId="15604" priority="20696">
      <formula>L43="X"</formula>
    </cfRule>
    <cfRule type="expression" dxfId="15603" priority="20697">
      <formula>L43="A"</formula>
    </cfRule>
    <cfRule type="expression" dxfId="15602" priority="20698">
      <formula>L43="T"</formula>
    </cfRule>
  </conditionalFormatting>
  <conditionalFormatting sqref="L46">
    <cfRule type="expression" dxfId="15601" priority="20693">
      <formula>L45="X"</formula>
    </cfRule>
    <cfRule type="expression" dxfId="15600" priority="20694">
      <formula>L45="A"</formula>
    </cfRule>
    <cfRule type="expression" dxfId="15599" priority="20695">
      <formula>L45="T"</formula>
    </cfRule>
  </conditionalFormatting>
  <conditionalFormatting sqref="L49">
    <cfRule type="expression" dxfId="15598" priority="20690">
      <formula>L48="X"</formula>
    </cfRule>
    <cfRule type="expression" dxfId="15597" priority="20691">
      <formula>L48="A"</formula>
    </cfRule>
    <cfRule type="expression" dxfId="15596" priority="20692">
      <formula>L48="T"</formula>
    </cfRule>
  </conditionalFormatting>
  <conditionalFormatting sqref="L51">
    <cfRule type="expression" dxfId="15595" priority="20687">
      <formula>L50="X"</formula>
    </cfRule>
    <cfRule type="expression" dxfId="15594" priority="20688">
      <formula>L50="A"</formula>
    </cfRule>
    <cfRule type="expression" dxfId="15593" priority="20689">
      <formula>L50="T"</formula>
    </cfRule>
  </conditionalFormatting>
  <conditionalFormatting sqref="L53">
    <cfRule type="expression" dxfId="15592" priority="20684">
      <formula>L52="X"</formula>
    </cfRule>
    <cfRule type="expression" dxfId="15591" priority="20685">
      <formula>L52="A"</formula>
    </cfRule>
    <cfRule type="expression" dxfId="15590" priority="20686">
      <formula>L52="T"</formula>
    </cfRule>
  </conditionalFormatting>
  <conditionalFormatting sqref="L55">
    <cfRule type="expression" dxfId="15589" priority="20681">
      <formula>L54="X"</formula>
    </cfRule>
    <cfRule type="expression" dxfId="15588" priority="20682">
      <formula>L54="A"</formula>
    </cfRule>
    <cfRule type="expression" dxfId="15587" priority="20683">
      <formula>L54="T"</formula>
    </cfRule>
  </conditionalFormatting>
  <conditionalFormatting sqref="L57">
    <cfRule type="expression" dxfId="15586" priority="20678">
      <formula>L56="X"</formula>
    </cfRule>
    <cfRule type="expression" dxfId="15585" priority="20679">
      <formula>L56="A"</formula>
    </cfRule>
    <cfRule type="expression" dxfId="15584" priority="20680">
      <formula>L56="T"</formula>
    </cfRule>
  </conditionalFormatting>
  <conditionalFormatting sqref="L59">
    <cfRule type="expression" dxfId="15583" priority="20675">
      <formula>L58="X"</formula>
    </cfRule>
    <cfRule type="expression" dxfId="15582" priority="20676">
      <formula>L58="A"</formula>
    </cfRule>
    <cfRule type="expression" dxfId="15581" priority="20677">
      <formula>L58="T"</formula>
    </cfRule>
  </conditionalFormatting>
  <conditionalFormatting sqref="L64">
    <cfRule type="expression" dxfId="15580" priority="20672">
      <formula>L63="X"</formula>
    </cfRule>
    <cfRule type="expression" dxfId="15579" priority="20673">
      <formula>L63="A"</formula>
    </cfRule>
    <cfRule type="expression" dxfId="15578" priority="20674">
      <formula>L63="T"</formula>
    </cfRule>
  </conditionalFormatting>
  <conditionalFormatting sqref="L66">
    <cfRule type="expression" dxfId="15577" priority="20669">
      <formula>L65="X"</formula>
    </cfRule>
    <cfRule type="expression" dxfId="15576" priority="20670">
      <formula>L65="A"</formula>
    </cfRule>
    <cfRule type="expression" dxfId="15575" priority="20671">
      <formula>L65="T"</formula>
    </cfRule>
  </conditionalFormatting>
  <conditionalFormatting sqref="L68">
    <cfRule type="expression" dxfId="15574" priority="20666">
      <formula>L67="X"</formula>
    </cfRule>
    <cfRule type="expression" dxfId="15573" priority="20667">
      <formula>L67="A"</formula>
    </cfRule>
    <cfRule type="expression" dxfId="15572" priority="20668">
      <formula>L67="T"</formula>
    </cfRule>
  </conditionalFormatting>
  <conditionalFormatting sqref="L82">
    <cfRule type="expression" dxfId="15571" priority="20663">
      <formula>L81="X"</formula>
    </cfRule>
    <cfRule type="expression" dxfId="15570" priority="20664">
      <formula>L81="A"</formula>
    </cfRule>
    <cfRule type="expression" dxfId="15569" priority="20665">
      <formula>L81="T"</formula>
    </cfRule>
  </conditionalFormatting>
  <conditionalFormatting sqref="L84">
    <cfRule type="expression" dxfId="15568" priority="20660">
      <formula>L83="X"</formula>
    </cfRule>
    <cfRule type="expression" dxfId="15567" priority="20661">
      <formula>L83="A"</formula>
    </cfRule>
    <cfRule type="expression" dxfId="15566" priority="20662">
      <formula>L83="T"</formula>
    </cfRule>
  </conditionalFormatting>
  <conditionalFormatting sqref="L86">
    <cfRule type="expression" dxfId="15565" priority="20657">
      <formula>L85="X"</formula>
    </cfRule>
    <cfRule type="expression" dxfId="15564" priority="20658">
      <formula>L85="A"</formula>
    </cfRule>
    <cfRule type="expression" dxfId="15563" priority="20659">
      <formula>L85="T"</formula>
    </cfRule>
  </conditionalFormatting>
  <conditionalFormatting sqref="L89">
    <cfRule type="expression" dxfId="15562" priority="20654">
      <formula>L88="X"</formula>
    </cfRule>
    <cfRule type="expression" dxfId="15561" priority="20655">
      <formula>L88="A"</formula>
    </cfRule>
    <cfRule type="expression" dxfId="15560" priority="20656">
      <formula>L88="T"</formula>
    </cfRule>
  </conditionalFormatting>
  <conditionalFormatting sqref="L91">
    <cfRule type="expression" dxfId="15559" priority="20651">
      <formula>L90="X"</formula>
    </cfRule>
    <cfRule type="expression" dxfId="15558" priority="20652">
      <formula>L90="A"</formula>
    </cfRule>
    <cfRule type="expression" dxfId="15557" priority="20653">
      <formula>L90="T"</formula>
    </cfRule>
  </conditionalFormatting>
  <conditionalFormatting sqref="L93">
    <cfRule type="expression" dxfId="15556" priority="20648">
      <formula>L92="X"</formula>
    </cfRule>
    <cfRule type="expression" dxfId="15555" priority="20649">
      <formula>L92="A"</formula>
    </cfRule>
    <cfRule type="expression" dxfId="15554" priority="20650">
      <formula>L92="T"</formula>
    </cfRule>
  </conditionalFormatting>
  <conditionalFormatting sqref="L95">
    <cfRule type="expression" dxfId="15553" priority="20645">
      <formula>L94="X"</formula>
    </cfRule>
    <cfRule type="expression" dxfId="15552" priority="20646">
      <formula>L94="A"</formula>
    </cfRule>
    <cfRule type="expression" dxfId="15551" priority="20647">
      <formula>L94="T"</formula>
    </cfRule>
  </conditionalFormatting>
  <conditionalFormatting sqref="L97">
    <cfRule type="expression" dxfId="15550" priority="20642">
      <formula>L96="X"</formula>
    </cfRule>
    <cfRule type="expression" dxfId="15549" priority="20643">
      <formula>L96="A"</formula>
    </cfRule>
    <cfRule type="expression" dxfId="15548" priority="20644">
      <formula>L96="T"</formula>
    </cfRule>
  </conditionalFormatting>
  <conditionalFormatting sqref="L99">
    <cfRule type="expression" dxfId="15547" priority="20639">
      <formula>L98="X"</formula>
    </cfRule>
    <cfRule type="expression" dxfId="15546" priority="20640">
      <formula>L98="A"</formula>
    </cfRule>
    <cfRule type="expression" dxfId="15545" priority="20641">
      <formula>L98="T"</formula>
    </cfRule>
  </conditionalFormatting>
  <conditionalFormatting sqref="L101">
    <cfRule type="expression" dxfId="15544" priority="20636">
      <formula>L100="X"</formula>
    </cfRule>
    <cfRule type="expression" dxfId="15543" priority="20637">
      <formula>L100="A"</formula>
    </cfRule>
    <cfRule type="expression" dxfId="15542" priority="20638">
      <formula>L100="T"</formula>
    </cfRule>
  </conditionalFormatting>
  <conditionalFormatting sqref="L103">
    <cfRule type="expression" dxfId="15541" priority="20633">
      <formula>L102="X"</formula>
    </cfRule>
    <cfRule type="expression" dxfId="15540" priority="20634">
      <formula>L102="A"</formula>
    </cfRule>
    <cfRule type="expression" dxfId="15539" priority="20635">
      <formula>L102="T"</formula>
    </cfRule>
  </conditionalFormatting>
  <conditionalFormatting sqref="L106">
    <cfRule type="expression" dxfId="15538" priority="20630">
      <formula>L105="X"</formula>
    </cfRule>
    <cfRule type="expression" dxfId="15537" priority="20631">
      <formula>L105="A"</formula>
    </cfRule>
    <cfRule type="expression" dxfId="15536" priority="20632">
      <formula>L105="T"</formula>
    </cfRule>
  </conditionalFormatting>
  <conditionalFormatting sqref="L108">
    <cfRule type="expression" dxfId="15535" priority="20627">
      <formula>L107="X"</formula>
    </cfRule>
    <cfRule type="expression" dxfId="15534" priority="20628">
      <formula>L107="A"</formula>
    </cfRule>
    <cfRule type="expression" dxfId="15533" priority="20629">
      <formula>L107="T"</formula>
    </cfRule>
  </conditionalFormatting>
  <conditionalFormatting sqref="L110">
    <cfRule type="expression" dxfId="15532" priority="20624">
      <formula>L109="X"</formula>
    </cfRule>
    <cfRule type="expression" dxfId="15531" priority="20625">
      <formula>L109="A"</formula>
    </cfRule>
    <cfRule type="expression" dxfId="15530" priority="20626">
      <formula>L109="T"</formula>
    </cfRule>
  </conditionalFormatting>
  <conditionalFormatting sqref="L112">
    <cfRule type="expression" dxfId="15529" priority="20621">
      <formula>L111="X"</formula>
    </cfRule>
    <cfRule type="expression" dxfId="15528" priority="20622">
      <formula>L111="A"</formula>
    </cfRule>
    <cfRule type="expression" dxfId="15527" priority="20623">
      <formula>L111="T"</formula>
    </cfRule>
  </conditionalFormatting>
  <conditionalFormatting sqref="L114">
    <cfRule type="expression" dxfId="15526" priority="20618">
      <formula>L113="X"</formula>
    </cfRule>
    <cfRule type="expression" dxfId="15525" priority="20619">
      <formula>L113="A"</formula>
    </cfRule>
    <cfRule type="expression" dxfId="15524" priority="20620">
      <formula>L113="T"</formula>
    </cfRule>
  </conditionalFormatting>
  <conditionalFormatting sqref="L117">
    <cfRule type="expression" dxfId="15523" priority="20615">
      <formula>L116="X"</formula>
    </cfRule>
    <cfRule type="expression" dxfId="15522" priority="20616">
      <formula>L116="A"</formula>
    </cfRule>
    <cfRule type="expression" dxfId="15521" priority="20617">
      <formula>L116="T"</formula>
    </cfRule>
  </conditionalFormatting>
  <conditionalFormatting sqref="L119">
    <cfRule type="expression" dxfId="15520" priority="20612">
      <formula>L118="X"</formula>
    </cfRule>
    <cfRule type="expression" dxfId="15519" priority="20613">
      <formula>L118="A"</formula>
    </cfRule>
    <cfRule type="expression" dxfId="15518" priority="20614">
      <formula>L118="T"</formula>
    </cfRule>
  </conditionalFormatting>
  <conditionalFormatting sqref="L121">
    <cfRule type="expression" dxfId="15517" priority="20609">
      <formula>L120="X"</formula>
    </cfRule>
    <cfRule type="expression" dxfId="15516" priority="20610">
      <formula>L120="A"</formula>
    </cfRule>
    <cfRule type="expression" dxfId="15515" priority="20611">
      <formula>L120="T"</formula>
    </cfRule>
  </conditionalFormatting>
  <conditionalFormatting sqref="L123">
    <cfRule type="expression" dxfId="15514" priority="20606">
      <formula>L122="X"</formula>
    </cfRule>
    <cfRule type="expression" dxfId="15513" priority="20607">
      <formula>L122="A"</formula>
    </cfRule>
    <cfRule type="expression" dxfId="15512" priority="20608">
      <formula>L122="T"</formula>
    </cfRule>
  </conditionalFormatting>
  <conditionalFormatting sqref="L126">
    <cfRule type="expression" dxfId="15511" priority="20603">
      <formula>L125="X"</formula>
    </cfRule>
    <cfRule type="expression" dxfId="15510" priority="20604">
      <formula>L125="A"</formula>
    </cfRule>
    <cfRule type="expression" dxfId="15509" priority="20605">
      <formula>L125="T"</formula>
    </cfRule>
  </conditionalFormatting>
  <conditionalFormatting sqref="L128">
    <cfRule type="expression" dxfId="15508" priority="20600">
      <formula>L127="X"</formula>
    </cfRule>
    <cfRule type="expression" dxfId="15507" priority="20601">
      <formula>L127="A"</formula>
    </cfRule>
    <cfRule type="expression" dxfId="15506" priority="20602">
      <formula>L127="T"</formula>
    </cfRule>
  </conditionalFormatting>
  <conditionalFormatting sqref="L142">
    <cfRule type="expression" dxfId="15505" priority="20597">
      <formula>L141="X"</formula>
    </cfRule>
    <cfRule type="expression" dxfId="15504" priority="20598">
      <formula>L141="A"</formula>
    </cfRule>
    <cfRule type="expression" dxfId="15503" priority="20599">
      <formula>L141="T"</formula>
    </cfRule>
  </conditionalFormatting>
  <conditionalFormatting sqref="L144">
    <cfRule type="expression" dxfId="15502" priority="20594">
      <formula>L143="X"</formula>
    </cfRule>
    <cfRule type="expression" dxfId="15501" priority="20595">
      <formula>L143="A"</formula>
    </cfRule>
    <cfRule type="expression" dxfId="15500" priority="20596">
      <formula>L143="T"</formula>
    </cfRule>
  </conditionalFormatting>
  <conditionalFormatting sqref="L150">
    <cfRule type="expression" dxfId="15499" priority="20591">
      <formula>L149="X"</formula>
    </cfRule>
    <cfRule type="expression" dxfId="15498" priority="20592">
      <formula>L149="A"</formula>
    </cfRule>
    <cfRule type="expression" dxfId="15497" priority="20593">
      <formula>L149="T"</formula>
    </cfRule>
  </conditionalFormatting>
  <conditionalFormatting sqref="L152">
    <cfRule type="expression" dxfId="15496" priority="20588">
      <formula>L151="X"</formula>
    </cfRule>
    <cfRule type="expression" dxfId="15495" priority="20589">
      <formula>L151="A"</formula>
    </cfRule>
    <cfRule type="expression" dxfId="15494" priority="20590">
      <formula>L151="T"</formula>
    </cfRule>
  </conditionalFormatting>
  <conditionalFormatting sqref="L156">
    <cfRule type="expression" dxfId="15493" priority="20585">
      <formula>L155="X"</formula>
    </cfRule>
    <cfRule type="expression" dxfId="15492" priority="20586">
      <formula>L155="A"</formula>
    </cfRule>
    <cfRule type="expression" dxfId="15491" priority="20587">
      <formula>L155="T"</formula>
    </cfRule>
  </conditionalFormatting>
  <conditionalFormatting sqref="L168">
    <cfRule type="expression" dxfId="15490" priority="20579">
      <formula>L167="X"</formula>
    </cfRule>
    <cfRule type="expression" dxfId="15489" priority="20580">
      <formula>L167="A"</formula>
    </cfRule>
    <cfRule type="expression" dxfId="15488" priority="20581">
      <formula>L167="T"</formula>
    </cfRule>
  </conditionalFormatting>
  <conditionalFormatting sqref="L170">
    <cfRule type="expression" dxfId="15487" priority="20576">
      <formula>L169="X"</formula>
    </cfRule>
    <cfRule type="expression" dxfId="15486" priority="20577">
      <formula>L169="A"</formula>
    </cfRule>
    <cfRule type="expression" dxfId="15485" priority="20578">
      <formula>L169="T"</formula>
    </cfRule>
  </conditionalFormatting>
  <conditionalFormatting sqref="L172">
    <cfRule type="expression" dxfId="15484" priority="20573">
      <formula>L171="X"</formula>
    </cfRule>
    <cfRule type="expression" dxfId="15483" priority="20574">
      <formula>L171="A"</formula>
    </cfRule>
    <cfRule type="expression" dxfId="15482" priority="20575">
      <formula>L171="T"</formula>
    </cfRule>
  </conditionalFormatting>
  <conditionalFormatting sqref="L174">
    <cfRule type="expression" dxfId="15481" priority="20570">
      <formula>L173="X"</formula>
    </cfRule>
    <cfRule type="expression" dxfId="15480" priority="20571">
      <formula>L173="A"</formula>
    </cfRule>
    <cfRule type="expression" dxfId="15479" priority="20572">
      <formula>L173="T"</formula>
    </cfRule>
  </conditionalFormatting>
  <conditionalFormatting sqref="L176">
    <cfRule type="expression" dxfId="15478" priority="20567">
      <formula>L175="X"</formula>
    </cfRule>
    <cfRule type="expression" dxfId="15477" priority="20568">
      <formula>L175="A"</formula>
    </cfRule>
    <cfRule type="expression" dxfId="15476" priority="20569">
      <formula>L175="T"</formula>
    </cfRule>
  </conditionalFormatting>
  <conditionalFormatting sqref="L178">
    <cfRule type="expression" dxfId="15475" priority="20564">
      <formula>L177="X"</formula>
    </cfRule>
    <cfRule type="expression" dxfId="15474" priority="20565">
      <formula>L177="A"</formula>
    </cfRule>
    <cfRule type="expression" dxfId="15473" priority="20566">
      <formula>L177="T"</formula>
    </cfRule>
  </conditionalFormatting>
  <conditionalFormatting sqref="L180">
    <cfRule type="expression" dxfId="15472" priority="20561">
      <formula>L179="X"</formula>
    </cfRule>
    <cfRule type="expression" dxfId="15471" priority="20562">
      <formula>L179="A"</formula>
    </cfRule>
    <cfRule type="expression" dxfId="15470" priority="20563">
      <formula>L179="T"</formula>
    </cfRule>
  </conditionalFormatting>
  <conditionalFormatting sqref="L184">
    <cfRule type="expression" dxfId="15469" priority="20558">
      <formula>L183="X"</formula>
    </cfRule>
    <cfRule type="expression" dxfId="15468" priority="20559">
      <formula>L183="A"</formula>
    </cfRule>
    <cfRule type="expression" dxfId="15467" priority="20560">
      <formula>L183="T"</formula>
    </cfRule>
  </conditionalFormatting>
  <conditionalFormatting sqref="L186">
    <cfRule type="expression" dxfId="15466" priority="20555">
      <formula>L185="X"</formula>
    </cfRule>
    <cfRule type="expression" dxfId="15465" priority="20556">
      <formula>L185="A"</formula>
    </cfRule>
    <cfRule type="expression" dxfId="15464" priority="20557">
      <formula>L185="T"</formula>
    </cfRule>
  </conditionalFormatting>
  <conditionalFormatting sqref="L190">
    <cfRule type="expression" dxfId="15463" priority="20552">
      <formula>L189="X"</formula>
    </cfRule>
    <cfRule type="expression" dxfId="15462" priority="20553">
      <formula>L189="A"</formula>
    </cfRule>
    <cfRule type="expression" dxfId="15461" priority="20554">
      <formula>L189="T"</formula>
    </cfRule>
  </conditionalFormatting>
  <conditionalFormatting sqref="L192">
    <cfRule type="expression" dxfId="15460" priority="20549">
      <formula>L191="X"</formula>
    </cfRule>
    <cfRule type="expression" dxfId="15459" priority="20550">
      <formula>L191="A"</formula>
    </cfRule>
    <cfRule type="expression" dxfId="15458" priority="20551">
      <formula>L191="T"</formula>
    </cfRule>
  </conditionalFormatting>
  <conditionalFormatting sqref="L208">
    <cfRule type="expression" dxfId="15457" priority="20540">
      <formula>L207="X"</formula>
    </cfRule>
    <cfRule type="expression" dxfId="15456" priority="20541">
      <formula>L207="A"</formula>
    </cfRule>
    <cfRule type="expression" dxfId="15455" priority="20542">
      <formula>L207="T"</formula>
    </cfRule>
  </conditionalFormatting>
  <conditionalFormatting sqref="L211">
    <cfRule type="expression" dxfId="15454" priority="20534">
      <formula>L211="X"</formula>
    </cfRule>
    <cfRule type="expression" dxfId="15453" priority="20535">
      <formula>L211="A"</formula>
    </cfRule>
    <cfRule type="expression" dxfId="15452" priority="20536">
      <formula>L211="T"</formula>
    </cfRule>
  </conditionalFormatting>
  <conditionalFormatting sqref="L212">
    <cfRule type="expression" dxfId="15451" priority="20531">
      <formula>L211="X"</formula>
    </cfRule>
    <cfRule type="expression" dxfId="15450" priority="20532">
      <formula>L211="A"</formula>
    </cfRule>
    <cfRule type="expression" dxfId="15449" priority="20533">
      <formula>L211="T"</formula>
    </cfRule>
  </conditionalFormatting>
  <conditionalFormatting sqref="L213">
    <cfRule type="expression" dxfId="15448" priority="20528">
      <formula>L213="X"</formula>
    </cfRule>
    <cfRule type="expression" dxfId="15447" priority="20529">
      <formula>L213="A"</formula>
    </cfRule>
    <cfRule type="expression" dxfId="15446" priority="20530">
      <formula>L213="T"</formula>
    </cfRule>
  </conditionalFormatting>
  <conditionalFormatting sqref="L214">
    <cfRule type="expression" dxfId="15445" priority="20525">
      <formula>L213="X"</formula>
    </cfRule>
    <cfRule type="expression" dxfId="15444" priority="20526">
      <formula>L213="A"</formula>
    </cfRule>
    <cfRule type="expression" dxfId="15443" priority="20527">
      <formula>L213="T"</formula>
    </cfRule>
  </conditionalFormatting>
  <conditionalFormatting sqref="L215">
    <cfRule type="expression" dxfId="15442" priority="20522">
      <formula>L215="X"</formula>
    </cfRule>
    <cfRule type="expression" dxfId="15441" priority="20523">
      <formula>L215="A"</formula>
    </cfRule>
    <cfRule type="expression" dxfId="15440" priority="20524">
      <formula>L215="T"</formula>
    </cfRule>
  </conditionalFormatting>
  <conditionalFormatting sqref="L216">
    <cfRule type="expression" dxfId="15439" priority="20519">
      <formula>L215="X"</formula>
    </cfRule>
    <cfRule type="expression" dxfId="15438" priority="20520">
      <formula>L215="A"</formula>
    </cfRule>
    <cfRule type="expression" dxfId="15437" priority="20521">
      <formula>L215="T"</formula>
    </cfRule>
  </conditionalFormatting>
  <conditionalFormatting sqref="L217">
    <cfRule type="expression" dxfId="15436" priority="20516">
      <formula>L217="X"</formula>
    </cfRule>
    <cfRule type="expression" dxfId="15435" priority="20517">
      <formula>L217="A"</formula>
    </cfRule>
    <cfRule type="expression" dxfId="15434" priority="20518">
      <formula>L217="T"</formula>
    </cfRule>
  </conditionalFormatting>
  <conditionalFormatting sqref="L218">
    <cfRule type="expression" dxfId="15433" priority="20513">
      <formula>L217="X"</formula>
    </cfRule>
    <cfRule type="expression" dxfId="15432" priority="20514">
      <formula>L217="A"</formula>
    </cfRule>
    <cfRule type="expression" dxfId="15431" priority="20515">
      <formula>L217="T"</formula>
    </cfRule>
  </conditionalFormatting>
  <conditionalFormatting sqref="L219">
    <cfRule type="expression" dxfId="15430" priority="20510">
      <formula>L219="X"</formula>
    </cfRule>
    <cfRule type="expression" dxfId="15429" priority="20511">
      <formula>L219="A"</formula>
    </cfRule>
    <cfRule type="expression" dxfId="15428" priority="20512">
      <formula>L219="T"</formula>
    </cfRule>
  </conditionalFormatting>
  <conditionalFormatting sqref="L220">
    <cfRule type="expression" dxfId="15427" priority="20507">
      <formula>L219="X"</formula>
    </cfRule>
    <cfRule type="expression" dxfId="15426" priority="20508">
      <formula>L219="A"</formula>
    </cfRule>
    <cfRule type="expression" dxfId="15425" priority="20509">
      <formula>L219="T"</formula>
    </cfRule>
  </conditionalFormatting>
  <conditionalFormatting sqref="L221">
    <cfRule type="expression" dxfId="15424" priority="20504">
      <formula>L221="X"</formula>
    </cfRule>
    <cfRule type="expression" dxfId="15423" priority="20505">
      <formula>L221="A"</formula>
    </cfRule>
    <cfRule type="expression" dxfId="15422" priority="20506">
      <formula>L221="T"</formula>
    </cfRule>
  </conditionalFormatting>
  <conditionalFormatting sqref="L222">
    <cfRule type="expression" dxfId="15421" priority="20501">
      <formula>L221="X"</formula>
    </cfRule>
    <cfRule type="expression" dxfId="15420" priority="20502">
      <formula>L221="A"</formula>
    </cfRule>
    <cfRule type="expression" dxfId="15419" priority="20503">
      <formula>L221="T"</formula>
    </cfRule>
  </conditionalFormatting>
  <conditionalFormatting sqref="L223">
    <cfRule type="expression" dxfId="15418" priority="20498">
      <formula>L223="X"</formula>
    </cfRule>
    <cfRule type="expression" dxfId="15417" priority="20499">
      <formula>L223="A"</formula>
    </cfRule>
    <cfRule type="expression" dxfId="15416" priority="20500">
      <formula>L223="T"</formula>
    </cfRule>
  </conditionalFormatting>
  <conditionalFormatting sqref="L224">
    <cfRule type="expression" dxfId="15415" priority="20495">
      <formula>L223="X"</formula>
    </cfRule>
    <cfRule type="expression" dxfId="15414" priority="20496">
      <formula>L223="A"</formula>
    </cfRule>
    <cfRule type="expression" dxfId="15413" priority="20497">
      <formula>L223="T"</formula>
    </cfRule>
  </conditionalFormatting>
  <conditionalFormatting sqref="L4">
    <cfRule type="expression" dxfId="15412" priority="20492">
      <formula>L4="X"</formula>
    </cfRule>
    <cfRule type="expression" dxfId="15411" priority="20493">
      <formula>L4="A"</formula>
    </cfRule>
    <cfRule type="expression" dxfId="15410" priority="20494">
      <formula>L4="T"</formula>
    </cfRule>
  </conditionalFormatting>
  <conditionalFormatting sqref="L5">
    <cfRule type="expression" dxfId="15409" priority="20489">
      <formula>L4="X"</formula>
    </cfRule>
    <cfRule type="expression" dxfId="15408" priority="20490">
      <formula>L4="A"</formula>
    </cfRule>
    <cfRule type="expression" dxfId="15407" priority="20491">
      <formula>L4="T"</formula>
    </cfRule>
  </conditionalFormatting>
  <conditionalFormatting sqref="L6">
    <cfRule type="expression" dxfId="15406" priority="20486">
      <formula>L6="X"</formula>
    </cfRule>
    <cfRule type="expression" dxfId="15405" priority="20487">
      <formula>L6="A"</formula>
    </cfRule>
    <cfRule type="expression" dxfId="15404" priority="20488">
      <formula>L6="T"</formula>
    </cfRule>
  </conditionalFormatting>
  <conditionalFormatting sqref="L7">
    <cfRule type="expression" dxfId="15403" priority="20483">
      <formula>L6="X"</formula>
    </cfRule>
    <cfRule type="expression" dxfId="15402" priority="20484">
      <formula>L6="A"</formula>
    </cfRule>
    <cfRule type="expression" dxfId="15401" priority="20485">
      <formula>L6="T"</formula>
    </cfRule>
  </conditionalFormatting>
  <conditionalFormatting sqref="L8">
    <cfRule type="expression" dxfId="15400" priority="20480">
      <formula>L8="X"</formula>
    </cfRule>
    <cfRule type="expression" dxfId="15399" priority="20481">
      <formula>L8="A"</formula>
    </cfRule>
    <cfRule type="expression" dxfId="15398" priority="20482">
      <formula>L8="T"</formula>
    </cfRule>
  </conditionalFormatting>
  <conditionalFormatting sqref="L9">
    <cfRule type="expression" dxfId="15397" priority="20477">
      <formula>L8="X"</formula>
    </cfRule>
    <cfRule type="expression" dxfId="15396" priority="20478">
      <formula>L8="A"</formula>
    </cfRule>
    <cfRule type="expression" dxfId="15395" priority="20479">
      <formula>L8="T"</formula>
    </cfRule>
  </conditionalFormatting>
  <conditionalFormatting sqref="L74">
    <cfRule type="expression" dxfId="15394" priority="20474">
      <formula>L74="X"</formula>
    </cfRule>
    <cfRule type="expression" dxfId="15393" priority="20475">
      <formula>L74="A"</formula>
    </cfRule>
    <cfRule type="expression" dxfId="15392" priority="20476">
      <formula>L74="T"</formula>
    </cfRule>
  </conditionalFormatting>
  <conditionalFormatting sqref="L75">
    <cfRule type="expression" dxfId="15391" priority="20471">
      <formula>L74="X"</formula>
    </cfRule>
    <cfRule type="expression" dxfId="15390" priority="20472">
      <formula>L74="A"</formula>
    </cfRule>
    <cfRule type="expression" dxfId="15389" priority="20473">
      <formula>L74="T"</formula>
    </cfRule>
  </conditionalFormatting>
  <conditionalFormatting sqref="L76">
    <cfRule type="expression" dxfId="15388" priority="20468">
      <formula>L76="X"</formula>
    </cfRule>
    <cfRule type="expression" dxfId="15387" priority="20469">
      <formula>L76="A"</formula>
    </cfRule>
    <cfRule type="expression" dxfId="15386" priority="20470">
      <formula>L76="T"</formula>
    </cfRule>
  </conditionalFormatting>
  <conditionalFormatting sqref="L77">
    <cfRule type="expression" dxfId="15385" priority="20465">
      <formula>L76="X"</formula>
    </cfRule>
    <cfRule type="expression" dxfId="15384" priority="20466">
      <formula>L76="A"</formula>
    </cfRule>
    <cfRule type="expression" dxfId="15383" priority="20467">
      <formula>L76="T"</formula>
    </cfRule>
  </conditionalFormatting>
  <conditionalFormatting sqref="L78">
    <cfRule type="expression" dxfId="15382" priority="20462">
      <formula>L78="X"</formula>
    </cfRule>
    <cfRule type="expression" dxfId="15381" priority="20463">
      <formula>L78="A"</formula>
    </cfRule>
    <cfRule type="expression" dxfId="15380" priority="20464">
      <formula>L78="T"</formula>
    </cfRule>
  </conditionalFormatting>
  <conditionalFormatting sqref="L79">
    <cfRule type="expression" dxfId="15379" priority="20459">
      <formula>L78="X"</formula>
    </cfRule>
    <cfRule type="expression" dxfId="15378" priority="20460">
      <formula>L78="A"</formula>
    </cfRule>
    <cfRule type="expression" dxfId="15377" priority="20461">
      <formula>L78="T"</formula>
    </cfRule>
  </conditionalFormatting>
  <conditionalFormatting sqref="L134">
    <cfRule type="expression" dxfId="15376" priority="20456">
      <formula>L134="X"</formula>
    </cfRule>
    <cfRule type="expression" dxfId="15375" priority="20457">
      <formula>L134="A"</formula>
    </cfRule>
    <cfRule type="expression" dxfId="15374" priority="20458">
      <formula>L134="T"</formula>
    </cfRule>
  </conditionalFormatting>
  <conditionalFormatting sqref="L135">
    <cfRule type="expression" dxfId="15373" priority="20453">
      <formula>L134="X"</formula>
    </cfRule>
    <cfRule type="expression" dxfId="15372" priority="20454">
      <formula>L134="A"</formula>
    </cfRule>
    <cfRule type="expression" dxfId="15371" priority="20455">
      <formula>L134="T"</formula>
    </cfRule>
  </conditionalFormatting>
  <conditionalFormatting sqref="L136">
    <cfRule type="expression" dxfId="15370" priority="20450">
      <formula>L136="X"</formula>
    </cfRule>
    <cfRule type="expression" dxfId="15369" priority="20451">
      <formula>L136="A"</formula>
    </cfRule>
    <cfRule type="expression" dxfId="15368" priority="20452">
      <formula>L136="T"</formula>
    </cfRule>
  </conditionalFormatting>
  <conditionalFormatting sqref="L137">
    <cfRule type="expression" dxfId="15367" priority="20447">
      <formula>L136="X"</formula>
    </cfRule>
    <cfRule type="expression" dxfId="15366" priority="20448">
      <formula>L136="A"</formula>
    </cfRule>
    <cfRule type="expression" dxfId="15365" priority="20449">
      <formula>L136="T"</formula>
    </cfRule>
  </conditionalFormatting>
  <conditionalFormatting sqref="L138">
    <cfRule type="expression" dxfId="15364" priority="20444">
      <formula>L138="X"</formula>
    </cfRule>
    <cfRule type="expression" dxfId="15363" priority="20445">
      <formula>L138="A"</formula>
    </cfRule>
    <cfRule type="expression" dxfId="15362" priority="20446">
      <formula>L138="T"</formula>
    </cfRule>
  </conditionalFormatting>
  <conditionalFormatting sqref="L139">
    <cfRule type="expression" dxfId="15361" priority="20441">
      <formula>L138="X"</formula>
    </cfRule>
    <cfRule type="expression" dxfId="15360" priority="20442">
      <formula>L138="A"</formula>
    </cfRule>
    <cfRule type="expression" dxfId="15359" priority="20443">
      <formula>L138="T"</formula>
    </cfRule>
  </conditionalFormatting>
  <conditionalFormatting sqref="L15">
    <cfRule type="expression" dxfId="15358" priority="20435" stopIfTrue="1">
      <formula>L11=""</formula>
    </cfRule>
  </conditionalFormatting>
  <conditionalFormatting sqref="L15">
    <cfRule type="expression" dxfId="15357" priority="20436" stopIfTrue="1">
      <formula>L15=1</formula>
    </cfRule>
    <cfRule type="colorScale" priority="20437">
      <colorScale>
        <cfvo type="num" val="0"/>
        <cfvo type="num" val="0.5"/>
        <cfvo type="num" val="1"/>
        <color rgb="FFF8696B"/>
        <color theme="4" tint="0.79998168889431442"/>
        <color rgb="FF5A8AC6"/>
      </colorScale>
    </cfRule>
  </conditionalFormatting>
  <conditionalFormatting sqref="L38">
    <cfRule type="expression" dxfId="15356" priority="20432" stopIfTrue="1">
      <formula>L16=""</formula>
    </cfRule>
  </conditionalFormatting>
  <conditionalFormatting sqref="L38">
    <cfRule type="expression" dxfId="15355" priority="20433" stopIfTrue="1">
      <formula>L38=1</formula>
    </cfRule>
    <cfRule type="colorScale" priority="20434">
      <colorScale>
        <cfvo type="num" val="0"/>
        <cfvo type="num" val="0.5"/>
        <cfvo type="num" val="1"/>
        <color rgb="FFF8696B"/>
        <color theme="4" tint="0.79998168889431442"/>
        <color rgb="FF5A8AC6"/>
      </colorScale>
    </cfRule>
  </conditionalFormatting>
  <conditionalFormatting sqref="L47">
    <cfRule type="expression" dxfId="15354" priority="20429" stopIfTrue="1">
      <formula>L39=""</formula>
    </cfRule>
  </conditionalFormatting>
  <conditionalFormatting sqref="L47">
    <cfRule type="expression" dxfId="15353" priority="20430" stopIfTrue="1">
      <formula>L47=1</formula>
    </cfRule>
    <cfRule type="colorScale" priority="20431">
      <colorScale>
        <cfvo type="num" val="0"/>
        <cfvo type="num" val="0.5"/>
        <cfvo type="num" val="1"/>
        <color rgb="FFF8696B"/>
        <color theme="4" tint="0.79998168889431442"/>
        <color rgb="FF5A8AC6"/>
      </colorScale>
    </cfRule>
  </conditionalFormatting>
  <conditionalFormatting sqref="L69">
    <cfRule type="expression" dxfId="15352" priority="20423" stopIfTrue="1">
      <formula>L63=""</formula>
    </cfRule>
  </conditionalFormatting>
  <conditionalFormatting sqref="L69">
    <cfRule type="expression" dxfId="15351" priority="20424" stopIfTrue="1">
      <formula>L69=1</formula>
    </cfRule>
    <cfRule type="colorScale" priority="20425">
      <colorScale>
        <cfvo type="num" val="0"/>
        <cfvo type="num" val="0.5"/>
        <cfvo type="num" val="1"/>
        <color rgb="FFF8696B"/>
        <color theme="4" tint="0.79998168889431442"/>
        <color rgb="FF5A8AC6"/>
      </colorScale>
    </cfRule>
  </conditionalFormatting>
  <conditionalFormatting sqref="L230:L236">
    <cfRule type="expression" dxfId="15350" priority="20367" stopIfTrue="1">
      <formula>L230=_xlfn.UNICHAR(10003)</formula>
    </cfRule>
    <cfRule type="colorScale" priority="20368">
      <colorScale>
        <cfvo type="num" val="0"/>
        <cfvo type="num" val="0.5"/>
        <cfvo type="num" val="1"/>
        <color rgb="FFF8696B"/>
        <color theme="4" tint="0.79998168889431442"/>
        <color rgb="FF5A8AC6"/>
      </colorScale>
    </cfRule>
  </conditionalFormatting>
  <conditionalFormatting sqref="L239">
    <cfRule type="expression" dxfId="15349" priority="20365" stopIfTrue="1">
      <formula>L239=_xlfn.UNICHAR(10003)</formula>
    </cfRule>
    <cfRule type="colorScale" priority="20366">
      <colorScale>
        <cfvo type="num" val="0"/>
        <cfvo type="num" val="0.5"/>
        <cfvo type="num" val="1"/>
        <color rgb="FFF8696B"/>
        <color theme="4" tint="0.79998168889431442"/>
        <color rgb="FF5A8AC6"/>
      </colorScale>
    </cfRule>
  </conditionalFormatting>
  <conditionalFormatting sqref="L239">
    <cfRule type="expression" dxfId="15348" priority="20363" stopIfTrue="1">
      <formula>L239=1</formula>
    </cfRule>
    <cfRule type="colorScale" priority="20364">
      <colorScale>
        <cfvo type="num" val="0"/>
        <cfvo type="num" val="0.5"/>
        <cfvo type="num" val="1"/>
        <color rgb="FFF8696B"/>
        <color theme="4" tint="0.79998168889431442"/>
        <color rgb="FF5A8AC6"/>
      </colorScale>
    </cfRule>
  </conditionalFormatting>
  <conditionalFormatting sqref="G147 W147:X147 AM147:AO147 AF147">
    <cfRule type="expression" dxfId="15347" priority="20318" stopIfTrue="1">
      <formula>G134=""</formula>
    </cfRule>
  </conditionalFormatting>
  <conditionalFormatting sqref="G147">
    <cfRule type="expression" dxfId="15346" priority="20319" stopIfTrue="1">
      <formula>G147=1</formula>
    </cfRule>
    <cfRule type="colorScale" priority="20320">
      <colorScale>
        <cfvo type="num" val="0"/>
        <cfvo type="num" val="0.5"/>
        <cfvo type="num" val="1"/>
        <color rgb="FFF8696B"/>
        <color theme="4" tint="0.79998168889431442"/>
        <color rgb="FF5A8AC6"/>
      </colorScale>
    </cfRule>
  </conditionalFormatting>
  <conditionalFormatting sqref="G197">
    <cfRule type="expression" dxfId="15345" priority="20285">
      <formula>G197="X"</formula>
    </cfRule>
    <cfRule type="expression" dxfId="15344" priority="20286">
      <formula>G197="A"</formula>
    </cfRule>
    <cfRule type="expression" dxfId="15343" priority="20287">
      <formula>G197="T"</formula>
    </cfRule>
  </conditionalFormatting>
  <conditionalFormatting sqref="G198">
    <cfRule type="expression" dxfId="15342" priority="20282">
      <formula>G197="X"</formula>
    </cfRule>
    <cfRule type="expression" dxfId="15341" priority="20283">
      <formula>G197="A"</formula>
    </cfRule>
    <cfRule type="expression" dxfId="15340" priority="20284">
      <formula>G197="T"</formula>
    </cfRule>
  </conditionalFormatting>
  <conditionalFormatting sqref="G199">
    <cfRule type="expression" dxfId="15339" priority="20231">
      <formula>G199="X"</formula>
    </cfRule>
    <cfRule type="expression" dxfId="15338" priority="20232">
      <formula>G199="A"</formula>
    </cfRule>
    <cfRule type="expression" dxfId="15337" priority="20233">
      <formula>G199="T"</formula>
    </cfRule>
  </conditionalFormatting>
  <conditionalFormatting sqref="G200">
    <cfRule type="expression" dxfId="15336" priority="20228">
      <formula>G199="X"</formula>
    </cfRule>
    <cfRule type="expression" dxfId="15335" priority="20229">
      <formula>G199="A"</formula>
    </cfRule>
    <cfRule type="expression" dxfId="15334" priority="20230">
      <formula>G199="T"</formula>
    </cfRule>
  </conditionalFormatting>
  <conditionalFormatting sqref="G201">
    <cfRule type="expression" dxfId="15333" priority="20225">
      <formula>G201="X"</formula>
    </cfRule>
    <cfRule type="expression" dxfId="15332" priority="20226">
      <formula>G201="A"</formula>
    </cfRule>
    <cfRule type="expression" dxfId="15331" priority="20227">
      <formula>G201="T"</formula>
    </cfRule>
  </conditionalFormatting>
  <conditionalFormatting sqref="G202">
    <cfRule type="expression" dxfId="15330" priority="20222">
      <formula>G201="X"</formula>
    </cfRule>
    <cfRule type="expression" dxfId="15329" priority="20223">
      <formula>G201="A"</formula>
    </cfRule>
    <cfRule type="expression" dxfId="15328" priority="20224">
      <formula>G201="T"</formula>
    </cfRule>
  </conditionalFormatting>
  <conditionalFormatting sqref="H195">
    <cfRule type="expression" dxfId="15327" priority="20213">
      <formula>H195="X"</formula>
    </cfRule>
    <cfRule type="expression" dxfId="15326" priority="20214">
      <formula>H195="A"</formula>
    </cfRule>
    <cfRule type="expression" dxfId="15325" priority="20215">
      <formula>H195="T"</formula>
    </cfRule>
  </conditionalFormatting>
  <conditionalFormatting sqref="H203">
    <cfRule type="expression" dxfId="15324" priority="20210">
      <formula>H203="X"</formula>
    </cfRule>
    <cfRule type="expression" dxfId="15323" priority="20211">
      <formula>H203="A"</formula>
    </cfRule>
    <cfRule type="expression" dxfId="15322" priority="20212">
      <formula>H203="T"</formula>
    </cfRule>
  </conditionalFormatting>
  <conditionalFormatting sqref="H205">
    <cfRule type="expression" dxfId="15321" priority="20207">
      <formula>H205="X"</formula>
    </cfRule>
    <cfRule type="expression" dxfId="15320" priority="20208">
      <formula>H205="A"</formula>
    </cfRule>
    <cfRule type="expression" dxfId="15319" priority="20209">
      <formula>H205="T"</formula>
    </cfRule>
  </conditionalFormatting>
  <conditionalFormatting sqref="H207">
    <cfRule type="expression" dxfId="15318" priority="20204">
      <formula>H207="X"</formula>
    </cfRule>
    <cfRule type="expression" dxfId="15317" priority="20205">
      <formula>H207="A"</formula>
    </cfRule>
    <cfRule type="expression" dxfId="15316" priority="20206">
      <formula>H207="T"</formula>
    </cfRule>
  </conditionalFormatting>
  <conditionalFormatting sqref="H204">
    <cfRule type="expression" dxfId="15315" priority="20201">
      <formula>H203="X"</formula>
    </cfRule>
    <cfRule type="expression" dxfId="15314" priority="20202">
      <formula>H203="A"</formula>
    </cfRule>
    <cfRule type="expression" dxfId="15313" priority="20203">
      <formula>H203="T"</formula>
    </cfRule>
  </conditionalFormatting>
  <conditionalFormatting sqref="H206">
    <cfRule type="expression" dxfId="15312" priority="20198">
      <formula>H205="X"</formula>
    </cfRule>
    <cfRule type="expression" dxfId="15311" priority="20199">
      <formula>H205="A"</formula>
    </cfRule>
    <cfRule type="expression" dxfId="15310" priority="20200">
      <formula>H205="T"</formula>
    </cfRule>
  </conditionalFormatting>
  <conditionalFormatting sqref="H196">
    <cfRule type="expression" dxfId="15309" priority="20195">
      <formula>H195="X"</formula>
    </cfRule>
    <cfRule type="expression" dxfId="15308" priority="20196">
      <formula>H195="A"</formula>
    </cfRule>
    <cfRule type="expression" dxfId="15307" priority="20197">
      <formula>H195="T"</formula>
    </cfRule>
  </conditionalFormatting>
  <conditionalFormatting sqref="H197">
    <cfRule type="expression" dxfId="15306" priority="20192">
      <formula>H197="X"</formula>
    </cfRule>
    <cfRule type="expression" dxfId="15305" priority="20193">
      <formula>H197="A"</formula>
    </cfRule>
    <cfRule type="expression" dxfId="15304" priority="20194">
      <formula>H197="T"</formula>
    </cfRule>
  </conditionalFormatting>
  <conditionalFormatting sqref="H198">
    <cfRule type="expression" dxfId="15303" priority="20189">
      <formula>H197="X"</formula>
    </cfRule>
    <cfRule type="expression" dxfId="15302" priority="20190">
      <formula>H197="A"</formula>
    </cfRule>
    <cfRule type="expression" dxfId="15301" priority="20191">
      <formula>H197="T"</formula>
    </cfRule>
  </conditionalFormatting>
  <conditionalFormatting sqref="H199">
    <cfRule type="expression" dxfId="15300" priority="20186">
      <formula>H199="X"</formula>
    </cfRule>
    <cfRule type="expression" dxfId="15299" priority="20187">
      <formula>H199="A"</formula>
    </cfRule>
    <cfRule type="expression" dxfId="15298" priority="20188">
      <formula>H199="T"</formula>
    </cfRule>
  </conditionalFormatting>
  <conditionalFormatting sqref="H200">
    <cfRule type="expression" dxfId="15297" priority="20183">
      <formula>H199="X"</formula>
    </cfRule>
    <cfRule type="expression" dxfId="15296" priority="20184">
      <formula>H199="A"</formula>
    </cfRule>
    <cfRule type="expression" dxfId="15295" priority="20185">
      <formula>H199="T"</formula>
    </cfRule>
  </conditionalFormatting>
  <conditionalFormatting sqref="H201">
    <cfRule type="expression" dxfId="15294" priority="20180">
      <formula>H201="X"</formula>
    </cfRule>
    <cfRule type="expression" dxfId="15293" priority="20181">
      <formula>H201="A"</formula>
    </cfRule>
    <cfRule type="expression" dxfId="15292" priority="20182">
      <formula>H201="T"</formula>
    </cfRule>
  </conditionalFormatting>
  <conditionalFormatting sqref="H202">
    <cfRule type="expression" dxfId="15291" priority="20177">
      <formula>H201="X"</formula>
    </cfRule>
    <cfRule type="expression" dxfId="15290" priority="20178">
      <formula>H201="A"</formula>
    </cfRule>
    <cfRule type="expression" dxfId="15289" priority="20179">
      <formula>H201="T"</formula>
    </cfRule>
  </conditionalFormatting>
  <conditionalFormatting sqref="I195">
    <cfRule type="expression" dxfId="15288" priority="20174">
      <formula>I195="X"</formula>
    </cfRule>
    <cfRule type="expression" dxfId="15287" priority="20175">
      <formula>I195="A"</formula>
    </cfRule>
    <cfRule type="expression" dxfId="15286" priority="20176">
      <formula>I195="T"</formula>
    </cfRule>
  </conditionalFormatting>
  <conditionalFormatting sqref="I203">
    <cfRule type="expression" dxfId="15285" priority="20171">
      <formula>I203="X"</formula>
    </cfRule>
    <cfRule type="expression" dxfId="15284" priority="20172">
      <formula>I203="A"</formula>
    </cfRule>
    <cfRule type="expression" dxfId="15283" priority="20173">
      <formula>I203="T"</formula>
    </cfRule>
  </conditionalFormatting>
  <conditionalFormatting sqref="I205">
    <cfRule type="expression" dxfId="15282" priority="20168">
      <formula>I205="X"</formula>
    </cfRule>
    <cfRule type="expression" dxfId="15281" priority="20169">
      <formula>I205="A"</formula>
    </cfRule>
    <cfRule type="expression" dxfId="15280" priority="20170">
      <formula>I205="T"</formula>
    </cfRule>
  </conditionalFormatting>
  <conditionalFormatting sqref="I207">
    <cfRule type="expression" dxfId="15279" priority="20165">
      <formula>I207="X"</formula>
    </cfRule>
    <cfRule type="expression" dxfId="15278" priority="20166">
      <formula>I207="A"</formula>
    </cfRule>
    <cfRule type="expression" dxfId="15277" priority="20167">
      <formula>I207="T"</formula>
    </cfRule>
  </conditionalFormatting>
  <conditionalFormatting sqref="I204">
    <cfRule type="expression" dxfId="15276" priority="20162">
      <formula>I203="X"</formula>
    </cfRule>
    <cfRule type="expression" dxfId="15275" priority="20163">
      <formula>I203="A"</formula>
    </cfRule>
    <cfRule type="expression" dxfId="15274" priority="20164">
      <formula>I203="T"</formula>
    </cfRule>
  </conditionalFormatting>
  <conditionalFormatting sqref="I206">
    <cfRule type="expression" dxfId="15273" priority="20159">
      <formula>I205="X"</formula>
    </cfRule>
    <cfRule type="expression" dxfId="15272" priority="20160">
      <formula>I205="A"</formula>
    </cfRule>
    <cfRule type="expression" dxfId="15271" priority="20161">
      <formula>I205="T"</formula>
    </cfRule>
  </conditionalFormatting>
  <conditionalFormatting sqref="I196">
    <cfRule type="expression" dxfId="15270" priority="20156">
      <formula>I195="X"</formula>
    </cfRule>
    <cfRule type="expression" dxfId="15269" priority="20157">
      <formula>I195="A"</formula>
    </cfRule>
    <cfRule type="expression" dxfId="15268" priority="20158">
      <formula>I195="T"</formula>
    </cfRule>
  </conditionalFormatting>
  <conditionalFormatting sqref="I197">
    <cfRule type="expression" dxfId="15267" priority="20153">
      <formula>I197="X"</formula>
    </cfRule>
    <cfRule type="expression" dxfId="15266" priority="20154">
      <formula>I197="A"</formula>
    </cfRule>
    <cfRule type="expression" dxfId="15265" priority="20155">
      <formula>I197="T"</formula>
    </cfRule>
  </conditionalFormatting>
  <conditionalFormatting sqref="I198">
    <cfRule type="expression" dxfId="15264" priority="20150">
      <formula>I197="X"</formula>
    </cfRule>
    <cfRule type="expression" dxfId="15263" priority="20151">
      <formula>I197="A"</formula>
    </cfRule>
    <cfRule type="expression" dxfId="15262" priority="20152">
      <formula>I197="T"</formula>
    </cfRule>
  </conditionalFormatting>
  <conditionalFormatting sqref="I199">
    <cfRule type="expression" dxfId="15261" priority="20147">
      <formula>I199="X"</formula>
    </cfRule>
    <cfRule type="expression" dxfId="15260" priority="20148">
      <formula>I199="A"</formula>
    </cfRule>
    <cfRule type="expression" dxfId="15259" priority="20149">
      <formula>I199="T"</formula>
    </cfRule>
  </conditionalFormatting>
  <conditionalFormatting sqref="I200">
    <cfRule type="expression" dxfId="15258" priority="20144">
      <formula>I199="X"</formula>
    </cfRule>
    <cfRule type="expression" dxfId="15257" priority="20145">
      <formula>I199="A"</formula>
    </cfRule>
    <cfRule type="expression" dxfId="15256" priority="20146">
      <formula>I199="T"</formula>
    </cfRule>
  </conditionalFormatting>
  <conditionalFormatting sqref="I201">
    <cfRule type="expression" dxfId="15255" priority="20141">
      <formula>I201="X"</formula>
    </cfRule>
    <cfRule type="expression" dxfId="15254" priority="20142">
      <formula>I201="A"</formula>
    </cfRule>
    <cfRule type="expression" dxfId="15253" priority="20143">
      <formula>I201="T"</formula>
    </cfRule>
  </conditionalFormatting>
  <conditionalFormatting sqref="I202">
    <cfRule type="expression" dxfId="15252" priority="20138">
      <formula>I201="X"</formula>
    </cfRule>
    <cfRule type="expression" dxfId="15251" priority="20139">
      <formula>I201="A"</formula>
    </cfRule>
    <cfRule type="expression" dxfId="15250" priority="20140">
      <formula>I201="T"</formula>
    </cfRule>
  </conditionalFormatting>
  <conditionalFormatting sqref="J195">
    <cfRule type="expression" dxfId="15249" priority="20135">
      <formula>J195="X"</formula>
    </cfRule>
    <cfRule type="expression" dxfId="15248" priority="20136">
      <formula>J195="A"</formula>
    </cfRule>
    <cfRule type="expression" dxfId="15247" priority="20137">
      <formula>J195="T"</formula>
    </cfRule>
  </conditionalFormatting>
  <conditionalFormatting sqref="J203">
    <cfRule type="expression" dxfId="15246" priority="20132">
      <formula>J203="X"</formula>
    </cfRule>
    <cfRule type="expression" dxfId="15245" priority="20133">
      <formula>J203="A"</formula>
    </cfRule>
    <cfRule type="expression" dxfId="15244" priority="20134">
      <formula>J203="T"</formula>
    </cfRule>
  </conditionalFormatting>
  <conditionalFormatting sqref="J205">
    <cfRule type="expression" dxfId="15243" priority="20129">
      <formula>J205="X"</formula>
    </cfRule>
    <cfRule type="expression" dxfId="15242" priority="20130">
      <formula>J205="A"</formula>
    </cfRule>
    <cfRule type="expression" dxfId="15241" priority="20131">
      <formula>J205="T"</formula>
    </cfRule>
  </conditionalFormatting>
  <conditionalFormatting sqref="J207">
    <cfRule type="expression" dxfId="15240" priority="20126">
      <formula>J207="X"</formula>
    </cfRule>
    <cfRule type="expression" dxfId="15239" priority="20127">
      <formula>J207="A"</formula>
    </cfRule>
    <cfRule type="expression" dxfId="15238" priority="20128">
      <formula>J207="T"</formula>
    </cfRule>
  </conditionalFormatting>
  <conditionalFormatting sqref="J204">
    <cfRule type="expression" dxfId="15237" priority="20123">
      <formula>J203="X"</formula>
    </cfRule>
    <cfRule type="expression" dxfId="15236" priority="20124">
      <formula>J203="A"</formula>
    </cfRule>
    <cfRule type="expression" dxfId="15235" priority="20125">
      <formula>J203="T"</formula>
    </cfRule>
  </conditionalFormatting>
  <conditionalFormatting sqref="J206">
    <cfRule type="expression" dxfId="15234" priority="20120">
      <formula>J205="X"</formula>
    </cfRule>
    <cfRule type="expression" dxfId="15233" priority="20121">
      <formula>J205="A"</formula>
    </cfRule>
    <cfRule type="expression" dxfId="15232" priority="20122">
      <formula>J205="T"</formula>
    </cfRule>
  </conditionalFormatting>
  <conditionalFormatting sqref="J196">
    <cfRule type="expression" dxfId="15231" priority="20117">
      <formula>J195="X"</formula>
    </cfRule>
    <cfRule type="expression" dxfId="15230" priority="20118">
      <formula>J195="A"</formula>
    </cfRule>
    <cfRule type="expression" dxfId="15229" priority="20119">
      <formula>J195="T"</formula>
    </cfRule>
  </conditionalFormatting>
  <conditionalFormatting sqref="J197">
    <cfRule type="expression" dxfId="15228" priority="20114">
      <formula>J197="X"</formula>
    </cfRule>
    <cfRule type="expression" dxfId="15227" priority="20115">
      <formula>J197="A"</formula>
    </cfRule>
    <cfRule type="expression" dxfId="15226" priority="20116">
      <formula>J197="T"</formula>
    </cfRule>
  </conditionalFormatting>
  <conditionalFormatting sqref="J198">
    <cfRule type="expression" dxfId="15225" priority="20111">
      <formula>J197="X"</formula>
    </cfRule>
    <cfRule type="expression" dxfId="15224" priority="20112">
      <formula>J197="A"</formula>
    </cfRule>
    <cfRule type="expression" dxfId="15223" priority="20113">
      <formula>J197="T"</formula>
    </cfRule>
  </conditionalFormatting>
  <conditionalFormatting sqref="J199">
    <cfRule type="expression" dxfId="15222" priority="20108">
      <formula>J199="X"</formula>
    </cfRule>
    <cfRule type="expression" dxfId="15221" priority="20109">
      <formula>J199="A"</formula>
    </cfRule>
    <cfRule type="expression" dxfId="15220" priority="20110">
      <formula>J199="T"</formula>
    </cfRule>
  </conditionalFormatting>
  <conditionalFormatting sqref="J200">
    <cfRule type="expression" dxfId="15219" priority="20105">
      <formula>J199="X"</formula>
    </cfRule>
    <cfRule type="expression" dxfId="15218" priority="20106">
      <formula>J199="A"</formula>
    </cfRule>
    <cfRule type="expression" dxfId="15217" priority="20107">
      <formula>J199="T"</formula>
    </cfRule>
  </conditionalFormatting>
  <conditionalFormatting sqref="J201">
    <cfRule type="expression" dxfId="15216" priority="20102">
      <formula>J201="X"</formula>
    </cfRule>
    <cfRule type="expression" dxfId="15215" priority="20103">
      <formula>J201="A"</formula>
    </cfRule>
    <cfRule type="expression" dxfId="15214" priority="20104">
      <formula>J201="T"</formula>
    </cfRule>
  </conditionalFormatting>
  <conditionalFormatting sqref="J202">
    <cfRule type="expression" dxfId="15213" priority="20099">
      <formula>J201="X"</formula>
    </cfRule>
    <cfRule type="expression" dxfId="15212" priority="20100">
      <formula>J201="A"</formula>
    </cfRule>
    <cfRule type="expression" dxfId="15211" priority="20101">
      <formula>J201="T"</formula>
    </cfRule>
  </conditionalFormatting>
  <conditionalFormatting sqref="J233">
    <cfRule type="expression" dxfId="15210" priority="20095" stopIfTrue="1">
      <formula>J233=_xlfn.UNICHAR(10003)</formula>
    </cfRule>
    <cfRule type="colorScale" priority="20096">
      <colorScale>
        <cfvo type="num" val="0"/>
        <cfvo type="num" val="0.5"/>
        <cfvo type="num" val="1"/>
        <color rgb="FFF8696B"/>
        <color theme="4" tint="0.79998168889431442"/>
        <color rgb="FF5A8AC6"/>
      </colorScale>
    </cfRule>
  </conditionalFormatting>
  <conditionalFormatting sqref="K195">
    <cfRule type="expression" dxfId="15209" priority="20092">
      <formula>K195="X"</formula>
    </cfRule>
    <cfRule type="expression" dxfId="15208" priority="20093">
      <formula>K195="A"</formula>
    </cfRule>
    <cfRule type="expression" dxfId="15207" priority="20094">
      <formula>K195="T"</formula>
    </cfRule>
  </conditionalFormatting>
  <conditionalFormatting sqref="K203">
    <cfRule type="expression" dxfId="15206" priority="20089">
      <formula>K203="X"</formula>
    </cfRule>
    <cfRule type="expression" dxfId="15205" priority="20090">
      <formula>K203="A"</formula>
    </cfRule>
    <cfRule type="expression" dxfId="15204" priority="20091">
      <formula>K203="T"</formula>
    </cfRule>
  </conditionalFormatting>
  <conditionalFormatting sqref="K205">
    <cfRule type="expression" dxfId="15203" priority="20086">
      <formula>K205="X"</formula>
    </cfRule>
    <cfRule type="expression" dxfId="15202" priority="20087">
      <formula>K205="A"</formula>
    </cfRule>
    <cfRule type="expression" dxfId="15201" priority="20088">
      <formula>K205="T"</formula>
    </cfRule>
  </conditionalFormatting>
  <conditionalFormatting sqref="K207">
    <cfRule type="expression" dxfId="15200" priority="20083">
      <formula>K207="X"</formula>
    </cfRule>
    <cfRule type="expression" dxfId="15199" priority="20084">
      <formula>K207="A"</formula>
    </cfRule>
    <cfRule type="expression" dxfId="15198" priority="20085">
      <formula>K207="T"</formula>
    </cfRule>
  </conditionalFormatting>
  <conditionalFormatting sqref="K206">
    <cfRule type="expression" dxfId="15197" priority="20077">
      <formula>K205="X"</formula>
    </cfRule>
    <cfRule type="expression" dxfId="15196" priority="20078">
      <formula>K205="A"</formula>
    </cfRule>
    <cfRule type="expression" dxfId="15195" priority="20079">
      <formula>K205="T"</formula>
    </cfRule>
  </conditionalFormatting>
  <conditionalFormatting sqref="K196">
    <cfRule type="expression" dxfId="15194" priority="20074">
      <formula>K195="X"</formula>
    </cfRule>
    <cfRule type="expression" dxfId="15193" priority="20075">
      <formula>K195="A"</formula>
    </cfRule>
    <cfRule type="expression" dxfId="15192" priority="20076">
      <formula>K195="T"</formula>
    </cfRule>
  </conditionalFormatting>
  <conditionalFormatting sqref="K197">
    <cfRule type="expression" dxfId="15191" priority="20071">
      <formula>K197="X"</formula>
    </cfRule>
    <cfRule type="expression" dxfId="15190" priority="20072">
      <formula>K197="A"</formula>
    </cfRule>
    <cfRule type="expression" dxfId="15189" priority="20073">
      <formula>K197="T"</formula>
    </cfRule>
  </conditionalFormatting>
  <conditionalFormatting sqref="K199">
    <cfRule type="expression" dxfId="15188" priority="20065">
      <formula>K199="X"</formula>
    </cfRule>
    <cfRule type="expression" dxfId="15187" priority="20066">
      <formula>K199="A"</formula>
    </cfRule>
    <cfRule type="expression" dxfId="15186" priority="20067">
      <formula>K199="T"</formula>
    </cfRule>
  </conditionalFormatting>
  <conditionalFormatting sqref="K201">
    <cfRule type="expression" dxfId="15185" priority="20059">
      <formula>K201="X"</formula>
    </cfRule>
    <cfRule type="expression" dxfId="15184" priority="20060">
      <formula>K201="A"</formula>
    </cfRule>
    <cfRule type="expression" dxfId="15183" priority="20061">
      <formula>K201="T"</formula>
    </cfRule>
  </conditionalFormatting>
  <conditionalFormatting sqref="L195">
    <cfRule type="expression" dxfId="15182" priority="20053">
      <formula>L195="X"</formula>
    </cfRule>
    <cfRule type="expression" dxfId="15181" priority="20054">
      <formula>L195="A"</formula>
    </cfRule>
    <cfRule type="expression" dxfId="15180" priority="20055">
      <formula>L195="T"</formula>
    </cfRule>
  </conditionalFormatting>
  <conditionalFormatting sqref="L203">
    <cfRule type="expression" dxfId="15179" priority="20050">
      <formula>L203="X"</formula>
    </cfRule>
    <cfRule type="expression" dxfId="15178" priority="20051">
      <formula>L203="A"</formula>
    </cfRule>
    <cfRule type="expression" dxfId="15177" priority="20052">
      <formula>L203="T"</formula>
    </cfRule>
  </conditionalFormatting>
  <conditionalFormatting sqref="L205">
    <cfRule type="expression" dxfId="15176" priority="20047">
      <formula>L205="X"</formula>
    </cfRule>
    <cfRule type="expression" dxfId="15175" priority="20048">
      <formula>L205="A"</formula>
    </cfRule>
    <cfRule type="expression" dxfId="15174" priority="20049">
      <formula>L205="T"</formula>
    </cfRule>
  </conditionalFormatting>
  <conditionalFormatting sqref="L207">
    <cfRule type="expression" dxfId="15173" priority="20044">
      <formula>L207="X"</formula>
    </cfRule>
    <cfRule type="expression" dxfId="15172" priority="20045">
      <formula>L207="A"</formula>
    </cfRule>
    <cfRule type="expression" dxfId="15171" priority="20046">
      <formula>L207="T"</formula>
    </cfRule>
  </conditionalFormatting>
  <conditionalFormatting sqref="L204">
    <cfRule type="expression" dxfId="15170" priority="20041">
      <formula>L203="X"</formula>
    </cfRule>
    <cfRule type="expression" dxfId="15169" priority="20042">
      <formula>L203="A"</formula>
    </cfRule>
    <cfRule type="expression" dxfId="15168" priority="20043">
      <formula>L203="T"</formula>
    </cfRule>
  </conditionalFormatting>
  <conditionalFormatting sqref="L206">
    <cfRule type="expression" dxfId="15167" priority="20038">
      <formula>L205="X"</formula>
    </cfRule>
    <cfRule type="expression" dxfId="15166" priority="20039">
      <formula>L205="A"</formula>
    </cfRule>
    <cfRule type="expression" dxfId="15165" priority="20040">
      <formula>L205="T"</formula>
    </cfRule>
  </conditionalFormatting>
  <conditionalFormatting sqref="L196">
    <cfRule type="expression" dxfId="15164" priority="20035">
      <formula>L195="X"</formula>
    </cfRule>
    <cfRule type="expression" dxfId="15163" priority="20036">
      <formula>L195="A"</formula>
    </cfRule>
    <cfRule type="expression" dxfId="15162" priority="20037">
      <formula>L195="T"</formula>
    </cfRule>
  </conditionalFormatting>
  <conditionalFormatting sqref="L197">
    <cfRule type="expression" dxfId="15161" priority="20032">
      <formula>L197="X"</formula>
    </cfRule>
    <cfRule type="expression" dxfId="15160" priority="20033">
      <formula>L197="A"</formula>
    </cfRule>
    <cfRule type="expression" dxfId="15159" priority="20034">
      <formula>L197="T"</formula>
    </cfRule>
  </conditionalFormatting>
  <conditionalFormatting sqref="L198">
    <cfRule type="expression" dxfId="15158" priority="20029">
      <formula>L197="X"</formula>
    </cfRule>
    <cfRule type="expression" dxfId="15157" priority="20030">
      <formula>L197="A"</formula>
    </cfRule>
    <cfRule type="expression" dxfId="15156" priority="20031">
      <formula>L197="T"</formula>
    </cfRule>
  </conditionalFormatting>
  <conditionalFormatting sqref="L199">
    <cfRule type="expression" dxfId="15155" priority="20026">
      <formula>L199="X"</formula>
    </cfRule>
    <cfRule type="expression" dxfId="15154" priority="20027">
      <formula>L199="A"</formula>
    </cfRule>
    <cfRule type="expression" dxfId="15153" priority="20028">
      <formula>L199="T"</formula>
    </cfRule>
  </conditionalFormatting>
  <conditionalFormatting sqref="L200">
    <cfRule type="expression" dxfId="15152" priority="20023">
      <formula>L199="X"</formula>
    </cfRule>
    <cfRule type="expression" dxfId="15151" priority="20024">
      <formula>L199="A"</formula>
    </cfRule>
    <cfRule type="expression" dxfId="15150" priority="20025">
      <formula>L199="T"</formula>
    </cfRule>
  </conditionalFormatting>
  <conditionalFormatting sqref="L201">
    <cfRule type="expression" dxfId="15149" priority="20020">
      <formula>L201="X"</formula>
    </cfRule>
    <cfRule type="expression" dxfId="15148" priority="20021">
      <formula>L201="A"</formula>
    </cfRule>
    <cfRule type="expression" dxfId="15147" priority="20022">
      <formula>L201="T"</formula>
    </cfRule>
  </conditionalFormatting>
  <conditionalFormatting sqref="L202">
    <cfRule type="expression" dxfId="15146" priority="20017">
      <formula>L201="X"</formula>
    </cfRule>
    <cfRule type="expression" dxfId="15145" priority="20018">
      <formula>L201="A"</formula>
    </cfRule>
    <cfRule type="expression" dxfId="15144" priority="20019">
      <formula>L201="T"</formula>
    </cfRule>
  </conditionalFormatting>
  <conditionalFormatting sqref="P237:P238">
    <cfRule type="expression" dxfId="15143" priority="20015" stopIfTrue="1">
      <formula>P237=_xlfn.UNICHAR(10003)</formula>
    </cfRule>
    <cfRule type="colorScale" priority="20016">
      <colorScale>
        <cfvo type="num" val="0"/>
        <cfvo type="num" val="0.5"/>
        <cfvo type="num" val="1"/>
        <color rgb="FFF8696B"/>
        <color theme="4" tint="0.79998168889431442"/>
        <color rgb="FF5A8AC6"/>
      </colorScale>
    </cfRule>
  </conditionalFormatting>
  <conditionalFormatting sqref="P16 P18 P20 P22 P24 P26 P28 P39 P41 P43 P45 P48 P81 P88 P90 P92 P94 P96 P98 P100 P102 P105 P107 P109 P111 P116">
    <cfRule type="expression" dxfId="15142" priority="20012">
      <formula>P16="X"</formula>
    </cfRule>
    <cfRule type="expression" dxfId="15141" priority="20013">
      <formula>P16="A"</formula>
    </cfRule>
    <cfRule type="expression" dxfId="15140" priority="20014">
      <formula>P16="T"</formula>
    </cfRule>
  </conditionalFormatting>
  <conditionalFormatting sqref="P36">
    <cfRule type="expression" dxfId="15139" priority="20009">
      <formula>P36="X"</formula>
    </cfRule>
    <cfRule type="expression" dxfId="15138" priority="20010">
      <formula>P36="A"</formula>
    </cfRule>
    <cfRule type="expression" dxfId="15137" priority="20011">
      <formula>P36="T"</formula>
    </cfRule>
  </conditionalFormatting>
  <conditionalFormatting sqref="P34">
    <cfRule type="expression" dxfId="15136" priority="20006">
      <formula>P34="X"</formula>
    </cfRule>
    <cfRule type="expression" dxfId="15135" priority="20007">
      <formula>P34="A"</formula>
    </cfRule>
    <cfRule type="expression" dxfId="15134" priority="20008">
      <formula>P34="T"</formula>
    </cfRule>
  </conditionalFormatting>
  <conditionalFormatting sqref="P32">
    <cfRule type="expression" dxfId="15133" priority="20003">
      <formula>P32="X"</formula>
    </cfRule>
    <cfRule type="expression" dxfId="15132" priority="20004">
      <formula>P32="A"</formula>
    </cfRule>
    <cfRule type="expression" dxfId="15131" priority="20005">
      <formula>P32="T"</formula>
    </cfRule>
  </conditionalFormatting>
  <conditionalFormatting sqref="P30">
    <cfRule type="expression" dxfId="15130" priority="20000">
      <formula>P30="X"</formula>
    </cfRule>
    <cfRule type="expression" dxfId="15129" priority="20001">
      <formula>P30="A"</formula>
    </cfRule>
    <cfRule type="expression" dxfId="15128" priority="20002">
      <formula>P30="T"</formula>
    </cfRule>
  </conditionalFormatting>
  <conditionalFormatting sqref="P52">
    <cfRule type="expression" dxfId="15127" priority="19997">
      <formula>P52="X"</formula>
    </cfRule>
    <cfRule type="expression" dxfId="15126" priority="19998">
      <formula>P52="A"</formula>
    </cfRule>
    <cfRule type="expression" dxfId="15125" priority="19999">
      <formula>P52="T"</formula>
    </cfRule>
  </conditionalFormatting>
  <conditionalFormatting sqref="P50">
    <cfRule type="expression" dxfId="15124" priority="19994">
      <formula>P50="X"</formula>
    </cfRule>
    <cfRule type="expression" dxfId="15123" priority="19995">
      <formula>P50="A"</formula>
    </cfRule>
    <cfRule type="expression" dxfId="15122" priority="19996">
      <formula>P50="T"</formula>
    </cfRule>
  </conditionalFormatting>
  <conditionalFormatting sqref="P54">
    <cfRule type="expression" dxfId="15121" priority="19991">
      <formula>P54="X"</formula>
    </cfRule>
    <cfRule type="expression" dxfId="15120" priority="19992">
      <formula>P54="A"</formula>
    </cfRule>
    <cfRule type="expression" dxfId="15119" priority="19993">
      <formula>P54="T"</formula>
    </cfRule>
  </conditionalFormatting>
  <conditionalFormatting sqref="P56">
    <cfRule type="expression" dxfId="15118" priority="19988">
      <formula>P56="X"</formula>
    </cfRule>
    <cfRule type="expression" dxfId="15117" priority="19989">
      <formula>P56="A"</formula>
    </cfRule>
    <cfRule type="expression" dxfId="15116" priority="19990">
      <formula>P56="T"</formula>
    </cfRule>
  </conditionalFormatting>
  <conditionalFormatting sqref="P58">
    <cfRule type="expression" dxfId="15115" priority="19985">
      <formula>P58="X"</formula>
    </cfRule>
    <cfRule type="expression" dxfId="15114" priority="19986">
      <formula>P58="A"</formula>
    </cfRule>
    <cfRule type="expression" dxfId="15113" priority="19987">
      <formula>P58="T"</formula>
    </cfRule>
  </conditionalFormatting>
  <conditionalFormatting sqref="P63">
    <cfRule type="expression" dxfId="15112" priority="19982">
      <formula>P63="X"</formula>
    </cfRule>
    <cfRule type="expression" dxfId="15111" priority="19983">
      <formula>P63="A"</formula>
    </cfRule>
    <cfRule type="expression" dxfId="15110" priority="19984">
      <formula>P63="T"</formula>
    </cfRule>
  </conditionalFormatting>
  <conditionalFormatting sqref="P65">
    <cfRule type="expression" dxfId="15109" priority="19979">
      <formula>P65="X"</formula>
    </cfRule>
    <cfRule type="expression" dxfId="15108" priority="19980">
      <formula>P65="A"</formula>
    </cfRule>
    <cfRule type="expression" dxfId="15107" priority="19981">
      <formula>P65="T"</formula>
    </cfRule>
  </conditionalFormatting>
  <conditionalFormatting sqref="P83">
    <cfRule type="expression" dxfId="15106" priority="19976">
      <formula>P83="X"</formula>
    </cfRule>
    <cfRule type="expression" dxfId="15105" priority="19977">
      <formula>P83="A"</formula>
    </cfRule>
    <cfRule type="expression" dxfId="15104" priority="19978">
      <formula>P83="T"</formula>
    </cfRule>
  </conditionalFormatting>
  <conditionalFormatting sqref="P85">
    <cfRule type="expression" dxfId="15103" priority="19973">
      <formula>P85="X"</formula>
    </cfRule>
    <cfRule type="expression" dxfId="15102" priority="19974">
      <formula>P85="A"</formula>
    </cfRule>
    <cfRule type="expression" dxfId="15101" priority="19975">
      <formula>P85="T"</formula>
    </cfRule>
  </conditionalFormatting>
  <conditionalFormatting sqref="P67">
    <cfRule type="expression" dxfId="15100" priority="19970">
      <formula>P67="X"</formula>
    </cfRule>
    <cfRule type="expression" dxfId="15099" priority="19971">
      <formula>P67="A"</formula>
    </cfRule>
    <cfRule type="expression" dxfId="15098" priority="19972">
      <formula>P67="T"</formula>
    </cfRule>
  </conditionalFormatting>
  <conditionalFormatting sqref="P113">
    <cfRule type="expression" dxfId="15097" priority="19967">
      <formula>P113="X"</formula>
    </cfRule>
    <cfRule type="expression" dxfId="15096" priority="19968">
      <formula>P113="A"</formula>
    </cfRule>
    <cfRule type="expression" dxfId="15095" priority="19969">
      <formula>P113="T"</formula>
    </cfRule>
  </conditionalFormatting>
  <conditionalFormatting sqref="P118">
    <cfRule type="expression" dxfId="15094" priority="19964">
      <formula>P118="X"</formula>
    </cfRule>
    <cfRule type="expression" dxfId="15093" priority="19965">
      <formula>P118="A"</formula>
    </cfRule>
    <cfRule type="expression" dxfId="15092" priority="19966">
      <formula>P118="T"</formula>
    </cfRule>
  </conditionalFormatting>
  <conditionalFormatting sqref="P120">
    <cfRule type="expression" dxfId="15091" priority="19961">
      <formula>P120="X"</formula>
    </cfRule>
    <cfRule type="expression" dxfId="15090" priority="19962">
      <formula>P120="A"</formula>
    </cfRule>
    <cfRule type="expression" dxfId="15089" priority="19963">
      <formula>P120="T"</formula>
    </cfRule>
  </conditionalFormatting>
  <conditionalFormatting sqref="P122">
    <cfRule type="expression" dxfId="15088" priority="19958">
      <formula>P122="X"</formula>
    </cfRule>
    <cfRule type="expression" dxfId="15087" priority="19959">
      <formula>P122="A"</formula>
    </cfRule>
    <cfRule type="expression" dxfId="15086" priority="19960">
      <formula>P122="T"</formula>
    </cfRule>
  </conditionalFormatting>
  <conditionalFormatting sqref="P125">
    <cfRule type="expression" dxfId="15085" priority="19955">
      <formula>P125="X"</formula>
    </cfRule>
    <cfRule type="expression" dxfId="15084" priority="19956">
      <formula>P125="A"</formula>
    </cfRule>
    <cfRule type="expression" dxfId="15083" priority="19957">
      <formula>P125="T"</formula>
    </cfRule>
  </conditionalFormatting>
  <conditionalFormatting sqref="P127">
    <cfRule type="expression" dxfId="15082" priority="19952">
      <formula>P127="X"</formula>
    </cfRule>
    <cfRule type="expression" dxfId="15081" priority="19953">
      <formula>P127="A"</formula>
    </cfRule>
    <cfRule type="expression" dxfId="15080" priority="19954">
      <formula>P127="T"</formula>
    </cfRule>
  </conditionalFormatting>
  <conditionalFormatting sqref="P141">
    <cfRule type="expression" dxfId="15079" priority="19949">
      <formula>P141="X"</formula>
    </cfRule>
    <cfRule type="expression" dxfId="15078" priority="19950">
      <formula>P141="A"</formula>
    </cfRule>
    <cfRule type="expression" dxfId="15077" priority="19951">
      <formula>P141="T"</formula>
    </cfRule>
  </conditionalFormatting>
  <conditionalFormatting sqref="P143">
    <cfRule type="expression" dxfId="15076" priority="19946">
      <formula>P143="X"</formula>
    </cfRule>
    <cfRule type="expression" dxfId="15075" priority="19947">
      <formula>P143="A"</formula>
    </cfRule>
    <cfRule type="expression" dxfId="15074" priority="19948">
      <formula>P143="T"</formula>
    </cfRule>
  </conditionalFormatting>
  <conditionalFormatting sqref="P149">
    <cfRule type="expression" dxfId="15073" priority="19943">
      <formula>P149="X"</formula>
    </cfRule>
    <cfRule type="expression" dxfId="15072" priority="19944">
      <formula>P149="A"</formula>
    </cfRule>
    <cfRule type="expression" dxfId="15071" priority="19945">
      <formula>P149="T"</formula>
    </cfRule>
  </conditionalFormatting>
  <conditionalFormatting sqref="P151">
    <cfRule type="expression" dxfId="15070" priority="19940">
      <formula>P151="X"</formula>
    </cfRule>
    <cfRule type="expression" dxfId="15069" priority="19941">
      <formula>P151="A"</formula>
    </cfRule>
    <cfRule type="expression" dxfId="15068" priority="19942">
      <formula>P151="T"</formula>
    </cfRule>
  </conditionalFormatting>
  <conditionalFormatting sqref="P155">
    <cfRule type="expression" dxfId="15067" priority="19937">
      <formula>P155="X"</formula>
    </cfRule>
    <cfRule type="expression" dxfId="15066" priority="19938">
      <formula>P155="A"</formula>
    </cfRule>
    <cfRule type="expression" dxfId="15065" priority="19939">
      <formula>P155="T"</formula>
    </cfRule>
  </conditionalFormatting>
  <conditionalFormatting sqref="P157">
    <cfRule type="expression" dxfId="15064" priority="19934">
      <formula>P157="X"</formula>
    </cfRule>
    <cfRule type="expression" dxfId="15063" priority="19935">
      <formula>P157="A"</formula>
    </cfRule>
    <cfRule type="expression" dxfId="15062" priority="19936">
      <formula>P157="T"</formula>
    </cfRule>
  </conditionalFormatting>
  <conditionalFormatting sqref="P167">
    <cfRule type="expression" dxfId="15061" priority="19931">
      <formula>P167="X"</formula>
    </cfRule>
    <cfRule type="expression" dxfId="15060" priority="19932">
      <formula>P167="A"</formula>
    </cfRule>
    <cfRule type="expression" dxfId="15059" priority="19933">
      <formula>P167="T"</formula>
    </cfRule>
  </conditionalFormatting>
  <conditionalFormatting sqref="P173">
    <cfRule type="expression" dxfId="15058" priority="19928">
      <formula>P173="X"</formula>
    </cfRule>
    <cfRule type="expression" dxfId="15057" priority="19929">
      <formula>P173="A"</formula>
    </cfRule>
    <cfRule type="expression" dxfId="15056" priority="19930">
      <formula>P173="T"</formula>
    </cfRule>
  </conditionalFormatting>
  <conditionalFormatting sqref="P175">
    <cfRule type="expression" dxfId="15055" priority="19925">
      <formula>P175="X"</formula>
    </cfRule>
    <cfRule type="expression" dxfId="15054" priority="19926">
      <formula>P175="A"</formula>
    </cfRule>
    <cfRule type="expression" dxfId="15053" priority="19927">
      <formula>P175="T"</formula>
    </cfRule>
  </conditionalFormatting>
  <conditionalFormatting sqref="P177">
    <cfRule type="expression" dxfId="15052" priority="19922">
      <formula>P177="X"</formula>
    </cfRule>
    <cfRule type="expression" dxfId="15051" priority="19923">
      <formula>P177="A"</formula>
    </cfRule>
    <cfRule type="expression" dxfId="15050" priority="19924">
      <formula>P177="T"</formula>
    </cfRule>
  </conditionalFormatting>
  <conditionalFormatting sqref="P179">
    <cfRule type="expression" dxfId="15049" priority="19919">
      <formula>P179="X"</formula>
    </cfRule>
    <cfRule type="expression" dxfId="15048" priority="19920">
      <formula>P179="A"</formula>
    </cfRule>
    <cfRule type="expression" dxfId="15047" priority="19921">
      <formula>P179="T"</formula>
    </cfRule>
  </conditionalFormatting>
  <conditionalFormatting sqref="P169">
    <cfRule type="expression" dxfId="15046" priority="19916">
      <formula>P169="X"</formula>
    </cfRule>
    <cfRule type="expression" dxfId="15045" priority="19917">
      <formula>P169="A"</formula>
    </cfRule>
    <cfRule type="expression" dxfId="15044" priority="19918">
      <formula>P169="T"</formula>
    </cfRule>
  </conditionalFormatting>
  <conditionalFormatting sqref="P171">
    <cfRule type="expression" dxfId="15043" priority="19913">
      <formula>P171="X"</formula>
    </cfRule>
    <cfRule type="expression" dxfId="15042" priority="19914">
      <formula>P171="A"</formula>
    </cfRule>
    <cfRule type="expression" dxfId="15041" priority="19915">
      <formula>P171="T"</formula>
    </cfRule>
  </conditionalFormatting>
  <conditionalFormatting sqref="P183">
    <cfRule type="expression" dxfId="15040" priority="19910">
      <formula>P183="X"</formula>
    </cfRule>
    <cfRule type="expression" dxfId="15039" priority="19911">
      <formula>P183="A"</formula>
    </cfRule>
    <cfRule type="expression" dxfId="15038" priority="19912">
      <formula>P183="T"</formula>
    </cfRule>
  </conditionalFormatting>
  <conditionalFormatting sqref="P185">
    <cfRule type="expression" dxfId="15037" priority="19907">
      <formula>P185="X"</formula>
    </cfRule>
    <cfRule type="expression" dxfId="15036" priority="19908">
      <formula>P185="A"</formula>
    </cfRule>
    <cfRule type="expression" dxfId="15035" priority="19909">
      <formula>P185="T"</formula>
    </cfRule>
  </conditionalFormatting>
  <conditionalFormatting sqref="P189">
    <cfRule type="expression" dxfId="15034" priority="19904">
      <formula>P189="X"</formula>
    </cfRule>
    <cfRule type="expression" dxfId="15033" priority="19905">
      <formula>P189="A"</formula>
    </cfRule>
    <cfRule type="expression" dxfId="15032" priority="19906">
      <formula>P189="T"</formula>
    </cfRule>
  </conditionalFormatting>
  <conditionalFormatting sqref="P191">
    <cfRule type="expression" dxfId="15031" priority="19901">
      <formula>P191="X"</formula>
    </cfRule>
    <cfRule type="expression" dxfId="15030" priority="19902">
      <formula>P191="A"</formula>
    </cfRule>
    <cfRule type="expression" dxfId="15029" priority="19903">
      <formula>P191="T"</formula>
    </cfRule>
  </conditionalFormatting>
  <conditionalFormatting sqref="P11">
    <cfRule type="expression" dxfId="15028" priority="19898">
      <formula>P11="X"</formula>
    </cfRule>
    <cfRule type="expression" dxfId="15027" priority="19899">
      <formula>P11="A"</formula>
    </cfRule>
    <cfRule type="expression" dxfId="15026" priority="19900">
      <formula>P11="T"</formula>
    </cfRule>
  </conditionalFormatting>
  <conditionalFormatting sqref="P12">
    <cfRule type="expression" dxfId="15025" priority="19895">
      <formula>P11="X"</formula>
    </cfRule>
    <cfRule type="expression" dxfId="15024" priority="19896">
      <formula>P11="A"</formula>
    </cfRule>
    <cfRule type="expression" dxfId="15023" priority="19897">
      <formula>P11="T"</formula>
    </cfRule>
  </conditionalFormatting>
  <conditionalFormatting sqref="P13">
    <cfRule type="expression" dxfId="15022" priority="19892">
      <formula>P13="X"</formula>
    </cfRule>
    <cfRule type="expression" dxfId="15021" priority="19893">
      <formula>P13="A"</formula>
    </cfRule>
    <cfRule type="expression" dxfId="15020" priority="19894">
      <formula>P13="T"</formula>
    </cfRule>
  </conditionalFormatting>
  <conditionalFormatting sqref="P14">
    <cfRule type="expression" dxfId="15019" priority="19889">
      <formula>P13="X"</formula>
    </cfRule>
    <cfRule type="expression" dxfId="15018" priority="19890">
      <formula>P13="A"</formula>
    </cfRule>
    <cfRule type="expression" dxfId="15017" priority="19891">
      <formula>P13="T"</formula>
    </cfRule>
  </conditionalFormatting>
  <conditionalFormatting sqref="P17">
    <cfRule type="expression" dxfId="15016" priority="19886">
      <formula>P16="X"</formula>
    </cfRule>
    <cfRule type="expression" dxfId="15015" priority="19887">
      <formula>P16="A"</formula>
    </cfRule>
    <cfRule type="expression" dxfId="15014" priority="19888">
      <formula>P16="T"</formula>
    </cfRule>
  </conditionalFormatting>
  <conditionalFormatting sqref="P19">
    <cfRule type="expression" dxfId="15013" priority="19880">
      <formula>P18="X"</formula>
    </cfRule>
    <cfRule type="expression" dxfId="15012" priority="19881">
      <formula>P18="A"</formula>
    </cfRule>
    <cfRule type="expression" dxfId="15011" priority="19882">
      <formula>P18="T"</formula>
    </cfRule>
  </conditionalFormatting>
  <conditionalFormatting sqref="P21">
    <cfRule type="expression" dxfId="15010" priority="19877">
      <formula>P20="X"</formula>
    </cfRule>
    <cfRule type="expression" dxfId="15009" priority="19878">
      <formula>P20="A"</formula>
    </cfRule>
    <cfRule type="expression" dxfId="15008" priority="19879">
      <formula>P20="T"</formula>
    </cfRule>
  </conditionalFormatting>
  <conditionalFormatting sqref="P23">
    <cfRule type="expression" dxfId="15007" priority="19874">
      <formula>P22="X"</formula>
    </cfRule>
    <cfRule type="expression" dxfId="15006" priority="19875">
      <formula>P22="A"</formula>
    </cfRule>
    <cfRule type="expression" dxfId="15005" priority="19876">
      <formula>P22="T"</formula>
    </cfRule>
  </conditionalFormatting>
  <conditionalFormatting sqref="P25">
    <cfRule type="expression" dxfId="15004" priority="19871">
      <formula>P24="X"</formula>
    </cfRule>
    <cfRule type="expression" dxfId="15003" priority="19872">
      <formula>P24="A"</formula>
    </cfRule>
    <cfRule type="expression" dxfId="15002" priority="19873">
      <formula>P24="T"</formula>
    </cfRule>
  </conditionalFormatting>
  <conditionalFormatting sqref="P27">
    <cfRule type="expression" dxfId="15001" priority="19868">
      <formula>P26="X"</formula>
    </cfRule>
    <cfRule type="expression" dxfId="15000" priority="19869">
      <formula>P26="A"</formula>
    </cfRule>
    <cfRule type="expression" dxfId="14999" priority="19870">
      <formula>P26="T"</formula>
    </cfRule>
  </conditionalFormatting>
  <conditionalFormatting sqref="P29">
    <cfRule type="expression" dxfId="14998" priority="19865">
      <formula>P28="X"</formula>
    </cfRule>
    <cfRule type="expression" dxfId="14997" priority="19866">
      <formula>P28="A"</formula>
    </cfRule>
    <cfRule type="expression" dxfId="14996" priority="19867">
      <formula>P28="T"</formula>
    </cfRule>
  </conditionalFormatting>
  <conditionalFormatting sqref="P31">
    <cfRule type="expression" dxfId="14995" priority="19862">
      <formula>P30="X"</formula>
    </cfRule>
    <cfRule type="expression" dxfId="14994" priority="19863">
      <formula>P30="A"</formula>
    </cfRule>
    <cfRule type="expression" dxfId="14993" priority="19864">
      <formula>P30="T"</formula>
    </cfRule>
  </conditionalFormatting>
  <conditionalFormatting sqref="P33">
    <cfRule type="expression" dxfId="14992" priority="19859">
      <formula>P32="X"</formula>
    </cfRule>
    <cfRule type="expression" dxfId="14991" priority="19860">
      <formula>P32="A"</formula>
    </cfRule>
    <cfRule type="expression" dxfId="14990" priority="19861">
      <formula>P32="T"</formula>
    </cfRule>
  </conditionalFormatting>
  <conditionalFormatting sqref="P35">
    <cfRule type="expression" dxfId="14989" priority="19856">
      <formula>P34="X"</formula>
    </cfRule>
    <cfRule type="expression" dxfId="14988" priority="19857">
      <formula>P34="A"</formula>
    </cfRule>
    <cfRule type="expression" dxfId="14987" priority="19858">
      <formula>P34="T"</formula>
    </cfRule>
  </conditionalFormatting>
  <conditionalFormatting sqref="P37">
    <cfRule type="expression" dxfId="14986" priority="19853">
      <formula>P36="X"</formula>
    </cfRule>
    <cfRule type="expression" dxfId="14985" priority="19854">
      <formula>P36="A"</formula>
    </cfRule>
    <cfRule type="expression" dxfId="14984" priority="19855">
      <formula>P36="T"</formula>
    </cfRule>
  </conditionalFormatting>
  <conditionalFormatting sqref="P40">
    <cfRule type="expression" dxfId="14983" priority="19850">
      <formula>P39="X"</formula>
    </cfRule>
    <cfRule type="expression" dxfId="14982" priority="19851">
      <formula>P39="A"</formula>
    </cfRule>
    <cfRule type="expression" dxfId="14981" priority="19852">
      <formula>P39="T"</formula>
    </cfRule>
  </conditionalFormatting>
  <conditionalFormatting sqref="P42">
    <cfRule type="expression" dxfId="14980" priority="19847">
      <formula>P41="X"</formula>
    </cfRule>
    <cfRule type="expression" dxfId="14979" priority="19848">
      <formula>P41="A"</formula>
    </cfRule>
    <cfRule type="expression" dxfId="14978" priority="19849">
      <formula>P41="T"</formula>
    </cfRule>
  </conditionalFormatting>
  <conditionalFormatting sqref="P44">
    <cfRule type="expression" dxfId="14977" priority="19844">
      <formula>P43="X"</formula>
    </cfRule>
    <cfRule type="expression" dxfId="14976" priority="19845">
      <formula>P43="A"</formula>
    </cfRule>
    <cfRule type="expression" dxfId="14975" priority="19846">
      <formula>P43="T"</formula>
    </cfRule>
  </conditionalFormatting>
  <conditionalFormatting sqref="P46">
    <cfRule type="expression" dxfId="14974" priority="19841">
      <formula>P45="X"</formula>
    </cfRule>
    <cfRule type="expression" dxfId="14973" priority="19842">
      <formula>P45="A"</formula>
    </cfRule>
    <cfRule type="expression" dxfId="14972" priority="19843">
      <formula>P45="T"</formula>
    </cfRule>
  </conditionalFormatting>
  <conditionalFormatting sqref="P49">
    <cfRule type="expression" dxfId="14971" priority="19838">
      <formula>P48="X"</formula>
    </cfRule>
    <cfRule type="expression" dxfId="14970" priority="19839">
      <formula>P48="A"</formula>
    </cfRule>
    <cfRule type="expression" dxfId="14969" priority="19840">
      <formula>P48="T"</formula>
    </cfRule>
  </conditionalFormatting>
  <conditionalFormatting sqref="P51">
    <cfRule type="expression" dxfId="14968" priority="19835">
      <formula>P50="X"</formula>
    </cfRule>
    <cfRule type="expression" dxfId="14967" priority="19836">
      <formula>P50="A"</formula>
    </cfRule>
    <cfRule type="expression" dxfId="14966" priority="19837">
      <formula>P50="T"</formula>
    </cfRule>
  </conditionalFormatting>
  <conditionalFormatting sqref="P53">
    <cfRule type="expression" dxfId="14965" priority="19832">
      <formula>P52="X"</formula>
    </cfRule>
    <cfRule type="expression" dxfId="14964" priority="19833">
      <formula>P52="A"</formula>
    </cfRule>
    <cfRule type="expression" dxfId="14963" priority="19834">
      <formula>P52="T"</formula>
    </cfRule>
  </conditionalFormatting>
  <conditionalFormatting sqref="P55">
    <cfRule type="expression" dxfId="14962" priority="19829">
      <formula>P54="X"</formula>
    </cfRule>
    <cfRule type="expression" dxfId="14961" priority="19830">
      <formula>P54="A"</formula>
    </cfRule>
    <cfRule type="expression" dxfId="14960" priority="19831">
      <formula>P54="T"</formula>
    </cfRule>
  </conditionalFormatting>
  <conditionalFormatting sqref="P57">
    <cfRule type="expression" dxfId="14959" priority="19826">
      <formula>P56="X"</formula>
    </cfRule>
    <cfRule type="expression" dxfId="14958" priority="19827">
      <formula>P56="A"</formula>
    </cfRule>
    <cfRule type="expression" dxfId="14957" priority="19828">
      <formula>P56="T"</formula>
    </cfRule>
  </conditionalFormatting>
  <conditionalFormatting sqref="P59">
    <cfRule type="expression" dxfId="14956" priority="19823">
      <formula>P58="X"</formula>
    </cfRule>
    <cfRule type="expression" dxfId="14955" priority="19824">
      <formula>P58="A"</formula>
    </cfRule>
    <cfRule type="expression" dxfId="14954" priority="19825">
      <formula>P58="T"</formula>
    </cfRule>
  </conditionalFormatting>
  <conditionalFormatting sqref="P64">
    <cfRule type="expression" dxfId="14953" priority="19820">
      <formula>P63="X"</formula>
    </cfRule>
    <cfRule type="expression" dxfId="14952" priority="19821">
      <formula>P63="A"</formula>
    </cfRule>
    <cfRule type="expression" dxfId="14951" priority="19822">
      <formula>P63="T"</formula>
    </cfRule>
  </conditionalFormatting>
  <conditionalFormatting sqref="P66">
    <cfRule type="expression" dxfId="14950" priority="19817">
      <formula>P65="X"</formula>
    </cfRule>
    <cfRule type="expression" dxfId="14949" priority="19818">
      <formula>P65="A"</formula>
    </cfRule>
    <cfRule type="expression" dxfId="14948" priority="19819">
      <formula>P65="T"</formula>
    </cfRule>
  </conditionalFormatting>
  <conditionalFormatting sqref="P68">
    <cfRule type="expression" dxfId="14947" priority="19814">
      <formula>P67="X"</formula>
    </cfRule>
    <cfRule type="expression" dxfId="14946" priority="19815">
      <formula>P67="A"</formula>
    </cfRule>
    <cfRule type="expression" dxfId="14945" priority="19816">
      <formula>P67="T"</formula>
    </cfRule>
  </conditionalFormatting>
  <conditionalFormatting sqref="P82">
    <cfRule type="expression" dxfId="14944" priority="19811">
      <formula>P81="X"</formula>
    </cfRule>
    <cfRule type="expression" dxfId="14943" priority="19812">
      <formula>P81="A"</formula>
    </cfRule>
    <cfRule type="expression" dxfId="14942" priority="19813">
      <formula>P81="T"</formula>
    </cfRule>
  </conditionalFormatting>
  <conditionalFormatting sqref="P84">
    <cfRule type="expression" dxfId="14941" priority="19808">
      <formula>P83="X"</formula>
    </cfRule>
    <cfRule type="expression" dxfId="14940" priority="19809">
      <formula>P83="A"</formula>
    </cfRule>
    <cfRule type="expression" dxfId="14939" priority="19810">
      <formula>P83="T"</formula>
    </cfRule>
  </conditionalFormatting>
  <conditionalFormatting sqref="P86">
    <cfRule type="expression" dxfId="14938" priority="19805">
      <formula>P85="X"</formula>
    </cfRule>
    <cfRule type="expression" dxfId="14937" priority="19806">
      <formula>P85="A"</formula>
    </cfRule>
    <cfRule type="expression" dxfId="14936" priority="19807">
      <formula>P85="T"</formula>
    </cfRule>
  </conditionalFormatting>
  <conditionalFormatting sqref="P89">
    <cfRule type="expression" dxfId="14935" priority="19802">
      <formula>P88="X"</formula>
    </cfRule>
    <cfRule type="expression" dxfId="14934" priority="19803">
      <formula>P88="A"</formula>
    </cfRule>
    <cfRule type="expression" dxfId="14933" priority="19804">
      <formula>P88="T"</formula>
    </cfRule>
  </conditionalFormatting>
  <conditionalFormatting sqref="P91">
    <cfRule type="expression" dxfId="14932" priority="19799">
      <formula>P90="X"</formula>
    </cfRule>
    <cfRule type="expression" dxfId="14931" priority="19800">
      <formula>P90="A"</formula>
    </cfRule>
    <cfRule type="expression" dxfId="14930" priority="19801">
      <formula>P90="T"</formula>
    </cfRule>
  </conditionalFormatting>
  <conditionalFormatting sqref="P93">
    <cfRule type="expression" dxfId="14929" priority="19796">
      <formula>P92="X"</formula>
    </cfRule>
    <cfRule type="expression" dxfId="14928" priority="19797">
      <formula>P92="A"</formula>
    </cfRule>
    <cfRule type="expression" dxfId="14927" priority="19798">
      <formula>P92="T"</formula>
    </cfRule>
  </conditionalFormatting>
  <conditionalFormatting sqref="P95">
    <cfRule type="expression" dxfId="14926" priority="19793">
      <formula>P94="X"</formula>
    </cfRule>
    <cfRule type="expression" dxfId="14925" priority="19794">
      <formula>P94="A"</formula>
    </cfRule>
    <cfRule type="expression" dxfId="14924" priority="19795">
      <formula>P94="T"</formula>
    </cfRule>
  </conditionalFormatting>
  <conditionalFormatting sqref="P97">
    <cfRule type="expression" dxfId="14923" priority="19790">
      <formula>P96="X"</formula>
    </cfRule>
    <cfRule type="expression" dxfId="14922" priority="19791">
      <formula>P96="A"</formula>
    </cfRule>
    <cfRule type="expression" dxfId="14921" priority="19792">
      <formula>P96="T"</formula>
    </cfRule>
  </conditionalFormatting>
  <conditionalFormatting sqref="P99">
    <cfRule type="expression" dxfId="14920" priority="19787">
      <formula>P98="X"</formula>
    </cfRule>
    <cfRule type="expression" dxfId="14919" priority="19788">
      <formula>P98="A"</formula>
    </cfRule>
    <cfRule type="expression" dxfId="14918" priority="19789">
      <formula>P98="T"</formula>
    </cfRule>
  </conditionalFormatting>
  <conditionalFormatting sqref="P101">
    <cfRule type="expression" dxfId="14917" priority="19784">
      <formula>P100="X"</formula>
    </cfRule>
    <cfRule type="expression" dxfId="14916" priority="19785">
      <formula>P100="A"</formula>
    </cfRule>
    <cfRule type="expression" dxfId="14915" priority="19786">
      <formula>P100="T"</formula>
    </cfRule>
  </conditionalFormatting>
  <conditionalFormatting sqref="P103">
    <cfRule type="expression" dxfId="14914" priority="19781">
      <formula>P102="X"</formula>
    </cfRule>
    <cfRule type="expression" dxfId="14913" priority="19782">
      <formula>P102="A"</formula>
    </cfRule>
    <cfRule type="expression" dxfId="14912" priority="19783">
      <formula>P102="T"</formula>
    </cfRule>
  </conditionalFormatting>
  <conditionalFormatting sqref="P106">
    <cfRule type="expression" dxfId="14911" priority="19778">
      <formula>P105="X"</formula>
    </cfRule>
    <cfRule type="expression" dxfId="14910" priority="19779">
      <formula>P105="A"</formula>
    </cfRule>
    <cfRule type="expression" dxfId="14909" priority="19780">
      <formula>P105="T"</formula>
    </cfRule>
  </conditionalFormatting>
  <conditionalFormatting sqref="P108">
    <cfRule type="expression" dxfId="14908" priority="19775">
      <formula>P107="X"</formula>
    </cfRule>
    <cfRule type="expression" dxfId="14907" priority="19776">
      <formula>P107="A"</formula>
    </cfRule>
    <cfRule type="expression" dxfId="14906" priority="19777">
      <formula>P107="T"</formula>
    </cfRule>
  </conditionalFormatting>
  <conditionalFormatting sqref="P110">
    <cfRule type="expression" dxfId="14905" priority="19772">
      <formula>P109="X"</formula>
    </cfRule>
    <cfRule type="expression" dxfId="14904" priority="19773">
      <formula>P109="A"</formula>
    </cfRule>
    <cfRule type="expression" dxfId="14903" priority="19774">
      <formula>P109="T"</formula>
    </cfRule>
  </conditionalFormatting>
  <conditionalFormatting sqref="P112">
    <cfRule type="expression" dxfId="14902" priority="19769">
      <formula>P111="X"</formula>
    </cfRule>
    <cfRule type="expression" dxfId="14901" priority="19770">
      <formula>P111="A"</formula>
    </cfRule>
    <cfRule type="expression" dxfId="14900" priority="19771">
      <formula>P111="T"</formula>
    </cfRule>
  </conditionalFormatting>
  <conditionalFormatting sqref="P114">
    <cfRule type="expression" dxfId="14899" priority="19766">
      <formula>P113="X"</formula>
    </cfRule>
    <cfRule type="expression" dxfId="14898" priority="19767">
      <formula>P113="A"</formula>
    </cfRule>
    <cfRule type="expression" dxfId="14897" priority="19768">
      <formula>P113="T"</formula>
    </cfRule>
  </conditionalFormatting>
  <conditionalFormatting sqref="P117">
    <cfRule type="expression" dxfId="14896" priority="19763">
      <formula>P116="X"</formula>
    </cfRule>
    <cfRule type="expression" dxfId="14895" priority="19764">
      <formula>P116="A"</formula>
    </cfRule>
    <cfRule type="expression" dxfId="14894" priority="19765">
      <formula>P116="T"</formula>
    </cfRule>
  </conditionalFormatting>
  <conditionalFormatting sqref="P119">
    <cfRule type="expression" dxfId="14893" priority="19760">
      <formula>P118="X"</formula>
    </cfRule>
    <cfRule type="expression" dxfId="14892" priority="19761">
      <formula>P118="A"</formula>
    </cfRule>
    <cfRule type="expression" dxfId="14891" priority="19762">
      <formula>P118="T"</formula>
    </cfRule>
  </conditionalFormatting>
  <conditionalFormatting sqref="P121">
    <cfRule type="expression" dxfId="14890" priority="19757">
      <formula>P120="X"</formula>
    </cfRule>
    <cfRule type="expression" dxfId="14889" priority="19758">
      <formula>P120="A"</formula>
    </cfRule>
    <cfRule type="expression" dxfId="14888" priority="19759">
      <formula>P120="T"</formula>
    </cfRule>
  </conditionalFormatting>
  <conditionalFormatting sqref="P123">
    <cfRule type="expression" dxfId="14887" priority="19754">
      <formula>P122="X"</formula>
    </cfRule>
    <cfRule type="expression" dxfId="14886" priority="19755">
      <formula>P122="A"</formula>
    </cfRule>
    <cfRule type="expression" dxfId="14885" priority="19756">
      <formula>P122="T"</formula>
    </cfRule>
  </conditionalFormatting>
  <conditionalFormatting sqref="P126">
    <cfRule type="expression" dxfId="14884" priority="19751">
      <formula>P125="X"</formula>
    </cfRule>
    <cfRule type="expression" dxfId="14883" priority="19752">
      <formula>P125="A"</formula>
    </cfRule>
    <cfRule type="expression" dxfId="14882" priority="19753">
      <formula>P125="T"</formula>
    </cfRule>
  </conditionalFormatting>
  <conditionalFormatting sqref="P128">
    <cfRule type="expression" dxfId="14881" priority="19748">
      <formula>P127="X"</formula>
    </cfRule>
    <cfRule type="expression" dxfId="14880" priority="19749">
      <formula>P127="A"</formula>
    </cfRule>
    <cfRule type="expression" dxfId="14879" priority="19750">
      <formula>P127="T"</formula>
    </cfRule>
  </conditionalFormatting>
  <conditionalFormatting sqref="P142">
    <cfRule type="expression" dxfId="14878" priority="19745">
      <formula>P141="X"</formula>
    </cfRule>
    <cfRule type="expression" dxfId="14877" priority="19746">
      <formula>P141="A"</formula>
    </cfRule>
    <cfRule type="expression" dxfId="14876" priority="19747">
      <formula>P141="T"</formula>
    </cfRule>
  </conditionalFormatting>
  <conditionalFormatting sqref="P144">
    <cfRule type="expression" dxfId="14875" priority="19742">
      <formula>P143="X"</formula>
    </cfRule>
    <cfRule type="expression" dxfId="14874" priority="19743">
      <formula>P143="A"</formula>
    </cfRule>
    <cfRule type="expression" dxfId="14873" priority="19744">
      <formula>P143="T"</formula>
    </cfRule>
  </conditionalFormatting>
  <conditionalFormatting sqref="P150">
    <cfRule type="expression" dxfId="14872" priority="19739">
      <formula>P149="X"</formula>
    </cfRule>
    <cfRule type="expression" dxfId="14871" priority="19740">
      <formula>P149="A"</formula>
    </cfRule>
    <cfRule type="expression" dxfId="14870" priority="19741">
      <formula>P149="T"</formula>
    </cfRule>
  </conditionalFormatting>
  <conditionalFormatting sqref="P152">
    <cfRule type="expression" dxfId="14869" priority="19736">
      <formula>P151="X"</formula>
    </cfRule>
    <cfRule type="expression" dxfId="14868" priority="19737">
      <formula>P151="A"</formula>
    </cfRule>
    <cfRule type="expression" dxfId="14867" priority="19738">
      <formula>P151="T"</formula>
    </cfRule>
  </conditionalFormatting>
  <conditionalFormatting sqref="P156">
    <cfRule type="expression" dxfId="14866" priority="19733">
      <formula>P155="X"</formula>
    </cfRule>
    <cfRule type="expression" dxfId="14865" priority="19734">
      <formula>P155="A"</formula>
    </cfRule>
    <cfRule type="expression" dxfId="14864" priority="19735">
      <formula>P155="T"</formula>
    </cfRule>
  </conditionalFormatting>
  <conditionalFormatting sqref="P168">
    <cfRule type="expression" dxfId="14863" priority="19727">
      <formula>P167="X"</formula>
    </cfRule>
    <cfRule type="expression" dxfId="14862" priority="19728">
      <formula>P167="A"</formula>
    </cfRule>
    <cfRule type="expression" dxfId="14861" priority="19729">
      <formula>P167="T"</formula>
    </cfRule>
  </conditionalFormatting>
  <conditionalFormatting sqref="P170">
    <cfRule type="expression" dxfId="14860" priority="19724">
      <formula>P169="X"</formula>
    </cfRule>
    <cfRule type="expression" dxfId="14859" priority="19725">
      <formula>P169="A"</formula>
    </cfRule>
    <cfRule type="expression" dxfId="14858" priority="19726">
      <formula>P169="T"</formula>
    </cfRule>
  </conditionalFormatting>
  <conditionalFormatting sqref="P172">
    <cfRule type="expression" dxfId="14857" priority="19721">
      <formula>P171="X"</formula>
    </cfRule>
    <cfRule type="expression" dxfId="14856" priority="19722">
      <formula>P171="A"</formula>
    </cfRule>
    <cfRule type="expression" dxfId="14855" priority="19723">
      <formula>P171="T"</formula>
    </cfRule>
  </conditionalFormatting>
  <conditionalFormatting sqref="P174">
    <cfRule type="expression" dxfId="14854" priority="19718">
      <formula>P173="X"</formula>
    </cfRule>
    <cfRule type="expression" dxfId="14853" priority="19719">
      <formula>P173="A"</formula>
    </cfRule>
    <cfRule type="expression" dxfId="14852" priority="19720">
      <formula>P173="T"</formula>
    </cfRule>
  </conditionalFormatting>
  <conditionalFormatting sqref="P176">
    <cfRule type="expression" dxfId="14851" priority="19715">
      <formula>P175="X"</formula>
    </cfRule>
    <cfRule type="expression" dxfId="14850" priority="19716">
      <formula>P175="A"</formula>
    </cfRule>
    <cfRule type="expression" dxfId="14849" priority="19717">
      <formula>P175="T"</formula>
    </cfRule>
  </conditionalFormatting>
  <conditionalFormatting sqref="P178">
    <cfRule type="expression" dxfId="14848" priority="19712">
      <formula>P177="X"</formula>
    </cfRule>
    <cfRule type="expression" dxfId="14847" priority="19713">
      <formula>P177="A"</formula>
    </cfRule>
    <cfRule type="expression" dxfId="14846" priority="19714">
      <formula>P177="T"</formula>
    </cfRule>
  </conditionalFormatting>
  <conditionalFormatting sqref="P180">
    <cfRule type="expression" dxfId="14845" priority="19709">
      <formula>P179="X"</formula>
    </cfRule>
    <cfRule type="expression" dxfId="14844" priority="19710">
      <formula>P179="A"</formula>
    </cfRule>
    <cfRule type="expression" dxfId="14843" priority="19711">
      <formula>P179="T"</formula>
    </cfRule>
  </conditionalFormatting>
  <conditionalFormatting sqref="P184">
    <cfRule type="expression" dxfId="14842" priority="19706">
      <formula>P183="X"</formula>
    </cfRule>
    <cfRule type="expression" dxfId="14841" priority="19707">
      <formula>P183="A"</formula>
    </cfRule>
    <cfRule type="expression" dxfId="14840" priority="19708">
      <formula>P183="T"</formula>
    </cfRule>
  </conditionalFormatting>
  <conditionalFormatting sqref="P186">
    <cfRule type="expression" dxfId="14839" priority="19703">
      <formula>P185="X"</formula>
    </cfRule>
    <cfRule type="expression" dxfId="14838" priority="19704">
      <formula>P185="A"</formula>
    </cfRule>
    <cfRule type="expression" dxfId="14837" priority="19705">
      <formula>P185="T"</formula>
    </cfRule>
  </conditionalFormatting>
  <conditionalFormatting sqref="P190">
    <cfRule type="expression" dxfId="14836" priority="19700">
      <formula>P189="X"</formula>
    </cfRule>
    <cfRule type="expression" dxfId="14835" priority="19701">
      <formula>P189="A"</formula>
    </cfRule>
    <cfRule type="expression" dxfId="14834" priority="19702">
      <formula>P189="T"</formula>
    </cfRule>
  </conditionalFormatting>
  <conditionalFormatting sqref="P192">
    <cfRule type="expression" dxfId="14833" priority="19697">
      <formula>P191="X"</formula>
    </cfRule>
    <cfRule type="expression" dxfId="14832" priority="19698">
      <formula>P191="A"</formula>
    </cfRule>
    <cfRule type="expression" dxfId="14831" priority="19699">
      <formula>P191="T"</formula>
    </cfRule>
  </conditionalFormatting>
  <conditionalFormatting sqref="P208">
    <cfRule type="expression" dxfId="14830" priority="19694">
      <formula>P207="X"</formula>
    </cfRule>
    <cfRule type="expression" dxfId="14829" priority="19695">
      <formula>P207="A"</formula>
    </cfRule>
    <cfRule type="expression" dxfId="14828" priority="19696">
      <formula>P207="T"</formula>
    </cfRule>
  </conditionalFormatting>
  <conditionalFormatting sqref="P211">
    <cfRule type="expression" dxfId="14827" priority="19691">
      <formula>P211="X"</formula>
    </cfRule>
    <cfRule type="expression" dxfId="14826" priority="19692">
      <formula>P211="A"</formula>
    </cfRule>
    <cfRule type="expression" dxfId="14825" priority="19693">
      <formula>P211="T"</formula>
    </cfRule>
  </conditionalFormatting>
  <conditionalFormatting sqref="P212">
    <cfRule type="expression" dxfId="14824" priority="19688">
      <formula>P211="X"</formula>
    </cfRule>
    <cfRule type="expression" dxfId="14823" priority="19689">
      <formula>P211="A"</formula>
    </cfRule>
    <cfRule type="expression" dxfId="14822" priority="19690">
      <formula>P211="T"</formula>
    </cfRule>
  </conditionalFormatting>
  <conditionalFormatting sqref="P213">
    <cfRule type="expression" dxfId="14821" priority="19685">
      <formula>P213="X"</formula>
    </cfRule>
    <cfRule type="expression" dxfId="14820" priority="19686">
      <formula>P213="A"</formula>
    </cfRule>
    <cfRule type="expression" dxfId="14819" priority="19687">
      <formula>P213="T"</formula>
    </cfRule>
  </conditionalFormatting>
  <conditionalFormatting sqref="P214">
    <cfRule type="expression" dxfId="14818" priority="19682">
      <formula>P213="X"</formula>
    </cfRule>
    <cfRule type="expression" dxfId="14817" priority="19683">
      <formula>P213="A"</formula>
    </cfRule>
    <cfRule type="expression" dxfId="14816" priority="19684">
      <formula>P213="T"</formula>
    </cfRule>
  </conditionalFormatting>
  <conditionalFormatting sqref="P215">
    <cfRule type="expression" dxfId="14815" priority="19679">
      <formula>P215="X"</formula>
    </cfRule>
    <cfRule type="expression" dxfId="14814" priority="19680">
      <formula>P215="A"</formula>
    </cfRule>
    <cfRule type="expression" dxfId="14813" priority="19681">
      <formula>P215="T"</formula>
    </cfRule>
  </conditionalFormatting>
  <conditionalFormatting sqref="P216">
    <cfRule type="expression" dxfId="14812" priority="19676">
      <formula>P215="X"</formula>
    </cfRule>
    <cfRule type="expression" dxfId="14811" priority="19677">
      <formula>P215="A"</formula>
    </cfRule>
    <cfRule type="expression" dxfId="14810" priority="19678">
      <formula>P215="T"</formula>
    </cfRule>
  </conditionalFormatting>
  <conditionalFormatting sqref="P217">
    <cfRule type="expression" dxfId="14809" priority="19673">
      <formula>P217="X"</formula>
    </cfRule>
    <cfRule type="expression" dxfId="14808" priority="19674">
      <formula>P217="A"</formula>
    </cfRule>
    <cfRule type="expression" dxfId="14807" priority="19675">
      <formula>P217="T"</formula>
    </cfRule>
  </conditionalFormatting>
  <conditionalFormatting sqref="P218">
    <cfRule type="expression" dxfId="14806" priority="19670">
      <formula>P217="X"</formula>
    </cfRule>
    <cfRule type="expression" dxfId="14805" priority="19671">
      <formula>P217="A"</formula>
    </cfRule>
    <cfRule type="expression" dxfId="14804" priority="19672">
      <formula>P217="T"</formula>
    </cfRule>
  </conditionalFormatting>
  <conditionalFormatting sqref="P219">
    <cfRule type="expression" dxfId="14803" priority="19667">
      <formula>P219="X"</formula>
    </cfRule>
    <cfRule type="expression" dxfId="14802" priority="19668">
      <formula>P219="A"</formula>
    </cfRule>
    <cfRule type="expression" dxfId="14801" priority="19669">
      <formula>P219="T"</formula>
    </cfRule>
  </conditionalFormatting>
  <conditionalFormatting sqref="P220">
    <cfRule type="expression" dxfId="14800" priority="19664">
      <formula>P219="X"</formula>
    </cfRule>
    <cfRule type="expression" dxfId="14799" priority="19665">
      <formula>P219="A"</formula>
    </cfRule>
    <cfRule type="expression" dxfId="14798" priority="19666">
      <formula>P219="T"</formula>
    </cfRule>
  </conditionalFormatting>
  <conditionalFormatting sqref="P221">
    <cfRule type="expression" dxfId="14797" priority="19661">
      <formula>P221="X"</formula>
    </cfRule>
    <cfRule type="expression" dxfId="14796" priority="19662">
      <formula>P221="A"</formula>
    </cfRule>
    <cfRule type="expression" dxfId="14795" priority="19663">
      <formula>P221="T"</formula>
    </cfRule>
  </conditionalFormatting>
  <conditionalFormatting sqref="P222">
    <cfRule type="expression" dxfId="14794" priority="19658">
      <formula>P221="X"</formula>
    </cfRule>
    <cfRule type="expression" dxfId="14793" priority="19659">
      <formula>P221="A"</formula>
    </cfRule>
    <cfRule type="expression" dxfId="14792" priority="19660">
      <formula>P221="T"</formula>
    </cfRule>
  </conditionalFormatting>
  <conditionalFormatting sqref="P223">
    <cfRule type="expression" dxfId="14791" priority="19655">
      <formula>P223="X"</formula>
    </cfRule>
    <cfRule type="expression" dxfId="14790" priority="19656">
      <formula>P223="A"</formula>
    </cfRule>
    <cfRule type="expression" dxfId="14789" priority="19657">
      <formula>P223="T"</formula>
    </cfRule>
  </conditionalFormatting>
  <conditionalFormatting sqref="P224">
    <cfRule type="expression" dxfId="14788" priority="19652">
      <formula>P223="X"</formula>
    </cfRule>
    <cfRule type="expression" dxfId="14787" priority="19653">
      <formula>P223="A"</formula>
    </cfRule>
    <cfRule type="expression" dxfId="14786" priority="19654">
      <formula>P223="T"</formula>
    </cfRule>
  </conditionalFormatting>
  <conditionalFormatting sqref="P4">
    <cfRule type="expression" dxfId="14785" priority="19649">
      <formula>P4="X"</formula>
    </cfRule>
    <cfRule type="expression" dxfId="14784" priority="19650">
      <formula>P4="A"</formula>
    </cfRule>
    <cfRule type="expression" dxfId="14783" priority="19651">
      <formula>P4="T"</formula>
    </cfRule>
  </conditionalFormatting>
  <conditionalFormatting sqref="P5">
    <cfRule type="expression" dxfId="14782" priority="19646">
      <formula>P4="X"</formula>
    </cfRule>
    <cfRule type="expression" dxfId="14781" priority="19647">
      <formula>P4="A"</formula>
    </cfRule>
    <cfRule type="expression" dxfId="14780" priority="19648">
      <formula>P4="T"</formula>
    </cfRule>
  </conditionalFormatting>
  <conditionalFormatting sqref="P6">
    <cfRule type="expression" dxfId="14779" priority="19643">
      <formula>P6="X"</formula>
    </cfRule>
    <cfRule type="expression" dxfId="14778" priority="19644">
      <formula>P6="A"</formula>
    </cfRule>
    <cfRule type="expression" dxfId="14777" priority="19645">
      <formula>P6="T"</formula>
    </cfRule>
  </conditionalFormatting>
  <conditionalFormatting sqref="P7">
    <cfRule type="expression" dxfId="14776" priority="19640">
      <formula>P6="X"</formula>
    </cfRule>
    <cfRule type="expression" dxfId="14775" priority="19641">
      <formula>P6="A"</formula>
    </cfRule>
    <cfRule type="expression" dxfId="14774" priority="19642">
      <formula>P6="T"</formula>
    </cfRule>
  </conditionalFormatting>
  <conditionalFormatting sqref="P8">
    <cfRule type="expression" dxfId="14773" priority="19637">
      <formula>P8="X"</formula>
    </cfRule>
    <cfRule type="expression" dxfId="14772" priority="19638">
      <formula>P8="A"</formula>
    </cfRule>
    <cfRule type="expression" dxfId="14771" priority="19639">
      <formula>P8="T"</formula>
    </cfRule>
  </conditionalFormatting>
  <conditionalFormatting sqref="P9">
    <cfRule type="expression" dxfId="14770" priority="19634">
      <formula>P8="X"</formula>
    </cfRule>
    <cfRule type="expression" dxfId="14769" priority="19635">
      <formula>P8="A"</formula>
    </cfRule>
    <cfRule type="expression" dxfId="14768" priority="19636">
      <formula>P8="T"</formula>
    </cfRule>
  </conditionalFormatting>
  <conditionalFormatting sqref="P74">
    <cfRule type="expression" dxfId="14767" priority="19631">
      <formula>P74="X"</formula>
    </cfRule>
    <cfRule type="expression" dxfId="14766" priority="19632">
      <formula>P74="A"</formula>
    </cfRule>
    <cfRule type="expression" dxfId="14765" priority="19633">
      <formula>P74="T"</formula>
    </cfRule>
  </conditionalFormatting>
  <conditionalFormatting sqref="P75">
    <cfRule type="expression" dxfId="14764" priority="19628">
      <formula>P74="X"</formula>
    </cfRule>
    <cfRule type="expression" dxfId="14763" priority="19629">
      <formula>P74="A"</formula>
    </cfRule>
    <cfRule type="expression" dxfId="14762" priority="19630">
      <formula>P74="T"</formula>
    </cfRule>
  </conditionalFormatting>
  <conditionalFormatting sqref="P76">
    <cfRule type="expression" dxfId="14761" priority="19625">
      <formula>P76="X"</formula>
    </cfRule>
    <cfRule type="expression" dxfId="14760" priority="19626">
      <formula>P76="A"</formula>
    </cfRule>
    <cfRule type="expression" dxfId="14759" priority="19627">
      <formula>P76="T"</formula>
    </cfRule>
  </conditionalFormatting>
  <conditionalFormatting sqref="P77">
    <cfRule type="expression" dxfId="14758" priority="19622">
      <formula>P76="X"</formula>
    </cfRule>
    <cfRule type="expression" dxfId="14757" priority="19623">
      <formula>P76="A"</formula>
    </cfRule>
    <cfRule type="expression" dxfId="14756" priority="19624">
      <formula>P76="T"</formula>
    </cfRule>
  </conditionalFormatting>
  <conditionalFormatting sqref="P78">
    <cfRule type="expression" dxfId="14755" priority="19619">
      <formula>P78="X"</formula>
    </cfRule>
    <cfRule type="expression" dxfId="14754" priority="19620">
      <formula>P78="A"</formula>
    </cfRule>
    <cfRule type="expression" dxfId="14753" priority="19621">
      <formula>P78="T"</formula>
    </cfRule>
  </conditionalFormatting>
  <conditionalFormatting sqref="P79">
    <cfRule type="expression" dxfId="14752" priority="19616">
      <formula>P78="X"</formula>
    </cfRule>
    <cfRule type="expression" dxfId="14751" priority="19617">
      <formula>P78="A"</formula>
    </cfRule>
    <cfRule type="expression" dxfId="14750" priority="19618">
      <formula>P78="T"</formula>
    </cfRule>
  </conditionalFormatting>
  <conditionalFormatting sqref="P134">
    <cfRule type="expression" dxfId="14749" priority="19613">
      <formula>P134="X"</formula>
    </cfRule>
    <cfRule type="expression" dxfId="14748" priority="19614">
      <formula>P134="A"</formula>
    </cfRule>
    <cfRule type="expression" dxfId="14747" priority="19615">
      <formula>P134="T"</formula>
    </cfRule>
  </conditionalFormatting>
  <conditionalFormatting sqref="P135">
    <cfRule type="expression" dxfId="14746" priority="19610">
      <formula>P134="X"</formula>
    </cfRule>
    <cfRule type="expression" dxfId="14745" priority="19611">
      <formula>P134="A"</formula>
    </cfRule>
    <cfRule type="expression" dxfId="14744" priority="19612">
      <formula>P134="T"</formula>
    </cfRule>
  </conditionalFormatting>
  <conditionalFormatting sqref="P136">
    <cfRule type="expression" dxfId="14743" priority="19607">
      <formula>P136="X"</formula>
    </cfRule>
    <cfRule type="expression" dxfId="14742" priority="19608">
      <formula>P136="A"</formula>
    </cfRule>
    <cfRule type="expression" dxfId="14741" priority="19609">
      <formula>P136="T"</formula>
    </cfRule>
  </conditionalFormatting>
  <conditionalFormatting sqref="P137">
    <cfRule type="expression" dxfId="14740" priority="19604">
      <formula>P136="X"</formula>
    </cfRule>
    <cfRule type="expression" dxfId="14739" priority="19605">
      <formula>P136="A"</formula>
    </cfRule>
    <cfRule type="expression" dxfId="14738" priority="19606">
      <formula>P136="T"</formula>
    </cfRule>
  </conditionalFormatting>
  <conditionalFormatting sqref="P138">
    <cfRule type="expression" dxfId="14737" priority="19601">
      <formula>P138="X"</formula>
    </cfRule>
    <cfRule type="expression" dxfId="14736" priority="19602">
      <formula>P138="A"</formula>
    </cfRule>
    <cfRule type="expression" dxfId="14735" priority="19603">
      <formula>P138="T"</formula>
    </cfRule>
  </conditionalFormatting>
  <conditionalFormatting sqref="P139">
    <cfRule type="expression" dxfId="14734" priority="19598">
      <formula>P138="X"</formula>
    </cfRule>
    <cfRule type="expression" dxfId="14733" priority="19599">
      <formula>P138="A"</formula>
    </cfRule>
    <cfRule type="expression" dxfId="14732" priority="19600">
      <formula>P138="T"</formula>
    </cfRule>
  </conditionalFormatting>
  <conditionalFormatting sqref="P15">
    <cfRule type="expression" dxfId="14731" priority="19592" stopIfTrue="1">
      <formula>P11=""</formula>
    </cfRule>
  </conditionalFormatting>
  <conditionalFormatting sqref="P15">
    <cfRule type="expression" dxfId="14730" priority="19593" stopIfTrue="1">
      <formula>P15=1</formula>
    </cfRule>
    <cfRule type="colorScale" priority="19594">
      <colorScale>
        <cfvo type="num" val="0"/>
        <cfvo type="num" val="0.5"/>
        <cfvo type="num" val="1"/>
        <color rgb="FFF8696B"/>
        <color theme="4" tint="0.79998168889431442"/>
        <color rgb="FF5A8AC6"/>
      </colorScale>
    </cfRule>
  </conditionalFormatting>
  <conditionalFormatting sqref="P38">
    <cfRule type="expression" dxfId="14729" priority="19589" stopIfTrue="1">
      <formula>P16=""</formula>
    </cfRule>
  </conditionalFormatting>
  <conditionalFormatting sqref="P38">
    <cfRule type="expression" dxfId="14728" priority="19590" stopIfTrue="1">
      <formula>P38=1</formula>
    </cfRule>
    <cfRule type="colorScale" priority="19591">
      <colorScale>
        <cfvo type="num" val="0"/>
        <cfvo type="num" val="0.5"/>
        <cfvo type="num" val="1"/>
        <color rgb="FFF8696B"/>
        <color theme="4" tint="0.79998168889431442"/>
        <color rgb="FF5A8AC6"/>
      </colorScale>
    </cfRule>
  </conditionalFormatting>
  <conditionalFormatting sqref="P47">
    <cfRule type="expression" dxfId="14727" priority="19586" stopIfTrue="1">
      <formula>P39=""</formula>
    </cfRule>
  </conditionalFormatting>
  <conditionalFormatting sqref="P47">
    <cfRule type="expression" dxfId="14726" priority="19587" stopIfTrue="1">
      <formula>P47=1</formula>
    </cfRule>
    <cfRule type="colorScale" priority="19588">
      <colorScale>
        <cfvo type="num" val="0"/>
        <cfvo type="num" val="0.5"/>
        <cfvo type="num" val="1"/>
        <color rgb="FFF8696B"/>
        <color theme="4" tint="0.79998168889431442"/>
        <color rgb="FF5A8AC6"/>
      </colorScale>
    </cfRule>
  </conditionalFormatting>
  <conditionalFormatting sqref="P69">
    <cfRule type="expression" dxfId="14725" priority="19581" stopIfTrue="1">
      <formula>P69=1</formula>
    </cfRule>
    <cfRule type="colorScale" priority="19582">
      <colorScale>
        <cfvo type="num" val="0"/>
        <cfvo type="num" val="0.5"/>
        <cfvo type="num" val="1"/>
        <color rgb="FFF8696B"/>
        <color theme="4" tint="0.79998168889431442"/>
        <color rgb="FF5A8AC6"/>
      </colorScale>
    </cfRule>
  </conditionalFormatting>
  <conditionalFormatting sqref="P69">
    <cfRule type="expression" dxfId="14724" priority="19580" stopIfTrue="1">
      <formula>P63=""</formula>
    </cfRule>
  </conditionalFormatting>
  <conditionalFormatting sqref="P230:P236">
    <cfRule type="expression" dxfId="14723" priority="19533" stopIfTrue="1">
      <formula>P230=_xlfn.UNICHAR(10003)</formula>
    </cfRule>
    <cfRule type="colorScale" priority="19534">
      <colorScale>
        <cfvo type="num" val="0"/>
        <cfvo type="num" val="0.5"/>
        <cfvo type="num" val="1"/>
        <color rgb="FFF8696B"/>
        <color theme="4" tint="0.79998168889431442"/>
        <color rgb="FF5A8AC6"/>
      </colorScale>
    </cfRule>
  </conditionalFormatting>
  <conditionalFormatting sqref="P239">
    <cfRule type="expression" dxfId="14722" priority="19531" stopIfTrue="1">
      <formula>P239=_xlfn.UNICHAR(10003)</formula>
    </cfRule>
    <cfRule type="colorScale" priority="19532">
      <colorScale>
        <cfvo type="num" val="0"/>
        <cfvo type="num" val="0.5"/>
        <cfvo type="num" val="1"/>
        <color rgb="FFF8696B"/>
        <color theme="4" tint="0.79998168889431442"/>
        <color rgb="FF5A8AC6"/>
      </colorScale>
    </cfRule>
  </conditionalFormatting>
  <conditionalFormatting sqref="P239">
    <cfRule type="expression" dxfId="14721" priority="19529" stopIfTrue="1">
      <formula>P239=1</formula>
    </cfRule>
    <cfRule type="colorScale" priority="19530">
      <colorScale>
        <cfvo type="num" val="0"/>
        <cfvo type="num" val="0.5"/>
        <cfvo type="num" val="1"/>
        <color rgb="FFF8696B"/>
        <color theme="4" tint="0.79998168889431442"/>
        <color rgb="FF5A8AC6"/>
      </colorScale>
    </cfRule>
  </conditionalFormatting>
  <conditionalFormatting sqref="P195">
    <cfRule type="expression" dxfId="14720" priority="19517">
      <formula>P195="X"</formula>
    </cfRule>
    <cfRule type="expression" dxfId="14719" priority="19518">
      <formula>P195="A"</formula>
    </cfRule>
    <cfRule type="expression" dxfId="14718" priority="19519">
      <formula>P195="T"</formula>
    </cfRule>
  </conditionalFormatting>
  <conditionalFormatting sqref="P203">
    <cfRule type="expression" dxfId="14717" priority="19514">
      <formula>P203="X"</formula>
    </cfRule>
    <cfRule type="expression" dxfId="14716" priority="19515">
      <formula>P203="A"</formula>
    </cfRule>
    <cfRule type="expression" dxfId="14715" priority="19516">
      <formula>P203="T"</formula>
    </cfRule>
  </conditionalFormatting>
  <conditionalFormatting sqref="P205">
    <cfRule type="expression" dxfId="14714" priority="19511">
      <formula>P205="X"</formula>
    </cfRule>
    <cfRule type="expression" dxfId="14713" priority="19512">
      <formula>P205="A"</formula>
    </cfRule>
    <cfRule type="expression" dxfId="14712" priority="19513">
      <formula>P205="T"</formula>
    </cfRule>
  </conditionalFormatting>
  <conditionalFormatting sqref="P207">
    <cfRule type="expression" dxfId="14711" priority="19508">
      <formula>P207="X"</formula>
    </cfRule>
    <cfRule type="expression" dxfId="14710" priority="19509">
      <formula>P207="A"</formula>
    </cfRule>
    <cfRule type="expression" dxfId="14709" priority="19510">
      <formula>P207="T"</formula>
    </cfRule>
  </conditionalFormatting>
  <conditionalFormatting sqref="P204">
    <cfRule type="expression" dxfId="14708" priority="19505">
      <formula>P203="X"</formula>
    </cfRule>
    <cfRule type="expression" dxfId="14707" priority="19506">
      <formula>P203="A"</formula>
    </cfRule>
    <cfRule type="expression" dxfId="14706" priority="19507">
      <formula>P203="T"</formula>
    </cfRule>
  </conditionalFormatting>
  <conditionalFormatting sqref="P206">
    <cfRule type="expression" dxfId="14705" priority="19502">
      <formula>P205="X"</formula>
    </cfRule>
    <cfRule type="expression" dxfId="14704" priority="19503">
      <formula>P205="A"</formula>
    </cfRule>
    <cfRule type="expression" dxfId="14703" priority="19504">
      <formula>P205="T"</formula>
    </cfRule>
  </conditionalFormatting>
  <conditionalFormatting sqref="P196">
    <cfRule type="expression" dxfId="14702" priority="19499">
      <formula>P195="X"</formula>
    </cfRule>
    <cfRule type="expression" dxfId="14701" priority="19500">
      <formula>P195="A"</formula>
    </cfRule>
    <cfRule type="expression" dxfId="14700" priority="19501">
      <formula>P195="T"</formula>
    </cfRule>
  </conditionalFormatting>
  <conditionalFormatting sqref="P197">
    <cfRule type="expression" dxfId="14699" priority="19496">
      <formula>P197="X"</formula>
    </cfRule>
    <cfRule type="expression" dxfId="14698" priority="19497">
      <formula>P197="A"</formula>
    </cfRule>
    <cfRule type="expression" dxfId="14697" priority="19498">
      <formula>P197="T"</formula>
    </cfRule>
  </conditionalFormatting>
  <conditionalFormatting sqref="P198">
    <cfRule type="expression" dxfId="14696" priority="19493">
      <formula>P197="X"</formula>
    </cfRule>
    <cfRule type="expression" dxfId="14695" priority="19494">
      <formula>P197="A"</formula>
    </cfRule>
    <cfRule type="expression" dxfId="14694" priority="19495">
      <formula>P197="T"</formula>
    </cfRule>
  </conditionalFormatting>
  <conditionalFormatting sqref="P199">
    <cfRule type="expression" dxfId="14693" priority="19490">
      <formula>P199="X"</formula>
    </cfRule>
    <cfRule type="expression" dxfId="14692" priority="19491">
      <formula>P199="A"</formula>
    </cfRule>
    <cfRule type="expression" dxfId="14691" priority="19492">
      <formula>P199="T"</formula>
    </cfRule>
  </conditionalFormatting>
  <conditionalFormatting sqref="P200">
    <cfRule type="expression" dxfId="14690" priority="19487">
      <formula>P199="X"</formula>
    </cfRule>
    <cfRule type="expression" dxfId="14689" priority="19488">
      <formula>P199="A"</formula>
    </cfRule>
    <cfRule type="expression" dxfId="14688" priority="19489">
      <formula>P199="T"</formula>
    </cfRule>
  </conditionalFormatting>
  <conditionalFormatting sqref="P201">
    <cfRule type="expression" dxfId="14687" priority="19484">
      <formula>P201="X"</formula>
    </cfRule>
    <cfRule type="expression" dxfId="14686" priority="19485">
      <formula>P201="A"</formula>
    </cfRule>
    <cfRule type="expression" dxfId="14685" priority="19486">
      <formula>P201="T"</formula>
    </cfRule>
  </conditionalFormatting>
  <conditionalFormatting sqref="P202">
    <cfRule type="expression" dxfId="14684" priority="19481">
      <formula>P201="X"</formula>
    </cfRule>
    <cfRule type="expression" dxfId="14683" priority="19482">
      <formula>P201="A"</formula>
    </cfRule>
    <cfRule type="expression" dxfId="14682" priority="19483">
      <formula>P201="T"</formula>
    </cfRule>
  </conditionalFormatting>
  <conditionalFormatting sqref="AF237:AF238">
    <cfRule type="expression" dxfId="14681" priority="19479" stopIfTrue="1">
      <formula>AF237=_xlfn.UNICHAR(10003)</formula>
    </cfRule>
    <cfRule type="colorScale" priority="19480">
      <colorScale>
        <cfvo type="num" val="0"/>
        <cfvo type="num" val="0.5"/>
        <cfvo type="num" val="1"/>
        <color rgb="FFF8696B"/>
        <color theme="4" tint="0.79998168889431442"/>
        <color rgb="FF5A8AC6"/>
      </colorScale>
    </cfRule>
  </conditionalFormatting>
  <conditionalFormatting sqref="AF16 AF18 AF20 AF22 AF24 AF26 AF28 AF39 AF41 AF43 AF45 AF48 AF81 AF88 AF90 AF92 AF94 AF96 AF98 AF100 AF102 AF105 AF107 AF109 AF111 AF116">
    <cfRule type="expression" dxfId="14680" priority="19476">
      <formula>AF16="X"</formula>
    </cfRule>
    <cfRule type="expression" dxfId="14679" priority="19477">
      <formula>AF16="A"</formula>
    </cfRule>
    <cfRule type="expression" dxfId="14678" priority="19478">
      <formula>AF16="T"</formula>
    </cfRule>
  </conditionalFormatting>
  <conditionalFormatting sqref="AF36">
    <cfRule type="expression" dxfId="14677" priority="19473">
      <formula>AF36="X"</formula>
    </cfRule>
    <cfRule type="expression" dxfId="14676" priority="19474">
      <formula>AF36="A"</formula>
    </cfRule>
    <cfRule type="expression" dxfId="14675" priority="19475">
      <formula>AF36="T"</formula>
    </cfRule>
  </conditionalFormatting>
  <conditionalFormatting sqref="AF34">
    <cfRule type="expression" dxfId="14674" priority="19470">
      <formula>AF34="X"</formula>
    </cfRule>
    <cfRule type="expression" dxfId="14673" priority="19471">
      <formula>AF34="A"</formula>
    </cfRule>
    <cfRule type="expression" dxfId="14672" priority="19472">
      <formula>AF34="T"</formula>
    </cfRule>
  </conditionalFormatting>
  <conditionalFormatting sqref="AF32">
    <cfRule type="expression" dxfId="14671" priority="19467">
      <formula>AF32="X"</formula>
    </cfRule>
    <cfRule type="expression" dxfId="14670" priority="19468">
      <formula>AF32="A"</formula>
    </cfRule>
    <cfRule type="expression" dxfId="14669" priority="19469">
      <formula>AF32="T"</formula>
    </cfRule>
  </conditionalFormatting>
  <conditionalFormatting sqref="AF30">
    <cfRule type="expression" dxfId="14668" priority="19464">
      <formula>AF30="X"</formula>
    </cfRule>
    <cfRule type="expression" dxfId="14667" priority="19465">
      <formula>AF30="A"</formula>
    </cfRule>
    <cfRule type="expression" dxfId="14666" priority="19466">
      <formula>AF30="T"</formula>
    </cfRule>
  </conditionalFormatting>
  <conditionalFormatting sqref="AF52">
    <cfRule type="expression" dxfId="14665" priority="19461">
      <formula>AF52="X"</formula>
    </cfRule>
    <cfRule type="expression" dxfId="14664" priority="19462">
      <formula>AF52="A"</formula>
    </cfRule>
    <cfRule type="expression" dxfId="14663" priority="19463">
      <formula>AF52="T"</formula>
    </cfRule>
  </conditionalFormatting>
  <conditionalFormatting sqref="AF50">
    <cfRule type="expression" dxfId="14662" priority="19458">
      <formula>AF50="X"</formula>
    </cfRule>
    <cfRule type="expression" dxfId="14661" priority="19459">
      <formula>AF50="A"</formula>
    </cfRule>
    <cfRule type="expression" dxfId="14660" priority="19460">
      <formula>AF50="T"</formula>
    </cfRule>
  </conditionalFormatting>
  <conditionalFormatting sqref="AF54">
    <cfRule type="expression" dxfId="14659" priority="19455">
      <formula>AF54="X"</formula>
    </cfRule>
    <cfRule type="expression" dxfId="14658" priority="19456">
      <formula>AF54="A"</formula>
    </cfRule>
    <cfRule type="expression" dxfId="14657" priority="19457">
      <formula>AF54="T"</formula>
    </cfRule>
  </conditionalFormatting>
  <conditionalFormatting sqref="AF56">
    <cfRule type="expression" dxfId="14656" priority="19452">
      <formula>AF56="X"</formula>
    </cfRule>
    <cfRule type="expression" dxfId="14655" priority="19453">
      <formula>AF56="A"</formula>
    </cfRule>
    <cfRule type="expression" dxfId="14654" priority="19454">
      <formula>AF56="T"</formula>
    </cfRule>
  </conditionalFormatting>
  <conditionalFormatting sqref="AF58">
    <cfRule type="expression" dxfId="14653" priority="19449">
      <formula>AF58="X"</formula>
    </cfRule>
    <cfRule type="expression" dxfId="14652" priority="19450">
      <formula>AF58="A"</formula>
    </cfRule>
    <cfRule type="expression" dxfId="14651" priority="19451">
      <formula>AF58="T"</formula>
    </cfRule>
  </conditionalFormatting>
  <conditionalFormatting sqref="AF63">
    <cfRule type="expression" dxfId="14650" priority="19446">
      <formula>AF63="X"</formula>
    </cfRule>
    <cfRule type="expression" dxfId="14649" priority="19447">
      <formula>AF63="A"</formula>
    </cfRule>
    <cfRule type="expression" dxfId="14648" priority="19448">
      <formula>AF63="T"</formula>
    </cfRule>
  </conditionalFormatting>
  <conditionalFormatting sqref="AF65">
    <cfRule type="expression" dxfId="14647" priority="19443">
      <formula>AF65="X"</formula>
    </cfRule>
    <cfRule type="expression" dxfId="14646" priority="19444">
      <formula>AF65="A"</formula>
    </cfRule>
    <cfRule type="expression" dxfId="14645" priority="19445">
      <formula>AF65="T"</formula>
    </cfRule>
  </conditionalFormatting>
  <conditionalFormatting sqref="AF83">
    <cfRule type="expression" dxfId="14644" priority="19440">
      <formula>AF83="X"</formula>
    </cfRule>
    <cfRule type="expression" dxfId="14643" priority="19441">
      <formula>AF83="A"</formula>
    </cfRule>
    <cfRule type="expression" dxfId="14642" priority="19442">
      <formula>AF83="T"</formula>
    </cfRule>
  </conditionalFormatting>
  <conditionalFormatting sqref="AF85">
    <cfRule type="expression" dxfId="14641" priority="19437">
      <formula>AF85="X"</formula>
    </cfRule>
    <cfRule type="expression" dxfId="14640" priority="19438">
      <formula>AF85="A"</formula>
    </cfRule>
    <cfRule type="expression" dxfId="14639" priority="19439">
      <formula>AF85="T"</formula>
    </cfRule>
  </conditionalFormatting>
  <conditionalFormatting sqref="AF67">
    <cfRule type="expression" dxfId="14638" priority="19434">
      <formula>AF67="X"</formula>
    </cfRule>
    <cfRule type="expression" dxfId="14637" priority="19435">
      <formula>AF67="A"</formula>
    </cfRule>
    <cfRule type="expression" dxfId="14636" priority="19436">
      <formula>AF67="T"</formula>
    </cfRule>
  </conditionalFormatting>
  <conditionalFormatting sqref="AF113">
    <cfRule type="expression" dxfId="14635" priority="19431">
      <formula>AF113="X"</formula>
    </cfRule>
    <cfRule type="expression" dxfId="14634" priority="19432">
      <formula>AF113="A"</formula>
    </cfRule>
    <cfRule type="expression" dxfId="14633" priority="19433">
      <formula>AF113="T"</formula>
    </cfRule>
  </conditionalFormatting>
  <conditionalFormatting sqref="AF118">
    <cfRule type="expression" dxfId="14632" priority="19428">
      <formula>AF118="X"</formula>
    </cfRule>
    <cfRule type="expression" dxfId="14631" priority="19429">
      <formula>AF118="A"</formula>
    </cfRule>
    <cfRule type="expression" dxfId="14630" priority="19430">
      <formula>AF118="T"</formula>
    </cfRule>
  </conditionalFormatting>
  <conditionalFormatting sqref="AF120">
    <cfRule type="expression" dxfId="14629" priority="19425">
      <formula>AF120="X"</formula>
    </cfRule>
    <cfRule type="expression" dxfId="14628" priority="19426">
      <formula>AF120="A"</formula>
    </cfRule>
    <cfRule type="expression" dxfId="14627" priority="19427">
      <formula>AF120="T"</formula>
    </cfRule>
  </conditionalFormatting>
  <conditionalFormatting sqref="AF122">
    <cfRule type="expression" dxfId="14626" priority="19422">
      <formula>AF122="X"</formula>
    </cfRule>
    <cfRule type="expression" dxfId="14625" priority="19423">
      <formula>AF122="A"</formula>
    </cfRule>
    <cfRule type="expression" dxfId="14624" priority="19424">
      <formula>AF122="T"</formula>
    </cfRule>
  </conditionalFormatting>
  <conditionalFormatting sqref="AF125">
    <cfRule type="expression" dxfId="14623" priority="19419">
      <formula>AF125="X"</formula>
    </cfRule>
    <cfRule type="expression" dxfId="14622" priority="19420">
      <formula>AF125="A"</formula>
    </cfRule>
    <cfRule type="expression" dxfId="14621" priority="19421">
      <formula>AF125="T"</formula>
    </cfRule>
  </conditionalFormatting>
  <conditionalFormatting sqref="AF127">
    <cfRule type="expression" dxfId="14620" priority="19416">
      <formula>AF127="X"</formula>
    </cfRule>
    <cfRule type="expression" dxfId="14619" priority="19417">
      <formula>AF127="A"</formula>
    </cfRule>
    <cfRule type="expression" dxfId="14618" priority="19418">
      <formula>AF127="T"</formula>
    </cfRule>
  </conditionalFormatting>
  <conditionalFormatting sqref="AF141">
    <cfRule type="expression" dxfId="14617" priority="19413">
      <formula>AF141="X"</formula>
    </cfRule>
    <cfRule type="expression" dxfId="14616" priority="19414">
      <formula>AF141="A"</formula>
    </cfRule>
    <cfRule type="expression" dxfId="14615" priority="19415">
      <formula>AF141="T"</formula>
    </cfRule>
  </conditionalFormatting>
  <conditionalFormatting sqref="AF143">
    <cfRule type="expression" dxfId="14614" priority="19410">
      <formula>AF143="X"</formula>
    </cfRule>
    <cfRule type="expression" dxfId="14613" priority="19411">
      <formula>AF143="A"</formula>
    </cfRule>
    <cfRule type="expression" dxfId="14612" priority="19412">
      <formula>AF143="T"</formula>
    </cfRule>
  </conditionalFormatting>
  <conditionalFormatting sqref="AF149">
    <cfRule type="expression" dxfId="14611" priority="19407">
      <formula>AF149="X"</formula>
    </cfRule>
    <cfRule type="expression" dxfId="14610" priority="19408">
      <formula>AF149="A"</formula>
    </cfRule>
    <cfRule type="expression" dxfId="14609" priority="19409">
      <formula>AF149="T"</formula>
    </cfRule>
  </conditionalFormatting>
  <conditionalFormatting sqref="AF151">
    <cfRule type="expression" dxfId="14608" priority="19404">
      <formula>AF151="X"</formula>
    </cfRule>
    <cfRule type="expression" dxfId="14607" priority="19405">
      <formula>AF151="A"</formula>
    </cfRule>
    <cfRule type="expression" dxfId="14606" priority="19406">
      <formula>AF151="T"</formula>
    </cfRule>
  </conditionalFormatting>
  <conditionalFormatting sqref="AF155">
    <cfRule type="expression" dxfId="14605" priority="19401">
      <formula>AF155="X"</formula>
    </cfRule>
    <cfRule type="expression" dxfId="14604" priority="19402">
      <formula>AF155="A"</formula>
    </cfRule>
    <cfRule type="expression" dxfId="14603" priority="19403">
      <formula>AF155="T"</formula>
    </cfRule>
  </conditionalFormatting>
  <conditionalFormatting sqref="AF157">
    <cfRule type="expression" dxfId="14602" priority="19398">
      <formula>AF157="X"</formula>
    </cfRule>
    <cfRule type="expression" dxfId="14601" priority="19399">
      <formula>AF157="A"</formula>
    </cfRule>
    <cfRule type="expression" dxfId="14600" priority="19400">
      <formula>AF157="T"</formula>
    </cfRule>
  </conditionalFormatting>
  <conditionalFormatting sqref="AF167">
    <cfRule type="expression" dxfId="14599" priority="19395">
      <formula>AF167="X"</formula>
    </cfRule>
    <cfRule type="expression" dxfId="14598" priority="19396">
      <formula>AF167="A"</formula>
    </cfRule>
    <cfRule type="expression" dxfId="14597" priority="19397">
      <formula>AF167="T"</formula>
    </cfRule>
  </conditionalFormatting>
  <conditionalFormatting sqref="AF173">
    <cfRule type="expression" dxfId="14596" priority="19392">
      <formula>AF173="X"</formula>
    </cfRule>
    <cfRule type="expression" dxfId="14595" priority="19393">
      <formula>AF173="A"</formula>
    </cfRule>
    <cfRule type="expression" dxfId="14594" priority="19394">
      <formula>AF173="T"</formula>
    </cfRule>
  </conditionalFormatting>
  <conditionalFormatting sqref="AF175">
    <cfRule type="expression" dxfId="14593" priority="19389">
      <formula>AF175="X"</formula>
    </cfRule>
    <cfRule type="expression" dxfId="14592" priority="19390">
      <formula>AF175="A"</formula>
    </cfRule>
    <cfRule type="expression" dxfId="14591" priority="19391">
      <formula>AF175="T"</formula>
    </cfRule>
  </conditionalFormatting>
  <conditionalFormatting sqref="AF177">
    <cfRule type="expression" dxfId="14590" priority="19386">
      <formula>AF177="X"</formula>
    </cfRule>
    <cfRule type="expression" dxfId="14589" priority="19387">
      <formula>AF177="A"</formula>
    </cfRule>
    <cfRule type="expression" dxfId="14588" priority="19388">
      <formula>AF177="T"</formula>
    </cfRule>
  </conditionalFormatting>
  <conditionalFormatting sqref="AF179">
    <cfRule type="expression" dxfId="14587" priority="19383">
      <formula>AF179="X"</formula>
    </cfRule>
    <cfRule type="expression" dxfId="14586" priority="19384">
      <formula>AF179="A"</formula>
    </cfRule>
    <cfRule type="expression" dxfId="14585" priority="19385">
      <formula>AF179="T"</formula>
    </cfRule>
  </conditionalFormatting>
  <conditionalFormatting sqref="AF169">
    <cfRule type="expression" dxfId="14584" priority="19380">
      <formula>AF169="X"</formula>
    </cfRule>
    <cfRule type="expression" dxfId="14583" priority="19381">
      <formula>AF169="A"</formula>
    </cfRule>
    <cfRule type="expression" dxfId="14582" priority="19382">
      <formula>AF169="T"</formula>
    </cfRule>
  </conditionalFormatting>
  <conditionalFormatting sqref="AF171">
    <cfRule type="expression" dxfId="14581" priority="19377">
      <formula>AF171="X"</formula>
    </cfRule>
    <cfRule type="expression" dxfId="14580" priority="19378">
      <formula>AF171="A"</formula>
    </cfRule>
    <cfRule type="expression" dxfId="14579" priority="19379">
      <formula>AF171="T"</formula>
    </cfRule>
  </conditionalFormatting>
  <conditionalFormatting sqref="AF183">
    <cfRule type="expression" dxfId="14578" priority="19374">
      <formula>AF183="X"</formula>
    </cfRule>
    <cfRule type="expression" dxfId="14577" priority="19375">
      <formula>AF183="A"</formula>
    </cfRule>
    <cfRule type="expression" dxfId="14576" priority="19376">
      <formula>AF183="T"</formula>
    </cfRule>
  </conditionalFormatting>
  <conditionalFormatting sqref="AF185">
    <cfRule type="expression" dxfId="14575" priority="19371">
      <formula>AF185="X"</formula>
    </cfRule>
    <cfRule type="expression" dxfId="14574" priority="19372">
      <formula>AF185="A"</formula>
    </cfRule>
    <cfRule type="expression" dxfId="14573" priority="19373">
      <formula>AF185="T"</formula>
    </cfRule>
  </conditionalFormatting>
  <conditionalFormatting sqref="AF189">
    <cfRule type="expression" dxfId="14572" priority="19368">
      <formula>AF189="X"</formula>
    </cfRule>
    <cfRule type="expression" dxfId="14571" priority="19369">
      <formula>AF189="A"</formula>
    </cfRule>
    <cfRule type="expression" dxfId="14570" priority="19370">
      <formula>AF189="T"</formula>
    </cfRule>
  </conditionalFormatting>
  <conditionalFormatting sqref="AF191">
    <cfRule type="expression" dxfId="14569" priority="19365">
      <formula>AF191="X"</formula>
    </cfRule>
    <cfRule type="expression" dxfId="14568" priority="19366">
      <formula>AF191="A"</formula>
    </cfRule>
    <cfRule type="expression" dxfId="14567" priority="19367">
      <formula>AF191="T"</formula>
    </cfRule>
  </conditionalFormatting>
  <conditionalFormatting sqref="AF11">
    <cfRule type="expression" dxfId="14566" priority="19362">
      <formula>AF11="X"</formula>
    </cfRule>
    <cfRule type="expression" dxfId="14565" priority="19363">
      <formula>AF11="A"</formula>
    </cfRule>
    <cfRule type="expression" dxfId="14564" priority="19364">
      <formula>AF11="T"</formula>
    </cfRule>
  </conditionalFormatting>
  <conditionalFormatting sqref="AF12">
    <cfRule type="expression" dxfId="14563" priority="19359">
      <formula>AF11="X"</formula>
    </cfRule>
    <cfRule type="expression" dxfId="14562" priority="19360">
      <formula>AF11="A"</formula>
    </cfRule>
    <cfRule type="expression" dxfId="14561" priority="19361">
      <formula>AF11="T"</formula>
    </cfRule>
  </conditionalFormatting>
  <conditionalFormatting sqref="AF13">
    <cfRule type="expression" dxfId="14560" priority="19356">
      <formula>AF13="X"</formula>
    </cfRule>
    <cfRule type="expression" dxfId="14559" priority="19357">
      <formula>AF13="A"</formula>
    </cfRule>
    <cfRule type="expression" dxfId="14558" priority="19358">
      <formula>AF13="T"</formula>
    </cfRule>
  </conditionalFormatting>
  <conditionalFormatting sqref="AF14">
    <cfRule type="expression" dxfId="14557" priority="19353">
      <formula>AF13="X"</formula>
    </cfRule>
    <cfRule type="expression" dxfId="14556" priority="19354">
      <formula>AF13="A"</formula>
    </cfRule>
    <cfRule type="expression" dxfId="14555" priority="19355">
      <formula>AF13="T"</formula>
    </cfRule>
  </conditionalFormatting>
  <conditionalFormatting sqref="AF17">
    <cfRule type="expression" dxfId="14554" priority="19350">
      <formula>AF16="X"</formula>
    </cfRule>
    <cfRule type="expression" dxfId="14553" priority="19351">
      <formula>AF16="A"</formula>
    </cfRule>
    <cfRule type="expression" dxfId="14552" priority="19352">
      <formula>AF16="T"</formula>
    </cfRule>
  </conditionalFormatting>
  <conditionalFormatting sqref="AF19">
    <cfRule type="expression" dxfId="14551" priority="19344">
      <formula>AF18="X"</formula>
    </cfRule>
    <cfRule type="expression" dxfId="14550" priority="19345">
      <formula>AF18="A"</formula>
    </cfRule>
    <cfRule type="expression" dxfId="14549" priority="19346">
      <formula>AF18="T"</formula>
    </cfRule>
  </conditionalFormatting>
  <conditionalFormatting sqref="AF21">
    <cfRule type="expression" dxfId="14548" priority="19341">
      <formula>AF20="X"</formula>
    </cfRule>
    <cfRule type="expression" dxfId="14547" priority="19342">
      <formula>AF20="A"</formula>
    </cfRule>
    <cfRule type="expression" dxfId="14546" priority="19343">
      <formula>AF20="T"</formula>
    </cfRule>
  </conditionalFormatting>
  <conditionalFormatting sqref="AF23">
    <cfRule type="expression" dxfId="14545" priority="19338">
      <formula>AF22="X"</formula>
    </cfRule>
    <cfRule type="expression" dxfId="14544" priority="19339">
      <formula>AF22="A"</formula>
    </cfRule>
    <cfRule type="expression" dxfId="14543" priority="19340">
      <formula>AF22="T"</formula>
    </cfRule>
  </conditionalFormatting>
  <conditionalFormatting sqref="AF25">
    <cfRule type="expression" dxfId="14542" priority="19335">
      <formula>AF24="X"</formula>
    </cfRule>
    <cfRule type="expression" dxfId="14541" priority="19336">
      <formula>AF24="A"</formula>
    </cfRule>
    <cfRule type="expression" dxfId="14540" priority="19337">
      <formula>AF24="T"</formula>
    </cfRule>
  </conditionalFormatting>
  <conditionalFormatting sqref="AF27">
    <cfRule type="expression" dxfId="14539" priority="19332">
      <formula>AF26="X"</formula>
    </cfRule>
    <cfRule type="expression" dxfId="14538" priority="19333">
      <formula>AF26="A"</formula>
    </cfRule>
    <cfRule type="expression" dxfId="14537" priority="19334">
      <formula>AF26="T"</formula>
    </cfRule>
  </conditionalFormatting>
  <conditionalFormatting sqref="AF29">
    <cfRule type="expression" dxfId="14536" priority="19329">
      <formula>AF28="X"</formula>
    </cfRule>
    <cfRule type="expression" dxfId="14535" priority="19330">
      <formula>AF28="A"</formula>
    </cfRule>
    <cfRule type="expression" dxfId="14534" priority="19331">
      <formula>AF28="T"</formula>
    </cfRule>
  </conditionalFormatting>
  <conditionalFormatting sqref="AF31">
    <cfRule type="expression" dxfId="14533" priority="19326">
      <formula>AF30="X"</formula>
    </cfRule>
    <cfRule type="expression" dxfId="14532" priority="19327">
      <formula>AF30="A"</formula>
    </cfRule>
    <cfRule type="expression" dxfId="14531" priority="19328">
      <formula>AF30="T"</formula>
    </cfRule>
  </conditionalFormatting>
  <conditionalFormatting sqref="AF33">
    <cfRule type="expression" dxfId="14530" priority="19323">
      <formula>AF32="X"</formula>
    </cfRule>
    <cfRule type="expression" dxfId="14529" priority="19324">
      <formula>AF32="A"</formula>
    </cfRule>
    <cfRule type="expression" dxfId="14528" priority="19325">
      <formula>AF32="T"</formula>
    </cfRule>
  </conditionalFormatting>
  <conditionalFormatting sqref="AF35">
    <cfRule type="expression" dxfId="14527" priority="19320">
      <formula>AF34="X"</formula>
    </cfRule>
    <cfRule type="expression" dxfId="14526" priority="19321">
      <formula>AF34="A"</formula>
    </cfRule>
    <cfRule type="expression" dxfId="14525" priority="19322">
      <formula>AF34="T"</formula>
    </cfRule>
  </conditionalFormatting>
  <conditionalFormatting sqref="AF37">
    <cfRule type="expression" dxfId="14524" priority="19317">
      <formula>AF36="X"</formula>
    </cfRule>
    <cfRule type="expression" dxfId="14523" priority="19318">
      <formula>AF36="A"</formula>
    </cfRule>
    <cfRule type="expression" dxfId="14522" priority="19319">
      <formula>AF36="T"</formula>
    </cfRule>
  </conditionalFormatting>
  <conditionalFormatting sqref="AF40">
    <cfRule type="expression" dxfId="14521" priority="19314">
      <formula>AF39="X"</formula>
    </cfRule>
    <cfRule type="expression" dxfId="14520" priority="19315">
      <formula>AF39="A"</formula>
    </cfRule>
    <cfRule type="expression" dxfId="14519" priority="19316">
      <formula>AF39="T"</formula>
    </cfRule>
  </conditionalFormatting>
  <conditionalFormatting sqref="AF42">
    <cfRule type="expression" dxfId="14518" priority="19311">
      <formula>AF41="X"</formula>
    </cfRule>
    <cfRule type="expression" dxfId="14517" priority="19312">
      <formula>AF41="A"</formula>
    </cfRule>
    <cfRule type="expression" dxfId="14516" priority="19313">
      <formula>AF41="T"</formula>
    </cfRule>
  </conditionalFormatting>
  <conditionalFormatting sqref="AF44">
    <cfRule type="expression" dxfId="14515" priority="19308">
      <formula>AF43="X"</formula>
    </cfRule>
    <cfRule type="expression" dxfId="14514" priority="19309">
      <formula>AF43="A"</formula>
    </cfRule>
    <cfRule type="expression" dxfId="14513" priority="19310">
      <formula>AF43="T"</formula>
    </cfRule>
  </conditionalFormatting>
  <conditionalFormatting sqref="AF46">
    <cfRule type="expression" dxfId="14512" priority="19305">
      <formula>AF45="X"</formula>
    </cfRule>
    <cfRule type="expression" dxfId="14511" priority="19306">
      <formula>AF45="A"</formula>
    </cfRule>
    <cfRule type="expression" dxfId="14510" priority="19307">
      <formula>AF45="T"</formula>
    </cfRule>
  </conditionalFormatting>
  <conditionalFormatting sqref="AF49">
    <cfRule type="expression" dxfId="14509" priority="19302">
      <formula>AF48="X"</formula>
    </cfRule>
    <cfRule type="expression" dxfId="14508" priority="19303">
      <formula>AF48="A"</formula>
    </cfRule>
    <cfRule type="expression" dxfId="14507" priority="19304">
      <formula>AF48="T"</formula>
    </cfRule>
  </conditionalFormatting>
  <conditionalFormatting sqref="AF51">
    <cfRule type="expression" dxfId="14506" priority="19299">
      <formula>AF50="X"</formula>
    </cfRule>
    <cfRule type="expression" dxfId="14505" priority="19300">
      <formula>AF50="A"</formula>
    </cfRule>
    <cfRule type="expression" dxfId="14504" priority="19301">
      <formula>AF50="T"</formula>
    </cfRule>
  </conditionalFormatting>
  <conditionalFormatting sqref="AF53">
    <cfRule type="expression" dxfId="14503" priority="19296">
      <formula>AF52="X"</formula>
    </cfRule>
    <cfRule type="expression" dxfId="14502" priority="19297">
      <formula>AF52="A"</formula>
    </cfRule>
    <cfRule type="expression" dxfId="14501" priority="19298">
      <formula>AF52="T"</formula>
    </cfRule>
  </conditionalFormatting>
  <conditionalFormatting sqref="AF55">
    <cfRule type="expression" dxfId="14500" priority="19293">
      <formula>AF54="X"</formula>
    </cfRule>
    <cfRule type="expression" dxfId="14499" priority="19294">
      <formula>AF54="A"</formula>
    </cfRule>
    <cfRule type="expression" dxfId="14498" priority="19295">
      <formula>AF54="T"</formula>
    </cfRule>
  </conditionalFormatting>
  <conditionalFormatting sqref="AF57">
    <cfRule type="expression" dxfId="14497" priority="19290">
      <formula>AF56="X"</formula>
    </cfRule>
    <cfRule type="expression" dxfId="14496" priority="19291">
      <formula>AF56="A"</formula>
    </cfRule>
    <cfRule type="expression" dxfId="14495" priority="19292">
      <formula>AF56="T"</formula>
    </cfRule>
  </conditionalFormatting>
  <conditionalFormatting sqref="AF59">
    <cfRule type="expression" dxfId="14494" priority="19287">
      <formula>AF58="X"</formula>
    </cfRule>
    <cfRule type="expression" dxfId="14493" priority="19288">
      <formula>AF58="A"</formula>
    </cfRule>
    <cfRule type="expression" dxfId="14492" priority="19289">
      <formula>AF58="T"</formula>
    </cfRule>
  </conditionalFormatting>
  <conditionalFormatting sqref="AF64">
    <cfRule type="expression" dxfId="14491" priority="19284">
      <formula>AF63="X"</formula>
    </cfRule>
    <cfRule type="expression" dxfId="14490" priority="19285">
      <formula>AF63="A"</formula>
    </cfRule>
    <cfRule type="expression" dxfId="14489" priority="19286">
      <formula>AF63="T"</formula>
    </cfRule>
  </conditionalFormatting>
  <conditionalFormatting sqref="AF66">
    <cfRule type="expression" dxfId="14488" priority="19281">
      <formula>AF65="X"</formula>
    </cfRule>
    <cfRule type="expression" dxfId="14487" priority="19282">
      <formula>AF65="A"</formula>
    </cfRule>
    <cfRule type="expression" dxfId="14486" priority="19283">
      <formula>AF65="T"</formula>
    </cfRule>
  </conditionalFormatting>
  <conditionalFormatting sqref="AF68">
    <cfRule type="expression" dxfId="14485" priority="19278">
      <formula>AF67="X"</formula>
    </cfRule>
    <cfRule type="expression" dxfId="14484" priority="19279">
      <formula>AF67="A"</formula>
    </cfRule>
    <cfRule type="expression" dxfId="14483" priority="19280">
      <formula>AF67="T"</formula>
    </cfRule>
  </conditionalFormatting>
  <conditionalFormatting sqref="AF82">
    <cfRule type="expression" dxfId="14482" priority="19275">
      <formula>AF81="X"</formula>
    </cfRule>
    <cfRule type="expression" dxfId="14481" priority="19276">
      <formula>AF81="A"</formula>
    </cfRule>
    <cfRule type="expression" dxfId="14480" priority="19277">
      <formula>AF81="T"</formula>
    </cfRule>
  </conditionalFormatting>
  <conditionalFormatting sqref="AF84">
    <cfRule type="expression" dxfId="14479" priority="19272">
      <formula>AF83="X"</formula>
    </cfRule>
    <cfRule type="expression" dxfId="14478" priority="19273">
      <formula>AF83="A"</formula>
    </cfRule>
    <cfRule type="expression" dxfId="14477" priority="19274">
      <formula>AF83="T"</formula>
    </cfRule>
  </conditionalFormatting>
  <conditionalFormatting sqref="AF86">
    <cfRule type="expression" dxfId="14476" priority="19269">
      <formula>AF85="X"</formula>
    </cfRule>
    <cfRule type="expression" dxfId="14475" priority="19270">
      <formula>AF85="A"</formula>
    </cfRule>
    <cfRule type="expression" dxfId="14474" priority="19271">
      <formula>AF85="T"</formula>
    </cfRule>
  </conditionalFormatting>
  <conditionalFormatting sqref="AF89">
    <cfRule type="expression" dxfId="14473" priority="19266">
      <formula>AF88="X"</formula>
    </cfRule>
    <cfRule type="expression" dxfId="14472" priority="19267">
      <formula>AF88="A"</formula>
    </cfRule>
    <cfRule type="expression" dxfId="14471" priority="19268">
      <formula>AF88="T"</formula>
    </cfRule>
  </conditionalFormatting>
  <conditionalFormatting sqref="AF91">
    <cfRule type="expression" dxfId="14470" priority="19263">
      <formula>AF90="X"</formula>
    </cfRule>
    <cfRule type="expression" dxfId="14469" priority="19264">
      <formula>AF90="A"</formula>
    </cfRule>
    <cfRule type="expression" dxfId="14468" priority="19265">
      <formula>AF90="T"</formula>
    </cfRule>
  </conditionalFormatting>
  <conditionalFormatting sqref="AF93">
    <cfRule type="expression" dxfId="14467" priority="19260">
      <formula>AF92="X"</formula>
    </cfRule>
    <cfRule type="expression" dxfId="14466" priority="19261">
      <formula>AF92="A"</formula>
    </cfRule>
    <cfRule type="expression" dxfId="14465" priority="19262">
      <formula>AF92="T"</formula>
    </cfRule>
  </conditionalFormatting>
  <conditionalFormatting sqref="AF95">
    <cfRule type="expression" dxfId="14464" priority="19257">
      <formula>AF94="X"</formula>
    </cfRule>
    <cfRule type="expression" dxfId="14463" priority="19258">
      <formula>AF94="A"</formula>
    </cfRule>
    <cfRule type="expression" dxfId="14462" priority="19259">
      <formula>AF94="T"</formula>
    </cfRule>
  </conditionalFormatting>
  <conditionalFormatting sqref="AF97">
    <cfRule type="expression" dxfId="14461" priority="19254">
      <formula>AF96="X"</formula>
    </cfRule>
    <cfRule type="expression" dxfId="14460" priority="19255">
      <formula>AF96="A"</formula>
    </cfRule>
    <cfRule type="expression" dxfId="14459" priority="19256">
      <formula>AF96="T"</formula>
    </cfRule>
  </conditionalFormatting>
  <conditionalFormatting sqref="AF99">
    <cfRule type="expression" dxfId="14458" priority="19251">
      <formula>AF98="X"</formula>
    </cfRule>
    <cfRule type="expression" dxfId="14457" priority="19252">
      <formula>AF98="A"</formula>
    </cfRule>
    <cfRule type="expression" dxfId="14456" priority="19253">
      <formula>AF98="T"</formula>
    </cfRule>
  </conditionalFormatting>
  <conditionalFormatting sqref="AF101">
    <cfRule type="expression" dxfId="14455" priority="19248">
      <formula>AF100="X"</formula>
    </cfRule>
    <cfRule type="expression" dxfId="14454" priority="19249">
      <formula>AF100="A"</formula>
    </cfRule>
    <cfRule type="expression" dxfId="14453" priority="19250">
      <formula>AF100="T"</formula>
    </cfRule>
  </conditionalFormatting>
  <conditionalFormatting sqref="AF103">
    <cfRule type="expression" dxfId="14452" priority="19245">
      <formula>AF102="X"</formula>
    </cfRule>
    <cfRule type="expression" dxfId="14451" priority="19246">
      <formula>AF102="A"</formula>
    </cfRule>
    <cfRule type="expression" dxfId="14450" priority="19247">
      <formula>AF102="T"</formula>
    </cfRule>
  </conditionalFormatting>
  <conditionalFormatting sqref="AF106">
    <cfRule type="expression" dxfId="14449" priority="19242">
      <formula>AF105="X"</formula>
    </cfRule>
    <cfRule type="expression" dxfId="14448" priority="19243">
      <formula>AF105="A"</formula>
    </cfRule>
    <cfRule type="expression" dxfId="14447" priority="19244">
      <formula>AF105="T"</formula>
    </cfRule>
  </conditionalFormatting>
  <conditionalFormatting sqref="AF108">
    <cfRule type="expression" dxfId="14446" priority="19239">
      <formula>AF107="X"</formula>
    </cfRule>
    <cfRule type="expression" dxfId="14445" priority="19240">
      <formula>AF107="A"</formula>
    </cfRule>
    <cfRule type="expression" dxfId="14444" priority="19241">
      <formula>AF107="T"</formula>
    </cfRule>
  </conditionalFormatting>
  <conditionalFormatting sqref="AF110">
    <cfRule type="expression" dxfId="14443" priority="19236">
      <formula>AF109="X"</formula>
    </cfRule>
    <cfRule type="expression" dxfId="14442" priority="19237">
      <formula>AF109="A"</formula>
    </cfRule>
    <cfRule type="expression" dxfId="14441" priority="19238">
      <formula>AF109="T"</formula>
    </cfRule>
  </conditionalFormatting>
  <conditionalFormatting sqref="AF112">
    <cfRule type="expression" dxfId="14440" priority="19233">
      <formula>AF111="X"</formula>
    </cfRule>
    <cfRule type="expression" dxfId="14439" priority="19234">
      <formula>AF111="A"</formula>
    </cfRule>
    <cfRule type="expression" dxfId="14438" priority="19235">
      <formula>AF111="T"</formula>
    </cfRule>
  </conditionalFormatting>
  <conditionalFormatting sqref="AF114">
    <cfRule type="expression" dxfId="14437" priority="19230">
      <formula>AF113="X"</formula>
    </cfRule>
    <cfRule type="expression" dxfId="14436" priority="19231">
      <formula>AF113="A"</formula>
    </cfRule>
    <cfRule type="expression" dxfId="14435" priority="19232">
      <formula>AF113="T"</formula>
    </cfRule>
  </conditionalFormatting>
  <conditionalFormatting sqref="AF117">
    <cfRule type="expression" dxfId="14434" priority="19227">
      <formula>AF116="X"</formula>
    </cfRule>
    <cfRule type="expression" dxfId="14433" priority="19228">
      <formula>AF116="A"</formula>
    </cfRule>
    <cfRule type="expression" dxfId="14432" priority="19229">
      <formula>AF116="T"</formula>
    </cfRule>
  </conditionalFormatting>
  <conditionalFormatting sqref="AF119">
    <cfRule type="expression" dxfId="14431" priority="19224">
      <formula>AF118="X"</formula>
    </cfRule>
    <cfRule type="expression" dxfId="14430" priority="19225">
      <formula>AF118="A"</formula>
    </cfRule>
    <cfRule type="expression" dxfId="14429" priority="19226">
      <formula>AF118="T"</formula>
    </cfRule>
  </conditionalFormatting>
  <conditionalFormatting sqref="AF121">
    <cfRule type="expression" dxfId="14428" priority="19221">
      <formula>AF120="X"</formula>
    </cfRule>
    <cfRule type="expression" dxfId="14427" priority="19222">
      <formula>AF120="A"</formula>
    </cfRule>
    <cfRule type="expression" dxfId="14426" priority="19223">
      <formula>AF120="T"</formula>
    </cfRule>
  </conditionalFormatting>
  <conditionalFormatting sqref="AF123">
    <cfRule type="expression" dxfId="14425" priority="19218">
      <formula>AF122="X"</formula>
    </cfRule>
    <cfRule type="expression" dxfId="14424" priority="19219">
      <formula>AF122="A"</formula>
    </cfRule>
    <cfRule type="expression" dxfId="14423" priority="19220">
      <formula>AF122="T"</formula>
    </cfRule>
  </conditionalFormatting>
  <conditionalFormatting sqref="AF126">
    <cfRule type="expression" dxfId="14422" priority="19215">
      <formula>AF125="X"</formula>
    </cfRule>
    <cfRule type="expression" dxfId="14421" priority="19216">
      <formula>AF125="A"</formula>
    </cfRule>
    <cfRule type="expression" dxfId="14420" priority="19217">
      <formula>AF125="T"</formula>
    </cfRule>
  </conditionalFormatting>
  <conditionalFormatting sqref="AF128">
    <cfRule type="expression" dxfId="14419" priority="19212">
      <formula>AF127="X"</formula>
    </cfRule>
    <cfRule type="expression" dxfId="14418" priority="19213">
      <formula>AF127="A"</formula>
    </cfRule>
    <cfRule type="expression" dxfId="14417" priority="19214">
      <formula>AF127="T"</formula>
    </cfRule>
  </conditionalFormatting>
  <conditionalFormatting sqref="AF142">
    <cfRule type="expression" dxfId="14416" priority="19209">
      <formula>AF141="X"</formula>
    </cfRule>
    <cfRule type="expression" dxfId="14415" priority="19210">
      <formula>AF141="A"</formula>
    </cfRule>
    <cfRule type="expression" dxfId="14414" priority="19211">
      <formula>AF141="T"</formula>
    </cfRule>
  </conditionalFormatting>
  <conditionalFormatting sqref="AF144">
    <cfRule type="expression" dxfId="14413" priority="19206">
      <formula>AF143="X"</formula>
    </cfRule>
    <cfRule type="expression" dxfId="14412" priority="19207">
      <formula>AF143="A"</formula>
    </cfRule>
    <cfRule type="expression" dxfId="14411" priority="19208">
      <formula>AF143="T"</formula>
    </cfRule>
  </conditionalFormatting>
  <conditionalFormatting sqref="AF150">
    <cfRule type="expression" dxfId="14410" priority="19203">
      <formula>AF149="X"</formula>
    </cfRule>
    <cfRule type="expression" dxfId="14409" priority="19204">
      <formula>AF149="A"</formula>
    </cfRule>
    <cfRule type="expression" dxfId="14408" priority="19205">
      <formula>AF149="T"</formula>
    </cfRule>
  </conditionalFormatting>
  <conditionalFormatting sqref="AF152">
    <cfRule type="expression" dxfId="14407" priority="19200">
      <formula>AF151="X"</formula>
    </cfRule>
    <cfRule type="expression" dxfId="14406" priority="19201">
      <formula>AF151="A"</formula>
    </cfRule>
    <cfRule type="expression" dxfId="14405" priority="19202">
      <formula>AF151="T"</formula>
    </cfRule>
  </conditionalFormatting>
  <conditionalFormatting sqref="AF156">
    <cfRule type="expression" dxfId="14404" priority="19197">
      <formula>AF155="X"</formula>
    </cfRule>
    <cfRule type="expression" dxfId="14403" priority="19198">
      <formula>AF155="A"</formula>
    </cfRule>
    <cfRule type="expression" dxfId="14402" priority="19199">
      <formula>AF155="T"</formula>
    </cfRule>
  </conditionalFormatting>
  <conditionalFormatting sqref="AF168">
    <cfRule type="expression" dxfId="14401" priority="19191">
      <formula>AF167="X"</formula>
    </cfRule>
    <cfRule type="expression" dxfId="14400" priority="19192">
      <formula>AF167="A"</formula>
    </cfRule>
    <cfRule type="expression" dxfId="14399" priority="19193">
      <formula>AF167="T"</formula>
    </cfRule>
  </conditionalFormatting>
  <conditionalFormatting sqref="AF170">
    <cfRule type="expression" dxfId="14398" priority="19188">
      <formula>AF169="X"</formula>
    </cfRule>
    <cfRule type="expression" dxfId="14397" priority="19189">
      <formula>AF169="A"</formula>
    </cfRule>
    <cfRule type="expression" dxfId="14396" priority="19190">
      <formula>AF169="T"</formula>
    </cfRule>
  </conditionalFormatting>
  <conditionalFormatting sqref="AF172">
    <cfRule type="expression" dxfId="14395" priority="19185">
      <formula>AF171="X"</formula>
    </cfRule>
    <cfRule type="expression" dxfId="14394" priority="19186">
      <formula>AF171="A"</formula>
    </cfRule>
    <cfRule type="expression" dxfId="14393" priority="19187">
      <formula>AF171="T"</formula>
    </cfRule>
  </conditionalFormatting>
  <conditionalFormatting sqref="AF174">
    <cfRule type="expression" dxfId="14392" priority="19182">
      <formula>AF173="X"</formula>
    </cfRule>
    <cfRule type="expression" dxfId="14391" priority="19183">
      <formula>AF173="A"</formula>
    </cfRule>
    <cfRule type="expression" dxfId="14390" priority="19184">
      <formula>AF173="T"</formula>
    </cfRule>
  </conditionalFormatting>
  <conditionalFormatting sqref="AF176">
    <cfRule type="expression" dxfId="14389" priority="19179">
      <formula>AF175="X"</formula>
    </cfRule>
    <cfRule type="expression" dxfId="14388" priority="19180">
      <formula>AF175="A"</formula>
    </cfRule>
    <cfRule type="expression" dxfId="14387" priority="19181">
      <formula>AF175="T"</formula>
    </cfRule>
  </conditionalFormatting>
  <conditionalFormatting sqref="AF178">
    <cfRule type="expression" dxfId="14386" priority="19176">
      <formula>AF177="X"</formula>
    </cfRule>
    <cfRule type="expression" dxfId="14385" priority="19177">
      <formula>AF177="A"</formula>
    </cfRule>
    <cfRule type="expression" dxfId="14384" priority="19178">
      <formula>AF177="T"</formula>
    </cfRule>
  </conditionalFormatting>
  <conditionalFormatting sqref="AF180">
    <cfRule type="expression" dxfId="14383" priority="19173">
      <formula>AF179="X"</formula>
    </cfRule>
    <cfRule type="expression" dxfId="14382" priority="19174">
      <formula>AF179="A"</formula>
    </cfRule>
    <cfRule type="expression" dxfId="14381" priority="19175">
      <formula>AF179="T"</formula>
    </cfRule>
  </conditionalFormatting>
  <conditionalFormatting sqref="AF184">
    <cfRule type="expression" dxfId="14380" priority="19170">
      <formula>AF183="X"</formula>
    </cfRule>
    <cfRule type="expression" dxfId="14379" priority="19171">
      <formula>AF183="A"</formula>
    </cfRule>
    <cfRule type="expression" dxfId="14378" priority="19172">
      <formula>AF183="T"</formula>
    </cfRule>
  </conditionalFormatting>
  <conditionalFormatting sqref="AF186">
    <cfRule type="expression" dxfId="14377" priority="19167">
      <formula>AF185="X"</formula>
    </cfRule>
    <cfRule type="expression" dxfId="14376" priority="19168">
      <formula>AF185="A"</formula>
    </cfRule>
    <cfRule type="expression" dxfId="14375" priority="19169">
      <formula>AF185="T"</formula>
    </cfRule>
  </conditionalFormatting>
  <conditionalFormatting sqref="AF190">
    <cfRule type="expression" dxfId="14374" priority="19164">
      <formula>AF189="X"</formula>
    </cfRule>
    <cfRule type="expression" dxfId="14373" priority="19165">
      <formula>AF189="A"</formula>
    </cfRule>
    <cfRule type="expression" dxfId="14372" priority="19166">
      <formula>AF189="T"</formula>
    </cfRule>
  </conditionalFormatting>
  <conditionalFormatting sqref="AF192">
    <cfRule type="expression" dxfId="14371" priority="19161">
      <formula>AF191="X"</formula>
    </cfRule>
    <cfRule type="expression" dxfId="14370" priority="19162">
      <formula>AF191="A"</formula>
    </cfRule>
    <cfRule type="expression" dxfId="14369" priority="19163">
      <formula>AF191="T"</formula>
    </cfRule>
  </conditionalFormatting>
  <conditionalFormatting sqref="AF208">
    <cfRule type="expression" dxfId="14368" priority="19158">
      <formula>AF207="X"</formula>
    </cfRule>
    <cfRule type="expression" dxfId="14367" priority="19159">
      <formula>AF207="A"</formula>
    </cfRule>
    <cfRule type="expression" dxfId="14366" priority="19160">
      <formula>AF207="T"</formula>
    </cfRule>
  </conditionalFormatting>
  <conditionalFormatting sqref="AF211">
    <cfRule type="expression" dxfId="14365" priority="19155">
      <formula>AF211="X"</formula>
    </cfRule>
    <cfRule type="expression" dxfId="14364" priority="19156">
      <formula>AF211="A"</formula>
    </cfRule>
    <cfRule type="expression" dxfId="14363" priority="19157">
      <formula>AF211="T"</formula>
    </cfRule>
  </conditionalFormatting>
  <conditionalFormatting sqref="AF212">
    <cfRule type="expression" dxfId="14362" priority="19152">
      <formula>AF211="X"</formula>
    </cfRule>
    <cfRule type="expression" dxfId="14361" priority="19153">
      <formula>AF211="A"</formula>
    </cfRule>
    <cfRule type="expression" dxfId="14360" priority="19154">
      <formula>AF211="T"</formula>
    </cfRule>
  </conditionalFormatting>
  <conditionalFormatting sqref="AF213">
    <cfRule type="expression" dxfId="14359" priority="19149">
      <formula>AF213="X"</formula>
    </cfRule>
    <cfRule type="expression" dxfId="14358" priority="19150">
      <formula>AF213="A"</formula>
    </cfRule>
    <cfRule type="expression" dxfId="14357" priority="19151">
      <formula>AF213="T"</formula>
    </cfRule>
  </conditionalFormatting>
  <conditionalFormatting sqref="AF214">
    <cfRule type="expression" dxfId="14356" priority="19146">
      <formula>AF213="X"</formula>
    </cfRule>
    <cfRule type="expression" dxfId="14355" priority="19147">
      <formula>AF213="A"</formula>
    </cfRule>
    <cfRule type="expression" dxfId="14354" priority="19148">
      <formula>AF213="T"</formula>
    </cfRule>
  </conditionalFormatting>
  <conditionalFormatting sqref="AF215">
    <cfRule type="expression" dxfId="14353" priority="19143">
      <formula>AF215="X"</formula>
    </cfRule>
    <cfRule type="expression" dxfId="14352" priority="19144">
      <formula>AF215="A"</formula>
    </cfRule>
    <cfRule type="expression" dxfId="14351" priority="19145">
      <formula>AF215="T"</formula>
    </cfRule>
  </conditionalFormatting>
  <conditionalFormatting sqref="AF216">
    <cfRule type="expression" dxfId="14350" priority="19140">
      <formula>AF215="X"</formula>
    </cfRule>
    <cfRule type="expression" dxfId="14349" priority="19141">
      <formula>AF215="A"</formula>
    </cfRule>
    <cfRule type="expression" dxfId="14348" priority="19142">
      <formula>AF215="T"</formula>
    </cfRule>
  </conditionalFormatting>
  <conditionalFormatting sqref="AF217">
    <cfRule type="expression" dxfId="14347" priority="19137">
      <formula>AF217="X"</formula>
    </cfRule>
    <cfRule type="expression" dxfId="14346" priority="19138">
      <formula>AF217="A"</formula>
    </cfRule>
    <cfRule type="expression" dxfId="14345" priority="19139">
      <formula>AF217="T"</formula>
    </cfRule>
  </conditionalFormatting>
  <conditionalFormatting sqref="AF218">
    <cfRule type="expression" dxfId="14344" priority="19134">
      <formula>AF217="X"</formula>
    </cfRule>
    <cfRule type="expression" dxfId="14343" priority="19135">
      <formula>AF217="A"</formula>
    </cfRule>
    <cfRule type="expression" dxfId="14342" priority="19136">
      <formula>AF217="T"</formula>
    </cfRule>
  </conditionalFormatting>
  <conditionalFormatting sqref="AF219">
    <cfRule type="expression" dxfId="14341" priority="19131">
      <formula>AF219="X"</formula>
    </cfRule>
    <cfRule type="expression" dxfId="14340" priority="19132">
      <formula>AF219="A"</formula>
    </cfRule>
    <cfRule type="expression" dxfId="14339" priority="19133">
      <formula>AF219="T"</formula>
    </cfRule>
  </conditionalFormatting>
  <conditionalFormatting sqref="AF220">
    <cfRule type="expression" dxfId="14338" priority="19128">
      <formula>AF219="X"</formula>
    </cfRule>
    <cfRule type="expression" dxfId="14337" priority="19129">
      <formula>AF219="A"</formula>
    </cfRule>
    <cfRule type="expression" dxfId="14336" priority="19130">
      <formula>AF219="T"</formula>
    </cfRule>
  </conditionalFormatting>
  <conditionalFormatting sqref="AF221">
    <cfRule type="expression" dxfId="14335" priority="19125">
      <formula>AF221="X"</formula>
    </cfRule>
    <cfRule type="expression" dxfId="14334" priority="19126">
      <formula>AF221="A"</formula>
    </cfRule>
    <cfRule type="expression" dxfId="14333" priority="19127">
      <formula>AF221="T"</formula>
    </cfRule>
  </conditionalFormatting>
  <conditionalFormatting sqref="AF222">
    <cfRule type="expression" dxfId="14332" priority="19122">
      <formula>AF221="X"</formula>
    </cfRule>
    <cfRule type="expression" dxfId="14331" priority="19123">
      <formula>AF221="A"</formula>
    </cfRule>
    <cfRule type="expression" dxfId="14330" priority="19124">
      <formula>AF221="T"</formula>
    </cfRule>
  </conditionalFormatting>
  <conditionalFormatting sqref="AF223">
    <cfRule type="expression" dxfId="14329" priority="19119">
      <formula>AF223="X"</formula>
    </cfRule>
    <cfRule type="expression" dxfId="14328" priority="19120">
      <formula>AF223="A"</formula>
    </cfRule>
    <cfRule type="expression" dxfId="14327" priority="19121">
      <formula>AF223="T"</formula>
    </cfRule>
  </conditionalFormatting>
  <conditionalFormatting sqref="AF224">
    <cfRule type="expression" dxfId="14326" priority="19116">
      <formula>AF223="X"</formula>
    </cfRule>
    <cfRule type="expression" dxfId="14325" priority="19117">
      <formula>AF223="A"</formula>
    </cfRule>
    <cfRule type="expression" dxfId="14324" priority="19118">
      <formula>AF223="T"</formula>
    </cfRule>
  </conditionalFormatting>
  <conditionalFormatting sqref="AF4">
    <cfRule type="expression" dxfId="14323" priority="19113">
      <formula>AF4="X"</formula>
    </cfRule>
    <cfRule type="expression" dxfId="14322" priority="19114">
      <formula>AF4="A"</formula>
    </cfRule>
    <cfRule type="expression" dxfId="14321" priority="19115">
      <formula>AF4="T"</formula>
    </cfRule>
  </conditionalFormatting>
  <conditionalFormatting sqref="AF5">
    <cfRule type="expression" dxfId="14320" priority="19110">
      <formula>AF4="X"</formula>
    </cfRule>
    <cfRule type="expression" dxfId="14319" priority="19111">
      <formula>AF4="A"</formula>
    </cfRule>
    <cfRule type="expression" dxfId="14318" priority="19112">
      <formula>AF4="T"</formula>
    </cfRule>
  </conditionalFormatting>
  <conditionalFormatting sqref="AF6">
    <cfRule type="expression" dxfId="14317" priority="19107">
      <formula>AF6="X"</formula>
    </cfRule>
    <cfRule type="expression" dxfId="14316" priority="19108">
      <formula>AF6="A"</formula>
    </cfRule>
    <cfRule type="expression" dxfId="14315" priority="19109">
      <formula>AF6="T"</formula>
    </cfRule>
  </conditionalFormatting>
  <conditionalFormatting sqref="AF7">
    <cfRule type="expression" dxfId="14314" priority="19104">
      <formula>AF6="X"</formula>
    </cfRule>
    <cfRule type="expression" dxfId="14313" priority="19105">
      <formula>AF6="A"</formula>
    </cfRule>
    <cfRule type="expression" dxfId="14312" priority="19106">
      <formula>AF6="T"</formula>
    </cfRule>
  </conditionalFormatting>
  <conditionalFormatting sqref="AF8">
    <cfRule type="expression" dxfId="14311" priority="19101">
      <formula>AF8="X"</formula>
    </cfRule>
    <cfRule type="expression" dxfId="14310" priority="19102">
      <formula>AF8="A"</formula>
    </cfRule>
    <cfRule type="expression" dxfId="14309" priority="19103">
      <formula>AF8="T"</formula>
    </cfRule>
  </conditionalFormatting>
  <conditionalFormatting sqref="AF9">
    <cfRule type="expression" dxfId="14308" priority="19098">
      <formula>AF8="X"</formula>
    </cfRule>
    <cfRule type="expression" dxfId="14307" priority="19099">
      <formula>AF8="A"</formula>
    </cfRule>
    <cfRule type="expression" dxfId="14306" priority="19100">
      <formula>AF8="T"</formula>
    </cfRule>
  </conditionalFormatting>
  <conditionalFormatting sqref="AF74">
    <cfRule type="expression" dxfId="14305" priority="19095">
      <formula>AF74="X"</formula>
    </cfRule>
    <cfRule type="expression" dxfId="14304" priority="19096">
      <formula>AF74="A"</formula>
    </cfRule>
    <cfRule type="expression" dxfId="14303" priority="19097">
      <formula>AF74="T"</formula>
    </cfRule>
  </conditionalFormatting>
  <conditionalFormatting sqref="AF75">
    <cfRule type="expression" dxfId="14302" priority="19092">
      <formula>AF74="X"</formula>
    </cfRule>
    <cfRule type="expression" dxfId="14301" priority="19093">
      <formula>AF74="A"</formula>
    </cfRule>
    <cfRule type="expression" dxfId="14300" priority="19094">
      <formula>AF74="T"</formula>
    </cfRule>
  </conditionalFormatting>
  <conditionalFormatting sqref="AF76">
    <cfRule type="expression" dxfId="14299" priority="19089">
      <formula>AF76="X"</formula>
    </cfRule>
    <cfRule type="expression" dxfId="14298" priority="19090">
      <formula>AF76="A"</formula>
    </cfRule>
    <cfRule type="expression" dxfId="14297" priority="19091">
      <formula>AF76="T"</formula>
    </cfRule>
  </conditionalFormatting>
  <conditionalFormatting sqref="AF77">
    <cfRule type="expression" dxfId="14296" priority="19086">
      <formula>AF76="X"</formula>
    </cfRule>
    <cfRule type="expression" dxfId="14295" priority="19087">
      <formula>AF76="A"</formula>
    </cfRule>
    <cfRule type="expression" dxfId="14294" priority="19088">
      <formula>AF76="T"</formula>
    </cfRule>
  </conditionalFormatting>
  <conditionalFormatting sqref="AF78">
    <cfRule type="expression" dxfId="14293" priority="19083">
      <formula>AF78="X"</formula>
    </cfRule>
    <cfRule type="expression" dxfId="14292" priority="19084">
      <formula>AF78="A"</formula>
    </cfRule>
    <cfRule type="expression" dxfId="14291" priority="19085">
      <formula>AF78="T"</formula>
    </cfRule>
  </conditionalFormatting>
  <conditionalFormatting sqref="AF79">
    <cfRule type="expression" dxfId="14290" priority="19080">
      <formula>AF78="X"</formula>
    </cfRule>
    <cfRule type="expression" dxfId="14289" priority="19081">
      <formula>AF78="A"</formula>
    </cfRule>
    <cfRule type="expression" dxfId="14288" priority="19082">
      <formula>AF78="T"</formula>
    </cfRule>
  </conditionalFormatting>
  <conditionalFormatting sqref="AF134">
    <cfRule type="expression" dxfId="14287" priority="19077">
      <formula>AF134="X"</formula>
    </cfRule>
    <cfRule type="expression" dxfId="14286" priority="19078">
      <formula>AF134="A"</formula>
    </cfRule>
    <cfRule type="expression" dxfId="14285" priority="19079">
      <formula>AF134="T"</formula>
    </cfRule>
  </conditionalFormatting>
  <conditionalFormatting sqref="AF135">
    <cfRule type="expression" dxfId="14284" priority="19074">
      <formula>AF134="X"</formula>
    </cfRule>
    <cfRule type="expression" dxfId="14283" priority="19075">
      <formula>AF134="A"</formula>
    </cfRule>
    <cfRule type="expression" dxfId="14282" priority="19076">
      <formula>AF134="T"</formula>
    </cfRule>
  </conditionalFormatting>
  <conditionalFormatting sqref="AF136">
    <cfRule type="expression" dxfId="14281" priority="19071">
      <formula>AF136="X"</formula>
    </cfRule>
    <cfRule type="expression" dxfId="14280" priority="19072">
      <formula>AF136="A"</formula>
    </cfRule>
    <cfRule type="expression" dxfId="14279" priority="19073">
      <formula>AF136="T"</formula>
    </cfRule>
  </conditionalFormatting>
  <conditionalFormatting sqref="AF137">
    <cfRule type="expression" dxfId="14278" priority="19068">
      <formula>AF136="X"</formula>
    </cfRule>
    <cfRule type="expression" dxfId="14277" priority="19069">
      <formula>AF136="A"</formula>
    </cfRule>
    <cfRule type="expression" dxfId="14276" priority="19070">
      <formula>AF136="T"</formula>
    </cfRule>
  </conditionalFormatting>
  <conditionalFormatting sqref="AF138">
    <cfRule type="expression" dxfId="14275" priority="19065">
      <formula>AF138="X"</formula>
    </cfRule>
    <cfRule type="expression" dxfId="14274" priority="19066">
      <formula>AF138="A"</formula>
    </cfRule>
    <cfRule type="expression" dxfId="14273" priority="19067">
      <formula>AF138="T"</formula>
    </cfRule>
  </conditionalFormatting>
  <conditionalFormatting sqref="AF139">
    <cfRule type="expression" dxfId="14272" priority="19062">
      <formula>AF138="X"</formula>
    </cfRule>
    <cfRule type="expression" dxfId="14271" priority="19063">
      <formula>AF138="A"</formula>
    </cfRule>
    <cfRule type="expression" dxfId="14270" priority="19064">
      <formula>AF138="T"</formula>
    </cfRule>
  </conditionalFormatting>
  <conditionalFormatting sqref="AF15">
    <cfRule type="expression" dxfId="14269" priority="19056" stopIfTrue="1">
      <formula>AF11=""</formula>
    </cfRule>
  </conditionalFormatting>
  <conditionalFormatting sqref="AF15">
    <cfRule type="expression" dxfId="14268" priority="19057" stopIfTrue="1">
      <formula>AF15=1</formula>
    </cfRule>
    <cfRule type="colorScale" priority="19058">
      <colorScale>
        <cfvo type="num" val="0"/>
        <cfvo type="num" val="0.5"/>
        <cfvo type="num" val="1"/>
        <color rgb="FFF8696B"/>
        <color theme="4" tint="0.79998168889431442"/>
        <color rgb="FF5A8AC6"/>
      </colorScale>
    </cfRule>
  </conditionalFormatting>
  <conditionalFormatting sqref="AF38">
    <cfRule type="expression" dxfId="14267" priority="19053" stopIfTrue="1">
      <formula>AF16=""</formula>
    </cfRule>
  </conditionalFormatting>
  <conditionalFormatting sqref="AF38">
    <cfRule type="expression" dxfId="14266" priority="19054" stopIfTrue="1">
      <formula>AF38=1</formula>
    </cfRule>
    <cfRule type="colorScale" priority="19055">
      <colorScale>
        <cfvo type="num" val="0"/>
        <cfvo type="num" val="0.5"/>
        <cfvo type="num" val="1"/>
        <color rgb="FFF8696B"/>
        <color theme="4" tint="0.79998168889431442"/>
        <color rgb="FF5A8AC6"/>
      </colorScale>
    </cfRule>
  </conditionalFormatting>
  <conditionalFormatting sqref="AF47">
    <cfRule type="expression" dxfId="14265" priority="19050" stopIfTrue="1">
      <formula>AF39=""</formula>
    </cfRule>
  </conditionalFormatting>
  <conditionalFormatting sqref="AF47">
    <cfRule type="expression" dxfId="14264" priority="19051" stopIfTrue="1">
      <formula>AF47=1</formula>
    </cfRule>
    <cfRule type="colorScale" priority="19052">
      <colorScale>
        <cfvo type="num" val="0"/>
        <cfvo type="num" val="0.5"/>
        <cfvo type="num" val="1"/>
        <color rgb="FFF8696B"/>
        <color theme="4" tint="0.79998168889431442"/>
        <color rgb="FF5A8AC6"/>
      </colorScale>
    </cfRule>
  </conditionalFormatting>
  <conditionalFormatting sqref="AF69">
    <cfRule type="expression" dxfId="14263" priority="19045" stopIfTrue="1">
      <formula>AF69=1</formula>
    </cfRule>
    <cfRule type="colorScale" priority="19046">
      <colorScale>
        <cfvo type="num" val="0"/>
        <cfvo type="num" val="0.5"/>
        <cfvo type="num" val="1"/>
        <color rgb="FFF8696B"/>
        <color theme="4" tint="0.79998168889431442"/>
        <color rgb="FF5A8AC6"/>
      </colorScale>
    </cfRule>
  </conditionalFormatting>
  <conditionalFormatting sqref="AF69">
    <cfRule type="expression" dxfId="14262" priority="19044" stopIfTrue="1">
      <formula>AF63=""</formula>
    </cfRule>
  </conditionalFormatting>
  <conditionalFormatting sqref="AF230:AF236">
    <cfRule type="expression" dxfId="14261" priority="18997" stopIfTrue="1">
      <formula>AF230=_xlfn.UNICHAR(10003)</formula>
    </cfRule>
    <cfRule type="colorScale" priority="18998">
      <colorScale>
        <cfvo type="num" val="0"/>
        <cfvo type="num" val="0.5"/>
        <cfvo type="num" val="1"/>
        <color rgb="FFF8696B"/>
        <color theme="4" tint="0.79998168889431442"/>
        <color rgb="FF5A8AC6"/>
      </colorScale>
    </cfRule>
  </conditionalFormatting>
  <conditionalFormatting sqref="AF239">
    <cfRule type="expression" dxfId="14260" priority="18995" stopIfTrue="1">
      <formula>AF239=_xlfn.UNICHAR(10003)</formula>
    </cfRule>
    <cfRule type="colorScale" priority="18996">
      <colorScale>
        <cfvo type="num" val="0"/>
        <cfvo type="num" val="0.5"/>
        <cfvo type="num" val="1"/>
        <color rgb="FFF8696B"/>
        <color theme="4" tint="0.79998168889431442"/>
        <color rgb="FF5A8AC6"/>
      </colorScale>
    </cfRule>
  </conditionalFormatting>
  <conditionalFormatting sqref="AF239">
    <cfRule type="expression" dxfId="14259" priority="18993" stopIfTrue="1">
      <formula>AF239=1</formula>
    </cfRule>
    <cfRule type="colorScale" priority="18994">
      <colorScale>
        <cfvo type="num" val="0"/>
        <cfvo type="num" val="0.5"/>
        <cfvo type="num" val="1"/>
        <color rgb="FFF8696B"/>
        <color theme="4" tint="0.79998168889431442"/>
        <color rgb="FF5A8AC6"/>
      </colorScale>
    </cfRule>
  </conditionalFormatting>
  <conditionalFormatting sqref="AF195">
    <cfRule type="expression" dxfId="14258" priority="18981">
      <formula>AF195="X"</formula>
    </cfRule>
    <cfRule type="expression" dxfId="14257" priority="18982">
      <formula>AF195="A"</formula>
    </cfRule>
    <cfRule type="expression" dxfId="14256" priority="18983">
      <formula>AF195="T"</formula>
    </cfRule>
  </conditionalFormatting>
  <conditionalFormatting sqref="AF203">
    <cfRule type="expression" dxfId="14255" priority="18978">
      <formula>AF203="X"</formula>
    </cfRule>
    <cfRule type="expression" dxfId="14254" priority="18979">
      <formula>AF203="A"</formula>
    </cfRule>
    <cfRule type="expression" dxfId="14253" priority="18980">
      <formula>AF203="T"</formula>
    </cfRule>
  </conditionalFormatting>
  <conditionalFormatting sqref="AF205">
    <cfRule type="expression" dxfId="14252" priority="18975">
      <formula>AF205="X"</formula>
    </cfRule>
    <cfRule type="expression" dxfId="14251" priority="18976">
      <formula>AF205="A"</formula>
    </cfRule>
    <cfRule type="expression" dxfId="14250" priority="18977">
      <formula>AF205="T"</formula>
    </cfRule>
  </conditionalFormatting>
  <conditionalFormatting sqref="AF207">
    <cfRule type="expression" dxfId="14249" priority="18972">
      <formula>AF207="X"</formula>
    </cfRule>
    <cfRule type="expression" dxfId="14248" priority="18973">
      <formula>AF207="A"</formula>
    </cfRule>
    <cfRule type="expression" dxfId="14247" priority="18974">
      <formula>AF207="T"</formula>
    </cfRule>
  </conditionalFormatting>
  <conditionalFormatting sqref="AF204">
    <cfRule type="expression" dxfId="14246" priority="18969">
      <formula>AF203="X"</formula>
    </cfRule>
    <cfRule type="expression" dxfId="14245" priority="18970">
      <formula>AF203="A"</formula>
    </cfRule>
    <cfRule type="expression" dxfId="14244" priority="18971">
      <formula>AF203="T"</formula>
    </cfRule>
  </conditionalFormatting>
  <conditionalFormatting sqref="AF206">
    <cfRule type="expression" dxfId="14243" priority="18966">
      <formula>AF205="X"</formula>
    </cfRule>
    <cfRule type="expression" dxfId="14242" priority="18967">
      <formula>AF205="A"</formula>
    </cfRule>
    <cfRule type="expression" dxfId="14241" priority="18968">
      <formula>AF205="T"</formula>
    </cfRule>
  </conditionalFormatting>
  <conditionalFormatting sqref="AF196">
    <cfRule type="expression" dxfId="14240" priority="18963">
      <formula>AF195="X"</formula>
    </cfRule>
    <cfRule type="expression" dxfId="14239" priority="18964">
      <formula>AF195="A"</formula>
    </cfRule>
    <cfRule type="expression" dxfId="14238" priority="18965">
      <formula>AF195="T"</formula>
    </cfRule>
  </conditionalFormatting>
  <conditionalFormatting sqref="AF197">
    <cfRule type="expression" dxfId="14237" priority="18960">
      <formula>AF197="X"</formula>
    </cfRule>
    <cfRule type="expression" dxfId="14236" priority="18961">
      <formula>AF197="A"</formula>
    </cfRule>
    <cfRule type="expression" dxfId="14235" priority="18962">
      <formula>AF197="T"</formula>
    </cfRule>
  </conditionalFormatting>
  <conditionalFormatting sqref="AF198">
    <cfRule type="expression" dxfId="14234" priority="18957">
      <formula>AF197="X"</formula>
    </cfRule>
    <cfRule type="expression" dxfId="14233" priority="18958">
      <formula>AF197="A"</formula>
    </cfRule>
    <cfRule type="expression" dxfId="14232" priority="18959">
      <formula>AF197="T"</formula>
    </cfRule>
  </conditionalFormatting>
  <conditionalFormatting sqref="AF199">
    <cfRule type="expression" dxfId="14231" priority="18954">
      <formula>AF199="X"</formula>
    </cfRule>
    <cfRule type="expression" dxfId="14230" priority="18955">
      <formula>AF199="A"</formula>
    </cfRule>
    <cfRule type="expression" dxfId="14229" priority="18956">
      <formula>AF199="T"</formula>
    </cfRule>
  </conditionalFormatting>
  <conditionalFormatting sqref="AF200">
    <cfRule type="expression" dxfId="14228" priority="18951">
      <formula>AF199="X"</formula>
    </cfRule>
    <cfRule type="expression" dxfId="14227" priority="18952">
      <formula>AF199="A"</formula>
    </cfRule>
    <cfRule type="expression" dxfId="14226" priority="18953">
      <formula>AF199="T"</formula>
    </cfRule>
  </conditionalFormatting>
  <conditionalFormatting sqref="AF201">
    <cfRule type="expression" dxfId="14225" priority="18948">
      <formula>AF201="X"</formula>
    </cfRule>
    <cfRule type="expression" dxfId="14224" priority="18949">
      <formula>AF201="A"</formula>
    </cfRule>
    <cfRule type="expression" dxfId="14223" priority="18950">
      <formula>AF201="T"</formula>
    </cfRule>
  </conditionalFormatting>
  <conditionalFormatting sqref="AF202">
    <cfRule type="expression" dxfId="14222" priority="18945">
      <formula>AF201="X"</formula>
    </cfRule>
    <cfRule type="expression" dxfId="14221" priority="18946">
      <formula>AF201="A"</formula>
    </cfRule>
    <cfRule type="expression" dxfId="14220" priority="18947">
      <formula>AF201="T"</formula>
    </cfRule>
  </conditionalFormatting>
  <conditionalFormatting sqref="AM237:AN238">
    <cfRule type="expression" dxfId="14219" priority="18943" stopIfTrue="1">
      <formula>AM237=_xlfn.UNICHAR(10003)</formula>
    </cfRule>
    <cfRule type="colorScale" priority="18944">
      <colorScale>
        <cfvo type="num" val="0"/>
        <cfvo type="num" val="0.5"/>
        <cfvo type="num" val="1"/>
        <color rgb="FFF8696B"/>
        <color theme="4" tint="0.79998168889431442"/>
        <color rgb="FF5A8AC6"/>
      </colorScale>
    </cfRule>
  </conditionalFormatting>
  <conditionalFormatting sqref="AM116:AN116 AM111:AN111 AM109:AN109 AM107:AN107 AM105:AN105 AM102:AN102 AM100:AN100 AM98:AN98 AM96:AN96 AM94:AN94 AM92:AN92 AM90:AN90 AM88:AN88 AM81:AN81 AM48:AN48 AM45:AN45 AM43:AN43 AM41:AN41 AM39:AN39 AM28:AN28 AM26:AN26 AM24:AN24 AM22:AN22 AM20:AN20 AM18:AN18 AM16:AN16">
    <cfRule type="expression" dxfId="14218" priority="18940">
      <formula>AM16="X"</formula>
    </cfRule>
    <cfRule type="expression" dxfId="14217" priority="18941">
      <formula>AM16="A"</formula>
    </cfRule>
    <cfRule type="expression" dxfId="14216" priority="18942">
      <formula>AM16="T"</formula>
    </cfRule>
  </conditionalFormatting>
  <conditionalFormatting sqref="AM36:AN36">
    <cfRule type="expression" dxfId="14215" priority="18937">
      <formula>AM36="X"</formula>
    </cfRule>
    <cfRule type="expression" dxfId="14214" priority="18938">
      <formula>AM36="A"</formula>
    </cfRule>
    <cfRule type="expression" dxfId="14213" priority="18939">
      <formula>AM36="T"</formula>
    </cfRule>
  </conditionalFormatting>
  <conditionalFormatting sqref="AM34:AN34">
    <cfRule type="expression" dxfId="14212" priority="18934">
      <formula>AM34="X"</formula>
    </cfRule>
    <cfRule type="expression" dxfId="14211" priority="18935">
      <formula>AM34="A"</formula>
    </cfRule>
    <cfRule type="expression" dxfId="14210" priority="18936">
      <formula>AM34="T"</formula>
    </cfRule>
  </conditionalFormatting>
  <conditionalFormatting sqref="AM32:AN32">
    <cfRule type="expression" dxfId="14209" priority="18931">
      <formula>AM32="X"</formula>
    </cfRule>
    <cfRule type="expression" dxfId="14208" priority="18932">
      <formula>AM32="A"</formula>
    </cfRule>
    <cfRule type="expression" dxfId="14207" priority="18933">
      <formula>AM32="T"</formula>
    </cfRule>
  </conditionalFormatting>
  <conditionalFormatting sqref="AM30:AN30">
    <cfRule type="expression" dxfId="14206" priority="18928">
      <formula>AM30="X"</formula>
    </cfRule>
    <cfRule type="expression" dxfId="14205" priority="18929">
      <formula>AM30="A"</formula>
    </cfRule>
    <cfRule type="expression" dxfId="14204" priority="18930">
      <formula>AM30="T"</formula>
    </cfRule>
  </conditionalFormatting>
  <conditionalFormatting sqref="AM52:AN52">
    <cfRule type="expression" dxfId="14203" priority="18925">
      <formula>AM52="X"</formula>
    </cfRule>
    <cfRule type="expression" dxfId="14202" priority="18926">
      <formula>AM52="A"</formula>
    </cfRule>
    <cfRule type="expression" dxfId="14201" priority="18927">
      <formula>AM52="T"</formula>
    </cfRule>
  </conditionalFormatting>
  <conditionalFormatting sqref="AM50:AN50">
    <cfRule type="expression" dxfId="14200" priority="18922">
      <formula>AM50="X"</formula>
    </cfRule>
    <cfRule type="expression" dxfId="14199" priority="18923">
      <formula>AM50="A"</formula>
    </cfRule>
    <cfRule type="expression" dxfId="14198" priority="18924">
      <formula>AM50="T"</formula>
    </cfRule>
  </conditionalFormatting>
  <conditionalFormatting sqref="AM54:AN54">
    <cfRule type="expression" dxfId="14197" priority="18919">
      <formula>AM54="X"</formula>
    </cfRule>
    <cfRule type="expression" dxfId="14196" priority="18920">
      <formula>AM54="A"</formula>
    </cfRule>
    <cfRule type="expression" dxfId="14195" priority="18921">
      <formula>AM54="T"</formula>
    </cfRule>
  </conditionalFormatting>
  <conditionalFormatting sqref="AM56:AN56">
    <cfRule type="expression" dxfId="14194" priority="18916">
      <formula>AM56="X"</formula>
    </cfRule>
    <cfRule type="expression" dxfId="14193" priority="18917">
      <formula>AM56="A"</formula>
    </cfRule>
    <cfRule type="expression" dxfId="14192" priority="18918">
      <formula>AM56="T"</formula>
    </cfRule>
  </conditionalFormatting>
  <conditionalFormatting sqref="AM58:AN58">
    <cfRule type="expression" dxfId="14191" priority="18913">
      <formula>AM58="X"</formula>
    </cfRule>
    <cfRule type="expression" dxfId="14190" priority="18914">
      <formula>AM58="A"</formula>
    </cfRule>
    <cfRule type="expression" dxfId="14189" priority="18915">
      <formula>AM58="T"</formula>
    </cfRule>
  </conditionalFormatting>
  <conditionalFormatting sqref="AM63:AN63">
    <cfRule type="expression" dxfId="14188" priority="18910">
      <formula>AM63="X"</formula>
    </cfRule>
    <cfRule type="expression" dxfId="14187" priority="18911">
      <formula>AM63="A"</formula>
    </cfRule>
    <cfRule type="expression" dxfId="14186" priority="18912">
      <formula>AM63="T"</formula>
    </cfRule>
  </conditionalFormatting>
  <conditionalFormatting sqref="AM65:AN65">
    <cfRule type="expression" dxfId="14185" priority="18907">
      <formula>AM65="X"</formula>
    </cfRule>
    <cfRule type="expression" dxfId="14184" priority="18908">
      <formula>AM65="A"</formula>
    </cfRule>
    <cfRule type="expression" dxfId="14183" priority="18909">
      <formula>AM65="T"</formula>
    </cfRule>
  </conditionalFormatting>
  <conditionalFormatting sqref="AM83:AN83">
    <cfRule type="expression" dxfId="14182" priority="18904">
      <formula>AM83="X"</formula>
    </cfRule>
    <cfRule type="expression" dxfId="14181" priority="18905">
      <formula>AM83="A"</formula>
    </cfRule>
    <cfRule type="expression" dxfId="14180" priority="18906">
      <formula>AM83="T"</formula>
    </cfRule>
  </conditionalFormatting>
  <conditionalFormatting sqref="AM85:AN85">
    <cfRule type="expression" dxfId="14179" priority="18901">
      <formula>AM85="X"</formula>
    </cfRule>
    <cfRule type="expression" dxfId="14178" priority="18902">
      <formula>AM85="A"</formula>
    </cfRule>
    <cfRule type="expression" dxfId="14177" priority="18903">
      <formula>AM85="T"</formula>
    </cfRule>
  </conditionalFormatting>
  <conditionalFormatting sqref="AM67:AN67">
    <cfRule type="expression" dxfId="14176" priority="18898">
      <formula>AM67="X"</formula>
    </cfRule>
    <cfRule type="expression" dxfId="14175" priority="18899">
      <formula>AM67="A"</formula>
    </cfRule>
    <cfRule type="expression" dxfId="14174" priority="18900">
      <formula>AM67="T"</formula>
    </cfRule>
  </conditionalFormatting>
  <conditionalFormatting sqref="AM113:AN113">
    <cfRule type="expression" dxfId="14173" priority="18895">
      <formula>AM113="X"</formula>
    </cfRule>
    <cfRule type="expression" dxfId="14172" priority="18896">
      <formula>AM113="A"</formula>
    </cfRule>
    <cfRule type="expression" dxfId="14171" priority="18897">
      <formula>AM113="T"</formula>
    </cfRule>
  </conditionalFormatting>
  <conditionalFormatting sqref="AM118:AN118">
    <cfRule type="expression" dxfId="14170" priority="18892">
      <formula>AM118="X"</formula>
    </cfRule>
    <cfRule type="expression" dxfId="14169" priority="18893">
      <formula>AM118="A"</formula>
    </cfRule>
    <cfRule type="expression" dxfId="14168" priority="18894">
      <formula>AM118="T"</formula>
    </cfRule>
  </conditionalFormatting>
  <conditionalFormatting sqref="AM120:AN120">
    <cfRule type="expression" dxfId="14167" priority="18889">
      <formula>AM120="X"</formula>
    </cfRule>
    <cfRule type="expression" dxfId="14166" priority="18890">
      <formula>AM120="A"</formula>
    </cfRule>
    <cfRule type="expression" dxfId="14165" priority="18891">
      <formula>AM120="T"</formula>
    </cfRule>
  </conditionalFormatting>
  <conditionalFormatting sqref="AM122:AN122">
    <cfRule type="expression" dxfId="14164" priority="18886">
      <formula>AM122="X"</formula>
    </cfRule>
    <cfRule type="expression" dxfId="14163" priority="18887">
      <formula>AM122="A"</formula>
    </cfRule>
    <cfRule type="expression" dxfId="14162" priority="18888">
      <formula>AM122="T"</formula>
    </cfRule>
  </conditionalFormatting>
  <conditionalFormatting sqref="AM125:AN125">
    <cfRule type="expression" dxfId="14161" priority="18883">
      <formula>AM125="X"</formula>
    </cfRule>
    <cfRule type="expression" dxfId="14160" priority="18884">
      <formula>AM125="A"</formula>
    </cfRule>
    <cfRule type="expression" dxfId="14159" priority="18885">
      <formula>AM125="T"</formula>
    </cfRule>
  </conditionalFormatting>
  <conditionalFormatting sqref="AM127:AN127">
    <cfRule type="expression" dxfId="14158" priority="18880">
      <formula>AM127="X"</formula>
    </cfRule>
    <cfRule type="expression" dxfId="14157" priority="18881">
      <formula>AM127="A"</formula>
    </cfRule>
    <cfRule type="expression" dxfId="14156" priority="18882">
      <formula>AM127="T"</formula>
    </cfRule>
  </conditionalFormatting>
  <conditionalFormatting sqref="AM141:AN141">
    <cfRule type="expression" dxfId="14155" priority="18877">
      <formula>AM141="X"</formula>
    </cfRule>
    <cfRule type="expression" dxfId="14154" priority="18878">
      <formula>AM141="A"</formula>
    </cfRule>
    <cfRule type="expression" dxfId="14153" priority="18879">
      <formula>AM141="T"</formula>
    </cfRule>
  </conditionalFormatting>
  <conditionalFormatting sqref="AM143:AN143">
    <cfRule type="expression" dxfId="14152" priority="18874">
      <formula>AM143="X"</formula>
    </cfRule>
    <cfRule type="expression" dxfId="14151" priority="18875">
      <formula>AM143="A"</formula>
    </cfRule>
    <cfRule type="expression" dxfId="14150" priority="18876">
      <formula>AM143="T"</formula>
    </cfRule>
  </conditionalFormatting>
  <conditionalFormatting sqref="AM149:AN149">
    <cfRule type="expression" dxfId="14149" priority="18871">
      <formula>AM149="X"</formula>
    </cfRule>
    <cfRule type="expression" dxfId="14148" priority="18872">
      <formula>AM149="A"</formula>
    </cfRule>
    <cfRule type="expression" dxfId="14147" priority="18873">
      <formula>AM149="T"</formula>
    </cfRule>
  </conditionalFormatting>
  <conditionalFormatting sqref="AM151:AN151">
    <cfRule type="expression" dxfId="14146" priority="18868">
      <formula>AM151="X"</formula>
    </cfRule>
    <cfRule type="expression" dxfId="14145" priority="18869">
      <formula>AM151="A"</formula>
    </cfRule>
    <cfRule type="expression" dxfId="14144" priority="18870">
      <formula>AM151="T"</formula>
    </cfRule>
  </conditionalFormatting>
  <conditionalFormatting sqref="AM155:AN155">
    <cfRule type="expression" dxfId="14143" priority="18865">
      <formula>AM155="X"</formula>
    </cfRule>
    <cfRule type="expression" dxfId="14142" priority="18866">
      <formula>AM155="A"</formula>
    </cfRule>
    <cfRule type="expression" dxfId="14141" priority="18867">
      <formula>AM155="T"</formula>
    </cfRule>
  </conditionalFormatting>
  <conditionalFormatting sqref="AM157:AN157">
    <cfRule type="expression" dxfId="14140" priority="18862">
      <formula>AM157="X"</formula>
    </cfRule>
    <cfRule type="expression" dxfId="14139" priority="18863">
      <formula>AM157="A"</formula>
    </cfRule>
    <cfRule type="expression" dxfId="14138" priority="18864">
      <formula>AM157="T"</formula>
    </cfRule>
  </conditionalFormatting>
  <conditionalFormatting sqref="AM167:AN167">
    <cfRule type="expression" dxfId="14137" priority="18859">
      <formula>AM167="X"</formula>
    </cfRule>
    <cfRule type="expression" dxfId="14136" priority="18860">
      <formula>AM167="A"</formula>
    </cfRule>
    <cfRule type="expression" dxfId="14135" priority="18861">
      <formula>AM167="T"</formula>
    </cfRule>
  </conditionalFormatting>
  <conditionalFormatting sqref="AM173:AN173">
    <cfRule type="expression" dxfId="14134" priority="18856">
      <formula>AM173="X"</formula>
    </cfRule>
    <cfRule type="expression" dxfId="14133" priority="18857">
      <formula>AM173="A"</formula>
    </cfRule>
    <cfRule type="expression" dxfId="14132" priority="18858">
      <formula>AM173="T"</formula>
    </cfRule>
  </conditionalFormatting>
  <conditionalFormatting sqref="AM175:AN175">
    <cfRule type="expression" dxfId="14131" priority="18853">
      <formula>AM175="X"</formula>
    </cfRule>
    <cfRule type="expression" dxfId="14130" priority="18854">
      <formula>AM175="A"</formula>
    </cfRule>
    <cfRule type="expression" dxfId="14129" priority="18855">
      <formula>AM175="T"</formula>
    </cfRule>
  </conditionalFormatting>
  <conditionalFormatting sqref="AM177:AN177">
    <cfRule type="expression" dxfId="14128" priority="18850">
      <formula>AM177="X"</formula>
    </cfRule>
    <cfRule type="expression" dxfId="14127" priority="18851">
      <formula>AM177="A"</formula>
    </cfRule>
    <cfRule type="expression" dxfId="14126" priority="18852">
      <formula>AM177="T"</formula>
    </cfRule>
  </conditionalFormatting>
  <conditionalFormatting sqref="AM179:AN179">
    <cfRule type="expression" dxfId="14125" priority="18847">
      <formula>AM179="X"</formula>
    </cfRule>
    <cfRule type="expression" dxfId="14124" priority="18848">
      <formula>AM179="A"</formula>
    </cfRule>
    <cfRule type="expression" dxfId="14123" priority="18849">
      <formula>AM179="T"</formula>
    </cfRule>
  </conditionalFormatting>
  <conditionalFormatting sqref="AM169:AN169">
    <cfRule type="expression" dxfId="14122" priority="18844">
      <formula>AM169="X"</formula>
    </cfRule>
    <cfRule type="expression" dxfId="14121" priority="18845">
      <formula>AM169="A"</formula>
    </cfRule>
    <cfRule type="expression" dxfId="14120" priority="18846">
      <formula>AM169="T"</formula>
    </cfRule>
  </conditionalFormatting>
  <conditionalFormatting sqref="AM171:AN171">
    <cfRule type="expression" dxfId="14119" priority="18841">
      <formula>AM171="X"</formula>
    </cfRule>
    <cfRule type="expression" dxfId="14118" priority="18842">
      <formula>AM171="A"</formula>
    </cfRule>
    <cfRule type="expression" dxfId="14117" priority="18843">
      <formula>AM171="T"</formula>
    </cfRule>
  </conditionalFormatting>
  <conditionalFormatting sqref="AM183:AN183">
    <cfRule type="expression" dxfId="14116" priority="18838">
      <formula>AM183="X"</formula>
    </cfRule>
    <cfRule type="expression" dxfId="14115" priority="18839">
      <formula>AM183="A"</formula>
    </cfRule>
    <cfRule type="expression" dxfId="14114" priority="18840">
      <formula>AM183="T"</formula>
    </cfRule>
  </conditionalFormatting>
  <conditionalFormatting sqref="AM185:AN185">
    <cfRule type="expression" dxfId="14113" priority="18835">
      <formula>AM185="X"</formula>
    </cfRule>
    <cfRule type="expression" dxfId="14112" priority="18836">
      <formula>AM185="A"</formula>
    </cfRule>
    <cfRule type="expression" dxfId="14111" priority="18837">
      <formula>AM185="T"</formula>
    </cfRule>
  </conditionalFormatting>
  <conditionalFormatting sqref="AM189:AN189">
    <cfRule type="expression" dxfId="14110" priority="18832">
      <formula>AM189="X"</formula>
    </cfRule>
    <cfRule type="expression" dxfId="14109" priority="18833">
      <formula>AM189="A"</formula>
    </cfRule>
    <cfRule type="expression" dxfId="14108" priority="18834">
      <formula>AM189="T"</formula>
    </cfRule>
  </conditionalFormatting>
  <conditionalFormatting sqref="AM191:AN191">
    <cfRule type="expression" dxfId="14107" priority="18829">
      <formula>AM191="X"</formula>
    </cfRule>
    <cfRule type="expression" dxfId="14106" priority="18830">
      <formula>AM191="A"</formula>
    </cfRule>
    <cfRule type="expression" dxfId="14105" priority="18831">
      <formula>AM191="T"</formula>
    </cfRule>
  </conditionalFormatting>
  <conditionalFormatting sqref="AM11:AN11">
    <cfRule type="expression" dxfId="14104" priority="18826">
      <formula>AM11="X"</formula>
    </cfRule>
    <cfRule type="expression" dxfId="14103" priority="18827">
      <formula>AM11="A"</formula>
    </cfRule>
    <cfRule type="expression" dxfId="14102" priority="18828">
      <formula>AM11="T"</formula>
    </cfRule>
  </conditionalFormatting>
  <conditionalFormatting sqref="AM12:AN12">
    <cfRule type="expression" dxfId="14101" priority="18823">
      <formula>AM11="X"</formula>
    </cfRule>
    <cfRule type="expression" dxfId="14100" priority="18824">
      <formula>AM11="A"</formula>
    </cfRule>
    <cfRule type="expression" dxfId="14099" priority="18825">
      <formula>AM11="T"</formula>
    </cfRule>
  </conditionalFormatting>
  <conditionalFormatting sqref="AM13:AN13">
    <cfRule type="expression" dxfId="14098" priority="18820">
      <formula>AM13="X"</formula>
    </cfRule>
    <cfRule type="expression" dxfId="14097" priority="18821">
      <formula>AM13="A"</formula>
    </cfRule>
    <cfRule type="expression" dxfId="14096" priority="18822">
      <formula>AM13="T"</formula>
    </cfRule>
  </conditionalFormatting>
  <conditionalFormatting sqref="AM14:AN14">
    <cfRule type="expression" dxfId="14095" priority="18817">
      <formula>AM13="X"</formula>
    </cfRule>
    <cfRule type="expression" dxfId="14094" priority="18818">
      <formula>AM13="A"</formula>
    </cfRule>
    <cfRule type="expression" dxfId="14093" priority="18819">
      <formula>AM13="T"</formula>
    </cfRule>
  </conditionalFormatting>
  <conditionalFormatting sqref="AM17:AN17">
    <cfRule type="expression" dxfId="14092" priority="18814">
      <formula>AM16="X"</formula>
    </cfRule>
    <cfRule type="expression" dxfId="14091" priority="18815">
      <formula>AM16="A"</formula>
    </cfRule>
    <cfRule type="expression" dxfId="14090" priority="18816">
      <formula>AM16="T"</formula>
    </cfRule>
  </conditionalFormatting>
  <conditionalFormatting sqref="AM19:AN19">
    <cfRule type="expression" dxfId="14089" priority="18808">
      <formula>AM18="X"</formula>
    </cfRule>
    <cfRule type="expression" dxfId="14088" priority="18809">
      <formula>AM18="A"</formula>
    </cfRule>
    <cfRule type="expression" dxfId="14087" priority="18810">
      <formula>AM18="T"</formula>
    </cfRule>
  </conditionalFormatting>
  <conditionalFormatting sqref="AM21:AN21">
    <cfRule type="expression" dxfId="14086" priority="18805">
      <formula>AM20="X"</formula>
    </cfRule>
    <cfRule type="expression" dxfId="14085" priority="18806">
      <formula>AM20="A"</formula>
    </cfRule>
    <cfRule type="expression" dxfId="14084" priority="18807">
      <formula>AM20="T"</formula>
    </cfRule>
  </conditionalFormatting>
  <conditionalFormatting sqref="AM23:AN23">
    <cfRule type="expression" dxfId="14083" priority="18802">
      <formula>AM22="X"</formula>
    </cfRule>
    <cfRule type="expression" dxfId="14082" priority="18803">
      <formula>AM22="A"</formula>
    </cfRule>
    <cfRule type="expression" dxfId="14081" priority="18804">
      <formula>AM22="T"</formula>
    </cfRule>
  </conditionalFormatting>
  <conditionalFormatting sqref="AM25:AN25">
    <cfRule type="expression" dxfId="14080" priority="18799">
      <formula>AM24="X"</formula>
    </cfRule>
    <cfRule type="expression" dxfId="14079" priority="18800">
      <formula>AM24="A"</formula>
    </cfRule>
    <cfRule type="expression" dxfId="14078" priority="18801">
      <formula>AM24="T"</formula>
    </cfRule>
  </conditionalFormatting>
  <conditionalFormatting sqref="AM27:AN27">
    <cfRule type="expression" dxfId="14077" priority="18796">
      <formula>AM26="X"</formula>
    </cfRule>
    <cfRule type="expression" dxfId="14076" priority="18797">
      <formula>AM26="A"</formula>
    </cfRule>
    <cfRule type="expression" dxfId="14075" priority="18798">
      <formula>AM26="T"</formula>
    </cfRule>
  </conditionalFormatting>
  <conditionalFormatting sqref="AM29:AN29">
    <cfRule type="expression" dxfId="14074" priority="18793">
      <formula>AM28="X"</formula>
    </cfRule>
    <cfRule type="expression" dxfId="14073" priority="18794">
      <formula>AM28="A"</formula>
    </cfRule>
    <cfRule type="expression" dxfId="14072" priority="18795">
      <formula>AM28="T"</formula>
    </cfRule>
  </conditionalFormatting>
  <conditionalFormatting sqref="AM31:AN31">
    <cfRule type="expression" dxfId="14071" priority="18790">
      <formula>AM30="X"</formula>
    </cfRule>
    <cfRule type="expression" dxfId="14070" priority="18791">
      <formula>AM30="A"</formula>
    </cfRule>
    <cfRule type="expression" dxfId="14069" priority="18792">
      <formula>AM30="T"</formula>
    </cfRule>
  </conditionalFormatting>
  <conditionalFormatting sqref="AM33:AN33">
    <cfRule type="expression" dxfId="14068" priority="18787">
      <formula>AM32="X"</formula>
    </cfRule>
    <cfRule type="expression" dxfId="14067" priority="18788">
      <formula>AM32="A"</formula>
    </cfRule>
    <cfRule type="expression" dxfId="14066" priority="18789">
      <formula>AM32="T"</formula>
    </cfRule>
  </conditionalFormatting>
  <conditionalFormatting sqref="AM35:AN35">
    <cfRule type="expression" dxfId="14065" priority="18784">
      <formula>AM34="X"</formula>
    </cfRule>
    <cfRule type="expression" dxfId="14064" priority="18785">
      <formula>AM34="A"</formula>
    </cfRule>
    <cfRule type="expression" dxfId="14063" priority="18786">
      <formula>AM34="T"</formula>
    </cfRule>
  </conditionalFormatting>
  <conditionalFormatting sqref="AM37:AN37">
    <cfRule type="expression" dxfId="14062" priority="18781">
      <formula>AM36="X"</formula>
    </cfRule>
    <cfRule type="expression" dxfId="14061" priority="18782">
      <formula>AM36="A"</formula>
    </cfRule>
    <cfRule type="expression" dxfId="14060" priority="18783">
      <formula>AM36="T"</formula>
    </cfRule>
  </conditionalFormatting>
  <conditionalFormatting sqref="AM40:AN40">
    <cfRule type="expression" dxfId="14059" priority="18778">
      <formula>AM39="X"</formula>
    </cfRule>
    <cfRule type="expression" dxfId="14058" priority="18779">
      <formula>AM39="A"</formula>
    </cfRule>
    <cfRule type="expression" dxfId="14057" priority="18780">
      <formula>AM39="T"</formula>
    </cfRule>
  </conditionalFormatting>
  <conditionalFormatting sqref="AM42:AN42">
    <cfRule type="expression" dxfId="14056" priority="18775">
      <formula>AM41="X"</formula>
    </cfRule>
    <cfRule type="expression" dxfId="14055" priority="18776">
      <formula>AM41="A"</formula>
    </cfRule>
    <cfRule type="expression" dxfId="14054" priority="18777">
      <formula>AM41="T"</formula>
    </cfRule>
  </conditionalFormatting>
  <conditionalFormatting sqref="AM44:AN44">
    <cfRule type="expression" dxfId="14053" priority="18772">
      <formula>AM43="X"</formula>
    </cfRule>
    <cfRule type="expression" dxfId="14052" priority="18773">
      <formula>AM43="A"</formula>
    </cfRule>
    <cfRule type="expression" dxfId="14051" priority="18774">
      <formula>AM43="T"</formula>
    </cfRule>
  </conditionalFormatting>
  <conditionalFormatting sqref="AM46:AN46">
    <cfRule type="expression" dxfId="14050" priority="18769">
      <formula>AM45="X"</formula>
    </cfRule>
    <cfRule type="expression" dxfId="14049" priority="18770">
      <formula>AM45="A"</formula>
    </cfRule>
    <cfRule type="expression" dxfId="14048" priority="18771">
      <formula>AM45="T"</formula>
    </cfRule>
  </conditionalFormatting>
  <conditionalFormatting sqref="AM49:AN49">
    <cfRule type="expression" dxfId="14047" priority="18766">
      <formula>AM48="X"</formula>
    </cfRule>
    <cfRule type="expression" dxfId="14046" priority="18767">
      <formula>AM48="A"</formula>
    </cfRule>
    <cfRule type="expression" dxfId="14045" priority="18768">
      <formula>AM48="T"</formula>
    </cfRule>
  </conditionalFormatting>
  <conditionalFormatting sqref="AM51:AN51">
    <cfRule type="expression" dxfId="14044" priority="18763">
      <formula>AM50="X"</formula>
    </cfRule>
    <cfRule type="expression" dxfId="14043" priority="18764">
      <formula>AM50="A"</formula>
    </cfRule>
    <cfRule type="expression" dxfId="14042" priority="18765">
      <formula>AM50="T"</formula>
    </cfRule>
  </conditionalFormatting>
  <conditionalFormatting sqref="AM53:AN53">
    <cfRule type="expression" dxfId="14041" priority="18760">
      <formula>AM52="X"</formula>
    </cfRule>
    <cfRule type="expression" dxfId="14040" priority="18761">
      <formula>AM52="A"</formula>
    </cfRule>
    <cfRule type="expression" dxfId="14039" priority="18762">
      <formula>AM52="T"</formula>
    </cfRule>
  </conditionalFormatting>
  <conditionalFormatting sqref="AM55:AN55">
    <cfRule type="expression" dxfId="14038" priority="18757">
      <formula>AM54="X"</formula>
    </cfRule>
    <cfRule type="expression" dxfId="14037" priority="18758">
      <formula>AM54="A"</formula>
    </cfRule>
    <cfRule type="expression" dxfId="14036" priority="18759">
      <formula>AM54="T"</formula>
    </cfRule>
  </conditionalFormatting>
  <conditionalFormatting sqref="AM57:AN57">
    <cfRule type="expression" dxfId="14035" priority="18754">
      <formula>AM56="X"</formula>
    </cfRule>
    <cfRule type="expression" dxfId="14034" priority="18755">
      <formula>AM56="A"</formula>
    </cfRule>
    <cfRule type="expression" dxfId="14033" priority="18756">
      <formula>AM56="T"</formula>
    </cfRule>
  </conditionalFormatting>
  <conditionalFormatting sqref="AM59:AN59">
    <cfRule type="expression" dxfId="14032" priority="18751">
      <formula>AM58="X"</formula>
    </cfRule>
    <cfRule type="expression" dxfId="14031" priority="18752">
      <formula>AM58="A"</formula>
    </cfRule>
    <cfRule type="expression" dxfId="14030" priority="18753">
      <formula>AM58="T"</formula>
    </cfRule>
  </conditionalFormatting>
  <conditionalFormatting sqref="AM64:AN64">
    <cfRule type="expression" dxfId="14029" priority="18748">
      <formula>AM63="X"</formula>
    </cfRule>
    <cfRule type="expression" dxfId="14028" priority="18749">
      <formula>AM63="A"</formula>
    </cfRule>
    <cfRule type="expression" dxfId="14027" priority="18750">
      <formula>AM63="T"</formula>
    </cfRule>
  </conditionalFormatting>
  <conditionalFormatting sqref="AM66:AN66">
    <cfRule type="expression" dxfId="14026" priority="18745">
      <formula>AM65="X"</formula>
    </cfRule>
    <cfRule type="expression" dxfId="14025" priority="18746">
      <formula>AM65="A"</formula>
    </cfRule>
    <cfRule type="expression" dxfId="14024" priority="18747">
      <formula>AM65="T"</formula>
    </cfRule>
  </conditionalFormatting>
  <conditionalFormatting sqref="AM68:AN68">
    <cfRule type="expression" dxfId="14023" priority="18742">
      <formula>AM67="X"</formula>
    </cfRule>
    <cfRule type="expression" dxfId="14022" priority="18743">
      <formula>AM67="A"</formula>
    </cfRule>
    <cfRule type="expression" dxfId="14021" priority="18744">
      <formula>AM67="T"</formula>
    </cfRule>
  </conditionalFormatting>
  <conditionalFormatting sqref="AM82:AN82">
    <cfRule type="expression" dxfId="14020" priority="18739">
      <formula>AM81="X"</formula>
    </cfRule>
    <cfRule type="expression" dxfId="14019" priority="18740">
      <formula>AM81="A"</formula>
    </cfRule>
    <cfRule type="expression" dxfId="14018" priority="18741">
      <formula>AM81="T"</formula>
    </cfRule>
  </conditionalFormatting>
  <conditionalFormatting sqref="AM84:AN84">
    <cfRule type="expression" dxfId="14017" priority="18736">
      <formula>AM83="X"</formula>
    </cfRule>
    <cfRule type="expression" dxfId="14016" priority="18737">
      <formula>AM83="A"</formula>
    </cfRule>
    <cfRule type="expression" dxfId="14015" priority="18738">
      <formula>AM83="T"</formula>
    </cfRule>
  </conditionalFormatting>
  <conditionalFormatting sqref="AM86:AN86">
    <cfRule type="expression" dxfId="14014" priority="18733">
      <formula>AM85="X"</formula>
    </cfRule>
    <cfRule type="expression" dxfId="14013" priority="18734">
      <formula>AM85="A"</formula>
    </cfRule>
    <cfRule type="expression" dxfId="14012" priority="18735">
      <formula>AM85="T"</formula>
    </cfRule>
  </conditionalFormatting>
  <conditionalFormatting sqref="AM89:AN89">
    <cfRule type="expression" dxfId="14011" priority="18730">
      <formula>AM88="X"</formula>
    </cfRule>
    <cfRule type="expression" dxfId="14010" priority="18731">
      <formula>AM88="A"</formula>
    </cfRule>
    <cfRule type="expression" dxfId="14009" priority="18732">
      <formula>AM88="T"</formula>
    </cfRule>
  </conditionalFormatting>
  <conditionalFormatting sqref="AM91:AN91">
    <cfRule type="expression" dxfId="14008" priority="18727">
      <formula>AM90="X"</formula>
    </cfRule>
    <cfRule type="expression" dxfId="14007" priority="18728">
      <formula>AM90="A"</formula>
    </cfRule>
    <cfRule type="expression" dxfId="14006" priority="18729">
      <formula>AM90="T"</formula>
    </cfRule>
  </conditionalFormatting>
  <conditionalFormatting sqref="AM93:AN93">
    <cfRule type="expression" dxfId="14005" priority="18724">
      <formula>AM92="X"</formula>
    </cfRule>
    <cfRule type="expression" dxfId="14004" priority="18725">
      <formula>AM92="A"</formula>
    </cfRule>
    <cfRule type="expression" dxfId="14003" priority="18726">
      <formula>AM92="T"</formula>
    </cfRule>
  </conditionalFormatting>
  <conditionalFormatting sqref="AM95:AN95">
    <cfRule type="expression" dxfId="14002" priority="18721">
      <formula>AM94="X"</formula>
    </cfRule>
    <cfRule type="expression" dxfId="14001" priority="18722">
      <formula>AM94="A"</formula>
    </cfRule>
    <cfRule type="expression" dxfId="14000" priority="18723">
      <formula>AM94="T"</formula>
    </cfRule>
  </conditionalFormatting>
  <conditionalFormatting sqref="AM97:AN97">
    <cfRule type="expression" dxfId="13999" priority="18718">
      <formula>AM96="X"</formula>
    </cfRule>
    <cfRule type="expression" dxfId="13998" priority="18719">
      <formula>AM96="A"</formula>
    </cfRule>
    <cfRule type="expression" dxfId="13997" priority="18720">
      <formula>AM96="T"</formula>
    </cfRule>
  </conditionalFormatting>
  <conditionalFormatting sqref="AM99:AN99">
    <cfRule type="expression" dxfId="13996" priority="18715">
      <formula>AM98="X"</formula>
    </cfRule>
    <cfRule type="expression" dxfId="13995" priority="18716">
      <formula>AM98="A"</formula>
    </cfRule>
    <cfRule type="expression" dxfId="13994" priority="18717">
      <formula>AM98="T"</formula>
    </cfRule>
  </conditionalFormatting>
  <conditionalFormatting sqref="AM101:AN101">
    <cfRule type="expression" dxfId="13993" priority="18712">
      <formula>AM100="X"</formula>
    </cfRule>
    <cfRule type="expression" dxfId="13992" priority="18713">
      <formula>AM100="A"</formula>
    </cfRule>
    <cfRule type="expression" dxfId="13991" priority="18714">
      <formula>AM100="T"</formula>
    </cfRule>
  </conditionalFormatting>
  <conditionalFormatting sqref="AM103:AN103">
    <cfRule type="expression" dxfId="13990" priority="18709">
      <formula>AM102="X"</formula>
    </cfRule>
    <cfRule type="expression" dxfId="13989" priority="18710">
      <formula>AM102="A"</formula>
    </cfRule>
    <cfRule type="expression" dxfId="13988" priority="18711">
      <formula>AM102="T"</formula>
    </cfRule>
  </conditionalFormatting>
  <conditionalFormatting sqref="AM106:AN106">
    <cfRule type="expression" dxfId="13987" priority="18706">
      <formula>AM105="X"</formula>
    </cfRule>
    <cfRule type="expression" dxfId="13986" priority="18707">
      <formula>AM105="A"</formula>
    </cfRule>
    <cfRule type="expression" dxfId="13985" priority="18708">
      <formula>AM105="T"</formula>
    </cfRule>
  </conditionalFormatting>
  <conditionalFormatting sqref="AM108:AN108">
    <cfRule type="expression" dxfId="13984" priority="18703">
      <formula>AM107="X"</formula>
    </cfRule>
    <cfRule type="expression" dxfId="13983" priority="18704">
      <formula>AM107="A"</formula>
    </cfRule>
    <cfRule type="expression" dxfId="13982" priority="18705">
      <formula>AM107="T"</formula>
    </cfRule>
  </conditionalFormatting>
  <conditionalFormatting sqref="AM110:AN110">
    <cfRule type="expression" dxfId="13981" priority="18700">
      <formula>AM109="X"</formula>
    </cfRule>
    <cfRule type="expression" dxfId="13980" priority="18701">
      <formula>AM109="A"</formula>
    </cfRule>
    <cfRule type="expression" dxfId="13979" priority="18702">
      <formula>AM109="T"</formula>
    </cfRule>
  </conditionalFormatting>
  <conditionalFormatting sqref="AM112:AN112">
    <cfRule type="expression" dxfId="13978" priority="18697">
      <formula>AM111="X"</formula>
    </cfRule>
    <cfRule type="expression" dxfId="13977" priority="18698">
      <formula>AM111="A"</formula>
    </cfRule>
    <cfRule type="expression" dxfId="13976" priority="18699">
      <formula>AM111="T"</formula>
    </cfRule>
  </conditionalFormatting>
  <conditionalFormatting sqref="AM114:AN114">
    <cfRule type="expression" dxfId="13975" priority="18694">
      <formula>AM113="X"</formula>
    </cfRule>
    <cfRule type="expression" dxfId="13974" priority="18695">
      <formula>AM113="A"</formula>
    </cfRule>
    <cfRule type="expression" dxfId="13973" priority="18696">
      <formula>AM113="T"</formula>
    </cfRule>
  </conditionalFormatting>
  <conditionalFormatting sqref="AM117:AN117">
    <cfRule type="expression" dxfId="13972" priority="18691">
      <formula>AM116="X"</formula>
    </cfRule>
    <cfRule type="expression" dxfId="13971" priority="18692">
      <formula>AM116="A"</formula>
    </cfRule>
    <cfRule type="expression" dxfId="13970" priority="18693">
      <formula>AM116="T"</formula>
    </cfRule>
  </conditionalFormatting>
  <conditionalFormatting sqref="AM119:AN119">
    <cfRule type="expression" dxfId="13969" priority="18688">
      <formula>AM118="X"</formula>
    </cfRule>
    <cfRule type="expression" dxfId="13968" priority="18689">
      <formula>AM118="A"</formula>
    </cfRule>
    <cfRule type="expression" dxfId="13967" priority="18690">
      <formula>AM118="T"</formula>
    </cfRule>
  </conditionalFormatting>
  <conditionalFormatting sqref="AM121:AN121">
    <cfRule type="expression" dxfId="13966" priority="18685">
      <formula>AM120="X"</formula>
    </cfRule>
    <cfRule type="expression" dxfId="13965" priority="18686">
      <formula>AM120="A"</formula>
    </cfRule>
    <cfRule type="expression" dxfId="13964" priority="18687">
      <formula>AM120="T"</formula>
    </cfRule>
  </conditionalFormatting>
  <conditionalFormatting sqref="AM123:AN123">
    <cfRule type="expression" dxfId="13963" priority="18682">
      <formula>AM122="X"</formula>
    </cfRule>
    <cfRule type="expression" dxfId="13962" priority="18683">
      <formula>AM122="A"</formula>
    </cfRule>
    <cfRule type="expression" dxfId="13961" priority="18684">
      <formula>AM122="T"</formula>
    </cfRule>
  </conditionalFormatting>
  <conditionalFormatting sqref="AM126:AN126">
    <cfRule type="expression" dxfId="13960" priority="18679">
      <formula>AM125="X"</formula>
    </cfRule>
    <cfRule type="expression" dxfId="13959" priority="18680">
      <formula>AM125="A"</formula>
    </cfRule>
    <cfRule type="expression" dxfId="13958" priority="18681">
      <formula>AM125="T"</formula>
    </cfRule>
  </conditionalFormatting>
  <conditionalFormatting sqref="AM128:AN128">
    <cfRule type="expression" dxfId="13957" priority="18676">
      <formula>AM127="X"</formula>
    </cfRule>
    <cfRule type="expression" dxfId="13956" priority="18677">
      <formula>AM127="A"</formula>
    </cfRule>
    <cfRule type="expression" dxfId="13955" priority="18678">
      <formula>AM127="T"</formula>
    </cfRule>
  </conditionalFormatting>
  <conditionalFormatting sqref="AM142:AN142">
    <cfRule type="expression" dxfId="13954" priority="18673">
      <formula>AM141="X"</formula>
    </cfRule>
    <cfRule type="expression" dxfId="13953" priority="18674">
      <formula>AM141="A"</formula>
    </cfRule>
    <cfRule type="expression" dxfId="13952" priority="18675">
      <formula>AM141="T"</formula>
    </cfRule>
  </conditionalFormatting>
  <conditionalFormatting sqref="AM144:AN144">
    <cfRule type="expression" dxfId="13951" priority="18670">
      <formula>AM143="X"</formula>
    </cfRule>
    <cfRule type="expression" dxfId="13950" priority="18671">
      <formula>AM143="A"</formula>
    </cfRule>
    <cfRule type="expression" dxfId="13949" priority="18672">
      <formula>AM143="T"</formula>
    </cfRule>
  </conditionalFormatting>
  <conditionalFormatting sqref="AM150:AN150">
    <cfRule type="expression" dxfId="13948" priority="18667">
      <formula>AM149="X"</formula>
    </cfRule>
    <cfRule type="expression" dxfId="13947" priority="18668">
      <formula>AM149="A"</formula>
    </cfRule>
    <cfRule type="expression" dxfId="13946" priority="18669">
      <formula>AM149="T"</formula>
    </cfRule>
  </conditionalFormatting>
  <conditionalFormatting sqref="AM152:AN152">
    <cfRule type="expression" dxfId="13945" priority="18664">
      <formula>AM151="X"</formula>
    </cfRule>
    <cfRule type="expression" dxfId="13944" priority="18665">
      <formula>AM151="A"</formula>
    </cfRule>
    <cfRule type="expression" dxfId="13943" priority="18666">
      <formula>AM151="T"</formula>
    </cfRule>
  </conditionalFormatting>
  <conditionalFormatting sqref="AM156:AN156">
    <cfRule type="expression" dxfId="13942" priority="18661">
      <formula>AM155="X"</formula>
    </cfRule>
    <cfRule type="expression" dxfId="13941" priority="18662">
      <formula>AM155="A"</formula>
    </cfRule>
    <cfRule type="expression" dxfId="13940" priority="18663">
      <formula>AM155="T"</formula>
    </cfRule>
  </conditionalFormatting>
  <conditionalFormatting sqref="AM168:AN168">
    <cfRule type="expression" dxfId="13939" priority="18655">
      <formula>AM167="X"</formula>
    </cfRule>
    <cfRule type="expression" dxfId="13938" priority="18656">
      <formula>AM167="A"</formula>
    </cfRule>
    <cfRule type="expression" dxfId="13937" priority="18657">
      <formula>AM167="T"</formula>
    </cfRule>
  </conditionalFormatting>
  <conditionalFormatting sqref="AM170:AN170">
    <cfRule type="expression" dxfId="13936" priority="18652">
      <formula>AM169="X"</formula>
    </cfRule>
    <cfRule type="expression" dxfId="13935" priority="18653">
      <formula>AM169="A"</formula>
    </cfRule>
    <cfRule type="expression" dxfId="13934" priority="18654">
      <formula>AM169="T"</formula>
    </cfRule>
  </conditionalFormatting>
  <conditionalFormatting sqref="AM172:AN172">
    <cfRule type="expression" dxfId="13933" priority="18649">
      <formula>AM171="X"</formula>
    </cfRule>
    <cfRule type="expression" dxfId="13932" priority="18650">
      <formula>AM171="A"</formula>
    </cfRule>
    <cfRule type="expression" dxfId="13931" priority="18651">
      <formula>AM171="T"</formula>
    </cfRule>
  </conditionalFormatting>
  <conditionalFormatting sqref="AM174:AN174">
    <cfRule type="expression" dxfId="13930" priority="18646">
      <formula>AM173="X"</formula>
    </cfRule>
    <cfRule type="expression" dxfId="13929" priority="18647">
      <formula>AM173="A"</formula>
    </cfRule>
    <cfRule type="expression" dxfId="13928" priority="18648">
      <formula>AM173="T"</formula>
    </cfRule>
  </conditionalFormatting>
  <conditionalFormatting sqref="AM176:AN176">
    <cfRule type="expression" dxfId="13927" priority="18643">
      <formula>AM175="X"</formula>
    </cfRule>
    <cfRule type="expression" dxfId="13926" priority="18644">
      <formula>AM175="A"</formula>
    </cfRule>
    <cfRule type="expression" dxfId="13925" priority="18645">
      <formula>AM175="T"</formula>
    </cfRule>
  </conditionalFormatting>
  <conditionalFormatting sqref="AM178:AN178">
    <cfRule type="expression" dxfId="13924" priority="18640">
      <formula>AM177="X"</formula>
    </cfRule>
    <cfRule type="expression" dxfId="13923" priority="18641">
      <formula>AM177="A"</formula>
    </cfRule>
    <cfRule type="expression" dxfId="13922" priority="18642">
      <formula>AM177="T"</formula>
    </cfRule>
  </conditionalFormatting>
  <conditionalFormatting sqref="AM180:AN180">
    <cfRule type="expression" dxfId="13921" priority="18637">
      <formula>AM179="X"</formula>
    </cfRule>
    <cfRule type="expression" dxfId="13920" priority="18638">
      <formula>AM179="A"</formula>
    </cfRule>
    <cfRule type="expression" dxfId="13919" priority="18639">
      <formula>AM179="T"</formula>
    </cfRule>
  </conditionalFormatting>
  <conditionalFormatting sqref="AM184:AN184">
    <cfRule type="expression" dxfId="13918" priority="18634">
      <formula>AM183="X"</formula>
    </cfRule>
    <cfRule type="expression" dxfId="13917" priority="18635">
      <formula>AM183="A"</formula>
    </cfRule>
    <cfRule type="expression" dxfId="13916" priority="18636">
      <formula>AM183="T"</formula>
    </cfRule>
  </conditionalFormatting>
  <conditionalFormatting sqref="AM186:AN186">
    <cfRule type="expression" dxfId="13915" priority="18631">
      <formula>AM185="X"</formula>
    </cfRule>
    <cfRule type="expression" dxfId="13914" priority="18632">
      <formula>AM185="A"</formula>
    </cfRule>
    <cfRule type="expression" dxfId="13913" priority="18633">
      <formula>AM185="T"</formula>
    </cfRule>
  </conditionalFormatting>
  <conditionalFormatting sqref="AM190:AN190">
    <cfRule type="expression" dxfId="13912" priority="18628">
      <formula>AM189="X"</formula>
    </cfRule>
    <cfRule type="expression" dxfId="13911" priority="18629">
      <formula>AM189="A"</formula>
    </cfRule>
    <cfRule type="expression" dxfId="13910" priority="18630">
      <formula>AM189="T"</formula>
    </cfRule>
  </conditionalFormatting>
  <conditionalFormatting sqref="AM192:AN192">
    <cfRule type="expression" dxfId="13909" priority="18625">
      <formula>AM191="X"</formula>
    </cfRule>
    <cfRule type="expression" dxfId="13908" priority="18626">
      <formula>AM191="A"</formula>
    </cfRule>
    <cfRule type="expression" dxfId="13907" priority="18627">
      <formula>AM191="T"</formula>
    </cfRule>
  </conditionalFormatting>
  <conditionalFormatting sqref="AM208:AN208">
    <cfRule type="expression" dxfId="13906" priority="18622">
      <formula>AM207="X"</formula>
    </cfRule>
    <cfRule type="expression" dxfId="13905" priority="18623">
      <formula>AM207="A"</formula>
    </cfRule>
    <cfRule type="expression" dxfId="13904" priority="18624">
      <formula>AM207="T"</formula>
    </cfRule>
  </conditionalFormatting>
  <conditionalFormatting sqref="AM211:AN211">
    <cfRule type="expression" dxfId="13903" priority="18619">
      <formula>AM211="X"</formula>
    </cfRule>
    <cfRule type="expression" dxfId="13902" priority="18620">
      <formula>AM211="A"</formula>
    </cfRule>
    <cfRule type="expression" dxfId="13901" priority="18621">
      <formula>AM211="T"</formula>
    </cfRule>
  </conditionalFormatting>
  <conditionalFormatting sqref="AM212:AN212">
    <cfRule type="expression" dxfId="13900" priority="18616">
      <formula>AM211="X"</formula>
    </cfRule>
    <cfRule type="expression" dxfId="13899" priority="18617">
      <formula>AM211="A"</formula>
    </cfRule>
    <cfRule type="expression" dxfId="13898" priority="18618">
      <formula>AM211="T"</formula>
    </cfRule>
  </conditionalFormatting>
  <conditionalFormatting sqref="AM213:AN213">
    <cfRule type="expression" dxfId="13897" priority="18613">
      <formula>AM213="X"</formula>
    </cfRule>
    <cfRule type="expression" dxfId="13896" priority="18614">
      <formula>AM213="A"</formula>
    </cfRule>
    <cfRule type="expression" dxfId="13895" priority="18615">
      <formula>AM213="T"</formula>
    </cfRule>
  </conditionalFormatting>
  <conditionalFormatting sqref="AM214:AN214">
    <cfRule type="expression" dxfId="13894" priority="18610">
      <formula>AM213="X"</formula>
    </cfRule>
    <cfRule type="expression" dxfId="13893" priority="18611">
      <formula>AM213="A"</formula>
    </cfRule>
    <cfRule type="expression" dxfId="13892" priority="18612">
      <formula>AM213="T"</formula>
    </cfRule>
  </conditionalFormatting>
  <conditionalFormatting sqref="AM215:AN215">
    <cfRule type="expression" dxfId="13891" priority="18607">
      <formula>AM215="X"</formula>
    </cfRule>
    <cfRule type="expression" dxfId="13890" priority="18608">
      <formula>AM215="A"</formula>
    </cfRule>
    <cfRule type="expression" dxfId="13889" priority="18609">
      <formula>AM215="T"</formula>
    </cfRule>
  </conditionalFormatting>
  <conditionalFormatting sqref="AM216:AN216">
    <cfRule type="expression" dxfId="13888" priority="18604">
      <formula>AM215="X"</formula>
    </cfRule>
    <cfRule type="expression" dxfId="13887" priority="18605">
      <formula>AM215="A"</formula>
    </cfRule>
    <cfRule type="expression" dxfId="13886" priority="18606">
      <formula>AM215="T"</formula>
    </cfRule>
  </conditionalFormatting>
  <conditionalFormatting sqref="AM217:AN217">
    <cfRule type="expression" dxfId="13885" priority="18601">
      <formula>AM217="X"</formula>
    </cfRule>
    <cfRule type="expression" dxfId="13884" priority="18602">
      <formula>AM217="A"</formula>
    </cfRule>
    <cfRule type="expression" dxfId="13883" priority="18603">
      <formula>AM217="T"</formula>
    </cfRule>
  </conditionalFormatting>
  <conditionalFormatting sqref="AM218:AN218">
    <cfRule type="expression" dxfId="13882" priority="18598">
      <formula>AM217="X"</formula>
    </cfRule>
    <cfRule type="expression" dxfId="13881" priority="18599">
      <formula>AM217="A"</formula>
    </cfRule>
    <cfRule type="expression" dxfId="13880" priority="18600">
      <formula>AM217="T"</formula>
    </cfRule>
  </conditionalFormatting>
  <conditionalFormatting sqref="AM219:AN219">
    <cfRule type="expression" dxfId="13879" priority="18595">
      <formula>AM219="X"</formula>
    </cfRule>
    <cfRule type="expression" dxfId="13878" priority="18596">
      <formula>AM219="A"</formula>
    </cfRule>
    <cfRule type="expression" dxfId="13877" priority="18597">
      <formula>AM219="T"</formula>
    </cfRule>
  </conditionalFormatting>
  <conditionalFormatting sqref="AM220:AN220">
    <cfRule type="expression" dxfId="13876" priority="18592">
      <formula>AM219="X"</formula>
    </cfRule>
    <cfRule type="expression" dxfId="13875" priority="18593">
      <formula>AM219="A"</formula>
    </cfRule>
    <cfRule type="expression" dxfId="13874" priority="18594">
      <formula>AM219="T"</formula>
    </cfRule>
  </conditionalFormatting>
  <conditionalFormatting sqref="AM221:AN221">
    <cfRule type="expression" dxfId="13873" priority="18589">
      <formula>AM221="X"</formula>
    </cfRule>
    <cfRule type="expression" dxfId="13872" priority="18590">
      <formula>AM221="A"</formula>
    </cfRule>
    <cfRule type="expression" dxfId="13871" priority="18591">
      <formula>AM221="T"</formula>
    </cfRule>
  </conditionalFormatting>
  <conditionalFormatting sqref="AM222:AN222">
    <cfRule type="expression" dxfId="13870" priority="18586">
      <formula>AM221="X"</formula>
    </cfRule>
    <cfRule type="expression" dxfId="13869" priority="18587">
      <formula>AM221="A"</formula>
    </cfRule>
    <cfRule type="expression" dxfId="13868" priority="18588">
      <formula>AM221="T"</formula>
    </cfRule>
  </conditionalFormatting>
  <conditionalFormatting sqref="AM223:AN223">
    <cfRule type="expression" dxfId="13867" priority="18583">
      <formula>AM223="X"</formula>
    </cfRule>
    <cfRule type="expression" dxfId="13866" priority="18584">
      <formula>AM223="A"</formula>
    </cfRule>
    <cfRule type="expression" dxfId="13865" priority="18585">
      <formula>AM223="T"</formula>
    </cfRule>
  </conditionalFormatting>
  <conditionalFormatting sqref="AM224:AN224">
    <cfRule type="expression" dxfId="13864" priority="18580">
      <formula>AM223="X"</formula>
    </cfRule>
    <cfRule type="expression" dxfId="13863" priority="18581">
      <formula>AM223="A"</formula>
    </cfRule>
    <cfRule type="expression" dxfId="13862" priority="18582">
      <formula>AM223="T"</formula>
    </cfRule>
  </conditionalFormatting>
  <conditionalFormatting sqref="AM4:AN4">
    <cfRule type="expression" dxfId="13861" priority="18577">
      <formula>AM4="X"</formula>
    </cfRule>
    <cfRule type="expression" dxfId="13860" priority="18578">
      <formula>AM4="A"</formula>
    </cfRule>
    <cfRule type="expression" dxfId="13859" priority="18579">
      <formula>AM4="T"</formula>
    </cfRule>
  </conditionalFormatting>
  <conditionalFormatting sqref="AM5:AN5">
    <cfRule type="expression" dxfId="13858" priority="18574">
      <formula>AM4="X"</formula>
    </cfRule>
    <cfRule type="expression" dxfId="13857" priority="18575">
      <formula>AM4="A"</formula>
    </cfRule>
    <cfRule type="expression" dxfId="13856" priority="18576">
      <formula>AM4="T"</formula>
    </cfRule>
  </conditionalFormatting>
  <conditionalFormatting sqref="AM6:AN6">
    <cfRule type="expression" dxfId="13855" priority="18571">
      <formula>AM6="X"</formula>
    </cfRule>
    <cfRule type="expression" dxfId="13854" priority="18572">
      <formula>AM6="A"</formula>
    </cfRule>
    <cfRule type="expression" dxfId="13853" priority="18573">
      <formula>AM6="T"</formula>
    </cfRule>
  </conditionalFormatting>
  <conditionalFormatting sqref="AM7:AN7">
    <cfRule type="expression" dxfId="13852" priority="18568">
      <formula>AM6="X"</formula>
    </cfRule>
    <cfRule type="expression" dxfId="13851" priority="18569">
      <formula>AM6="A"</formula>
    </cfRule>
    <cfRule type="expression" dxfId="13850" priority="18570">
      <formula>AM6="T"</formula>
    </cfRule>
  </conditionalFormatting>
  <conditionalFormatting sqref="AM8:AN8">
    <cfRule type="expression" dxfId="13849" priority="18565">
      <formula>AM8="X"</formula>
    </cfRule>
    <cfRule type="expression" dxfId="13848" priority="18566">
      <formula>AM8="A"</formula>
    </cfRule>
    <cfRule type="expression" dxfId="13847" priority="18567">
      <formula>AM8="T"</formula>
    </cfRule>
  </conditionalFormatting>
  <conditionalFormatting sqref="AM9:AN9">
    <cfRule type="expression" dxfId="13846" priority="18562">
      <formula>AM8="X"</formula>
    </cfRule>
    <cfRule type="expression" dxfId="13845" priority="18563">
      <formula>AM8="A"</formula>
    </cfRule>
    <cfRule type="expression" dxfId="13844" priority="18564">
      <formula>AM8="T"</formula>
    </cfRule>
  </conditionalFormatting>
  <conditionalFormatting sqref="AM74:AN74">
    <cfRule type="expression" dxfId="13843" priority="18559">
      <formula>AM74="X"</formula>
    </cfRule>
    <cfRule type="expression" dxfId="13842" priority="18560">
      <formula>AM74="A"</formula>
    </cfRule>
    <cfRule type="expression" dxfId="13841" priority="18561">
      <formula>AM74="T"</formula>
    </cfRule>
  </conditionalFormatting>
  <conditionalFormatting sqref="AM75:AN75">
    <cfRule type="expression" dxfId="13840" priority="18556">
      <formula>AM74="X"</formula>
    </cfRule>
    <cfRule type="expression" dxfId="13839" priority="18557">
      <formula>AM74="A"</formula>
    </cfRule>
    <cfRule type="expression" dxfId="13838" priority="18558">
      <formula>AM74="T"</formula>
    </cfRule>
  </conditionalFormatting>
  <conditionalFormatting sqref="AM76:AN76">
    <cfRule type="expression" dxfId="13837" priority="18553">
      <formula>AM76="X"</formula>
    </cfRule>
    <cfRule type="expression" dxfId="13836" priority="18554">
      <formula>AM76="A"</formula>
    </cfRule>
    <cfRule type="expression" dxfId="13835" priority="18555">
      <formula>AM76="T"</formula>
    </cfRule>
  </conditionalFormatting>
  <conditionalFormatting sqref="AM77:AN77">
    <cfRule type="expression" dxfId="13834" priority="18550">
      <formula>AM76="X"</formula>
    </cfRule>
    <cfRule type="expression" dxfId="13833" priority="18551">
      <formula>AM76="A"</formula>
    </cfRule>
    <cfRule type="expression" dxfId="13832" priority="18552">
      <formula>AM76="T"</formula>
    </cfRule>
  </conditionalFormatting>
  <conditionalFormatting sqref="AM78:AN78">
    <cfRule type="expression" dxfId="13831" priority="18547">
      <formula>AM78="X"</formula>
    </cfRule>
    <cfRule type="expression" dxfId="13830" priority="18548">
      <formula>AM78="A"</formula>
    </cfRule>
    <cfRule type="expression" dxfId="13829" priority="18549">
      <formula>AM78="T"</formula>
    </cfRule>
  </conditionalFormatting>
  <conditionalFormatting sqref="AM79:AN79">
    <cfRule type="expression" dxfId="13828" priority="18544">
      <formula>AM78="X"</formula>
    </cfRule>
    <cfRule type="expression" dxfId="13827" priority="18545">
      <formula>AM78="A"</formula>
    </cfRule>
    <cfRule type="expression" dxfId="13826" priority="18546">
      <formula>AM78="T"</formula>
    </cfRule>
  </conditionalFormatting>
  <conditionalFormatting sqref="AM134:AN134">
    <cfRule type="expression" dxfId="13825" priority="18541">
      <formula>AM134="X"</formula>
    </cfRule>
    <cfRule type="expression" dxfId="13824" priority="18542">
      <formula>AM134="A"</formula>
    </cfRule>
    <cfRule type="expression" dxfId="13823" priority="18543">
      <formula>AM134="T"</formula>
    </cfRule>
  </conditionalFormatting>
  <conditionalFormatting sqref="AM135:AN135">
    <cfRule type="expression" dxfId="13822" priority="18538">
      <formula>AM134="X"</formula>
    </cfRule>
    <cfRule type="expression" dxfId="13821" priority="18539">
      <formula>AM134="A"</formula>
    </cfRule>
    <cfRule type="expression" dxfId="13820" priority="18540">
      <formula>AM134="T"</formula>
    </cfRule>
  </conditionalFormatting>
  <conditionalFormatting sqref="AM136:AN136">
    <cfRule type="expression" dxfId="13819" priority="18535">
      <formula>AM136="X"</formula>
    </cfRule>
    <cfRule type="expression" dxfId="13818" priority="18536">
      <formula>AM136="A"</formula>
    </cfRule>
    <cfRule type="expression" dxfId="13817" priority="18537">
      <formula>AM136="T"</formula>
    </cfRule>
  </conditionalFormatting>
  <conditionalFormatting sqref="AM137:AN137">
    <cfRule type="expression" dxfId="13816" priority="18532">
      <formula>AM136="X"</formula>
    </cfRule>
    <cfRule type="expression" dxfId="13815" priority="18533">
      <formula>AM136="A"</formula>
    </cfRule>
    <cfRule type="expression" dxfId="13814" priority="18534">
      <formula>AM136="T"</formula>
    </cfRule>
  </conditionalFormatting>
  <conditionalFormatting sqref="AM138:AN138">
    <cfRule type="expression" dxfId="13813" priority="18529">
      <formula>AM138="X"</formula>
    </cfRule>
    <cfRule type="expression" dxfId="13812" priority="18530">
      <formula>AM138="A"</formula>
    </cfRule>
    <cfRule type="expression" dxfId="13811" priority="18531">
      <formula>AM138="T"</formula>
    </cfRule>
  </conditionalFormatting>
  <conditionalFormatting sqref="AM139:AN139">
    <cfRule type="expression" dxfId="13810" priority="18526">
      <formula>AM138="X"</formula>
    </cfRule>
    <cfRule type="expression" dxfId="13809" priority="18527">
      <formula>AM138="A"</formula>
    </cfRule>
    <cfRule type="expression" dxfId="13808" priority="18528">
      <formula>AM138="T"</formula>
    </cfRule>
  </conditionalFormatting>
  <conditionalFormatting sqref="AM15:AN15">
    <cfRule type="expression" dxfId="13807" priority="18520" stopIfTrue="1">
      <formula>AM11=""</formula>
    </cfRule>
  </conditionalFormatting>
  <conditionalFormatting sqref="AM15:AN15">
    <cfRule type="expression" dxfId="13806" priority="18521" stopIfTrue="1">
      <formula>AM15=1</formula>
    </cfRule>
    <cfRule type="colorScale" priority="18522">
      <colorScale>
        <cfvo type="num" val="0"/>
        <cfvo type="num" val="0.5"/>
        <cfvo type="num" val="1"/>
        <color rgb="FFF8696B"/>
        <color theme="4" tint="0.79998168889431442"/>
        <color rgb="FF5A8AC6"/>
      </colorScale>
    </cfRule>
  </conditionalFormatting>
  <conditionalFormatting sqref="AM38:AN38">
    <cfRule type="expression" dxfId="13805" priority="18517" stopIfTrue="1">
      <formula>AM16=""</formula>
    </cfRule>
  </conditionalFormatting>
  <conditionalFormatting sqref="AM38:AN38">
    <cfRule type="expression" dxfId="13804" priority="18518" stopIfTrue="1">
      <formula>AM38=1</formula>
    </cfRule>
    <cfRule type="colorScale" priority="18519">
      <colorScale>
        <cfvo type="num" val="0"/>
        <cfvo type="num" val="0.5"/>
        <cfvo type="num" val="1"/>
        <color rgb="FFF8696B"/>
        <color theme="4" tint="0.79998168889431442"/>
        <color rgb="FF5A8AC6"/>
      </colorScale>
    </cfRule>
  </conditionalFormatting>
  <conditionalFormatting sqref="AM47:AN47">
    <cfRule type="expression" dxfId="13803" priority="18514" stopIfTrue="1">
      <formula>AM39=""</formula>
    </cfRule>
  </conditionalFormatting>
  <conditionalFormatting sqref="AM47:AN47">
    <cfRule type="expression" dxfId="13802" priority="18515" stopIfTrue="1">
      <formula>AM47=1</formula>
    </cfRule>
    <cfRule type="colorScale" priority="18516">
      <colorScale>
        <cfvo type="num" val="0"/>
        <cfvo type="num" val="0.5"/>
        <cfvo type="num" val="1"/>
        <color rgb="FFF8696B"/>
        <color theme="4" tint="0.79998168889431442"/>
        <color rgb="FF5A8AC6"/>
      </colorScale>
    </cfRule>
  </conditionalFormatting>
  <conditionalFormatting sqref="AM62:AN62">
    <cfRule type="expression" dxfId="13801" priority="18511" stopIfTrue="1">
      <formula>AM48=""</formula>
    </cfRule>
  </conditionalFormatting>
  <conditionalFormatting sqref="AM62:AN62">
    <cfRule type="expression" dxfId="13800" priority="18512" stopIfTrue="1">
      <formula>AM62=1</formula>
    </cfRule>
    <cfRule type="colorScale" priority="18513">
      <colorScale>
        <cfvo type="num" val="0"/>
        <cfvo type="num" val="0.5"/>
        <cfvo type="num" val="1"/>
        <color rgb="FFF8696B"/>
        <color theme="4" tint="0.79998168889431442"/>
        <color rgb="FF5A8AC6"/>
      </colorScale>
    </cfRule>
  </conditionalFormatting>
  <conditionalFormatting sqref="AM69:AN69">
    <cfRule type="expression" dxfId="13799" priority="18508" stopIfTrue="1">
      <formula>AM63=""</formula>
    </cfRule>
  </conditionalFormatting>
  <conditionalFormatting sqref="AM69:AN69">
    <cfRule type="expression" dxfId="13798" priority="18509" stopIfTrue="1">
      <formula>AM69=1</formula>
    </cfRule>
    <cfRule type="colorScale" priority="18510">
      <colorScale>
        <cfvo type="num" val="0"/>
        <cfvo type="num" val="0.5"/>
        <cfvo type="num" val="1"/>
        <color rgb="FFF8696B"/>
        <color theme="4" tint="0.79998168889431442"/>
        <color rgb="FF5A8AC6"/>
      </colorScale>
    </cfRule>
  </conditionalFormatting>
  <conditionalFormatting sqref="AM230:AN236">
    <cfRule type="expression" dxfId="13797" priority="18461" stopIfTrue="1">
      <formula>AM230=_xlfn.UNICHAR(10003)</formula>
    </cfRule>
    <cfRule type="colorScale" priority="18462">
      <colorScale>
        <cfvo type="num" val="0"/>
        <cfvo type="num" val="0.5"/>
        <cfvo type="num" val="1"/>
        <color rgb="FFF8696B"/>
        <color theme="4" tint="0.79998168889431442"/>
        <color rgb="FF5A8AC6"/>
      </colorScale>
    </cfRule>
  </conditionalFormatting>
  <conditionalFormatting sqref="AM239:AN241">
    <cfRule type="expression" dxfId="13796" priority="18459" stopIfTrue="1">
      <formula>AM239=_xlfn.UNICHAR(10003)</formula>
    </cfRule>
    <cfRule type="colorScale" priority="18460">
      <colorScale>
        <cfvo type="num" val="0"/>
        <cfvo type="num" val="0.5"/>
        <cfvo type="num" val="1"/>
        <color rgb="FFF8696B"/>
        <color theme="4" tint="0.79998168889431442"/>
        <color rgb="FF5A8AC6"/>
      </colorScale>
    </cfRule>
  </conditionalFormatting>
  <conditionalFormatting sqref="AM239:AN241">
    <cfRule type="expression" dxfId="13795" priority="18457" stopIfTrue="1">
      <formula>AM239=1</formula>
    </cfRule>
    <cfRule type="colorScale" priority="18458">
      <colorScale>
        <cfvo type="num" val="0"/>
        <cfvo type="num" val="0.5"/>
        <cfvo type="num" val="1"/>
        <color rgb="FFF8696B"/>
        <color theme="4" tint="0.79998168889431442"/>
        <color rgb="FF5A8AC6"/>
      </colorScale>
    </cfRule>
  </conditionalFormatting>
  <conditionalFormatting sqref="AM195:AN195">
    <cfRule type="expression" dxfId="13794" priority="18445">
      <formula>AM195="X"</formula>
    </cfRule>
    <cfRule type="expression" dxfId="13793" priority="18446">
      <formula>AM195="A"</formula>
    </cfRule>
    <cfRule type="expression" dxfId="13792" priority="18447">
      <formula>AM195="T"</formula>
    </cfRule>
  </conditionalFormatting>
  <conditionalFormatting sqref="AM203:AN203">
    <cfRule type="expression" dxfId="13791" priority="18442">
      <formula>AM203="X"</formula>
    </cfRule>
    <cfRule type="expression" dxfId="13790" priority="18443">
      <formula>AM203="A"</formula>
    </cfRule>
    <cfRule type="expression" dxfId="13789" priority="18444">
      <formula>AM203="T"</formula>
    </cfRule>
  </conditionalFormatting>
  <conditionalFormatting sqref="AM205:AN205">
    <cfRule type="expression" dxfId="13788" priority="18439">
      <formula>AM205="X"</formula>
    </cfRule>
    <cfRule type="expression" dxfId="13787" priority="18440">
      <formula>AM205="A"</formula>
    </cfRule>
    <cfRule type="expression" dxfId="13786" priority="18441">
      <formula>AM205="T"</formula>
    </cfRule>
  </conditionalFormatting>
  <conditionalFormatting sqref="AM207:AN207">
    <cfRule type="expression" dxfId="13785" priority="18436">
      <formula>AM207="X"</formula>
    </cfRule>
    <cfRule type="expression" dxfId="13784" priority="18437">
      <formula>AM207="A"</formula>
    </cfRule>
    <cfRule type="expression" dxfId="13783" priority="18438">
      <formula>AM207="T"</formula>
    </cfRule>
  </conditionalFormatting>
  <conditionalFormatting sqref="AM204:AN204">
    <cfRule type="expression" dxfId="13782" priority="18433">
      <formula>AM203="X"</formula>
    </cfRule>
    <cfRule type="expression" dxfId="13781" priority="18434">
      <formula>AM203="A"</formula>
    </cfRule>
    <cfRule type="expression" dxfId="13780" priority="18435">
      <formula>AM203="T"</formula>
    </cfRule>
  </conditionalFormatting>
  <conditionalFormatting sqref="AM206:AN206">
    <cfRule type="expression" dxfId="13779" priority="18430">
      <formula>AM205="X"</formula>
    </cfRule>
    <cfRule type="expression" dxfId="13778" priority="18431">
      <formula>AM205="A"</formula>
    </cfRule>
    <cfRule type="expression" dxfId="13777" priority="18432">
      <formula>AM205="T"</formula>
    </cfRule>
  </conditionalFormatting>
  <conditionalFormatting sqref="AM196:AN196">
    <cfRule type="expression" dxfId="13776" priority="18427">
      <formula>AM195="X"</formula>
    </cfRule>
    <cfRule type="expression" dxfId="13775" priority="18428">
      <formula>AM195="A"</formula>
    </cfRule>
    <cfRule type="expression" dxfId="13774" priority="18429">
      <formula>AM195="T"</formula>
    </cfRule>
  </conditionalFormatting>
  <conditionalFormatting sqref="AM197:AN197">
    <cfRule type="expression" dxfId="13773" priority="18424">
      <formula>AM197="X"</formula>
    </cfRule>
    <cfRule type="expression" dxfId="13772" priority="18425">
      <formula>AM197="A"</formula>
    </cfRule>
    <cfRule type="expression" dxfId="13771" priority="18426">
      <formula>AM197="T"</formula>
    </cfRule>
  </conditionalFormatting>
  <conditionalFormatting sqref="AM198:AN198">
    <cfRule type="expression" dxfId="13770" priority="18421">
      <formula>AM197="X"</formula>
    </cfRule>
    <cfRule type="expression" dxfId="13769" priority="18422">
      <formula>AM197="A"</formula>
    </cfRule>
    <cfRule type="expression" dxfId="13768" priority="18423">
      <formula>AM197="T"</formula>
    </cfRule>
  </conditionalFormatting>
  <conditionalFormatting sqref="AM199:AN199">
    <cfRule type="expression" dxfId="13767" priority="18418">
      <formula>AM199="X"</formula>
    </cfRule>
    <cfRule type="expression" dxfId="13766" priority="18419">
      <formula>AM199="A"</formula>
    </cfRule>
    <cfRule type="expression" dxfId="13765" priority="18420">
      <formula>AM199="T"</formula>
    </cfRule>
  </conditionalFormatting>
  <conditionalFormatting sqref="AM200:AN200">
    <cfRule type="expression" dxfId="13764" priority="18415">
      <formula>AM199="X"</formula>
    </cfRule>
    <cfRule type="expression" dxfId="13763" priority="18416">
      <formula>AM199="A"</formula>
    </cfRule>
    <cfRule type="expression" dxfId="13762" priority="18417">
      <formula>AM199="T"</formula>
    </cfRule>
  </conditionalFormatting>
  <conditionalFormatting sqref="AM201:AN201">
    <cfRule type="expression" dxfId="13761" priority="18412">
      <formula>AM201="X"</formula>
    </cfRule>
    <cfRule type="expression" dxfId="13760" priority="18413">
      <formula>AM201="A"</formula>
    </cfRule>
    <cfRule type="expression" dxfId="13759" priority="18414">
      <formula>AM201="T"</formula>
    </cfRule>
  </conditionalFormatting>
  <conditionalFormatting sqref="AM202:AN202">
    <cfRule type="expression" dxfId="13758" priority="18409">
      <formula>AM201="X"</formula>
    </cfRule>
    <cfRule type="expression" dxfId="13757" priority="18410">
      <formula>AM201="A"</formula>
    </cfRule>
    <cfRule type="expression" dxfId="13756" priority="18411">
      <formula>AM201="T"</formula>
    </cfRule>
  </conditionalFormatting>
  <conditionalFormatting sqref="AP16 AP18 AP20 AP22 AP24 AP26 AP28 AP39 AP41 AP43 AP45 AP48 AP81 AP88 AP90 AP92 AP94 AP96 AP98 AP100 AP102 AP105 AP107 AP109 AP111 AP116">
    <cfRule type="expression" dxfId="13755" priority="17868">
      <formula>AP16="X"</formula>
    </cfRule>
    <cfRule type="expression" dxfId="13754" priority="17869">
      <formula>AP16="A"</formula>
    </cfRule>
    <cfRule type="expression" dxfId="13753" priority="17870">
      <formula>AP16="T"</formula>
    </cfRule>
  </conditionalFormatting>
  <conditionalFormatting sqref="AP36">
    <cfRule type="expression" dxfId="13752" priority="17865">
      <formula>AP36="X"</formula>
    </cfRule>
    <cfRule type="expression" dxfId="13751" priority="17866">
      <formula>AP36="A"</formula>
    </cfRule>
    <cfRule type="expression" dxfId="13750" priority="17867">
      <formula>AP36="T"</formula>
    </cfRule>
  </conditionalFormatting>
  <conditionalFormatting sqref="AP34">
    <cfRule type="expression" dxfId="13749" priority="17862">
      <formula>AP34="X"</formula>
    </cfRule>
    <cfRule type="expression" dxfId="13748" priority="17863">
      <formula>AP34="A"</formula>
    </cfRule>
    <cfRule type="expression" dxfId="13747" priority="17864">
      <formula>AP34="T"</formula>
    </cfRule>
  </conditionalFormatting>
  <conditionalFormatting sqref="AP32">
    <cfRule type="expression" dxfId="13746" priority="17859">
      <formula>AP32="X"</formula>
    </cfRule>
    <cfRule type="expression" dxfId="13745" priority="17860">
      <formula>AP32="A"</formula>
    </cfRule>
    <cfRule type="expression" dxfId="13744" priority="17861">
      <formula>AP32="T"</formula>
    </cfRule>
  </conditionalFormatting>
  <conditionalFormatting sqref="AP30">
    <cfRule type="expression" dxfId="13743" priority="17856">
      <formula>AP30="X"</formula>
    </cfRule>
    <cfRule type="expression" dxfId="13742" priority="17857">
      <formula>AP30="A"</formula>
    </cfRule>
    <cfRule type="expression" dxfId="13741" priority="17858">
      <formula>AP30="T"</formula>
    </cfRule>
  </conditionalFormatting>
  <conditionalFormatting sqref="AP52">
    <cfRule type="expression" dxfId="13740" priority="17853">
      <formula>AP52="X"</formula>
    </cfRule>
    <cfRule type="expression" dxfId="13739" priority="17854">
      <formula>AP52="A"</formula>
    </cfRule>
    <cfRule type="expression" dxfId="13738" priority="17855">
      <formula>AP52="T"</formula>
    </cfRule>
  </conditionalFormatting>
  <conditionalFormatting sqref="AP50">
    <cfRule type="expression" dxfId="13737" priority="17850">
      <formula>AP50="X"</formula>
    </cfRule>
    <cfRule type="expression" dxfId="13736" priority="17851">
      <formula>AP50="A"</formula>
    </cfRule>
    <cfRule type="expression" dxfId="13735" priority="17852">
      <formula>AP50="T"</formula>
    </cfRule>
  </conditionalFormatting>
  <conditionalFormatting sqref="AP54">
    <cfRule type="expression" dxfId="13734" priority="17847">
      <formula>AP54="X"</formula>
    </cfRule>
    <cfRule type="expression" dxfId="13733" priority="17848">
      <formula>AP54="A"</formula>
    </cfRule>
    <cfRule type="expression" dxfId="13732" priority="17849">
      <formula>AP54="T"</formula>
    </cfRule>
  </conditionalFormatting>
  <conditionalFormatting sqref="AP56">
    <cfRule type="expression" dxfId="13731" priority="17844">
      <formula>AP56="X"</formula>
    </cfRule>
    <cfRule type="expression" dxfId="13730" priority="17845">
      <formula>AP56="A"</formula>
    </cfRule>
    <cfRule type="expression" dxfId="13729" priority="17846">
      <formula>AP56="T"</formula>
    </cfRule>
  </conditionalFormatting>
  <conditionalFormatting sqref="AP58">
    <cfRule type="expression" dxfId="13728" priority="17841">
      <formula>AP58="X"</formula>
    </cfRule>
    <cfRule type="expression" dxfId="13727" priority="17842">
      <formula>AP58="A"</formula>
    </cfRule>
    <cfRule type="expression" dxfId="13726" priority="17843">
      <formula>AP58="T"</formula>
    </cfRule>
  </conditionalFormatting>
  <conditionalFormatting sqref="AP63">
    <cfRule type="expression" dxfId="13725" priority="17838">
      <formula>AP63="X"</formula>
    </cfRule>
    <cfRule type="expression" dxfId="13724" priority="17839">
      <formula>AP63="A"</formula>
    </cfRule>
    <cfRule type="expression" dxfId="13723" priority="17840">
      <formula>AP63="T"</formula>
    </cfRule>
  </conditionalFormatting>
  <conditionalFormatting sqref="AP65">
    <cfRule type="expression" dxfId="13722" priority="17835">
      <formula>AP65="X"</formula>
    </cfRule>
    <cfRule type="expression" dxfId="13721" priority="17836">
      <formula>AP65="A"</formula>
    </cfRule>
    <cfRule type="expression" dxfId="13720" priority="17837">
      <formula>AP65="T"</formula>
    </cfRule>
  </conditionalFormatting>
  <conditionalFormatting sqref="AP83">
    <cfRule type="expression" dxfId="13719" priority="17832">
      <formula>AP83="X"</formula>
    </cfRule>
    <cfRule type="expression" dxfId="13718" priority="17833">
      <formula>AP83="A"</formula>
    </cfRule>
    <cfRule type="expression" dxfId="13717" priority="17834">
      <formula>AP83="T"</formula>
    </cfRule>
  </conditionalFormatting>
  <conditionalFormatting sqref="AP85">
    <cfRule type="expression" dxfId="13716" priority="17829">
      <formula>AP85="X"</formula>
    </cfRule>
    <cfRule type="expression" dxfId="13715" priority="17830">
      <formula>AP85="A"</formula>
    </cfRule>
    <cfRule type="expression" dxfId="13714" priority="17831">
      <formula>AP85="T"</formula>
    </cfRule>
  </conditionalFormatting>
  <conditionalFormatting sqref="AP67">
    <cfRule type="expression" dxfId="13713" priority="17826">
      <formula>AP67="X"</formula>
    </cfRule>
    <cfRule type="expression" dxfId="13712" priority="17827">
      <formula>AP67="A"</formula>
    </cfRule>
    <cfRule type="expression" dxfId="13711" priority="17828">
      <formula>AP67="T"</formula>
    </cfRule>
  </conditionalFormatting>
  <conditionalFormatting sqref="AP113">
    <cfRule type="expression" dxfId="13710" priority="17823">
      <formula>AP113="X"</formula>
    </cfRule>
    <cfRule type="expression" dxfId="13709" priority="17824">
      <formula>AP113="A"</formula>
    </cfRule>
    <cfRule type="expression" dxfId="13708" priority="17825">
      <formula>AP113="T"</formula>
    </cfRule>
  </conditionalFormatting>
  <conditionalFormatting sqref="AP118">
    <cfRule type="expression" dxfId="13707" priority="17820">
      <formula>AP118="X"</formula>
    </cfRule>
    <cfRule type="expression" dxfId="13706" priority="17821">
      <formula>AP118="A"</formula>
    </cfRule>
    <cfRule type="expression" dxfId="13705" priority="17822">
      <formula>AP118="T"</formula>
    </cfRule>
  </conditionalFormatting>
  <conditionalFormatting sqref="AP120">
    <cfRule type="expression" dxfId="13704" priority="17817">
      <formula>AP120="X"</formula>
    </cfRule>
    <cfRule type="expression" dxfId="13703" priority="17818">
      <formula>AP120="A"</formula>
    </cfRule>
    <cfRule type="expression" dxfId="13702" priority="17819">
      <formula>AP120="T"</formula>
    </cfRule>
  </conditionalFormatting>
  <conditionalFormatting sqref="AP122">
    <cfRule type="expression" dxfId="13701" priority="17814">
      <formula>AP122="X"</formula>
    </cfRule>
    <cfRule type="expression" dxfId="13700" priority="17815">
      <formula>AP122="A"</formula>
    </cfRule>
    <cfRule type="expression" dxfId="13699" priority="17816">
      <formula>AP122="T"</formula>
    </cfRule>
  </conditionalFormatting>
  <conditionalFormatting sqref="AP125">
    <cfRule type="expression" dxfId="13698" priority="17811">
      <formula>AP125="X"</formula>
    </cfRule>
    <cfRule type="expression" dxfId="13697" priority="17812">
      <formula>AP125="A"</formula>
    </cfRule>
    <cfRule type="expression" dxfId="13696" priority="17813">
      <formula>AP125="T"</formula>
    </cfRule>
  </conditionalFormatting>
  <conditionalFormatting sqref="AP127">
    <cfRule type="expression" dxfId="13695" priority="17808">
      <formula>AP127="X"</formula>
    </cfRule>
    <cfRule type="expression" dxfId="13694" priority="17809">
      <formula>AP127="A"</formula>
    </cfRule>
    <cfRule type="expression" dxfId="13693" priority="17810">
      <formula>AP127="T"</formula>
    </cfRule>
  </conditionalFormatting>
  <conditionalFormatting sqref="AP141">
    <cfRule type="expression" dxfId="13692" priority="17805">
      <formula>AP141="X"</formula>
    </cfRule>
    <cfRule type="expression" dxfId="13691" priority="17806">
      <formula>AP141="A"</formula>
    </cfRule>
    <cfRule type="expression" dxfId="13690" priority="17807">
      <formula>AP141="T"</formula>
    </cfRule>
  </conditionalFormatting>
  <conditionalFormatting sqref="AP143">
    <cfRule type="expression" dxfId="13689" priority="17802">
      <formula>AP143="X"</formula>
    </cfRule>
    <cfRule type="expression" dxfId="13688" priority="17803">
      <formula>AP143="A"</formula>
    </cfRule>
    <cfRule type="expression" dxfId="13687" priority="17804">
      <formula>AP143="T"</formula>
    </cfRule>
  </conditionalFormatting>
  <conditionalFormatting sqref="AP149">
    <cfRule type="expression" dxfId="13686" priority="17799">
      <formula>AP149="X"</formula>
    </cfRule>
    <cfRule type="expression" dxfId="13685" priority="17800">
      <formula>AP149="A"</formula>
    </cfRule>
    <cfRule type="expression" dxfId="13684" priority="17801">
      <formula>AP149="T"</formula>
    </cfRule>
  </conditionalFormatting>
  <conditionalFormatting sqref="AP151">
    <cfRule type="expression" dxfId="13683" priority="17796">
      <formula>AP151="X"</formula>
    </cfRule>
    <cfRule type="expression" dxfId="13682" priority="17797">
      <formula>AP151="A"</formula>
    </cfRule>
    <cfRule type="expression" dxfId="13681" priority="17798">
      <formula>AP151="T"</formula>
    </cfRule>
  </conditionalFormatting>
  <conditionalFormatting sqref="AP155">
    <cfRule type="expression" dxfId="13680" priority="17793">
      <formula>AP155="X"</formula>
    </cfRule>
    <cfRule type="expression" dxfId="13679" priority="17794">
      <formula>AP155="A"</formula>
    </cfRule>
    <cfRule type="expression" dxfId="13678" priority="17795">
      <formula>AP155="T"</formula>
    </cfRule>
  </conditionalFormatting>
  <conditionalFormatting sqref="AP157">
    <cfRule type="expression" dxfId="13677" priority="17790">
      <formula>AP157="X"</formula>
    </cfRule>
    <cfRule type="expression" dxfId="13676" priority="17791">
      <formula>AP157="A"</formula>
    </cfRule>
    <cfRule type="expression" dxfId="13675" priority="17792">
      <formula>AP157="T"</formula>
    </cfRule>
  </conditionalFormatting>
  <conditionalFormatting sqref="AP167">
    <cfRule type="expression" dxfId="13674" priority="17787">
      <formula>AP167="X"</formula>
    </cfRule>
    <cfRule type="expression" dxfId="13673" priority="17788">
      <formula>AP167="A"</formula>
    </cfRule>
    <cfRule type="expression" dxfId="13672" priority="17789">
      <formula>AP167="T"</formula>
    </cfRule>
  </conditionalFormatting>
  <conditionalFormatting sqref="AP173">
    <cfRule type="expression" dxfId="13671" priority="17784">
      <formula>AP173="X"</formula>
    </cfRule>
    <cfRule type="expression" dxfId="13670" priority="17785">
      <formula>AP173="A"</formula>
    </cfRule>
    <cfRule type="expression" dxfId="13669" priority="17786">
      <formula>AP173="T"</formula>
    </cfRule>
  </conditionalFormatting>
  <conditionalFormatting sqref="AP175">
    <cfRule type="expression" dxfId="13668" priority="17781">
      <formula>AP175="X"</formula>
    </cfRule>
    <cfRule type="expression" dxfId="13667" priority="17782">
      <formula>AP175="A"</formula>
    </cfRule>
    <cfRule type="expression" dxfId="13666" priority="17783">
      <formula>AP175="T"</formula>
    </cfRule>
  </conditionalFormatting>
  <conditionalFormatting sqref="AP177">
    <cfRule type="expression" dxfId="13665" priority="17778">
      <formula>AP177="X"</formula>
    </cfRule>
    <cfRule type="expression" dxfId="13664" priority="17779">
      <formula>AP177="A"</formula>
    </cfRule>
    <cfRule type="expression" dxfId="13663" priority="17780">
      <formula>AP177="T"</formula>
    </cfRule>
  </conditionalFormatting>
  <conditionalFormatting sqref="AP179">
    <cfRule type="expression" dxfId="13662" priority="17775">
      <formula>AP179="X"</formula>
    </cfRule>
    <cfRule type="expression" dxfId="13661" priority="17776">
      <formula>AP179="A"</formula>
    </cfRule>
    <cfRule type="expression" dxfId="13660" priority="17777">
      <formula>AP179="T"</formula>
    </cfRule>
  </conditionalFormatting>
  <conditionalFormatting sqref="AP169">
    <cfRule type="expression" dxfId="13659" priority="17772">
      <formula>AP169="X"</formula>
    </cfRule>
    <cfRule type="expression" dxfId="13658" priority="17773">
      <formula>AP169="A"</formula>
    </cfRule>
    <cfRule type="expression" dxfId="13657" priority="17774">
      <formula>AP169="T"</formula>
    </cfRule>
  </conditionalFormatting>
  <conditionalFormatting sqref="AP171">
    <cfRule type="expression" dxfId="13656" priority="17769">
      <formula>AP171="X"</formula>
    </cfRule>
    <cfRule type="expression" dxfId="13655" priority="17770">
      <formula>AP171="A"</formula>
    </cfRule>
    <cfRule type="expression" dxfId="13654" priority="17771">
      <formula>AP171="T"</formula>
    </cfRule>
  </conditionalFormatting>
  <conditionalFormatting sqref="AP183">
    <cfRule type="expression" dxfId="13653" priority="17766">
      <formula>AP183="X"</formula>
    </cfRule>
    <cfRule type="expression" dxfId="13652" priority="17767">
      <formula>AP183="A"</formula>
    </cfRule>
    <cfRule type="expression" dxfId="13651" priority="17768">
      <formula>AP183="T"</formula>
    </cfRule>
  </conditionalFormatting>
  <conditionalFormatting sqref="AP185">
    <cfRule type="expression" dxfId="13650" priority="17763">
      <formula>AP185="X"</formula>
    </cfRule>
    <cfRule type="expression" dxfId="13649" priority="17764">
      <formula>AP185="A"</formula>
    </cfRule>
    <cfRule type="expression" dxfId="13648" priority="17765">
      <formula>AP185="T"</formula>
    </cfRule>
  </conditionalFormatting>
  <conditionalFormatting sqref="AP189">
    <cfRule type="expression" dxfId="13647" priority="17760">
      <formula>AP189="X"</formula>
    </cfRule>
    <cfRule type="expression" dxfId="13646" priority="17761">
      <formula>AP189="A"</formula>
    </cfRule>
    <cfRule type="expression" dxfId="13645" priority="17762">
      <formula>AP189="T"</formula>
    </cfRule>
  </conditionalFormatting>
  <conditionalFormatting sqref="AP191">
    <cfRule type="expression" dxfId="13644" priority="17757">
      <formula>AP191="X"</formula>
    </cfRule>
    <cfRule type="expression" dxfId="13643" priority="17758">
      <formula>AP191="A"</formula>
    </cfRule>
    <cfRule type="expression" dxfId="13642" priority="17759">
      <formula>AP191="T"</formula>
    </cfRule>
  </conditionalFormatting>
  <conditionalFormatting sqref="AP11">
    <cfRule type="expression" dxfId="13641" priority="17754">
      <formula>AP11="X"</formula>
    </cfRule>
    <cfRule type="expression" dxfId="13640" priority="17755">
      <formula>AP11="A"</formula>
    </cfRule>
    <cfRule type="expression" dxfId="13639" priority="17756">
      <formula>AP11="T"</formula>
    </cfRule>
  </conditionalFormatting>
  <conditionalFormatting sqref="AP12">
    <cfRule type="expression" dxfId="13638" priority="17751">
      <formula>AP11="X"</formula>
    </cfRule>
    <cfRule type="expression" dxfId="13637" priority="17752">
      <formula>AP11="A"</formula>
    </cfRule>
    <cfRule type="expression" dxfId="13636" priority="17753">
      <formula>AP11="T"</formula>
    </cfRule>
  </conditionalFormatting>
  <conditionalFormatting sqref="AP13">
    <cfRule type="expression" dxfId="13635" priority="17748">
      <formula>AP13="X"</formula>
    </cfRule>
    <cfRule type="expression" dxfId="13634" priority="17749">
      <formula>AP13="A"</formula>
    </cfRule>
    <cfRule type="expression" dxfId="13633" priority="17750">
      <formula>AP13="T"</formula>
    </cfRule>
  </conditionalFormatting>
  <conditionalFormatting sqref="AP14">
    <cfRule type="expression" dxfId="13632" priority="17745">
      <formula>AP13="X"</formula>
    </cfRule>
    <cfRule type="expression" dxfId="13631" priority="17746">
      <formula>AP13="A"</formula>
    </cfRule>
    <cfRule type="expression" dxfId="13630" priority="17747">
      <formula>AP13="T"</formula>
    </cfRule>
  </conditionalFormatting>
  <conditionalFormatting sqref="AP17">
    <cfRule type="expression" dxfId="13629" priority="17742">
      <formula>AP16="X"</formula>
    </cfRule>
    <cfRule type="expression" dxfId="13628" priority="17743">
      <formula>AP16="A"</formula>
    </cfRule>
    <cfRule type="expression" dxfId="13627" priority="17744">
      <formula>AP16="T"</formula>
    </cfRule>
  </conditionalFormatting>
  <conditionalFormatting sqref="AP19">
    <cfRule type="expression" dxfId="13626" priority="17736">
      <formula>AP18="X"</formula>
    </cfRule>
    <cfRule type="expression" dxfId="13625" priority="17737">
      <formula>AP18="A"</formula>
    </cfRule>
    <cfRule type="expression" dxfId="13624" priority="17738">
      <formula>AP18="T"</formula>
    </cfRule>
  </conditionalFormatting>
  <conditionalFormatting sqref="AP21">
    <cfRule type="expression" dxfId="13623" priority="17733">
      <formula>AP20="X"</formula>
    </cfRule>
    <cfRule type="expression" dxfId="13622" priority="17734">
      <formula>AP20="A"</formula>
    </cfRule>
    <cfRule type="expression" dxfId="13621" priority="17735">
      <formula>AP20="T"</formula>
    </cfRule>
  </conditionalFormatting>
  <conditionalFormatting sqref="AP23">
    <cfRule type="expression" dxfId="13620" priority="17730">
      <formula>AP22="X"</formula>
    </cfRule>
    <cfRule type="expression" dxfId="13619" priority="17731">
      <formula>AP22="A"</formula>
    </cfRule>
    <cfRule type="expression" dxfId="13618" priority="17732">
      <formula>AP22="T"</formula>
    </cfRule>
  </conditionalFormatting>
  <conditionalFormatting sqref="AP25">
    <cfRule type="expression" dxfId="13617" priority="17727">
      <formula>AP24="X"</formula>
    </cfRule>
    <cfRule type="expression" dxfId="13616" priority="17728">
      <formula>AP24="A"</formula>
    </cfRule>
    <cfRule type="expression" dxfId="13615" priority="17729">
      <formula>AP24="T"</formula>
    </cfRule>
  </conditionalFormatting>
  <conditionalFormatting sqref="AP27">
    <cfRule type="expression" dxfId="13614" priority="17724">
      <formula>AP26="X"</formula>
    </cfRule>
    <cfRule type="expression" dxfId="13613" priority="17725">
      <formula>AP26="A"</formula>
    </cfRule>
    <cfRule type="expression" dxfId="13612" priority="17726">
      <formula>AP26="T"</formula>
    </cfRule>
  </conditionalFormatting>
  <conditionalFormatting sqref="AP29">
    <cfRule type="expression" dxfId="13611" priority="17721">
      <formula>AP28="X"</formula>
    </cfRule>
    <cfRule type="expression" dxfId="13610" priority="17722">
      <formula>AP28="A"</formula>
    </cfRule>
    <cfRule type="expression" dxfId="13609" priority="17723">
      <formula>AP28="T"</formula>
    </cfRule>
  </conditionalFormatting>
  <conditionalFormatting sqref="AP31">
    <cfRule type="expression" dxfId="13608" priority="17718">
      <formula>AP30="X"</formula>
    </cfRule>
    <cfRule type="expression" dxfId="13607" priority="17719">
      <formula>AP30="A"</formula>
    </cfRule>
    <cfRule type="expression" dxfId="13606" priority="17720">
      <formula>AP30="T"</formula>
    </cfRule>
  </conditionalFormatting>
  <conditionalFormatting sqref="AP33">
    <cfRule type="expression" dxfId="13605" priority="17715">
      <formula>AP32="X"</formula>
    </cfRule>
    <cfRule type="expression" dxfId="13604" priority="17716">
      <formula>AP32="A"</formula>
    </cfRule>
    <cfRule type="expression" dxfId="13603" priority="17717">
      <formula>AP32="T"</formula>
    </cfRule>
  </conditionalFormatting>
  <conditionalFormatting sqref="AP35">
    <cfRule type="expression" dxfId="13602" priority="17712">
      <formula>AP34="X"</formula>
    </cfRule>
    <cfRule type="expression" dxfId="13601" priority="17713">
      <formula>AP34="A"</formula>
    </cfRule>
    <cfRule type="expression" dxfId="13600" priority="17714">
      <formula>AP34="T"</formula>
    </cfRule>
  </conditionalFormatting>
  <conditionalFormatting sqref="AP37">
    <cfRule type="expression" dxfId="13599" priority="17709">
      <formula>AP36="X"</formula>
    </cfRule>
    <cfRule type="expression" dxfId="13598" priority="17710">
      <formula>AP36="A"</formula>
    </cfRule>
    <cfRule type="expression" dxfId="13597" priority="17711">
      <formula>AP36="T"</formula>
    </cfRule>
  </conditionalFormatting>
  <conditionalFormatting sqref="AP40">
    <cfRule type="expression" dxfId="13596" priority="17706">
      <formula>AP39="X"</formula>
    </cfRule>
    <cfRule type="expression" dxfId="13595" priority="17707">
      <formula>AP39="A"</formula>
    </cfRule>
    <cfRule type="expression" dxfId="13594" priority="17708">
      <formula>AP39="T"</formula>
    </cfRule>
  </conditionalFormatting>
  <conditionalFormatting sqref="AP42">
    <cfRule type="expression" dxfId="13593" priority="17703">
      <formula>AP41="X"</formula>
    </cfRule>
    <cfRule type="expression" dxfId="13592" priority="17704">
      <formula>AP41="A"</formula>
    </cfRule>
    <cfRule type="expression" dxfId="13591" priority="17705">
      <formula>AP41="T"</formula>
    </cfRule>
  </conditionalFormatting>
  <conditionalFormatting sqref="AP44">
    <cfRule type="expression" dxfId="13590" priority="17700">
      <formula>AP43="X"</formula>
    </cfRule>
    <cfRule type="expression" dxfId="13589" priority="17701">
      <formula>AP43="A"</formula>
    </cfRule>
    <cfRule type="expression" dxfId="13588" priority="17702">
      <formula>AP43="T"</formula>
    </cfRule>
  </conditionalFormatting>
  <conditionalFormatting sqref="AP46">
    <cfRule type="expression" dxfId="13587" priority="17697">
      <formula>AP45="X"</formula>
    </cfRule>
    <cfRule type="expression" dxfId="13586" priority="17698">
      <formula>AP45="A"</formula>
    </cfRule>
    <cfRule type="expression" dxfId="13585" priority="17699">
      <formula>AP45="T"</formula>
    </cfRule>
  </conditionalFormatting>
  <conditionalFormatting sqref="AP49">
    <cfRule type="expression" dxfId="13584" priority="17694">
      <formula>AP48="X"</formula>
    </cfRule>
    <cfRule type="expression" dxfId="13583" priority="17695">
      <formula>AP48="A"</formula>
    </cfRule>
    <cfRule type="expression" dxfId="13582" priority="17696">
      <formula>AP48="T"</formula>
    </cfRule>
  </conditionalFormatting>
  <conditionalFormatting sqref="AP51">
    <cfRule type="expression" dxfId="13581" priority="17691">
      <formula>AP50="X"</formula>
    </cfRule>
    <cfRule type="expression" dxfId="13580" priority="17692">
      <formula>AP50="A"</formula>
    </cfRule>
    <cfRule type="expression" dxfId="13579" priority="17693">
      <formula>AP50="T"</formula>
    </cfRule>
  </conditionalFormatting>
  <conditionalFormatting sqref="AP53">
    <cfRule type="expression" dxfId="13578" priority="17688">
      <formula>AP52="X"</formula>
    </cfRule>
    <cfRule type="expression" dxfId="13577" priority="17689">
      <formula>AP52="A"</formula>
    </cfRule>
    <cfRule type="expression" dxfId="13576" priority="17690">
      <formula>AP52="T"</formula>
    </cfRule>
  </conditionalFormatting>
  <conditionalFormatting sqref="AP55">
    <cfRule type="expression" dxfId="13575" priority="17685">
      <formula>AP54="X"</formula>
    </cfRule>
    <cfRule type="expression" dxfId="13574" priority="17686">
      <formula>AP54="A"</formula>
    </cfRule>
    <cfRule type="expression" dxfId="13573" priority="17687">
      <formula>AP54="T"</formula>
    </cfRule>
  </conditionalFormatting>
  <conditionalFormatting sqref="AP57">
    <cfRule type="expression" dxfId="13572" priority="17682">
      <formula>AP56="X"</formula>
    </cfRule>
    <cfRule type="expression" dxfId="13571" priority="17683">
      <formula>AP56="A"</formula>
    </cfRule>
    <cfRule type="expression" dxfId="13570" priority="17684">
      <formula>AP56="T"</formula>
    </cfRule>
  </conditionalFormatting>
  <conditionalFormatting sqref="AP59">
    <cfRule type="expression" dxfId="13569" priority="17679">
      <formula>AP58="X"</formula>
    </cfRule>
    <cfRule type="expression" dxfId="13568" priority="17680">
      <formula>AP58="A"</formula>
    </cfRule>
    <cfRule type="expression" dxfId="13567" priority="17681">
      <formula>AP58="T"</formula>
    </cfRule>
  </conditionalFormatting>
  <conditionalFormatting sqref="AP64">
    <cfRule type="expression" dxfId="13566" priority="17676">
      <formula>AP63="X"</formula>
    </cfRule>
    <cfRule type="expression" dxfId="13565" priority="17677">
      <formula>AP63="A"</formula>
    </cfRule>
    <cfRule type="expression" dxfId="13564" priority="17678">
      <formula>AP63="T"</formula>
    </cfRule>
  </conditionalFormatting>
  <conditionalFormatting sqref="AP66">
    <cfRule type="expression" dxfId="13563" priority="17673">
      <formula>AP65="X"</formula>
    </cfRule>
    <cfRule type="expression" dxfId="13562" priority="17674">
      <formula>AP65="A"</formula>
    </cfRule>
    <cfRule type="expression" dxfId="13561" priority="17675">
      <formula>AP65="T"</formula>
    </cfRule>
  </conditionalFormatting>
  <conditionalFormatting sqref="AP68">
    <cfRule type="expression" dxfId="13560" priority="17670">
      <formula>AP67="X"</formula>
    </cfRule>
    <cfRule type="expression" dxfId="13559" priority="17671">
      <formula>AP67="A"</formula>
    </cfRule>
    <cfRule type="expression" dxfId="13558" priority="17672">
      <formula>AP67="T"</formula>
    </cfRule>
  </conditionalFormatting>
  <conditionalFormatting sqref="AP82">
    <cfRule type="expression" dxfId="13557" priority="17667">
      <formula>AP81="X"</formula>
    </cfRule>
    <cfRule type="expression" dxfId="13556" priority="17668">
      <formula>AP81="A"</formula>
    </cfRule>
    <cfRule type="expression" dxfId="13555" priority="17669">
      <formula>AP81="T"</formula>
    </cfRule>
  </conditionalFormatting>
  <conditionalFormatting sqref="AP84">
    <cfRule type="expression" dxfId="13554" priority="17664">
      <formula>AP83="X"</formula>
    </cfRule>
    <cfRule type="expression" dxfId="13553" priority="17665">
      <formula>AP83="A"</formula>
    </cfRule>
    <cfRule type="expression" dxfId="13552" priority="17666">
      <formula>AP83="T"</formula>
    </cfRule>
  </conditionalFormatting>
  <conditionalFormatting sqref="AP86">
    <cfRule type="expression" dxfId="13551" priority="17661">
      <formula>AP85="X"</formula>
    </cfRule>
    <cfRule type="expression" dxfId="13550" priority="17662">
      <formula>AP85="A"</formula>
    </cfRule>
    <cfRule type="expression" dxfId="13549" priority="17663">
      <formula>AP85="T"</formula>
    </cfRule>
  </conditionalFormatting>
  <conditionalFormatting sqref="AP89">
    <cfRule type="expression" dxfId="13548" priority="17658">
      <formula>AP88="X"</formula>
    </cfRule>
    <cfRule type="expression" dxfId="13547" priority="17659">
      <formula>AP88="A"</formula>
    </cfRule>
    <cfRule type="expression" dxfId="13546" priority="17660">
      <formula>AP88="T"</formula>
    </cfRule>
  </conditionalFormatting>
  <conditionalFormatting sqref="AP91">
    <cfRule type="expression" dxfId="13545" priority="17655">
      <formula>AP90="X"</formula>
    </cfRule>
    <cfRule type="expression" dxfId="13544" priority="17656">
      <formula>AP90="A"</formula>
    </cfRule>
    <cfRule type="expression" dxfId="13543" priority="17657">
      <formula>AP90="T"</formula>
    </cfRule>
  </conditionalFormatting>
  <conditionalFormatting sqref="AP93">
    <cfRule type="expression" dxfId="13542" priority="17652">
      <formula>AP92="X"</formula>
    </cfRule>
    <cfRule type="expression" dxfId="13541" priority="17653">
      <formula>AP92="A"</formula>
    </cfRule>
    <cfRule type="expression" dxfId="13540" priority="17654">
      <formula>AP92="T"</formula>
    </cfRule>
  </conditionalFormatting>
  <conditionalFormatting sqref="AP95">
    <cfRule type="expression" dxfId="13539" priority="17649">
      <formula>AP94="X"</formula>
    </cfRule>
    <cfRule type="expression" dxfId="13538" priority="17650">
      <formula>AP94="A"</formula>
    </cfRule>
    <cfRule type="expression" dxfId="13537" priority="17651">
      <formula>AP94="T"</formula>
    </cfRule>
  </conditionalFormatting>
  <conditionalFormatting sqref="AP97">
    <cfRule type="expression" dxfId="13536" priority="17646">
      <formula>AP96="X"</formula>
    </cfRule>
    <cfRule type="expression" dxfId="13535" priority="17647">
      <formula>AP96="A"</formula>
    </cfRule>
    <cfRule type="expression" dxfId="13534" priority="17648">
      <formula>AP96="T"</formula>
    </cfRule>
  </conditionalFormatting>
  <conditionalFormatting sqref="AP99">
    <cfRule type="expression" dxfId="13533" priority="17643">
      <formula>AP98="X"</formula>
    </cfRule>
    <cfRule type="expression" dxfId="13532" priority="17644">
      <formula>AP98="A"</formula>
    </cfRule>
    <cfRule type="expression" dxfId="13531" priority="17645">
      <formula>AP98="T"</formula>
    </cfRule>
  </conditionalFormatting>
  <conditionalFormatting sqref="AP101">
    <cfRule type="expression" dxfId="13530" priority="17640">
      <formula>AP100="X"</formula>
    </cfRule>
    <cfRule type="expression" dxfId="13529" priority="17641">
      <formula>AP100="A"</formula>
    </cfRule>
    <cfRule type="expression" dxfId="13528" priority="17642">
      <formula>AP100="T"</formula>
    </cfRule>
  </conditionalFormatting>
  <conditionalFormatting sqref="AP103">
    <cfRule type="expression" dxfId="13527" priority="17637">
      <formula>AP102="X"</formula>
    </cfRule>
    <cfRule type="expression" dxfId="13526" priority="17638">
      <formula>AP102="A"</formula>
    </cfRule>
    <cfRule type="expression" dxfId="13525" priority="17639">
      <formula>AP102="T"</formula>
    </cfRule>
  </conditionalFormatting>
  <conditionalFormatting sqref="AP106">
    <cfRule type="expression" dxfId="13524" priority="17634">
      <formula>AP105="X"</formula>
    </cfRule>
    <cfRule type="expression" dxfId="13523" priority="17635">
      <formula>AP105="A"</formula>
    </cfRule>
    <cfRule type="expression" dxfId="13522" priority="17636">
      <formula>AP105="T"</formula>
    </cfRule>
  </conditionalFormatting>
  <conditionalFormatting sqref="AP108">
    <cfRule type="expression" dxfId="13521" priority="17631">
      <formula>AP107="X"</formula>
    </cfRule>
    <cfRule type="expression" dxfId="13520" priority="17632">
      <formula>AP107="A"</formula>
    </cfRule>
    <cfRule type="expression" dxfId="13519" priority="17633">
      <formula>AP107="T"</formula>
    </cfRule>
  </conditionalFormatting>
  <conditionalFormatting sqref="AP110">
    <cfRule type="expression" dxfId="13518" priority="17628">
      <formula>AP109="X"</formula>
    </cfRule>
    <cfRule type="expression" dxfId="13517" priority="17629">
      <formula>AP109="A"</formula>
    </cfRule>
    <cfRule type="expression" dxfId="13516" priority="17630">
      <formula>AP109="T"</formula>
    </cfRule>
  </conditionalFormatting>
  <conditionalFormatting sqref="AP112">
    <cfRule type="expression" dxfId="13515" priority="17625">
      <formula>AP111="X"</formula>
    </cfRule>
    <cfRule type="expression" dxfId="13514" priority="17626">
      <formula>AP111="A"</formula>
    </cfRule>
    <cfRule type="expression" dxfId="13513" priority="17627">
      <formula>AP111="T"</formula>
    </cfRule>
  </conditionalFormatting>
  <conditionalFormatting sqref="AP114">
    <cfRule type="expression" dxfId="13512" priority="17622">
      <formula>AP113="X"</formula>
    </cfRule>
    <cfRule type="expression" dxfId="13511" priority="17623">
      <formula>AP113="A"</formula>
    </cfRule>
    <cfRule type="expression" dxfId="13510" priority="17624">
      <formula>AP113="T"</formula>
    </cfRule>
  </conditionalFormatting>
  <conditionalFormatting sqref="AP117">
    <cfRule type="expression" dxfId="13509" priority="17619">
      <formula>AP116="X"</formula>
    </cfRule>
    <cfRule type="expression" dxfId="13508" priority="17620">
      <formula>AP116="A"</formula>
    </cfRule>
    <cfRule type="expression" dxfId="13507" priority="17621">
      <formula>AP116="T"</formula>
    </cfRule>
  </conditionalFormatting>
  <conditionalFormatting sqref="AP119">
    <cfRule type="expression" dxfId="13506" priority="17616">
      <formula>AP118="X"</formula>
    </cfRule>
    <cfRule type="expression" dxfId="13505" priority="17617">
      <formula>AP118="A"</formula>
    </cfRule>
    <cfRule type="expression" dxfId="13504" priority="17618">
      <formula>AP118="T"</formula>
    </cfRule>
  </conditionalFormatting>
  <conditionalFormatting sqref="AP121">
    <cfRule type="expression" dxfId="13503" priority="17613">
      <formula>AP120="X"</formula>
    </cfRule>
    <cfRule type="expression" dxfId="13502" priority="17614">
      <formula>AP120="A"</formula>
    </cfRule>
    <cfRule type="expression" dxfId="13501" priority="17615">
      <formula>AP120="T"</formula>
    </cfRule>
  </conditionalFormatting>
  <conditionalFormatting sqref="AP123">
    <cfRule type="expression" dxfId="13500" priority="17610">
      <formula>AP122="X"</formula>
    </cfRule>
    <cfRule type="expression" dxfId="13499" priority="17611">
      <formula>AP122="A"</formula>
    </cfRule>
    <cfRule type="expression" dxfId="13498" priority="17612">
      <formula>AP122="T"</formula>
    </cfRule>
  </conditionalFormatting>
  <conditionalFormatting sqref="AP126">
    <cfRule type="expression" dxfId="13497" priority="17607">
      <formula>AP125="X"</formula>
    </cfRule>
    <cfRule type="expression" dxfId="13496" priority="17608">
      <formula>AP125="A"</formula>
    </cfRule>
    <cfRule type="expression" dxfId="13495" priority="17609">
      <formula>AP125="T"</formula>
    </cfRule>
  </conditionalFormatting>
  <conditionalFormatting sqref="AP128">
    <cfRule type="expression" dxfId="13494" priority="17604">
      <formula>AP127="X"</formula>
    </cfRule>
    <cfRule type="expression" dxfId="13493" priority="17605">
      <formula>AP127="A"</formula>
    </cfRule>
    <cfRule type="expression" dxfId="13492" priority="17606">
      <formula>AP127="T"</formula>
    </cfRule>
  </conditionalFormatting>
  <conditionalFormatting sqref="AP142">
    <cfRule type="expression" dxfId="13491" priority="17601">
      <formula>AP141="X"</formula>
    </cfRule>
    <cfRule type="expression" dxfId="13490" priority="17602">
      <formula>AP141="A"</formula>
    </cfRule>
    <cfRule type="expression" dxfId="13489" priority="17603">
      <formula>AP141="T"</formula>
    </cfRule>
  </conditionalFormatting>
  <conditionalFormatting sqref="AP144">
    <cfRule type="expression" dxfId="13488" priority="17598">
      <formula>AP143="X"</formula>
    </cfRule>
    <cfRule type="expression" dxfId="13487" priority="17599">
      <formula>AP143="A"</formula>
    </cfRule>
    <cfRule type="expression" dxfId="13486" priority="17600">
      <formula>AP143="T"</formula>
    </cfRule>
  </conditionalFormatting>
  <conditionalFormatting sqref="AP150">
    <cfRule type="expression" dxfId="13485" priority="17595">
      <formula>AP149="X"</formula>
    </cfRule>
    <cfRule type="expression" dxfId="13484" priority="17596">
      <formula>AP149="A"</formula>
    </cfRule>
    <cfRule type="expression" dxfId="13483" priority="17597">
      <formula>AP149="T"</formula>
    </cfRule>
  </conditionalFormatting>
  <conditionalFormatting sqref="AP152">
    <cfRule type="expression" dxfId="13482" priority="17592">
      <formula>AP151="X"</formula>
    </cfRule>
    <cfRule type="expression" dxfId="13481" priority="17593">
      <formula>AP151="A"</formula>
    </cfRule>
    <cfRule type="expression" dxfId="13480" priority="17594">
      <formula>AP151="T"</formula>
    </cfRule>
  </conditionalFormatting>
  <conditionalFormatting sqref="AP156">
    <cfRule type="expression" dxfId="13479" priority="17589">
      <formula>AP155="X"</formula>
    </cfRule>
    <cfRule type="expression" dxfId="13478" priority="17590">
      <formula>AP155="A"</formula>
    </cfRule>
    <cfRule type="expression" dxfId="13477" priority="17591">
      <formula>AP155="T"</formula>
    </cfRule>
  </conditionalFormatting>
  <conditionalFormatting sqref="AP168">
    <cfRule type="expression" dxfId="13476" priority="17583">
      <formula>AP167="X"</formula>
    </cfRule>
    <cfRule type="expression" dxfId="13475" priority="17584">
      <formula>AP167="A"</formula>
    </cfRule>
    <cfRule type="expression" dxfId="13474" priority="17585">
      <formula>AP167="T"</formula>
    </cfRule>
  </conditionalFormatting>
  <conditionalFormatting sqref="AP170">
    <cfRule type="expression" dxfId="13473" priority="17580">
      <formula>AP169="X"</formula>
    </cfRule>
    <cfRule type="expression" dxfId="13472" priority="17581">
      <formula>AP169="A"</formula>
    </cfRule>
    <cfRule type="expression" dxfId="13471" priority="17582">
      <formula>AP169="T"</formula>
    </cfRule>
  </conditionalFormatting>
  <conditionalFormatting sqref="AP172">
    <cfRule type="expression" dxfId="13470" priority="17577">
      <formula>AP171="X"</formula>
    </cfRule>
    <cfRule type="expression" dxfId="13469" priority="17578">
      <formula>AP171="A"</formula>
    </cfRule>
    <cfRule type="expression" dxfId="13468" priority="17579">
      <formula>AP171="T"</formula>
    </cfRule>
  </conditionalFormatting>
  <conditionalFormatting sqref="AP174">
    <cfRule type="expression" dxfId="13467" priority="17574">
      <formula>AP173="X"</formula>
    </cfRule>
    <cfRule type="expression" dxfId="13466" priority="17575">
      <formula>AP173="A"</formula>
    </cfRule>
    <cfRule type="expression" dxfId="13465" priority="17576">
      <formula>AP173="T"</formula>
    </cfRule>
  </conditionalFormatting>
  <conditionalFormatting sqref="AP176">
    <cfRule type="expression" dxfId="13464" priority="17571">
      <formula>AP175="X"</formula>
    </cfRule>
    <cfRule type="expression" dxfId="13463" priority="17572">
      <formula>AP175="A"</formula>
    </cfRule>
    <cfRule type="expression" dxfId="13462" priority="17573">
      <formula>AP175="T"</formula>
    </cfRule>
  </conditionalFormatting>
  <conditionalFormatting sqref="AP178">
    <cfRule type="expression" dxfId="13461" priority="17568">
      <formula>AP177="X"</formula>
    </cfRule>
    <cfRule type="expression" dxfId="13460" priority="17569">
      <formula>AP177="A"</formula>
    </cfRule>
    <cfRule type="expression" dxfId="13459" priority="17570">
      <formula>AP177="T"</formula>
    </cfRule>
  </conditionalFormatting>
  <conditionalFormatting sqref="AP180">
    <cfRule type="expression" dxfId="13458" priority="17565">
      <formula>AP179="X"</formula>
    </cfRule>
    <cfRule type="expression" dxfId="13457" priority="17566">
      <formula>AP179="A"</formula>
    </cfRule>
    <cfRule type="expression" dxfId="13456" priority="17567">
      <formula>AP179="T"</formula>
    </cfRule>
  </conditionalFormatting>
  <conditionalFormatting sqref="AP184">
    <cfRule type="expression" dxfId="13455" priority="17562">
      <formula>AP183="X"</formula>
    </cfRule>
    <cfRule type="expression" dxfId="13454" priority="17563">
      <formula>AP183="A"</formula>
    </cfRule>
    <cfRule type="expression" dxfId="13453" priority="17564">
      <formula>AP183="T"</formula>
    </cfRule>
  </conditionalFormatting>
  <conditionalFormatting sqref="AP186">
    <cfRule type="expression" dxfId="13452" priority="17559">
      <formula>AP185="X"</formula>
    </cfRule>
    <cfRule type="expression" dxfId="13451" priority="17560">
      <formula>AP185="A"</formula>
    </cfRule>
    <cfRule type="expression" dxfId="13450" priority="17561">
      <formula>AP185="T"</formula>
    </cfRule>
  </conditionalFormatting>
  <conditionalFormatting sqref="AP190">
    <cfRule type="expression" dxfId="13449" priority="17556">
      <formula>AP189="X"</formula>
    </cfRule>
    <cfRule type="expression" dxfId="13448" priority="17557">
      <formula>AP189="A"</formula>
    </cfRule>
    <cfRule type="expression" dxfId="13447" priority="17558">
      <formula>AP189="T"</formula>
    </cfRule>
  </conditionalFormatting>
  <conditionalFormatting sqref="AP192">
    <cfRule type="expression" dxfId="13446" priority="17553">
      <formula>AP191="X"</formula>
    </cfRule>
    <cfRule type="expression" dxfId="13445" priority="17554">
      <formula>AP191="A"</formula>
    </cfRule>
    <cfRule type="expression" dxfId="13444" priority="17555">
      <formula>AP191="T"</formula>
    </cfRule>
  </conditionalFormatting>
  <conditionalFormatting sqref="AP208">
    <cfRule type="expression" dxfId="13443" priority="17550">
      <formula>AP207="X"</formula>
    </cfRule>
    <cfRule type="expression" dxfId="13442" priority="17551">
      <formula>AP207="A"</formula>
    </cfRule>
    <cfRule type="expression" dxfId="13441" priority="17552">
      <formula>AP207="T"</formula>
    </cfRule>
  </conditionalFormatting>
  <conditionalFormatting sqref="AP211">
    <cfRule type="expression" dxfId="13440" priority="17547">
      <formula>AP211="X"</formula>
    </cfRule>
    <cfRule type="expression" dxfId="13439" priority="17548">
      <formula>AP211="A"</formula>
    </cfRule>
    <cfRule type="expression" dxfId="13438" priority="17549">
      <formula>AP211="T"</formula>
    </cfRule>
  </conditionalFormatting>
  <conditionalFormatting sqref="AP212">
    <cfRule type="expression" dxfId="13437" priority="17544">
      <formula>AP211="X"</formula>
    </cfRule>
    <cfRule type="expression" dxfId="13436" priority="17545">
      <formula>AP211="A"</formula>
    </cfRule>
    <cfRule type="expression" dxfId="13435" priority="17546">
      <formula>AP211="T"</formula>
    </cfRule>
  </conditionalFormatting>
  <conditionalFormatting sqref="AP213">
    <cfRule type="expression" dxfId="13434" priority="17541">
      <formula>AP213="X"</formula>
    </cfRule>
    <cfRule type="expression" dxfId="13433" priority="17542">
      <formula>AP213="A"</formula>
    </cfRule>
    <cfRule type="expression" dxfId="13432" priority="17543">
      <formula>AP213="T"</formula>
    </cfRule>
  </conditionalFormatting>
  <conditionalFormatting sqref="AP214">
    <cfRule type="expression" dxfId="13431" priority="17538">
      <formula>AP213="X"</formula>
    </cfRule>
    <cfRule type="expression" dxfId="13430" priority="17539">
      <formula>AP213="A"</formula>
    </cfRule>
    <cfRule type="expression" dxfId="13429" priority="17540">
      <formula>AP213="T"</formula>
    </cfRule>
  </conditionalFormatting>
  <conditionalFormatting sqref="AP215">
    <cfRule type="expression" dxfId="13428" priority="17535">
      <formula>AP215="X"</formula>
    </cfRule>
    <cfRule type="expression" dxfId="13427" priority="17536">
      <formula>AP215="A"</formula>
    </cfRule>
    <cfRule type="expression" dxfId="13426" priority="17537">
      <formula>AP215="T"</formula>
    </cfRule>
  </conditionalFormatting>
  <conditionalFormatting sqref="AP216">
    <cfRule type="expression" dxfId="13425" priority="17532">
      <formula>AP215="X"</formula>
    </cfRule>
    <cfRule type="expression" dxfId="13424" priority="17533">
      <formula>AP215="A"</formula>
    </cfRule>
    <cfRule type="expression" dxfId="13423" priority="17534">
      <formula>AP215="T"</formula>
    </cfRule>
  </conditionalFormatting>
  <conditionalFormatting sqref="AP217">
    <cfRule type="expression" dxfId="13422" priority="17529">
      <formula>AP217="X"</formula>
    </cfRule>
    <cfRule type="expression" dxfId="13421" priority="17530">
      <formula>AP217="A"</formula>
    </cfRule>
    <cfRule type="expression" dxfId="13420" priority="17531">
      <formula>AP217="T"</formula>
    </cfRule>
  </conditionalFormatting>
  <conditionalFormatting sqref="AP218">
    <cfRule type="expression" dxfId="13419" priority="17526">
      <formula>AP217="X"</formula>
    </cfRule>
    <cfRule type="expression" dxfId="13418" priority="17527">
      <formula>AP217="A"</formula>
    </cfRule>
    <cfRule type="expression" dxfId="13417" priority="17528">
      <formula>AP217="T"</formula>
    </cfRule>
  </conditionalFormatting>
  <conditionalFormatting sqref="AP219">
    <cfRule type="expression" dxfId="13416" priority="17523">
      <formula>AP219="X"</formula>
    </cfRule>
    <cfRule type="expression" dxfId="13415" priority="17524">
      <formula>AP219="A"</formula>
    </cfRule>
    <cfRule type="expression" dxfId="13414" priority="17525">
      <formula>AP219="T"</formula>
    </cfRule>
  </conditionalFormatting>
  <conditionalFormatting sqref="AP220">
    <cfRule type="expression" dxfId="13413" priority="17520">
      <formula>AP219="X"</formula>
    </cfRule>
    <cfRule type="expression" dxfId="13412" priority="17521">
      <formula>AP219="A"</formula>
    </cfRule>
    <cfRule type="expression" dxfId="13411" priority="17522">
      <formula>AP219="T"</formula>
    </cfRule>
  </conditionalFormatting>
  <conditionalFormatting sqref="AP221">
    <cfRule type="expression" dxfId="13410" priority="17517">
      <formula>AP221="X"</formula>
    </cfRule>
    <cfRule type="expression" dxfId="13409" priority="17518">
      <formula>AP221="A"</formula>
    </cfRule>
    <cfRule type="expression" dxfId="13408" priority="17519">
      <formula>AP221="T"</formula>
    </cfRule>
  </conditionalFormatting>
  <conditionalFormatting sqref="AP222">
    <cfRule type="expression" dxfId="13407" priority="17514">
      <formula>AP221="X"</formula>
    </cfRule>
    <cfRule type="expression" dxfId="13406" priority="17515">
      <formula>AP221="A"</formula>
    </cfRule>
    <cfRule type="expression" dxfId="13405" priority="17516">
      <formula>AP221="T"</formula>
    </cfRule>
  </conditionalFormatting>
  <conditionalFormatting sqref="AP223">
    <cfRule type="expression" dxfId="13404" priority="17511">
      <formula>AP223="X"</formula>
    </cfRule>
    <cfRule type="expression" dxfId="13403" priority="17512">
      <formula>AP223="A"</formula>
    </cfRule>
    <cfRule type="expression" dxfId="13402" priority="17513">
      <formula>AP223="T"</formula>
    </cfRule>
  </conditionalFormatting>
  <conditionalFormatting sqref="AP224">
    <cfRule type="expression" dxfId="13401" priority="17508">
      <formula>AP223="X"</formula>
    </cfRule>
    <cfRule type="expression" dxfId="13400" priority="17509">
      <formula>AP223="A"</formula>
    </cfRule>
    <cfRule type="expression" dxfId="13399" priority="17510">
      <formula>AP223="T"</formula>
    </cfRule>
  </conditionalFormatting>
  <conditionalFormatting sqref="AP4">
    <cfRule type="expression" dxfId="13398" priority="17505">
      <formula>AP4="X"</formula>
    </cfRule>
    <cfRule type="expression" dxfId="13397" priority="17506">
      <formula>AP4="A"</formula>
    </cfRule>
    <cfRule type="expression" dxfId="13396" priority="17507">
      <formula>AP4="T"</formula>
    </cfRule>
  </conditionalFormatting>
  <conditionalFormatting sqref="AP5">
    <cfRule type="expression" dxfId="13395" priority="17502">
      <formula>AP4="X"</formula>
    </cfRule>
    <cfRule type="expression" dxfId="13394" priority="17503">
      <formula>AP4="A"</formula>
    </cfRule>
    <cfRule type="expression" dxfId="13393" priority="17504">
      <formula>AP4="T"</formula>
    </cfRule>
  </conditionalFormatting>
  <conditionalFormatting sqref="AP6">
    <cfRule type="expression" dxfId="13392" priority="17499">
      <formula>AP6="X"</formula>
    </cfRule>
    <cfRule type="expression" dxfId="13391" priority="17500">
      <formula>AP6="A"</formula>
    </cfRule>
    <cfRule type="expression" dxfId="13390" priority="17501">
      <formula>AP6="T"</formula>
    </cfRule>
  </conditionalFormatting>
  <conditionalFormatting sqref="AP7">
    <cfRule type="expression" dxfId="13389" priority="17496">
      <formula>AP6="X"</formula>
    </cfRule>
    <cfRule type="expression" dxfId="13388" priority="17497">
      <formula>AP6="A"</formula>
    </cfRule>
    <cfRule type="expression" dxfId="13387" priority="17498">
      <formula>AP6="T"</formula>
    </cfRule>
  </conditionalFormatting>
  <conditionalFormatting sqref="AP8">
    <cfRule type="expression" dxfId="13386" priority="17493">
      <formula>AP8="X"</formula>
    </cfRule>
    <cfRule type="expression" dxfId="13385" priority="17494">
      <formula>AP8="A"</formula>
    </cfRule>
    <cfRule type="expression" dxfId="13384" priority="17495">
      <formula>AP8="T"</formula>
    </cfRule>
  </conditionalFormatting>
  <conditionalFormatting sqref="AP9">
    <cfRule type="expression" dxfId="13383" priority="17490">
      <formula>AP8="X"</formula>
    </cfRule>
    <cfRule type="expression" dxfId="13382" priority="17491">
      <formula>AP8="A"</formula>
    </cfRule>
    <cfRule type="expression" dxfId="13381" priority="17492">
      <formula>AP8="T"</formula>
    </cfRule>
  </conditionalFormatting>
  <conditionalFormatting sqref="AP74">
    <cfRule type="expression" dxfId="13380" priority="17487">
      <formula>AP74="X"</formula>
    </cfRule>
    <cfRule type="expression" dxfId="13379" priority="17488">
      <formula>AP74="A"</formula>
    </cfRule>
    <cfRule type="expression" dxfId="13378" priority="17489">
      <formula>AP74="T"</formula>
    </cfRule>
  </conditionalFormatting>
  <conditionalFormatting sqref="AP75">
    <cfRule type="expression" dxfId="13377" priority="17484">
      <formula>AP74="X"</formula>
    </cfRule>
    <cfRule type="expression" dxfId="13376" priority="17485">
      <formula>AP74="A"</formula>
    </cfRule>
    <cfRule type="expression" dxfId="13375" priority="17486">
      <formula>AP74="T"</formula>
    </cfRule>
  </conditionalFormatting>
  <conditionalFormatting sqref="AP76">
    <cfRule type="expression" dxfId="13374" priority="17481">
      <formula>AP76="X"</formula>
    </cfRule>
    <cfRule type="expression" dxfId="13373" priority="17482">
      <formula>AP76="A"</formula>
    </cfRule>
    <cfRule type="expression" dxfId="13372" priority="17483">
      <formula>AP76="T"</formula>
    </cfRule>
  </conditionalFormatting>
  <conditionalFormatting sqref="AP77">
    <cfRule type="expression" dxfId="13371" priority="17478">
      <formula>AP76="X"</formula>
    </cfRule>
    <cfRule type="expression" dxfId="13370" priority="17479">
      <formula>AP76="A"</formula>
    </cfRule>
    <cfRule type="expression" dxfId="13369" priority="17480">
      <formula>AP76="T"</formula>
    </cfRule>
  </conditionalFormatting>
  <conditionalFormatting sqref="AP78">
    <cfRule type="expression" dxfId="13368" priority="17475">
      <formula>AP78="X"</formula>
    </cfRule>
    <cfRule type="expression" dxfId="13367" priority="17476">
      <formula>AP78="A"</formula>
    </cfRule>
    <cfRule type="expression" dxfId="13366" priority="17477">
      <formula>AP78="T"</formula>
    </cfRule>
  </conditionalFormatting>
  <conditionalFormatting sqref="AP79">
    <cfRule type="expression" dxfId="13365" priority="17472">
      <formula>AP78="X"</formula>
    </cfRule>
    <cfRule type="expression" dxfId="13364" priority="17473">
      <formula>AP78="A"</formula>
    </cfRule>
    <cfRule type="expression" dxfId="13363" priority="17474">
      <formula>AP78="T"</formula>
    </cfRule>
  </conditionalFormatting>
  <conditionalFormatting sqref="AP134">
    <cfRule type="expression" dxfId="13362" priority="17469">
      <formula>AP134="X"</formula>
    </cfRule>
    <cfRule type="expression" dxfId="13361" priority="17470">
      <formula>AP134="A"</formula>
    </cfRule>
    <cfRule type="expression" dxfId="13360" priority="17471">
      <formula>AP134="T"</formula>
    </cfRule>
  </conditionalFormatting>
  <conditionalFormatting sqref="AP135">
    <cfRule type="expression" dxfId="13359" priority="17466">
      <formula>AP134="X"</formula>
    </cfRule>
    <cfRule type="expression" dxfId="13358" priority="17467">
      <formula>AP134="A"</formula>
    </cfRule>
    <cfRule type="expression" dxfId="13357" priority="17468">
      <formula>AP134="T"</formula>
    </cfRule>
  </conditionalFormatting>
  <conditionalFormatting sqref="AP136">
    <cfRule type="expression" dxfId="13356" priority="17463">
      <formula>AP136="X"</formula>
    </cfRule>
    <cfRule type="expression" dxfId="13355" priority="17464">
      <formula>AP136="A"</formula>
    </cfRule>
    <cfRule type="expression" dxfId="13354" priority="17465">
      <formula>AP136="T"</formula>
    </cfRule>
  </conditionalFormatting>
  <conditionalFormatting sqref="AP137">
    <cfRule type="expression" dxfId="13353" priority="17460">
      <formula>AP136="X"</formula>
    </cfRule>
    <cfRule type="expression" dxfId="13352" priority="17461">
      <formula>AP136="A"</formula>
    </cfRule>
    <cfRule type="expression" dxfId="13351" priority="17462">
      <formula>AP136="T"</formula>
    </cfRule>
  </conditionalFormatting>
  <conditionalFormatting sqref="AP138">
    <cfRule type="expression" dxfId="13350" priority="17457">
      <formula>AP138="X"</formula>
    </cfRule>
    <cfRule type="expression" dxfId="13349" priority="17458">
      <formula>AP138="A"</formula>
    </cfRule>
    <cfRule type="expression" dxfId="13348" priority="17459">
      <formula>AP138="T"</formula>
    </cfRule>
  </conditionalFormatting>
  <conditionalFormatting sqref="AP139">
    <cfRule type="expression" dxfId="13347" priority="17454">
      <formula>AP138="X"</formula>
    </cfRule>
    <cfRule type="expression" dxfId="13346" priority="17455">
      <formula>AP138="A"</formula>
    </cfRule>
    <cfRule type="expression" dxfId="13345" priority="17456">
      <formula>AP138="T"</formula>
    </cfRule>
  </conditionalFormatting>
  <conditionalFormatting sqref="AP10">
    <cfRule type="expression" dxfId="13344" priority="17451" stopIfTrue="1">
      <formula>AP4=""</formula>
    </cfRule>
  </conditionalFormatting>
  <conditionalFormatting sqref="AP10">
    <cfRule type="expression" dxfId="13343" priority="17452" stopIfTrue="1">
      <formula>AP10=1</formula>
    </cfRule>
    <cfRule type="colorScale" priority="17453">
      <colorScale>
        <cfvo type="num" val="0"/>
        <cfvo type="num" val="0.5"/>
        <cfvo type="num" val="1"/>
        <color rgb="FFF8696B"/>
        <color theme="4" tint="0.79998168889431442"/>
        <color rgb="FF5A8AC6"/>
      </colorScale>
    </cfRule>
  </conditionalFormatting>
  <conditionalFormatting sqref="AP15">
    <cfRule type="expression" dxfId="13342" priority="17448" stopIfTrue="1">
      <formula>AP11=""</formula>
    </cfRule>
  </conditionalFormatting>
  <conditionalFormatting sqref="AP15">
    <cfRule type="expression" dxfId="13341" priority="17449" stopIfTrue="1">
      <formula>AP15=1</formula>
    </cfRule>
    <cfRule type="colorScale" priority="17450">
      <colorScale>
        <cfvo type="num" val="0"/>
        <cfvo type="num" val="0.5"/>
        <cfvo type="num" val="1"/>
        <color rgb="FFF8696B"/>
        <color theme="4" tint="0.79998168889431442"/>
        <color rgb="FF5A8AC6"/>
      </colorScale>
    </cfRule>
  </conditionalFormatting>
  <conditionalFormatting sqref="AP38">
    <cfRule type="expression" dxfId="13340" priority="17445" stopIfTrue="1">
      <formula>AP16=""</formula>
    </cfRule>
  </conditionalFormatting>
  <conditionalFormatting sqref="AP38">
    <cfRule type="expression" dxfId="13339" priority="17446" stopIfTrue="1">
      <formula>AP38=1</formula>
    </cfRule>
    <cfRule type="colorScale" priority="17447">
      <colorScale>
        <cfvo type="num" val="0"/>
        <cfvo type="num" val="0.5"/>
        <cfvo type="num" val="1"/>
        <color rgb="FFF8696B"/>
        <color theme="4" tint="0.79998168889431442"/>
        <color rgb="FF5A8AC6"/>
      </colorScale>
    </cfRule>
  </conditionalFormatting>
  <conditionalFormatting sqref="AP47">
    <cfRule type="expression" dxfId="13338" priority="17442" stopIfTrue="1">
      <formula>AP39=""</formula>
    </cfRule>
  </conditionalFormatting>
  <conditionalFormatting sqref="AP47">
    <cfRule type="expression" dxfId="13337" priority="17443" stopIfTrue="1">
      <formula>AP47=1</formula>
    </cfRule>
    <cfRule type="colorScale" priority="17444">
      <colorScale>
        <cfvo type="num" val="0"/>
        <cfvo type="num" val="0.5"/>
        <cfvo type="num" val="1"/>
        <color rgb="FFF8696B"/>
        <color theme="4" tint="0.79998168889431442"/>
        <color rgb="FF5A8AC6"/>
      </colorScale>
    </cfRule>
  </conditionalFormatting>
  <conditionalFormatting sqref="AP62">
    <cfRule type="expression" dxfId="13336" priority="17439" stopIfTrue="1">
      <formula>AP48=""</formula>
    </cfRule>
  </conditionalFormatting>
  <conditionalFormatting sqref="AP62">
    <cfRule type="expression" dxfId="13335" priority="17440" stopIfTrue="1">
      <formula>AP62=1</formula>
    </cfRule>
    <cfRule type="colorScale" priority="17441">
      <colorScale>
        <cfvo type="num" val="0"/>
        <cfvo type="num" val="0.5"/>
        <cfvo type="num" val="1"/>
        <color rgb="FFF8696B"/>
        <color theme="4" tint="0.79998168889431442"/>
        <color rgb="FF5A8AC6"/>
      </colorScale>
    </cfRule>
  </conditionalFormatting>
  <conditionalFormatting sqref="AP69">
    <cfRule type="expression" dxfId="13334" priority="17436" stopIfTrue="1">
      <formula>AP63=""</formula>
    </cfRule>
  </conditionalFormatting>
  <conditionalFormatting sqref="AP69">
    <cfRule type="expression" dxfId="13333" priority="17437" stopIfTrue="1">
      <formula>AP69=1</formula>
    </cfRule>
    <cfRule type="colorScale" priority="17438">
      <colorScale>
        <cfvo type="num" val="0"/>
        <cfvo type="num" val="0.5"/>
        <cfvo type="num" val="1"/>
        <color rgb="FFF8696B"/>
        <color theme="4" tint="0.79998168889431442"/>
        <color rgb="FF5A8AC6"/>
      </colorScale>
    </cfRule>
  </conditionalFormatting>
  <conditionalFormatting sqref="AP80">
    <cfRule type="expression" dxfId="13332" priority="17433" stopIfTrue="1">
      <formula>AP74=""</formula>
    </cfRule>
  </conditionalFormatting>
  <conditionalFormatting sqref="AP80">
    <cfRule type="expression" dxfId="13331" priority="17434" stopIfTrue="1">
      <formula>AP80=1</formula>
    </cfRule>
    <cfRule type="colorScale" priority="17435">
      <colorScale>
        <cfvo type="num" val="0"/>
        <cfvo type="num" val="0.5"/>
        <cfvo type="num" val="1"/>
        <color rgb="FFF8696B"/>
        <color theme="4" tint="0.79998168889431442"/>
        <color rgb="FF5A8AC6"/>
      </colorScale>
    </cfRule>
  </conditionalFormatting>
  <conditionalFormatting sqref="AP87">
    <cfRule type="expression" dxfId="13330" priority="17430" stopIfTrue="1">
      <formula>AP81=""</formula>
    </cfRule>
  </conditionalFormatting>
  <conditionalFormatting sqref="AP87">
    <cfRule type="expression" dxfId="13329" priority="17431" stopIfTrue="1">
      <formula>AP87=1</formula>
    </cfRule>
    <cfRule type="colorScale" priority="17432">
      <colorScale>
        <cfvo type="num" val="0"/>
        <cfvo type="num" val="0.5"/>
        <cfvo type="num" val="1"/>
        <color rgb="FFF8696B"/>
        <color theme="4" tint="0.79998168889431442"/>
        <color rgb="FF5A8AC6"/>
      </colorScale>
    </cfRule>
  </conditionalFormatting>
  <conditionalFormatting sqref="W104:X104 AF104 AM104:AP104">
    <cfRule type="expression" dxfId="13328" priority="17427" stopIfTrue="1">
      <formula>W88=""</formula>
    </cfRule>
  </conditionalFormatting>
  <conditionalFormatting sqref="AP104">
    <cfRule type="expression" dxfId="13327" priority="17428" stopIfTrue="1">
      <formula>AP104=1</formula>
    </cfRule>
    <cfRule type="colorScale" priority="17429">
      <colorScale>
        <cfvo type="num" val="0"/>
        <cfvo type="num" val="0.5"/>
        <cfvo type="num" val="1"/>
        <color rgb="FFF8696B"/>
        <color theme="4" tint="0.79998168889431442"/>
        <color rgb="FF5A8AC6"/>
      </colorScale>
    </cfRule>
  </conditionalFormatting>
  <conditionalFormatting sqref="W115:X115 AF115 P165 AM165:AP165 AM115:AP115 AE165:AG165">
    <cfRule type="expression" dxfId="13326" priority="17424" stopIfTrue="1">
      <formula>P105=""</formula>
    </cfRule>
  </conditionalFormatting>
  <conditionalFormatting sqref="AP115">
    <cfRule type="expression" dxfId="13325" priority="17425" stopIfTrue="1">
      <formula>AP115=1</formula>
    </cfRule>
    <cfRule type="colorScale" priority="17426">
      <colorScale>
        <cfvo type="num" val="0"/>
        <cfvo type="num" val="0.5"/>
        <cfvo type="num" val="1"/>
        <color rgb="FFF8696B"/>
        <color theme="4" tint="0.79998168889431442"/>
        <color rgb="FF5A8AC6"/>
      </colorScale>
    </cfRule>
  </conditionalFormatting>
  <conditionalFormatting sqref="AP124">
    <cfRule type="expression" dxfId="13324" priority="17421" stopIfTrue="1">
      <formula>AP116=""</formula>
    </cfRule>
  </conditionalFormatting>
  <conditionalFormatting sqref="AP124">
    <cfRule type="expression" dxfId="13323" priority="17422" stopIfTrue="1">
      <formula>AP124=1</formula>
    </cfRule>
    <cfRule type="colorScale" priority="17423">
      <colorScale>
        <cfvo type="num" val="0"/>
        <cfvo type="num" val="0.5"/>
        <cfvo type="num" val="1"/>
        <color rgb="FFF8696B"/>
        <color theme="4" tint="0.79998168889431442"/>
        <color rgb="FF5A8AC6"/>
      </colorScale>
    </cfRule>
  </conditionalFormatting>
  <conditionalFormatting sqref="AP129">
    <cfRule type="expression" dxfId="13322" priority="17418" stopIfTrue="1">
      <formula>AP125=""</formula>
    </cfRule>
  </conditionalFormatting>
  <conditionalFormatting sqref="AP129">
    <cfRule type="expression" dxfId="13321" priority="17419" stopIfTrue="1">
      <formula>AP129=1</formula>
    </cfRule>
    <cfRule type="colorScale" priority="17420">
      <colorScale>
        <cfvo type="num" val="0"/>
        <cfvo type="num" val="0.5"/>
        <cfvo type="num" val="1"/>
        <color rgb="FFF8696B"/>
        <color theme="4" tint="0.79998168889431442"/>
        <color rgb="FF5A8AC6"/>
      </colorScale>
    </cfRule>
  </conditionalFormatting>
  <conditionalFormatting sqref="AP140">
    <cfRule type="expression" dxfId="13320" priority="17415" stopIfTrue="1">
      <formula>AP134=""</formula>
    </cfRule>
  </conditionalFormatting>
  <conditionalFormatting sqref="AP140">
    <cfRule type="expression" dxfId="13319" priority="17416" stopIfTrue="1">
      <formula>AP140=1</formula>
    </cfRule>
    <cfRule type="colorScale" priority="17417">
      <colorScale>
        <cfvo type="num" val="0"/>
        <cfvo type="num" val="0.5"/>
        <cfvo type="num" val="1"/>
        <color rgb="FFF8696B"/>
        <color theme="4" tint="0.79998168889431442"/>
        <color rgb="FF5A8AC6"/>
      </colorScale>
    </cfRule>
  </conditionalFormatting>
  <conditionalFormatting sqref="AP145">
    <cfRule type="expression" dxfId="13318" priority="17412" stopIfTrue="1">
      <formula>AP141=""</formula>
    </cfRule>
  </conditionalFormatting>
  <conditionalFormatting sqref="AP145">
    <cfRule type="expression" dxfId="13317" priority="17413" stopIfTrue="1">
      <formula>AP145=1</formula>
    </cfRule>
    <cfRule type="colorScale" priority="17414">
      <colorScale>
        <cfvo type="num" val="0"/>
        <cfvo type="num" val="0.5"/>
        <cfvo type="num" val="1"/>
        <color rgb="FFF8696B"/>
        <color theme="4" tint="0.79998168889431442"/>
        <color rgb="FF5A8AC6"/>
      </colorScale>
    </cfRule>
  </conditionalFormatting>
  <conditionalFormatting sqref="AP153">
    <cfRule type="expression" dxfId="13316" priority="17409" stopIfTrue="1">
      <formula>AP149=""</formula>
    </cfRule>
  </conditionalFormatting>
  <conditionalFormatting sqref="AP153">
    <cfRule type="expression" dxfId="13315" priority="17410" stopIfTrue="1">
      <formula>AP153=1</formula>
    </cfRule>
    <cfRule type="colorScale" priority="17411">
      <colorScale>
        <cfvo type="num" val="0"/>
        <cfvo type="num" val="0.5"/>
        <cfvo type="num" val="1"/>
        <color rgb="FFF8696B"/>
        <color theme="4" tint="0.79998168889431442"/>
        <color rgb="FF5A8AC6"/>
      </colorScale>
    </cfRule>
  </conditionalFormatting>
  <conditionalFormatting sqref="AP165">
    <cfRule type="expression" dxfId="13314" priority="17407" stopIfTrue="1">
      <formula>AP165=1</formula>
    </cfRule>
    <cfRule type="colorScale" priority="17408">
      <colorScale>
        <cfvo type="num" val="0"/>
        <cfvo type="num" val="0.5"/>
        <cfvo type="num" val="1"/>
        <color rgb="FFF8696B"/>
        <color theme="4" tint="0.79998168889431442"/>
        <color rgb="FF5A8AC6"/>
      </colorScale>
    </cfRule>
  </conditionalFormatting>
  <conditionalFormatting sqref="AP187">
    <cfRule type="expression" dxfId="13313" priority="17403" stopIfTrue="1">
      <formula>AP183=""</formula>
    </cfRule>
  </conditionalFormatting>
  <conditionalFormatting sqref="AP187">
    <cfRule type="expression" dxfId="13312" priority="17404" stopIfTrue="1">
      <formula>AP187=1</formula>
    </cfRule>
    <cfRule type="colorScale" priority="17405">
      <colorScale>
        <cfvo type="num" val="0"/>
        <cfvo type="num" val="0.5"/>
        <cfvo type="num" val="1"/>
        <color rgb="FFF8696B"/>
        <color theme="4" tint="0.79998168889431442"/>
        <color rgb="FF5A8AC6"/>
      </colorScale>
    </cfRule>
  </conditionalFormatting>
  <conditionalFormatting sqref="AP193">
    <cfRule type="expression" dxfId="13311" priority="17400" stopIfTrue="1">
      <formula>AP189=""</formula>
    </cfRule>
  </conditionalFormatting>
  <conditionalFormatting sqref="AP193">
    <cfRule type="expression" dxfId="13310" priority="17401" stopIfTrue="1">
      <formula>AP193=1</formula>
    </cfRule>
    <cfRule type="colorScale" priority="17402">
      <colorScale>
        <cfvo type="num" val="0"/>
        <cfvo type="num" val="0.5"/>
        <cfvo type="num" val="1"/>
        <color rgb="FFF8696B"/>
        <color theme="4" tint="0.79998168889431442"/>
        <color rgb="FF5A8AC6"/>
      </colorScale>
    </cfRule>
  </conditionalFormatting>
  <conditionalFormatting sqref="W225:X225 W209:X209 W181:X181 AF209 AF225 AM225:AO225 AM209:AO209 AM181:AP181 AE181:AF181">
    <cfRule type="expression" dxfId="13309" priority="17397" stopIfTrue="1">
      <formula>W167=""</formula>
    </cfRule>
  </conditionalFormatting>
  <conditionalFormatting sqref="AP181">
    <cfRule type="expression" dxfId="13308" priority="17398" stopIfTrue="1">
      <formula>AP181=1</formula>
    </cfRule>
    <cfRule type="colorScale" priority="17399">
      <colorScale>
        <cfvo type="num" val="0"/>
        <cfvo type="num" val="0.5"/>
        <cfvo type="num" val="1"/>
        <color rgb="FFF8696B"/>
        <color theme="4" tint="0.79998168889431442"/>
        <color rgb="FF5A8AC6"/>
      </colorScale>
    </cfRule>
  </conditionalFormatting>
  <conditionalFormatting sqref="AP209">
    <cfRule type="expression" dxfId="13307" priority="17394" stopIfTrue="1">
      <formula>AP195=""</formula>
    </cfRule>
  </conditionalFormatting>
  <conditionalFormatting sqref="AP209">
    <cfRule type="expression" dxfId="13306" priority="17395" stopIfTrue="1">
      <formula>AP209=1</formula>
    </cfRule>
    <cfRule type="colorScale" priority="17396">
      <colorScale>
        <cfvo type="num" val="0"/>
        <cfvo type="num" val="0.5"/>
        <cfvo type="num" val="1"/>
        <color rgb="FFF8696B"/>
        <color theme="4" tint="0.79998168889431442"/>
        <color rgb="FF5A8AC6"/>
      </colorScale>
    </cfRule>
  </conditionalFormatting>
  <conditionalFormatting sqref="AP225">
    <cfRule type="expression" dxfId="13305" priority="17391" stopIfTrue="1">
      <formula>AP211=""</formula>
    </cfRule>
  </conditionalFormatting>
  <conditionalFormatting sqref="AP225">
    <cfRule type="expression" dxfId="13304" priority="17392" stopIfTrue="1">
      <formula>AP225=1</formula>
    </cfRule>
    <cfRule type="colorScale" priority="17393">
      <colorScale>
        <cfvo type="num" val="0"/>
        <cfvo type="num" val="0.5"/>
        <cfvo type="num" val="1"/>
        <color rgb="FFF8696B"/>
        <color theme="4" tint="0.79998168889431442"/>
        <color rgb="FF5A8AC6"/>
      </colorScale>
    </cfRule>
  </conditionalFormatting>
  <conditionalFormatting sqref="AP71">
    <cfRule type="expression" dxfId="13303" priority="17377" stopIfTrue="1">
      <formula>AP71=1</formula>
    </cfRule>
    <cfRule type="colorScale" priority="17378">
      <colorScale>
        <cfvo type="num" val="0"/>
        <cfvo type="num" val="0.5"/>
        <cfvo type="num" val="1"/>
        <color rgb="FFF8696B"/>
        <color theme="4" tint="0.79998168889431442"/>
        <color rgb="FF5A8AC6"/>
      </colorScale>
    </cfRule>
  </conditionalFormatting>
  <conditionalFormatting sqref="AP147">
    <cfRule type="expression" dxfId="13302" priority="17382" stopIfTrue="1">
      <formula>AP134=""</formula>
    </cfRule>
  </conditionalFormatting>
  <conditionalFormatting sqref="AP147">
    <cfRule type="expression" dxfId="13301" priority="17383" stopIfTrue="1">
      <formula>AP147=1</formula>
    </cfRule>
    <cfRule type="colorScale" priority="17384">
      <colorScale>
        <cfvo type="num" val="0"/>
        <cfvo type="num" val="0.5"/>
        <cfvo type="num" val="1"/>
        <color rgb="FFF8696B"/>
        <color theme="4" tint="0.79998168889431442"/>
        <color rgb="FF5A8AC6"/>
      </colorScale>
    </cfRule>
  </conditionalFormatting>
  <conditionalFormatting sqref="AP131">
    <cfRule type="expression" dxfId="13300" priority="17379" stopIfTrue="1">
      <formula>AP74=""</formula>
    </cfRule>
  </conditionalFormatting>
  <conditionalFormatting sqref="AP131">
    <cfRule type="expression" dxfId="13299" priority="17380" stopIfTrue="1">
      <formula>AP131=1</formula>
    </cfRule>
    <cfRule type="colorScale" priority="17381">
      <colorScale>
        <cfvo type="num" val="0"/>
        <cfvo type="num" val="0.5"/>
        <cfvo type="num" val="1"/>
        <color rgb="FFF8696B"/>
        <color theme="4" tint="0.79998168889431442"/>
        <color rgb="FF5A8AC6"/>
      </colorScale>
    </cfRule>
  </conditionalFormatting>
  <conditionalFormatting sqref="AP71">
    <cfRule type="expression" dxfId="13298" priority="17376" stopIfTrue="1">
      <formula>AP65=""</formula>
    </cfRule>
  </conditionalFormatting>
  <conditionalFormatting sqref="AP195">
    <cfRule type="expression" dxfId="13297" priority="17373">
      <formula>AP195="X"</formula>
    </cfRule>
    <cfRule type="expression" dxfId="13296" priority="17374">
      <formula>AP195="A"</formula>
    </cfRule>
    <cfRule type="expression" dxfId="13295" priority="17375">
      <formula>AP195="T"</formula>
    </cfRule>
  </conditionalFormatting>
  <conditionalFormatting sqref="AP203">
    <cfRule type="expression" dxfId="13294" priority="17370">
      <formula>AP203="X"</formula>
    </cfRule>
    <cfRule type="expression" dxfId="13293" priority="17371">
      <formula>AP203="A"</formula>
    </cfRule>
    <cfRule type="expression" dxfId="13292" priority="17372">
      <formula>AP203="T"</formula>
    </cfRule>
  </conditionalFormatting>
  <conditionalFormatting sqref="AP205">
    <cfRule type="expression" dxfId="13291" priority="17367">
      <formula>AP205="X"</formula>
    </cfRule>
    <cfRule type="expression" dxfId="13290" priority="17368">
      <formula>AP205="A"</formula>
    </cfRule>
    <cfRule type="expression" dxfId="13289" priority="17369">
      <formula>AP205="T"</formula>
    </cfRule>
  </conditionalFormatting>
  <conditionalFormatting sqref="AP207">
    <cfRule type="expression" dxfId="13288" priority="17364">
      <formula>AP207="X"</formula>
    </cfRule>
    <cfRule type="expression" dxfId="13287" priority="17365">
      <formula>AP207="A"</formula>
    </cfRule>
    <cfRule type="expression" dxfId="13286" priority="17366">
      <formula>AP207="T"</formula>
    </cfRule>
  </conditionalFormatting>
  <conditionalFormatting sqref="AP204">
    <cfRule type="expression" dxfId="13285" priority="17361">
      <formula>AP203="X"</formula>
    </cfRule>
    <cfRule type="expression" dxfId="13284" priority="17362">
      <formula>AP203="A"</formula>
    </cfRule>
    <cfRule type="expression" dxfId="13283" priority="17363">
      <formula>AP203="T"</formula>
    </cfRule>
  </conditionalFormatting>
  <conditionalFormatting sqref="AP206">
    <cfRule type="expression" dxfId="13282" priority="17358">
      <formula>AP205="X"</formula>
    </cfRule>
    <cfRule type="expression" dxfId="13281" priority="17359">
      <formula>AP205="A"</formula>
    </cfRule>
    <cfRule type="expression" dxfId="13280" priority="17360">
      <formula>AP205="T"</formula>
    </cfRule>
  </conditionalFormatting>
  <conditionalFormatting sqref="AP196">
    <cfRule type="expression" dxfId="13279" priority="17355">
      <formula>AP195="X"</formula>
    </cfRule>
    <cfRule type="expression" dxfId="13278" priority="17356">
      <formula>AP195="A"</formula>
    </cfRule>
    <cfRule type="expression" dxfId="13277" priority="17357">
      <formula>AP195="T"</formula>
    </cfRule>
  </conditionalFormatting>
  <conditionalFormatting sqref="AP197">
    <cfRule type="expression" dxfId="13276" priority="17352">
      <formula>AP197="X"</formula>
    </cfRule>
    <cfRule type="expression" dxfId="13275" priority="17353">
      <formula>AP197="A"</formula>
    </cfRule>
    <cfRule type="expression" dxfId="13274" priority="17354">
      <formula>AP197="T"</formula>
    </cfRule>
  </conditionalFormatting>
  <conditionalFormatting sqref="AP198">
    <cfRule type="expression" dxfId="13273" priority="17349">
      <formula>AP197="X"</formula>
    </cfRule>
    <cfRule type="expression" dxfId="13272" priority="17350">
      <formula>AP197="A"</formula>
    </cfRule>
    <cfRule type="expression" dxfId="13271" priority="17351">
      <formula>AP197="T"</formula>
    </cfRule>
  </conditionalFormatting>
  <conditionalFormatting sqref="AP199">
    <cfRule type="expression" dxfId="13270" priority="17346">
      <formula>AP199="X"</formula>
    </cfRule>
    <cfRule type="expression" dxfId="13269" priority="17347">
      <formula>AP199="A"</formula>
    </cfRule>
    <cfRule type="expression" dxfId="13268" priority="17348">
      <formula>AP199="T"</formula>
    </cfRule>
  </conditionalFormatting>
  <conditionalFormatting sqref="AP200">
    <cfRule type="expression" dxfId="13267" priority="17343">
      <formula>AP199="X"</formula>
    </cfRule>
    <cfRule type="expression" dxfId="13266" priority="17344">
      <formula>AP199="A"</formula>
    </cfRule>
    <cfRule type="expression" dxfId="13265" priority="17345">
      <formula>AP199="T"</formula>
    </cfRule>
  </conditionalFormatting>
  <conditionalFormatting sqref="AP201">
    <cfRule type="expression" dxfId="13264" priority="17340">
      <formula>AP201="X"</formula>
    </cfRule>
    <cfRule type="expression" dxfId="13263" priority="17341">
      <formula>AP201="A"</formula>
    </cfRule>
    <cfRule type="expression" dxfId="13262" priority="17342">
      <formula>AP201="T"</formula>
    </cfRule>
  </conditionalFormatting>
  <conditionalFormatting sqref="AP202">
    <cfRule type="expression" dxfId="13261" priority="17337">
      <formula>AP201="X"</formula>
    </cfRule>
    <cfRule type="expression" dxfId="13260" priority="17338">
      <formula>AP201="A"</formula>
    </cfRule>
    <cfRule type="expression" dxfId="13259" priority="17339">
      <formula>AP201="T"</formula>
    </cfRule>
  </conditionalFormatting>
  <conditionalFormatting sqref="AR16 AR18 AR20 AR22 AR24 AR26 AR28 AR39 AR41 AR43 AR45 AR48 AR81 AR88 AR90 AR92 AR94 AR96 AR98 AR100 AR102 AR105 AR107 AR109 AR111 AR116">
    <cfRule type="expression" dxfId="13258" priority="17332">
      <formula>AR16="X"</formula>
    </cfRule>
    <cfRule type="expression" dxfId="13257" priority="17333">
      <formula>AR16="A"</formula>
    </cfRule>
    <cfRule type="expression" dxfId="13256" priority="17334">
      <formula>AR16="T"</formula>
    </cfRule>
  </conditionalFormatting>
  <conditionalFormatting sqref="AR36">
    <cfRule type="expression" dxfId="13255" priority="17329">
      <formula>AR36="X"</formula>
    </cfRule>
    <cfRule type="expression" dxfId="13254" priority="17330">
      <formula>AR36="A"</formula>
    </cfRule>
    <cfRule type="expression" dxfId="13253" priority="17331">
      <formula>AR36="T"</formula>
    </cfRule>
  </conditionalFormatting>
  <conditionalFormatting sqref="AR34">
    <cfRule type="expression" dxfId="13252" priority="17326">
      <formula>AR34="X"</formula>
    </cfRule>
    <cfRule type="expression" dxfId="13251" priority="17327">
      <formula>AR34="A"</formula>
    </cfRule>
    <cfRule type="expression" dxfId="13250" priority="17328">
      <formula>AR34="T"</formula>
    </cfRule>
  </conditionalFormatting>
  <conditionalFormatting sqref="AR32">
    <cfRule type="expression" dxfId="13249" priority="17323">
      <formula>AR32="X"</formula>
    </cfRule>
    <cfRule type="expression" dxfId="13248" priority="17324">
      <formula>AR32="A"</formula>
    </cfRule>
    <cfRule type="expression" dxfId="13247" priority="17325">
      <formula>AR32="T"</formula>
    </cfRule>
  </conditionalFormatting>
  <conditionalFormatting sqref="AR30">
    <cfRule type="expression" dxfId="13246" priority="17320">
      <formula>AR30="X"</formula>
    </cfRule>
    <cfRule type="expression" dxfId="13245" priority="17321">
      <formula>AR30="A"</formula>
    </cfRule>
    <cfRule type="expression" dxfId="13244" priority="17322">
      <formula>AR30="T"</formula>
    </cfRule>
  </conditionalFormatting>
  <conditionalFormatting sqref="AR52">
    <cfRule type="expression" dxfId="13243" priority="17317">
      <formula>AR52="X"</formula>
    </cfRule>
    <cfRule type="expression" dxfId="13242" priority="17318">
      <formula>AR52="A"</formula>
    </cfRule>
    <cfRule type="expression" dxfId="13241" priority="17319">
      <formula>AR52="T"</formula>
    </cfRule>
  </conditionalFormatting>
  <conditionalFormatting sqref="AR50">
    <cfRule type="expression" dxfId="13240" priority="17314">
      <formula>AR50="X"</formula>
    </cfRule>
    <cfRule type="expression" dxfId="13239" priority="17315">
      <formula>AR50="A"</formula>
    </cfRule>
    <cfRule type="expression" dxfId="13238" priority="17316">
      <formula>AR50="T"</formula>
    </cfRule>
  </conditionalFormatting>
  <conditionalFormatting sqref="AR54">
    <cfRule type="expression" dxfId="13237" priority="17311">
      <formula>AR54="X"</formula>
    </cfRule>
    <cfRule type="expression" dxfId="13236" priority="17312">
      <formula>AR54="A"</formula>
    </cfRule>
    <cfRule type="expression" dxfId="13235" priority="17313">
      <formula>AR54="T"</formula>
    </cfRule>
  </conditionalFormatting>
  <conditionalFormatting sqref="AR56">
    <cfRule type="expression" dxfId="13234" priority="17308">
      <formula>AR56="X"</formula>
    </cfRule>
    <cfRule type="expression" dxfId="13233" priority="17309">
      <formula>AR56="A"</formula>
    </cfRule>
    <cfRule type="expression" dxfId="13232" priority="17310">
      <formula>AR56="T"</formula>
    </cfRule>
  </conditionalFormatting>
  <conditionalFormatting sqref="AR58">
    <cfRule type="expression" dxfId="13231" priority="17305">
      <formula>AR58="X"</formula>
    </cfRule>
    <cfRule type="expression" dxfId="13230" priority="17306">
      <formula>AR58="A"</formula>
    </cfRule>
    <cfRule type="expression" dxfId="13229" priority="17307">
      <formula>AR58="T"</formula>
    </cfRule>
  </conditionalFormatting>
  <conditionalFormatting sqref="AR63">
    <cfRule type="expression" dxfId="13228" priority="17302">
      <formula>AR63="X"</formula>
    </cfRule>
    <cfRule type="expression" dxfId="13227" priority="17303">
      <formula>AR63="A"</formula>
    </cfRule>
    <cfRule type="expression" dxfId="13226" priority="17304">
      <formula>AR63="T"</formula>
    </cfRule>
  </conditionalFormatting>
  <conditionalFormatting sqref="AR65">
    <cfRule type="expression" dxfId="13225" priority="17299">
      <formula>AR65="X"</formula>
    </cfRule>
    <cfRule type="expression" dxfId="13224" priority="17300">
      <formula>AR65="A"</formula>
    </cfRule>
    <cfRule type="expression" dxfId="13223" priority="17301">
      <formula>AR65="T"</formula>
    </cfRule>
  </conditionalFormatting>
  <conditionalFormatting sqref="AR83">
    <cfRule type="expression" dxfId="13222" priority="17296">
      <formula>AR83="X"</formula>
    </cfRule>
    <cfRule type="expression" dxfId="13221" priority="17297">
      <formula>AR83="A"</formula>
    </cfRule>
    <cfRule type="expression" dxfId="13220" priority="17298">
      <formula>AR83="T"</formula>
    </cfRule>
  </conditionalFormatting>
  <conditionalFormatting sqref="AR85">
    <cfRule type="expression" dxfId="13219" priority="17293">
      <formula>AR85="X"</formula>
    </cfRule>
    <cfRule type="expression" dxfId="13218" priority="17294">
      <formula>AR85="A"</formula>
    </cfRule>
    <cfRule type="expression" dxfId="13217" priority="17295">
      <formula>AR85="T"</formula>
    </cfRule>
  </conditionalFormatting>
  <conditionalFormatting sqref="AR67">
    <cfRule type="expression" dxfId="13216" priority="17290">
      <formula>AR67="X"</formula>
    </cfRule>
    <cfRule type="expression" dxfId="13215" priority="17291">
      <formula>AR67="A"</formula>
    </cfRule>
    <cfRule type="expression" dxfId="13214" priority="17292">
      <formula>AR67="T"</formula>
    </cfRule>
  </conditionalFormatting>
  <conditionalFormatting sqref="AR113">
    <cfRule type="expression" dxfId="13213" priority="17287">
      <formula>AR113="X"</formula>
    </cfRule>
    <cfRule type="expression" dxfId="13212" priority="17288">
      <formula>AR113="A"</formula>
    </cfRule>
    <cfRule type="expression" dxfId="13211" priority="17289">
      <formula>AR113="T"</formula>
    </cfRule>
  </conditionalFormatting>
  <conditionalFormatting sqref="AR118">
    <cfRule type="expression" dxfId="13210" priority="17284">
      <formula>AR118="X"</formula>
    </cfRule>
    <cfRule type="expression" dxfId="13209" priority="17285">
      <formula>AR118="A"</formula>
    </cfRule>
    <cfRule type="expression" dxfId="13208" priority="17286">
      <formula>AR118="T"</formula>
    </cfRule>
  </conditionalFormatting>
  <conditionalFormatting sqref="AR120">
    <cfRule type="expression" dxfId="13207" priority="17281">
      <formula>AR120="X"</formula>
    </cfRule>
    <cfRule type="expression" dxfId="13206" priority="17282">
      <formula>AR120="A"</formula>
    </cfRule>
    <cfRule type="expression" dxfId="13205" priority="17283">
      <formula>AR120="T"</formula>
    </cfRule>
  </conditionalFormatting>
  <conditionalFormatting sqref="AR122">
    <cfRule type="expression" dxfId="13204" priority="17278">
      <formula>AR122="X"</formula>
    </cfRule>
    <cfRule type="expression" dxfId="13203" priority="17279">
      <formula>AR122="A"</formula>
    </cfRule>
    <cfRule type="expression" dxfId="13202" priority="17280">
      <formula>AR122="T"</formula>
    </cfRule>
  </conditionalFormatting>
  <conditionalFormatting sqref="AR125">
    <cfRule type="expression" dxfId="13201" priority="17275">
      <formula>AR125="X"</formula>
    </cfRule>
    <cfRule type="expression" dxfId="13200" priority="17276">
      <formula>AR125="A"</formula>
    </cfRule>
    <cfRule type="expression" dxfId="13199" priority="17277">
      <formula>AR125="T"</formula>
    </cfRule>
  </conditionalFormatting>
  <conditionalFormatting sqref="AR127">
    <cfRule type="expression" dxfId="13198" priority="17272">
      <formula>AR127="X"</formula>
    </cfRule>
    <cfRule type="expression" dxfId="13197" priority="17273">
      <formula>AR127="A"</formula>
    </cfRule>
    <cfRule type="expression" dxfId="13196" priority="17274">
      <formula>AR127="T"</formula>
    </cfRule>
  </conditionalFormatting>
  <conditionalFormatting sqref="AR141">
    <cfRule type="expression" dxfId="13195" priority="17269">
      <formula>AR141="X"</formula>
    </cfRule>
    <cfRule type="expression" dxfId="13194" priority="17270">
      <formula>AR141="A"</formula>
    </cfRule>
    <cfRule type="expression" dxfId="13193" priority="17271">
      <formula>AR141="T"</formula>
    </cfRule>
  </conditionalFormatting>
  <conditionalFormatting sqref="AR143">
    <cfRule type="expression" dxfId="13192" priority="17266">
      <formula>AR143="X"</formula>
    </cfRule>
    <cfRule type="expression" dxfId="13191" priority="17267">
      <formula>AR143="A"</formula>
    </cfRule>
    <cfRule type="expression" dxfId="13190" priority="17268">
      <formula>AR143="T"</formula>
    </cfRule>
  </conditionalFormatting>
  <conditionalFormatting sqref="AR149">
    <cfRule type="expression" dxfId="13189" priority="17263">
      <formula>AR149="X"</formula>
    </cfRule>
    <cfRule type="expression" dxfId="13188" priority="17264">
      <formula>AR149="A"</formula>
    </cfRule>
    <cfRule type="expression" dxfId="13187" priority="17265">
      <formula>AR149="T"</formula>
    </cfRule>
  </conditionalFormatting>
  <conditionalFormatting sqref="AR151">
    <cfRule type="expression" dxfId="13186" priority="17260">
      <formula>AR151="X"</formula>
    </cfRule>
    <cfRule type="expression" dxfId="13185" priority="17261">
      <formula>AR151="A"</formula>
    </cfRule>
    <cfRule type="expression" dxfId="13184" priority="17262">
      <formula>AR151="T"</formula>
    </cfRule>
  </conditionalFormatting>
  <conditionalFormatting sqref="AR155">
    <cfRule type="expression" dxfId="13183" priority="17257">
      <formula>AR155="X"</formula>
    </cfRule>
    <cfRule type="expression" dxfId="13182" priority="17258">
      <formula>AR155="A"</formula>
    </cfRule>
    <cfRule type="expression" dxfId="13181" priority="17259">
      <formula>AR155="T"</formula>
    </cfRule>
  </conditionalFormatting>
  <conditionalFormatting sqref="AR157">
    <cfRule type="expression" dxfId="13180" priority="17254">
      <formula>AR157="X"</formula>
    </cfRule>
    <cfRule type="expression" dxfId="13179" priority="17255">
      <formula>AR157="A"</formula>
    </cfRule>
    <cfRule type="expression" dxfId="13178" priority="17256">
      <formula>AR157="T"</formula>
    </cfRule>
  </conditionalFormatting>
  <conditionalFormatting sqref="AR167">
    <cfRule type="expression" dxfId="13177" priority="17251">
      <formula>AR167="X"</formula>
    </cfRule>
    <cfRule type="expression" dxfId="13176" priority="17252">
      <formula>AR167="A"</formula>
    </cfRule>
    <cfRule type="expression" dxfId="13175" priority="17253">
      <formula>AR167="T"</formula>
    </cfRule>
  </conditionalFormatting>
  <conditionalFormatting sqref="AR173">
    <cfRule type="expression" dxfId="13174" priority="17248">
      <formula>AR173="X"</formula>
    </cfRule>
    <cfRule type="expression" dxfId="13173" priority="17249">
      <formula>AR173="A"</formula>
    </cfRule>
    <cfRule type="expression" dxfId="13172" priority="17250">
      <formula>AR173="T"</formula>
    </cfRule>
  </conditionalFormatting>
  <conditionalFormatting sqref="AR175">
    <cfRule type="expression" dxfId="13171" priority="17245">
      <formula>AR175="X"</formula>
    </cfRule>
    <cfRule type="expression" dxfId="13170" priority="17246">
      <formula>AR175="A"</formula>
    </cfRule>
    <cfRule type="expression" dxfId="13169" priority="17247">
      <formula>AR175="T"</formula>
    </cfRule>
  </conditionalFormatting>
  <conditionalFormatting sqref="AR177">
    <cfRule type="expression" dxfId="13168" priority="17242">
      <formula>AR177="X"</formula>
    </cfRule>
    <cfRule type="expression" dxfId="13167" priority="17243">
      <formula>AR177="A"</formula>
    </cfRule>
    <cfRule type="expression" dxfId="13166" priority="17244">
      <formula>AR177="T"</formula>
    </cfRule>
  </conditionalFormatting>
  <conditionalFormatting sqref="AR179">
    <cfRule type="expression" dxfId="13165" priority="17239">
      <formula>AR179="X"</formula>
    </cfRule>
    <cfRule type="expression" dxfId="13164" priority="17240">
      <formula>AR179="A"</formula>
    </cfRule>
    <cfRule type="expression" dxfId="13163" priority="17241">
      <formula>AR179="T"</formula>
    </cfRule>
  </conditionalFormatting>
  <conditionalFormatting sqref="AR169">
    <cfRule type="expression" dxfId="13162" priority="17236">
      <formula>AR169="X"</formula>
    </cfRule>
    <cfRule type="expression" dxfId="13161" priority="17237">
      <formula>AR169="A"</formula>
    </cfRule>
    <cfRule type="expression" dxfId="13160" priority="17238">
      <formula>AR169="T"</formula>
    </cfRule>
  </conditionalFormatting>
  <conditionalFormatting sqref="AR171">
    <cfRule type="expression" dxfId="13159" priority="17233">
      <formula>AR171="X"</formula>
    </cfRule>
    <cfRule type="expression" dxfId="13158" priority="17234">
      <formula>AR171="A"</formula>
    </cfRule>
    <cfRule type="expression" dxfId="13157" priority="17235">
      <formula>AR171="T"</formula>
    </cfRule>
  </conditionalFormatting>
  <conditionalFormatting sqref="AR183">
    <cfRule type="expression" dxfId="13156" priority="17230">
      <formula>AR183="X"</formula>
    </cfRule>
    <cfRule type="expression" dxfId="13155" priority="17231">
      <formula>AR183="A"</formula>
    </cfRule>
    <cfRule type="expression" dxfId="13154" priority="17232">
      <formula>AR183="T"</formula>
    </cfRule>
  </conditionalFormatting>
  <conditionalFormatting sqref="AR185">
    <cfRule type="expression" dxfId="13153" priority="17227">
      <formula>AR185="X"</formula>
    </cfRule>
    <cfRule type="expression" dxfId="13152" priority="17228">
      <formula>AR185="A"</formula>
    </cfRule>
    <cfRule type="expression" dxfId="13151" priority="17229">
      <formula>AR185="T"</formula>
    </cfRule>
  </conditionalFormatting>
  <conditionalFormatting sqref="AR189">
    <cfRule type="expression" dxfId="13150" priority="17224">
      <formula>AR189="X"</formula>
    </cfRule>
    <cfRule type="expression" dxfId="13149" priority="17225">
      <formula>AR189="A"</formula>
    </cfRule>
    <cfRule type="expression" dxfId="13148" priority="17226">
      <formula>AR189="T"</formula>
    </cfRule>
  </conditionalFormatting>
  <conditionalFormatting sqref="AR191">
    <cfRule type="expression" dxfId="13147" priority="17221">
      <formula>AR191="X"</formula>
    </cfRule>
    <cfRule type="expression" dxfId="13146" priority="17222">
      <formula>AR191="A"</formula>
    </cfRule>
    <cfRule type="expression" dxfId="13145" priority="17223">
      <formula>AR191="T"</formula>
    </cfRule>
  </conditionalFormatting>
  <conditionalFormatting sqref="AR11">
    <cfRule type="expression" dxfId="13144" priority="17218">
      <formula>AR11="X"</formula>
    </cfRule>
    <cfRule type="expression" dxfId="13143" priority="17219">
      <formula>AR11="A"</formula>
    </cfRule>
    <cfRule type="expression" dxfId="13142" priority="17220">
      <formula>AR11="T"</formula>
    </cfRule>
  </conditionalFormatting>
  <conditionalFormatting sqref="AR12">
    <cfRule type="expression" dxfId="13141" priority="17215">
      <formula>AR11="X"</formula>
    </cfRule>
    <cfRule type="expression" dxfId="13140" priority="17216">
      <formula>AR11="A"</formula>
    </cfRule>
    <cfRule type="expression" dxfId="13139" priority="17217">
      <formula>AR11="T"</formula>
    </cfRule>
  </conditionalFormatting>
  <conditionalFormatting sqref="AR13">
    <cfRule type="expression" dxfId="13138" priority="17212">
      <formula>AR13="X"</formula>
    </cfRule>
    <cfRule type="expression" dxfId="13137" priority="17213">
      <formula>AR13="A"</formula>
    </cfRule>
    <cfRule type="expression" dxfId="13136" priority="17214">
      <formula>AR13="T"</formula>
    </cfRule>
  </conditionalFormatting>
  <conditionalFormatting sqref="AR14">
    <cfRule type="expression" dxfId="13135" priority="17209">
      <formula>AR13="X"</formula>
    </cfRule>
    <cfRule type="expression" dxfId="13134" priority="17210">
      <formula>AR13="A"</formula>
    </cfRule>
    <cfRule type="expression" dxfId="13133" priority="17211">
      <formula>AR13="T"</formula>
    </cfRule>
  </conditionalFormatting>
  <conditionalFormatting sqref="AR17">
    <cfRule type="expression" dxfId="13132" priority="17206">
      <formula>AR16="X"</formula>
    </cfRule>
    <cfRule type="expression" dxfId="13131" priority="17207">
      <formula>AR16="A"</formula>
    </cfRule>
    <cfRule type="expression" dxfId="13130" priority="17208">
      <formula>AR16="T"</formula>
    </cfRule>
  </conditionalFormatting>
  <conditionalFormatting sqref="AR19">
    <cfRule type="expression" dxfId="13129" priority="17200">
      <formula>AR18="X"</formula>
    </cfRule>
    <cfRule type="expression" dxfId="13128" priority="17201">
      <formula>AR18="A"</formula>
    </cfRule>
    <cfRule type="expression" dxfId="13127" priority="17202">
      <formula>AR18="T"</formula>
    </cfRule>
  </conditionalFormatting>
  <conditionalFormatting sqref="AR21">
    <cfRule type="expression" dxfId="13126" priority="17197">
      <formula>AR20="X"</formula>
    </cfRule>
    <cfRule type="expression" dxfId="13125" priority="17198">
      <formula>AR20="A"</formula>
    </cfRule>
    <cfRule type="expression" dxfId="13124" priority="17199">
      <formula>AR20="T"</formula>
    </cfRule>
  </conditionalFormatting>
  <conditionalFormatting sqref="AR23">
    <cfRule type="expression" dxfId="13123" priority="17194">
      <formula>AR22="X"</formula>
    </cfRule>
    <cfRule type="expression" dxfId="13122" priority="17195">
      <formula>AR22="A"</formula>
    </cfRule>
    <cfRule type="expression" dxfId="13121" priority="17196">
      <formula>AR22="T"</formula>
    </cfRule>
  </conditionalFormatting>
  <conditionalFormatting sqref="AR25">
    <cfRule type="expression" dxfId="13120" priority="17191">
      <formula>AR24="X"</formula>
    </cfRule>
    <cfRule type="expression" dxfId="13119" priority="17192">
      <formula>AR24="A"</formula>
    </cfRule>
    <cfRule type="expression" dxfId="13118" priority="17193">
      <formula>AR24="T"</formula>
    </cfRule>
  </conditionalFormatting>
  <conditionalFormatting sqref="AR27">
    <cfRule type="expression" dxfId="13117" priority="17188">
      <formula>AR26="X"</formula>
    </cfRule>
    <cfRule type="expression" dxfId="13116" priority="17189">
      <formula>AR26="A"</formula>
    </cfRule>
    <cfRule type="expression" dxfId="13115" priority="17190">
      <formula>AR26="T"</formula>
    </cfRule>
  </conditionalFormatting>
  <conditionalFormatting sqref="AR29">
    <cfRule type="expression" dxfId="13114" priority="17185">
      <formula>AR28="X"</formula>
    </cfRule>
    <cfRule type="expression" dxfId="13113" priority="17186">
      <formula>AR28="A"</formula>
    </cfRule>
    <cfRule type="expression" dxfId="13112" priority="17187">
      <formula>AR28="T"</formula>
    </cfRule>
  </conditionalFormatting>
  <conditionalFormatting sqref="AR31">
    <cfRule type="expression" dxfId="13111" priority="17182">
      <formula>AR30="X"</formula>
    </cfRule>
    <cfRule type="expression" dxfId="13110" priority="17183">
      <formula>AR30="A"</formula>
    </cfRule>
    <cfRule type="expression" dxfId="13109" priority="17184">
      <formula>AR30="T"</formula>
    </cfRule>
  </conditionalFormatting>
  <conditionalFormatting sqref="AR33">
    <cfRule type="expression" dxfId="13108" priority="17179">
      <formula>AR32="X"</formula>
    </cfRule>
    <cfRule type="expression" dxfId="13107" priority="17180">
      <formula>AR32="A"</formula>
    </cfRule>
    <cfRule type="expression" dxfId="13106" priority="17181">
      <formula>AR32="T"</formula>
    </cfRule>
  </conditionalFormatting>
  <conditionalFormatting sqref="AR35">
    <cfRule type="expression" dxfId="13105" priority="17176">
      <formula>AR34="X"</formula>
    </cfRule>
    <cfRule type="expression" dxfId="13104" priority="17177">
      <formula>AR34="A"</formula>
    </cfRule>
    <cfRule type="expression" dxfId="13103" priority="17178">
      <formula>AR34="T"</formula>
    </cfRule>
  </conditionalFormatting>
  <conditionalFormatting sqref="AR37">
    <cfRule type="expression" dxfId="13102" priority="17173">
      <formula>AR36="X"</formula>
    </cfRule>
    <cfRule type="expression" dxfId="13101" priority="17174">
      <formula>AR36="A"</formula>
    </cfRule>
    <cfRule type="expression" dxfId="13100" priority="17175">
      <formula>AR36="T"</formula>
    </cfRule>
  </conditionalFormatting>
  <conditionalFormatting sqref="AR40">
    <cfRule type="expression" dxfId="13099" priority="17170">
      <formula>AR39="X"</formula>
    </cfRule>
    <cfRule type="expression" dxfId="13098" priority="17171">
      <formula>AR39="A"</formula>
    </cfRule>
    <cfRule type="expression" dxfId="13097" priority="17172">
      <formula>AR39="T"</formula>
    </cfRule>
  </conditionalFormatting>
  <conditionalFormatting sqref="AR42">
    <cfRule type="expression" dxfId="13096" priority="17167">
      <formula>AR41="X"</formula>
    </cfRule>
    <cfRule type="expression" dxfId="13095" priority="17168">
      <formula>AR41="A"</formula>
    </cfRule>
    <cfRule type="expression" dxfId="13094" priority="17169">
      <formula>AR41="T"</formula>
    </cfRule>
  </conditionalFormatting>
  <conditionalFormatting sqref="AR44">
    <cfRule type="expression" dxfId="13093" priority="17164">
      <formula>AR43="X"</formula>
    </cfRule>
    <cfRule type="expression" dxfId="13092" priority="17165">
      <formula>AR43="A"</formula>
    </cfRule>
    <cfRule type="expression" dxfId="13091" priority="17166">
      <formula>AR43="T"</formula>
    </cfRule>
  </conditionalFormatting>
  <conditionalFormatting sqref="AR46">
    <cfRule type="expression" dxfId="13090" priority="17161">
      <formula>AR45="X"</formula>
    </cfRule>
    <cfRule type="expression" dxfId="13089" priority="17162">
      <formula>AR45="A"</formula>
    </cfRule>
    <cfRule type="expression" dxfId="13088" priority="17163">
      <formula>AR45="T"</formula>
    </cfRule>
  </conditionalFormatting>
  <conditionalFormatting sqref="AR49">
    <cfRule type="expression" dxfId="13087" priority="17158">
      <formula>AR48="X"</formula>
    </cfRule>
    <cfRule type="expression" dxfId="13086" priority="17159">
      <formula>AR48="A"</formula>
    </cfRule>
    <cfRule type="expression" dxfId="13085" priority="17160">
      <formula>AR48="T"</formula>
    </cfRule>
  </conditionalFormatting>
  <conditionalFormatting sqref="AR51">
    <cfRule type="expression" dxfId="13084" priority="17155">
      <formula>AR50="X"</formula>
    </cfRule>
    <cfRule type="expression" dxfId="13083" priority="17156">
      <formula>AR50="A"</formula>
    </cfRule>
    <cfRule type="expression" dxfId="13082" priority="17157">
      <formula>AR50="T"</formula>
    </cfRule>
  </conditionalFormatting>
  <conditionalFormatting sqref="AR53">
    <cfRule type="expression" dxfId="13081" priority="17152">
      <formula>AR52="X"</formula>
    </cfRule>
    <cfRule type="expression" dxfId="13080" priority="17153">
      <formula>AR52="A"</formula>
    </cfRule>
    <cfRule type="expression" dxfId="13079" priority="17154">
      <formula>AR52="T"</formula>
    </cfRule>
  </conditionalFormatting>
  <conditionalFormatting sqref="AR55">
    <cfRule type="expression" dxfId="13078" priority="17149">
      <formula>AR54="X"</formula>
    </cfRule>
    <cfRule type="expression" dxfId="13077" priority="17150">
      <formula>AR54="A"</formula>
    </cfRule>
    <cfRule type="expression" dxfId="13076" priority="17151">
      <formula>AR54="T"</formula>
    </cfRule>
  </conditionalFormatting>
  <conditionalFormatting sqref="AR57">
    <cfRule type="expression" dxfId="13075" priority="17146">
      <formula>AR56="X"</formula>
    </cfRule>
    <cfRule type="expression" dxfId="13074" priority="17147">
      <formula>AR56="A"</formula>
    </cfRule>
    <cfRule type="expression" dxfId="13073" priority="17148">
      <formula>AR56="T"</formula>
    </cfRule>
  </conditionalFormatting>
  <conditionalFormatting sqref="AR59">
    <cfRule type="expression" dxfId="13072" priority="17143">
      <formula>AR58="X"</formula>
    </cfRule>
    <cfRule type="expression" dxfId="13071" priority="17144">
      <formula>AR58="A"</formula>
    </cfRule>
    <cfRule type="expression" dxfId="13070" priority="17145">
      <formula>AR58="T"</formula>
    </cfRule>
  </conditionalFormatting>
  <conditionalFormatting sqref="AR64">
    <cfRule type="expression" dxfId="13069" priority="17140">
      <formula>AR63="X"</formula>
    </cfRule>
    <cfRule type="expression" dxfId="13068" priority="17141">
      <formula>AR63="A"</formula>
    </cfRule>
    <cfRule type="expression" dxfId="13067" priority="17142">
      <formula>AR63="T"</formula>
    </cfRule>
  </conditionalFormatting>
  <conditionalFormatting sqref="AR66">
    <cfRule type="expression" dxfId="13066" priority="17137">
      <formula>AR65="X"</formula>
    </cfRule>
    <cfRule type="expression" dxfId="13065" priority="17138">
      <formula>AR65="A"</formula>
    </cfRule>
    <cfRule type="expression" dxfId="13064" priority="17139">
      <formula>AR65="T"</formula>
    </cfRule>
  </conditionalFormatting>
  <conditionalFormatting sqref="AR68">
    <cfRule type="expression" dxfId="13063" priority="17134">
      <formula>AR67="X"</formula>
    </cfRule>
    <cfRule type="expression" dxfId="13062" priority="17135">
      <formula>AR67="A"</formula>
    </cfRule>
    <cfRule type="expression" dxfId="13061" priority="17136">
      <formula>AR67="T"</formula>
    </cfRule>
  </conditionalFormatting>
  <conditionalFormatting sqref="AR82">
    <cfRule type="expression" dxfId="13060" priority="17131">
      <formula>AR81="X"</formula>
    </cfRule>
    <cfRule type="expression" dxfId="13059" priority="17132">
      <formula>AR81="A"</formula>
    </cfRule>
    <cfRule type="expression" dxfId="13058" priority="17133">
      <formula>AR81="T"</formula>
    </cfRule>
  </conditionalFormatting>
  <conditionalFormatting sqref="AR84">
    <cfRule type="expression" dxfId="13057" priority="17128">
      <formula>AR83="X"</formula>
    </cfRule>
    <cfRule type="expression" dxfId="13056" priority="17129">
      <formula>AR83="A"</formula>
    </cfRule>
    <cfRule type="expression" dxfId="13055" priority="17130">
      <formula>AR83="T"</formula>
    </cfRule>
  </conditionalFormatting>
  <conditionalFormatting sqref="AR86">
    <cfRule type="expression" dxfId="13054" priority="17125">
      <formula>AR85="X"</formula>
    </cfRule>
    <cfRule type="expression" dxfId="13053" priority="17126">
      <formula>AR85="A"</formula>
    </cfRule>
    <cfRule type="expression" dxfId="13052" priority="17127">
      <formula>AR85="T"</formula>
    </cfRule>
  </conditionalFormatting>
  <conditionalFormatting sqref="AR89">
    <cfRule type="expression" dxfId="13051" priority="17122">
      <formula>AR88="X"</formula>
    </cfRule>
    <cfRule type="expression" dxfId="13050" priority="17123">
      <formula>AR88="A"</formula>
    </cfRule>
    <cfRule type="expression" dxfId="13049" priority="17124">
      <formula>AR88="T"</formula>
    </cfRule>
  </conditionalFormatting>
  <conditionalFormatting sqref="AR91">
    <cfRule type="expression" dxfId="13048" priority="17119">
      <formula>AR90="X"</formula>
    </cfRule>
    <cfRule type="expression" dxfId="13047" priority="17120">
      <formula>AR90="A"</formula>
    </cfRule>
    <cfRule type="expression" dxfId="13046" priority="17121">
      <formula>AR90="T"</formula>
    </cfRule>
  </conditionalFormatting>
  <conditionalFormatting sqref="AR93">
    <cfRule type="expression" dxfId="13045" priority="17116">
      <formula>AR92="X"</formula>
    </cfRule>
    <cfRule type="expression" dxfId="13044" priority="17117">
      <formula>AR92="A"</formula>
    </cfRule>
    <cfRule type="expression" dxfId="13043" priority="17118">
      <formula>AR92="T"</formula>
    </cfRule>
  </conditionalFormatting>
  <conditionalFormatting sqref="AR95">
    <cfRule type="expression" dxfId="13042" priority="17113">
      <formula>AR94="X"</formula>
    </cfRule>
    <cfRule type="expression" dxfId="13041" priority="17114">
      <formula>AR94="A"</formula>
    </cfRule>
    <cfRule type="expression" dxfId="13040" priority="17115">
      <formula>AR94="T"</formula>
    </cfRule>
  </conditionalFormatting>
  <conditionalFormatting sqref="AR97">
    <cfRule type="expression" dxfId="13039" priority="17110">
      <formula>AR96="X"</formula>
    </cfRule>
    <cfRule type="expression" dxfId="13038" priority="17111">
      <formula>AR96="A"</formula>
    </cfRule>
    <cfRule type="expression" dxfId="13037" priority="17112">
      <formula>AR96="T"</formula>
    </cfRule>
  </conditionalFormatting>
  <conditionalFormatting sqref="AR99">
    <cfRule type="expression" dxfId="13036" priority="17107">
      <formula>AR98="X"</formula>
    </cfRule>
    <cfRule type="expression" dxfId="13035" priority="17108">
      <formula>AR98="A"</formula>
    </cfRule>
    <cfRule type="expression" dxfId="13034" priority="17109">
      <formula>AR98="T"</formula>
    </cfRule>
  </conditionalFormatting>
  <conditionalFormatting sqref="AR101">
    <cfRule type="expression" dxfId="13033" priority="17104">
      <formula>AR100="X"</formula>
    </cfRule>
    <cfRule type="expression" dxfId="13032" priority="17105">
      <formula>AR100="A"</formula>
    </cfRule>
    <cfRule type="expression" dxfId="13031" priority="17106">
      <formula>AR100="T"</formula>
    </cfRule>
  </conditionalFormatting>
  <conditionalFormatting sqref="AR103">
    <cfRule type="expression" dxfId="13030" priority="17101">
      <formula>AR102="X"</formula>
    </cfRule>
    <cfRule type="expression" dxfId="13029" priority="17102">
      <formula>AR102="A"</formula>
    </cfRule>
    <cfRule type="expression" dxfId="13028" priority="17103">
      <formula>AR102="T"</formula>
    </cfRule>
  </conditionalFormatting>
  <conditionalFormatting sqref="AR106">
    <cfRule type="expression" dxfId="13027" priority="17098">
      <formula>AR105="X"</formula>
    </cfRule>
    <cfRule type="expression" dxfId="13026" priority="17099">
      <formula>AR105="A"</formula>
    </cfRule>
    <cfRule type="expression" dxfId="13025" priority="17100">
      <formula>AR105="T"</formula>
    </cfRule>
  </conditionalFormatting>
  <conditionalFormatting sqref="AR108">
    <cfRule type="expression" dxfId="13024" priority="17095">
      <formula>AR107="X"</formula>
    </cfRule>
    <cfRule type="expression" dxfId="13023" priority="17096">
      <formula>AR107="A"</formula>
    </cfRule>
    <cfRule type="expression" dxfId="13022" priority="17097">
      <formula>AR107="T"</formula>
    </cfRule>
  </conditionalFormatting>
  <conditionalFormatting sqref="AR110">
    <cfRule type="expression" dxfId="13021" priority="17092">
      <formula>AR109="X"</formula>
    </cfRule>
    <cfRule type="expression" dxfId="13020" priority="17093">
      <formula>AR109="A"</formula>
    </cfRule>
    <cfRule type="expression" dxfId="13019" priority="17094">
      <formula>AR109="T"</formula>
    </cfRule>
  </conditionalFormatting>
  <conditionalFormatting sqref="AR112">
    <cfRule type="expression" dxfId="13018" priority="17089">
      <formula>AR111="X"</formula>
    </cfRule>
    <cfRule type="expression" dxfId="13017" priority="17090">
      <formula>AR111="A"</formula>
    </cfRule>
    <cfRule type="expression" dxfId="13016" priority="17091">
      <formula>AR111="T"</formula>
    </cfRule>
  </conditionalFormatting>
  <conditionalFormatting sqref="AR114">
    <cfRule type="expression" dxfId="13015" priority="17086">
      <formula>AR113="X"</formula>
    </cfRule>
    <cfRule type="expression" dxfId="13014" priority="17087">
      <formula>AR113="A"</formula>
    </cfRule>
    <cfRule type="expression" dxfId="13013" priority="17088">
      <formula>AR113="T"</formula>
    </cfRule>
  </conditionalFormatting>
  <conditionalFormatting sqref="AR117">
    <cfRule type="expression" dxfId="13012" priority="17083">
      <formula>AR116="X"</formula>
    </cfRule>
    <cfRule type="expression" dxfId="13011" priority="17084">
      <formula>AR116="A"</formula>
    </cfRule>
    <cfRule type="expression" dxfId="13010" priority="17085">
      <formula>AR116="T"</formula>
    </cfRule>
  </conditionalFormatting>
  <conditionalFormatting sqref="AR119">
    <cfRule type="expression" dxfId="13009" priority="17080">
      <formula>AR118="X"</formula>
    </cfRule>
    <cfRule type="expression" dxfId="13008" priority="17081">
      <formula>AR118="A"</formula>
    </cfRule>
    <cfRule type="expression" dxfId="13007" priority="17082">
      <formula>AR118="T"</formula>
    </cfRule>
  </conditionalFormatting>
  <conditionalFormatting sqref="AR121">
    <cfRule type="expression" dxfId="13006" priority="17077">
      <formula>AR120="X"</formula>
    </cfRule>
    <cfRule type="expression" dxfId="13005" priority="17078">
      <formula>AR120="A"</formula>
    </cfRule>
    <cfRule type="expression" dxfId="13004" priority="17079">
      <formula>AR120="T"</formula>
    </cfRule>
  </conditionalFormatting>
  <conditionalFormatting sqref="AR123">
    <cfRule type="expression" dxfId="13003" priority="17074">
      <formula>AR122="X"</formula>
    </cfRule>
    <cfRule type="expression" dxfId="13002" priority="17075">
      <formula>AR122="A"</formula>
    </cfRule>
    <cfRule type="expression" dxfId="13001" priority="17076">
      <formula>AR122="T"</formula>
    </cfRule>
  </conditionalFormatting>
  <conditionalFormatting sqref="AR126">
    <cfRule type="expression" dxfId="13000" priority="17071">
      <formula>AR125="X"</formula>
    </cfRule>
    <cfRule type="expression" dxfId="12999" priority="17072">
      <formula>AR125="A"</formula>
    </cfRule>
    <cfRule type="expression" dxfId="12998" priority="17073">
      <formula>AR125="T"</formula>
    </cfRule>
  </conditionalFormatting>
  <conditionalFormatting sqref="AR128">
    <cfRule type="expression" dxfId="12997" priority="17068">
      <formula>AR127="X"</formula>
    </cfRule>
    <cfRule type="expression" dxfId="12996" priority="17069">
      <formula>AR127="A"</formula>
    </cfRule>
    <cfRule type="expression" dxfId="12995" priority="17070">
      <formula>AR127="T"</formula>
    </cfRule>
  </conditionalFormatting>
  <conditionalFormatting sqref="AR142">
    <cfRule type="expression" dxfId="12994" priority="17065">
      <formula>AR141="X"</formula>
    </cfRule>
    <cfRule type="expression" dxfId="12993" priority="17066">
      <formula>AR141="A"</formula>
    </cfRule>
    <cfRule type="expression" dxfId="12992" priority="17067">
      <formula>AR141="T"</formula>
    </cfRule>
  </conditionalFormatting>
  <conditionalFormatting sqref="AR144">
    <cfRule type="expression" dxfId="12991" priority="17062">
      <formula>AR143="X"</formula>
    </cfRule>
    <cfRule type="expression" dxfId="12990" priority="17063">
      <formula>AR143="A"</formula>
    </cfRule>
    <cfRule type="expression" dxfId="12989" priority="17064">
      <formula>AR143="T"</formula>
    </cfRule>
  </conditionalFormatting>
  <conditionalFormatting sqref="AR150">
    <cfRule type="expression" dxfId="12988" priority="17059">
      <formula>AR149="X"</formula>
    </cfRule>
    <cfRule type="expression" dxfId="12987" priority="17060">
      <formula>AR149="A"</formula>
    </cfRule>
    <cfRule type="expression" dxfId="12986" priority="17061">
      <formula>AR149="T"</formula>
    </cfRule>
  </conditionalFormatting>
  <conditionalFormatting sqref="AR152">
    <cfRule type="expression" dxfId="12985" priority="17056">
      <formula>AR151="X"</formula>
    </cfRule>
    <cfRule type="expression" dxfId="12984" priority="17057">
      <formula>AR151="A"</formula>
    </cfRule>
    <cfRule type="expression" dxfId="12983" priority="17058">
      <formula>AR151="T"</formula>
    </cfRule>
  </conditionalFormatting>
  <conditionalFormatting sqref="AR156">
    <cfRule type="expression" dxfId="12982" priority="17053">
      <formula>AR155="X"</formula>
    </cfRule>
    <cfRule type="expression" dxfId="12981" priority="17054">
      <formula>AR155="A"</formula>
    </cfRule>
    <cfRule type="expression" dxfId="12980" priority="17055">
      <formula>AR155="T"</formula>
    </cfRule>
  </conditionalFormatting>
  <conditionalFormatting sqref="AR168">
    <cfRule type="expression" dxfId="12979" priority="17047">
      <formula>AR167="X"</formula>
    </cfRule>
    <cfRule type="expression" dxfId="12978" priority="17048">
      <formula>AR167="A"</formula>
    </cfRule>
    <cfRule type="expression" dxfId="12977" priority="17049">
      <formula>AR167="T"</formula>
    </cfRule>
  </conditionalFormatting>
  <conditionalFormatting sqref="AR170">
    <cfRule type="expression" dxfId="12976" priority="17044">
      <formula>AR169="X"</formula>
    </cfRule>
    <cfRule type="expression" dxfId="12975" priority="17045">
      <formula>AR169="A"</formula>
    </cfRule>
    <cfRule type="expression" dxfId="12974" priority="17046">
      <formula>AR169="T"</formula>
    </cfRule>
  </conditionalFormatting>
  <conditionalFormatting sqref="AR172">
    <cfRule type="expression" dxfId="12973" priority="17041">
      <formula>AR171="X"</formula>
    </cfRule>
    <cfRule type="expression" dxfId="12972" priority="17042">
      <formula>AR171="A"</formula>
    </cfRule>
    <cfRule type="expression" dxfId="12971" priority="17043">
      <formula>AR171="T"</formula>
    </cfRule>
  </conditionalFormatting>
  <conditionalFormatting sqref="AR174">
    <cfRule type="expression" dxfId="12970" priority="17038">
      <formula>AR173="X"</formula>
    </cfRule>
    <cfRule type="expression" dxfId="12969" priority="17039">
      <formula>AR173="A"</formula>
    </cfRule>
    <cfRule type="expression" dxfId="12968" priority="17040">
      <formula>AR173="T"</formula>
    </cfRule>
  </conditionalFormatting>
  <conditionalFormatting sqref="AR176">
    <cfRule type="expression" dxfId="12967" priority="17035">
      <formula>AR175="X"</formula>
    </cfRule>
    <cfRule type="expression" dxfId="12966" priority="17036">
      <formula>AR175="A"</formula>
    </cfRule>
    <cfRule type="expression" dxfId="12965" priority="17037">
      <formula>AR175="T"</formula>
    </cfRule>
  </conditionalFormatting>
  <conditionalFormatting sqref="AR178">
    <cfRule type="expression" dxfId="12964" priority="17032">
      <formula>AR177="X"</formula>
    </cfRule>
    <cfRule type="expression" dxfId="12963" priority="17033">
      <formula>AR177="A"</formula>
    </cfRule>
    <cfRule type="expression" dxfId="12962" priority="17034">
      <formula>AR177="T"</formula>
    </cfRule>
  </conditionalFormatting>
  <conditionalFormatting sqref="AR180">
    <cfRule type="expression" dxfId="12961" priority="17029">
      <formula>AR179="X"</formula>
    </cfRule>
    <cfRule type="expression" dxfId="12960" priority="17030">
      <formula>AR179="A"</formula>
    </cfRule>
    <cfRule type="expression" dxfId="12959" priority="17031">
      <formula>AR179="T"</formula>
    </cfRule>
  </conditionalFormatting>
  <conditionalFormatting sqref="AR184">
    <cfRule type="expression" dxfId="12958" priority="17026">
      <formula>AR183="X"</formula>
    </cfRule>
    <cfRule type="expression" dxfId="12957" priority="17027">
      <formula>AR183="A"</formula>
    </cfRule>
    <cfRule type="expression" dxfId="12956" priority="17028">
      <formula>AR183="T"</formula>
    </cfRule>
  </conditionalFormatting>
  <conditionalFormatting sqref="AR186">
    <cfRule type="expression" dxfId="12955" priority="17023">
      <formula>AR185="X"</formula>
    </cfRule>
    <cfRule type="expression" dxfId="12954" priority="17024">
      <formula>AR185="A"</formula>
    </cfRule>
    <cfRule type="expression" dxfId="12953" priority="17025">
      <formula>AR185="T"</formula>
    </cfRule>
  </conditionalFormatting>
  <conditionalFormatting sqref="AR190">
    <cfRule type="expression" dxfId="12952" priority="17020">
      <formula>AR189="X"</formula>
    </cfRule>
    <cfRule type="expression" dxfId="12951" priority="17021">
      <formula>AR189="A"</formula>
    </cfRule>
    <cfRule type="expression" dxfId="12950" priority="17022">
      <formula>AR189="T"</formula>
    </cfRule>
  </conditionalFormatting>
  <conditionalFormatting sqref="AR192">
    <cfRule type="expression" dxfId="12949" priority="17017">
      <formula>AR191="X"</formula>
    </cfRule>
    <cfRule type="expression" dxfId="12948" priority="17018">
      <formula>AR191="A"</formula>
    </cfRule>
    <cfRule type="expression" dxfId="12947" priority="17019">
      <formula>AR191="T"</formula>
    </cfRule>
  </conditionalFormatting>
  <conditionalFormatting sqref="AR208">
    <cfRule type="expression" dxfId="12946" priority="17014">
      <formula>AR207="X"</formula>
    </cfRule>
    <cfRule type="expression" dxfId="12945" priority="17015">
      <formula>AR207="A"</formula>
    </cfRule>
    <cfRule type="expression" dxfId="12944" priority="17016">
      <formula>AR207="T"</formula>
    </cfRule>
  </conditionalFormatting>
  <conditionalFormatting sqref="AR211">
    <cfRule type="expression" dxfId="12943" priority="17011">
      <formula>AR211="X"</formula>
    </cfRule>
    <cfRule type="expression" dxfId="12942" priority="17012">
      <formula>AR211="A"</formula>
    </cfRule>
    <cfRule type="expression" dxfId="12941" priority="17013">
      <formula>AR211="T"</formula>
    </cfRule>
  </conditionalFormatting>
  <conditionalFormatting sqref="AR212">
    <cfRule type="expression" dxfId="12940" priority="17008">
      <formula>AR211="X"</formula>
    </cfRule>
    <cfRule type="expression" dxfId="12939" priority="17009">
      <formula>AR211="A"</formula>
    </cfRule>
    <cfRule type="expression" dxfId="12938" priority="17010">
      <formula>AR211="T"</formula>
    </cfRule>
  </conditionalFormatting>
  <conditionalFormatting sqref="AR213">
    <cfRule type="expression" dxfId="12937" priority="17005">
      <formula>AR213="X"</formula>
    </cfRule>
    <cfRule type="expression" dxfId="12936" priority="17006">
      <formula>AR213="A"</formula>
    </cfRule>
    <cfRule type="expression" dxfId="12935" priority="17007">
      <formula>AR213="T"</formula>
    </cfRule>
  </conditionalFormatting>
  <conditionalFormatting sqref="AR214">
    <cfRule type="expression" dxfId="12934" priority="17002">
      <formula>AR213="X"</formula>
    </cfRule>
    <cfRule type="expression" dxfId="12933" priority="17003">
      <formula>AR213="A"</formula>
    </cfRule>
    <cfRule type="expression" dxfId="12932" priority="17004">
      <formula>AR213="T"</formula>
    </cfRule>
  </conditionalFormatting>
  <conditionalFormatting sqref="AR215">
    <cfRule type="expression" dxfId="12931" priority="16999">
      <formula>AR215="X"</formula>
    </cfRule>
    <cfRule type="expression" dxfId="12930" priority="17000">
      <formula>AR215="A"</formula>
    </cfRule>
    <cfRule type="expression" dxfId="12929" priority="17001">
      <formula>AR215="T"</formula>
    </cfRule>
  </conditionalFormatting>
  <conditionalFormatting sqref="AR216">
    <cfRule type="expression" dxfId="12928" priority="16996">
      <formula>AR215="X"</formula>
    </cfRule>
    <cfRule type="expression" dxfId="12927" priority="16997">
      <formula>AR215="A"</formula>
    </cfRule>
    <cfRule type="expression" dxfId="12926" priority="16998">
      <formula>AR215="T"</formula>
    </cfRule>
  </conditionalFormatting>
  <conditionalFormatting sqref="AR217">
    <cfRule type="expression" dxfId="12925" priority="16993">
      <formula>AR217="X"</formula>
    </cfRule>
    <cfRule type="expression" dxfId="12924" priority="16994">
      <formula>AR217="A"</formula>
    </cfRule>
    <cfRule type="expression" dxfId="12923" priority="16995">
      <formula>AR217="T"</formula>
    </cfRule>
  </conditionalFormatting>
  <conditionalFormatting sqref="AR218">
    <cfRule type="expression" dxfId="12922" priority="16990">
      <formula>AR217="X"</formula>
    </cfRule>
    <cfRule type="expression" dxfId="12921" priority="16991">
      <formula>AR217="A"</formula>
    </cfRule>
    <cfRule type="expression" dxfId="12920" priority="16992">
      <formula>AR217="T"</formula>
    </cfRule>
  </conditionalFormatting>
  <conditionalFormatting sqref="AR219">
    <cfRule type="expression" dxfId="12919" priority="16987">
      <formula>AR219="X"</formula>
    </cfRule>
    <cfRule type="expression" dxfId="12918" priority="16988">
      <formula>AR219="A"</formula>
    </cfRule>
    <cfRule type="expression" dxfId="12917" priority="16989">
      <formula>AR219="T"</formula>
    </cfRule>
  </conditionalFormatting>
  <conditionalFormatting sqref="AR220">
    <cfRule type="expression" dxfId="12916" priority="16984">
      <formula>AR219="X"</formula>
    </cfRule>
    <cfRule type="expression" dxfId="12915" priority="16985">
      <formula>AR219="A"</formula>
    </cfRule>
    <cfRule type="expression" dxfId="12914" priority="16986">
      <formula>AR219="T"</formula>
    </cfRule>
  </conditionalFormatting>
  <conditionalFormatting sqref="AR221">
    <cfRule type="expression" dxfId="12913" priority="16981">
      <formula>AR221="X"</formula>
    </cfRule>
    <cfRule type="expression" dxfId="12912" priority="16982">
      <formula>AR221="A"</formula>
    </cfRule>
    <cfRule type="expression" dxfId="12911" priority="16983">
      <formula>AR221="T"</formula>
    </cfRule>
  </conditionalFormatting>
  <conditionalFormatting sqref="AR222">
    <cfRule type="expression" dxfId="12910" priority="16978">
      <formula>AR221="X"</formula>
    </cfRule>
    <cfRule type="expression" dxfId="12909" priority="16979">
      <formula>AR221="A"</formula>
    </cfRule>
    <cfRule type="expression" dxfId="12908" priority="16980">
      <formula>AR221="T"</formula>
    </cfRule>
  </conditionalFormatting>
  <conditionalFormatting sqref="AR223">
    <cfRule type="expression" dxfId="12907" priority="16975">
      <formula>AR223="X"</formula>
    </cfRule>
    <cfRule type="expression" dxfId="12906" priority="16976">
      <formula>AR223="A"</formula>
    </cfRule>
    <cfRule type="expression" dxfId="12905" priority="16977">
      <formula>AR223="T"</formula>
    </cfRule>
  </conditionalFormatting>
  <conditionalFormatting sqref="AR224">
    <cfRule type="expression" dxfId="12904" priority="16972">
      <formula>AR223="X"</formula>
    </cfRule>
    <cfRule type="expression" dxfId="12903" priority="16973">
      <formula>AR223="A"</formula>
    </cfRule>
    <cfRule type="expression" dxfId="12902" priority="16974">
      <formula>AR223="T"</formula>
    </cfRule>
  </conditionalFormatting>
  <conditionalFormatting sqref="AR4">
    <cfRule type="expression" dxfId="12901" priority="16969">
      <formula>AR4="X"</formula>
    </cfRule>
    <cfRule type="expression" dxfId="12900" priority="16970">
      <formula>AR4="A"</formula>
    </cfRule>
    <cfRule type="expression" dxfId="12899" priority="16971">
      <formula>AR4="T"</formula>
    </cfRule>
  </conditionalFormatting>
  <conditionalFormatting sqref="AR5">
    <cfRule type="expression" dxfId="12898" priority="16966">
      <formula>AR4="X"</formula>
    </cfRule>
    <cfRule type="expression" dxfId="12897" priority="16967">
      <formula>AR4="A"</formula>
    </cfRule>
    <cfRule type="expression" dxfId="12896" priority="16968">
      <formula>AR4="T"</formula>
    </cfRule>
  </conditionalFormatting>
  <conditionalFormatting sqref="AR6">
    <cfRule type="expression" dxfId="12895" priority="16963">
      <formula>AR6="X"</formula>
    </cfRule>
    <cfRule type="expression" dxfId="12894" priority="16964">
      <formula>AR6="A"</formula>
    </cfRule>
    <cfRule type="expression" dxfId="12893" priority="16965">
      <formula>AR6="T"</formula>
    </cfRule>
  </conditionalFormatting>
  <conditionalFormatting sqref="AR7">
    <cfRule type="expression" dxfId="12892" priority="16960">
      <formula>AR6="X"</formula>
    </cfRule>
    <cfRule type="expression" dxfId="12891" priority="16961">
      <formula>AR6="A"</formula>
    </cfRule>
    <cfRule type="expression" dxfId="12890" priority="16962">
      <formula>AR6="T"</formula>
    </cfRule>
  </conditionalFormatting>
  <conditionalFormatting sqref="AR8">
    <cfRule type="expression" dxfId="12889" priority="16957">
      <formula>AR8="X"</formula>
    </cfRule>
    <cfRule type="expression" dxfId="12888" priority="16958">
      <formula>AR8="A"</formula>
    </cfRule>
    <cfRule type="expression" dxfId="12887" priority="16959">
      <formula>AR8="T"</formula>
    </cfRule>
  </conditionalFormatting>
  <conditionalFormatting sqref="AR9">
    <cfRule type="expression" dxfId="12886" priority="16954">
      <formula>AR8="X"</formula>
    </cfRule>
    <cfRule type="expression" dxfId="12885" priority="16955">
      <formula>AR8="A"</formula>
    </cfRule>
    <cfRule type="expression" dxfId="12884" priority="16956">
      <formula>AR8="T"</formula>
    </cfRule>
  </conditionalFormatting>
  <conditionalFormatting sqref="AR74">
    <cfRule type="expression" dxfId="12883" priority="16951">
      <formula>AR74="X"</formula>
    </cfRule>
    <cfRule type="expression" dxfId="12882" priority="16952">
      <formula>AR74="A"</formula>
    </cfRule>
    <cfRule type="expression" dxfId="12881" priority="16953">
      <formula>AR74="T"</formula>
    </cfRule>
  </conditionalFormatting>
  <conditionalFormatting sqref="AR75">
    <cfRule type="expression" dxfId="12880" priority="16948">
      <formula>AR74="X"</formula>
    </cfRule>
    <cfRule type="expression" dxfId="12879" priority="16949">
      <formula>AR74="A"</formula>
    </cfRule>
    <cfRule type="expression" dxfId="12878" priority="16950">
      <formula>AR74="T"</formula>
    </cfRule>
  </conditionalFormatting>
  <conditionalFormatting sqref="AR76">
    <cfRule type="expression" dxfId="12877" priority="16945">
      <formula>AR76="X"</formula>
    </cfRule>
    <cfRule type="expression" dxfId="12876" priority="16946">
      <formula>AR76="A"</formula>
    </cfRule>
    <cfRule type="expression" dxfId="12875" priority="16947">
      <formula>AR76="T"</formula>
    </cfRule>
  </conditionalFormatting>
  <conditionalFormatting sqref="AR77">
    <cfRule type="expression" dxfId="12874" priority="16942">
      <formula>AR76="X"</formula>
    </cfRule>
    <cfRule type="expression" dxfId="12873" priority="16943">
      <formula>AR76="A"</formula>
    </cfRule>
    <cfRule type="expression" dxfId="12872" priority="16944">
      <formula>AR76="T"</formula>
    </cfRule>
  </conditionalFormatting>
  <conditionalFormatting sqref="AR78">
    <cfRule type="expression" dxfId="12871" priority="16939">
      <formula>AR78="X"</formula>
    </cfRule>
    <cfRule type="expression" dxfId="12870" priority="16940">
      <formula>AR78="A"</formula>
    </cfRule>
    <cfRule type="expression" dxfId="12869" priority="16941">
      <formula>AR78="T"</formula>
    </cfRule>
  </conditionalFormatting>
  <conditionalFormatting sqref="AR79">
    <cfRule type="expression" dxfId="12868" priority="16936">
      <formula>AR78="X"</formula>
    </cfRule>
    <cfRule type="expression" dxfId="12867" priority="16937">
      <formula>AR78="A"</formula>
    </cfRule>
    <cfRule type="expression" dxfId="12866" priority="16938">
      <formula>AR78="T"</formula>
    </cfRule>
  </conditionalFormatting>
  <conditionalFormatting sqref="AR134">
    <cfRule type="expression" dxfId="12865" priority="16933">
      <formula>AR134="X"</formula>
    </cfRule>
    <cfRule type="expression" dxfId="12864" priority="16934">
      <formula>AR134="A"</formula>
    </cfRule>
    <cfRule type="expression" dxfId="12863" priority="16935">
      <formula>AR134="T"</formula>
    </cfRule>
  </conditionalFormatting>
  <conditionalFormatting sqref="AR135">
    <cfRule type="expression" dxfId="12862" priority="16930">
      <formula>AR134="X"</formula>
    </cfRule>
    <cfRule type="expression" dxfId="12861" priority="16931">
      <formula>AR134="A"</formula>
    </cfRule>
    <cfRule type="expression" dxfId="12860" priority="16932">
      <formula>AR134="T"</formula>
    </cfRule>
  </conditionalFormatting>
  <conditionalFormatting sqref="AR136">
    <cfRule type="expression" dxfId="12859" priority="16927">
      <formula>AR136="X"</formula>
    </cfRule>
    <cfRule type="expression" dxfId="12858" priority="16928">
      <formula>AR136="A"</formula>
    </cfRule>
    <cfRule type="expression" dxfId="12857" priority="16929">
      <formula>AR136="T"</formula>
    </cfRule>
  </conditionalFormatting>
  <conditionalFormatting sqref="AR137">
    <cfRule type="expression" dxfId="12856" priority="16924">
      <formula>AR136="X"</formula>
    </cfRule>
    <cfRule type="expression" dxfId="12855" priority="16925">
      <formula>AR136="A"</formula>
    </cfRule>
    <cfRule type="expression" dxfId="12854" priority="16926">
      <formula>AR136="T"</formula>
    </cfRule>
  </conditionalFormatting>
  <conditionalFormatting sqref="AR138">
    <cfRule type="expression" dxfId="12853" priority="16921">
      <formula>AR138="X"</formula>
    </cfRule>
    <cfRule type="expression" dxfId="12852" priority="16922">
      <formula>AR138="A"</formula>
    </cfRule>
    <cfRule type="expression" dxfId="12851" priority="16923">
      <formula>AR138="T"</formula>
    </cfRule>
  </conditionalFormatting>
  <conditionalFormatting sqref="AR139">
    <cfRule type="expression" dxfId="12850" priority="16918">
      <formula>AR138="X"</formula>
    </cfRule>
    <cfRule type="expression" dxfId="12849" priority="16919">
      <formula>AR138="A"</formula>
    </cfRule>
    <cfRule type="expression" dxfId="12848" priority="16920">
      <formula>AR138="T"</formula>
    </cfRule>
  </conditionalFormatting>
  <conditionalFormatting sqref="AR10">
    <cfRule type="expression" dxfId="12847" priority="16915" stopIfTrue="1">
      <formula>AR4=""</formula>
    </cfRule>
  </conditionalFormatting>
  <conditionalFormatting sqref="AR10">
    <cfRule type="expression" dxfId="12846" priority="16916" stopIfTrue="1">
      <formula>AR10=1</formula>
    </cfRule>
    <cfRule type="colorScale" priority="16917">
      <colorScale>
        <cfvo type="num" val="0"/>
        <cfvo type="num" val="0.5"/>
        <cfvo type="num" val="1"/>
        <color rgb="FFF8696B"/>
        <color theme="4" tint="0.79998168889431442"/>
        <color rgb="FF5A8AC6"/>
      </colorScale>
    </cfRule>
  </conditionalFormatting>
  <conditionalFormatting sqref="AR15">
    <cfRule type="expression" dxfId="12845" priority="16912" stopIfTrue="1">
      <formula>AR11=""</formula>
    </cfRule>
  </conditionalFormatting>
  <conditionalFormatting sqref="AR15">
    <cfRule type="expression" dxfId="12844" priority="16913" stopIfTrue="1">
      <formula>AR15=1</formula>
    </cfRule>
    <cfRule type="colorScale" priority="16914">
      <colorScale>
        <cfvo type="num" val="0"/>
        <cfvo type="num" val="0.5"/>
        <cfvo type="num" val="1"/>
        <color rgb="FFF8696B"/>
        <color theme="4" tint="0.79998168889431442"/>
        <color rgb="FF5A8AC6"/>
      </colorScale>
    </cfRule>
  </conditionalFormatting>
  <conditionalFormatting sqref="AR38">
    <cfRule type="expression" dxfId="12843" priority="16909" stopIfTrue="1">
      <formula>AR16=""</formula>
    </cfRule>
  </conditionalFormatting>
  <conditionalFormatting sqref="AR38">
    <cfRule type="expression" dxfId="12842" priority="16910" stopIfTrue="1">
      <formula>AR38=1</formula>
    </cfRule>
    <cfRule type="colorScale" priority="16911">
      <colorScale>
        <cfvo type="num" val="0"/>
        <cfvo type="num" val="0.5"/>
        <cfvo type="num" val="1"/>
        <color rgb="FFF8696B"/>
        <color theme="4" tint="0.79998168889431442"/>
        <color rgb="FF5A8AC6"/>
      </colorScale>
    </cfRule>
  </conditionalFormatting>
  <conditionalFormatting sqref="AR47">
    <cfRule type="expression" dxfId="12841" priority="16906" stopIfTrue="1">
      <formula>AR39=""</formula>
    </cfRule>
  </conditionalFormatting>
  <conditionalFormatting sqref="AR47">
    <cfRule type="expression" dxfId="12840" priority="16907" stopIfTrue="1">
      <formula>AR47=1</formula>
    </cfRule>
    <cfRule type="colorScale" priority="16908">
      <colorScale>
        <cfvo type="num" val="0"/>
        <cfvo type="num" val="0.5"/>
        <cfvo type="num" val="1"/>
        <color rgb="FFF8696B"/>
        <color theme="4" tint="0.79998168889431442"/>
        <color rgb="FF5A8AC6"/>
      </colorScale>
    </cfRule>
  </conditionalFormatting>
  <conditionalFormatting sqref="AR69">
    <cfRule type="expression" dxfId="12839" priority="16900" stopIfTrue="1">
      <formula>AR63=""</formula>
    </cfRule>
  </conditionalFormatting>
  <conditionalFormatting sqref="AR69">
    <cfRule type="expression" dxfId="12838" priority="16901" stopIfTrue="1">
      <formula>AR69=1</formula>
    </cfRule>
    <cfRule type="colorScale" priority="16902">
      <colorScale>
        <cfvo type="num" val="0"/>
        <cfvo type="num" val="0.5"/>
        <cfvo type="num" val="1"/>
        <color rgb="FFF8696B"/>
        <color theme="4" tint="0.79998168889431442"/>
        <color rgb="FF5A8AC6"/>
      </colorScale>
    </cfRule>
  </conditionalFormatting>
  <conditionalFormatting sqref="AR80">
    <cfRule type="expression" dxfId="12837" priority="16897" stopIfTrue="1">
      <formula>AR74=""</formula>
    </cfRule>
  </conditionalFormatting>
  <conditionalFormatting sqref="AR80">
    <cfRule type="expression" dxfId="12836" priority="16898" stopIfTrue="1">
      <formula>AR80=1</formula>
    </cfRule>
    <cfRule type="colorScale" priority="16899">
      <colorScale>
        <cfvo type="num" val="0"/>
        <cfvo type="num" val="0.5"/>
        <cfvo type="num" val="1"/>
        <color rgb="FFF8696B"/>
        <color theme="4" tint="0.79998168889431442"/>
        <color rgb="FF5A8AC6"/>
      </colorScale>
    </cfRule>
  </conditionalFormatting>
  <conditionalFormatting sqref="AR87">
    <cfRule type="expression" dxfId="12835" priority="16894" stopIfTrue="1">
      <formula>AR81=""</formula>
    </cfRule>
  </conditionalFormatting>
  <conditionalFormatting sqref="AR87">
    <cfRule type="expression" dxfId="12834" priority="16895" stopIfTrue="1">
      <formula>AR87=1</formula>
    </cfRule>
    <cfRule type="colorScale" priority="16896">
      <colorScale>
        <cfvo type="num" val="0"/>
        <cfvo type="num" val="0.5"/>
        <cfvo type="num" val="1"/>
        <color rgb="FFF8696B"/>
        <color theme="4" tint="0.79998168889431442"/>
        <color rgb="FF5A8AC6"/>
      </colorScale>
    </cfRule>
  </conditionalFormatting>
  <conditionalFormatting sqref="AR104">
    <cfRule type="expression" dxfId="12833" priority="16891" stopIfTrue="1">
      <formula>AR88=""</formula>
    </cfRule>
  </conditionalFormatting>
  <conditionalFormatting sqref="AR104">
    <cfRule type="expression" dxfId="12832" priority="16892" stopIfTrue="1">
      <formula>AR104=1</formula>
    </cfRule>
    <cfRule type="colorScale" priority="16893">
      <colorScale>
        <cfvo type="num" val="0"/>
        <cfvo type="num" val="0.5"/>
        <cfvo type="num" val="1"/>
        <color rgb="FFF8696B"/>
        <color theme="4" tint="0.79998168889431442"/>
        <color rgb="FF5A8AC6"/>
      </colorScale>
    </cfRule>
  </conditionalFormatting>
  <conditionalFormatting sqref="AR115">
    <cfRule type="expression" dxfId="12831" priority="16888" stopIfTrue="1">
      <formula>AR105=""</formula>
    </cfRule>
  </conditionalFormatting>
  <conditionalFormatting sqref="AR115">
    <cfRule type="expression" dxfId="12830" priority="16889" stopIfTrue="1">
      <formula>AR115=1</formula>
    </cfRule>
    <cfRule type="colorScale" priority="16890">
      <colorScale>
        <cfvo type="num" val="0"/>
        <cfvo type="num" val="0.5"/>
        <cfvo type="num" val="1"/>
        <color rgb="FFF8696B"/>
        <color theme="4" tint="0.79998168889431442"/>
        <color rgb="FF5A8AC6"/>
      </colorScale>
    </cfRule>
  </conditionalFormatting>
  <conditionalFormatting sqref="AR124">
    <cfRule type="expression" dxfId="12829" priority="16885" stopIfTrue="1">
      <formula>AR116=""</formula>
    </cfRule>
  </conditionalFormatting>
  <conditionalFormatting sqref="AR124">
    <cfRule type="expression" dxfId="12828" priority="16886" stopIfTrue="1">
      <formula>AR124=1</formula>
    </cfRule>
    <cfRule type="colorScale" priority="16887">
      <colorScale>
        <cfvo type="num" val="0"/>
        <cfvo type="num" val="0.5"/>
        <cfvo type="num" val="1"/>
        <color rgb="FFF8696B"/>
        <color theme="4" tint="0.79998168889431442"/>
        <color rgb="FF5A8AC6"/>
      </colorScale>
    </cfRule>
  </conditionalFormatting>
  <conditionalFormatting sqref="AR129">
    <cfRule type="expression" dxfId="12827" priority="16882" stopIfTrue="1">
      <formula>AR125=""</formula>
    </cfRule>
  </conditionalFormatting>
  <conditionalFormatting sqref="AR129">
    <cfRule type="expression" dxfId="12826" priority="16883" stopIfTrue="1">
      <formula>AR129=1</formula>
    </cfRule>
    <cfRule type="colorScale" priority="16884">
      <colorScale>
        <cfvo type="num" val="0"/>
        <cfvo type="num" val="0.5"/>
        <cfvo type="num" val="1"/>
        <color rgb="FFF8696B"/>
        <color theme="4" tint="0.79998168889431442"/>
        <color rgb="FF5A8AC6"/>
      </colorScale>
    </cfRule>
  </conditionalFormatting>
  <conditionalFormatting sqref="AR140">
    <cfRule type="expression" dxfId="12825" priority="16879" stopIfTrue="1">
      <formula>AR134=""</formula>
    </cfRule>
  </conditionalFormatting>
  <conditionalFormatting sqref="AR140">
    <cfRule type="expression" dxfId="12824" priority="16880" stopIfTrue="1">
      <formula>AR140=1</formula>
    </cfRule>
    <cfRule type="colorScale" priority="16881">
      <colorScale>
        <cfvo type="num" val="0"/>
        <cfvo type="num" val="0.5"/>
        <cfvo type="num" val="1"/>
        <color rgb="FFF8696B"/>
        <color theme="4" tint="0.79998168889431442"/>
        <color rgb="FF5A8AC6"/>
      </colorScale>
    </cfRule>
  </conditionalFormatting>
  <conditionalFormatting sqref="AR145">
    <cfRule type="expression" dxfId="12823" priority="16876" stopIfTrue="1">
      <formula>AR141=""</formula>
    </cfRule>
  </conditionalFormatting>
  <conditionalFormatting sqref="AR145">
    <cfRule type="expression" dxfId="12822" priority="16877" stopIfTrue="1">
      <formula>AR145=1</formula>
    </cfRule>
    <cfRule type="colorScale" priority="16878">
      <colorScale>
        <cfvo type="num" val="0"/>
        <cfvo type="num" val="0.5"/>
        <cfvo type="num" val="1"/>
        <color rgb="FFF8696B"/>
        <color theme="4" tint="0.79998168889431442"/>
        <color rgb="FF5A8AC6"/>
      </colorScale>
    </cfRule>
  </conditionalFormatting>
  <conditionalFormatting sqref="AR153">
    <cfRule type="expression" dxfId="12821" priority="16873" stopIfTrue="1">
      <formula>AR149=""</formula>
    </cfRule>
  </conditionalFormatting>
  <conditionalFormatting sqref="AR153">
    <cfRule type="expression" dxfId="12820" priority="16874" stopIfTrue="1">
      <formula>AR153=1</formula>
    </cfRule>
    <cfRule type="colorScale" priority="16875">
      <colorScale>
        <cfvo type="num" val="0"/>
        <cfvo type="num" val="0.5"/>
        <cfvo type="num" val="1"/>
        <color rgb="FFF8696B"/>
        <color theme="4" tint="0.79998168889431442"/>
        <color rgb="FF5A8AC6"/>
      </colorScale>
    </cfRule>
  </conditionalFormatting>
  <conditionalFormatting sqref="AR165">
    <cfRule type="expression" dxfId="12819" priority="16870" stopIfTrue="1">
      <formula>AR155=""</formula>
    </cfRule>
  </conditionalFormatting>
  <conditionalFormatting sqref="AR165">
    <cfRule type="expression" dxfId="12818" priority="16871" stopIfTrue="1">
      <formula>AR165=1</formula>
    </cfRule>
    <cfRule type="colorScale" priority="16872">
      <colorScale>
        <cfvo type="num" val="0"/>
        <cfvo type="num" val="0.5"/>
        <cfvo type="num" val="1"/>
        <color rgb="FFF8696B"/>
        <color theme="4" tint="0.79998168889431442"/>
        <color rgb="FF5A8AC6"/>
      </colorScale>
    </cfRule>
  </conditionalFormatting>
  <conditionalFormatting sqref="AR187">
    <cfRule type="expression" dxfId="12817" priority="16867" stopIfTrue="1">
      <formula>AR183=""</formula>
    </cfRule>
  </conditionalFormatting>
  <conditionalFormatting sqref="AR187">
    <cfRule type="expression" dxfId="12816" priority="16868" stopIfTrue="1">
      <formula>AR187=1</formula>
    </cfRule>
    <cfRule type="colorScale" priority="16869">
      <colorScale>
        <cfvo type="num" val="0"/>
        <cfvo type="num" val="0.5"/>
        <cfvo type="num" val="1"/>
        <color rgb="FFF8696B"/>
        <color theme="4" tint="0.79998168889431442"/>
        <color rgb="FF5A8AC6"/>
      </colorScale>
    </cfRule>
  </conditionalFormatting>
  <conditionalFormatting sqref="AR193">
    <cfRule type="expression" dxfId="12815" priority="16864" stopIfTrue="1">
      <formula>AR189=""</formula>
    </cfRule>
  </conditionalFormatting>
  <conditionalFormatting sqref="AR193">
    <cfRule type="expression" dxfId="12814" priority="16865" stopIfTrue="1">
      <formula>AR193=1</formula>
    </cfRule>
    <cfRule type="colorScale" priority="16866">
      <colorScale>
        <cfvo type="num" val="0"/>
        <cfvo type="num" val="0.5"/>
        <cfvo type="num" val="1"/>
        <color rgb="FFF8696B"/>
        <color theme="4" tint="0.79998168889431442"/>
        <color rgb="FF5A8AC6"/>
      </colorScale>
    </cfRule>
  </conditionalFormatting>
  <conditionalFormatting sqref="AR181">
    <cfRule type="expression" dxfId="12813" priority="16861" stopIfTrue="1">
      <formula>AR167=""</formula>
    </cfRule>
  </conditionalFormatting>
  <conditionalFormatting sqref="AR181">
    <cfRule type="expression" dxfId="12812" priority="16862" stopIfTrue="1">
      <formula>AR181=1</formula>
    </cfRule>
    <cfRule type="colorScale" priority="16863">
      <colorScale>
        <cfvo type="num" val="0"/>
        <cfvo type="num" val="0.5"/>
        <cfvo type="num" val="1"/>
        <color rgb="FFF8696B"/>
        <color theme="4" tint="0.79998168889431442"/>
        <color rgb="FF5A8AC6"/>
      </colorScale>
    </cfRule>
  </conditionalFormatting>
  <conditionalFormatting sqref="AR209">
    <cfRule type="expression" dxfId="12811" priority="16858" stopIfTrue="1">
      <formula>AR195=""</formula>
    </cfRule>
  </conditionalFormatting>
  <conditionalFormatting sqref="AR209">
    <cfRule type="expression" dxfId="12810" priority="16859" stopIfTrue="1">
      <formula>AR209=1</formula>
    </cfRule>
    <cfRule type="colorScale" priority="16860">
      <colorScale>
        <cfvo type="num" val="0"/>
        <cfvo type="num" val="0.5"/>
        <cfvo type="num" val="1"/>
        <color rgb="FFF8696B"/>
        <color theme="4" tint="0.79998168889431442"/>
        <color rgb="FF5A8AC6"/>
      </colorScale>
    </cfRule>
  </conditionalFormatting>
  <conditionalFormatting sqref="AR225">
    <cfRule type="expression" dxfId="12809" priority="16855" stopIfTrue="1">
      <formula>AR211=""</formula>
    </cfRule>
  </conditionalFormatting>
  <conditionalFormatting sqref="AR225">
    <cfRule type="expression" dxfId="12808" priority="16856" stopIfTrue="1">
      <formula>AR225=1</formula>
    </cfRule>
    <cfRule type="colorScale" priority="16857">
      <colorScale>
        <cfvo type="num" val="0"/>
        <cfvo type="num" val="0.5"/>
        <cfvo type="num" val="1"/>
        <color rgb="FFF8696B"/>
        <color theme="4" tint="0.79998168889431442"/>
        <color rgb="FF5A8AC6"/>
      </colorScale>
    </cfRule>
  </conditionalFormatting>
  <conditionalFormatting sqref="AR71">
    <cfRule type="expression" dxfId="12807" priority="16841" stopIfTrue="1">
      <formula>AR71=1</formula>
    </cfRule>
    <cfRule type="colorScale" priority="16842">
      <colorScale>
        <cfvo type="num" val="0"/>
        <cfvo type="num" val="0.5"/>
        <cfvo type="num" val="1"/>
        <color rgb="FFF8696B"/>
        <color theme="4" tint="0.79998168889431442"/>
        <color rgb="FF5A8AC6"/>
      </colorScale>
    </cfRule>
  </conditionalFormatting>
  <conditionalFormatting sqref="AR147">
    <cfRule type="expression" dxfId="12806" priority="16846" stopIfTrue="1">
      <formula>AR134=""</formula>
    </cfRule>
  </conditionalFormatting>
  <conditionalFormatting sqref="AR147">
    <cfRule type="expression" dxfId="12805" priority="16847" stopIfTrue="1">
      <formula>AR147=1</formula>
    </cfRule>
    <cfRule type="colorScale" priority="16848">
      <colorScale>
        <cfvo type="num" val="0"/>
        <cfvo type="num" val="0.5"/>
        <cfvo type="num" val="1"/>
        <color rgb="FFF8696B"/>
        <color theme="4" tint="0.79998168889431442"/>
        <color rgb="FF5A8AC6"/>
      </colorScale>
    </cfRule>
  </conditionalFormatting>
  <conditionalFormatting sqref="AR131">
    <cfRule type="expression" dxfId="12804" priority="16843" stopIfTrue="1">
      <formula>AR74=""</formula>
    </cfRule>
  </conditionalFormatting>
  <conditionalFormatting sqref="AR131">
    <cfRule type="expression" dxfId="12803" priority="16844" stopIfTrue="1">
      <formula>AR131=1</formula>
    </cfRule>
    <cfRule type="colorScale" priority="16845">
      <colorScale>
        <cfvo type="num" val="0"/>
        <cfvo type="num" val="0.5"/>
        <cfvo type="num" val="1"/>
        <color rgb="FFF8696B"/>
        <color theme="4" tint="0.79998168889431442"/>
        <color rgb="FF5A8AC6"/>
      </colorScale>
    </cfRule>
  </conditionalFormatting>
  <conditionalFormatting sqref="AR71">
    <cfRule type="expression" dxfId="12802" priority="16840" stopIfTrue="1">
      <formula>AR65=""</formula>
    </cfRule>
  </conditionalFormatting>
  <conditionalFormatting sqref="AR195">
    <cfRule type="expression" dxfId="12801" priority="16837">
      <formula>AR195="X"</formula>
    </cfRule>
    <cfRule type="expression" dxfId="12800" priority="16838">
      <formula>AR195="A"</formula>
    </cfRule>
    <cfRule type="expression" dxfId="12799" priority="16839">
      <formula>AR195="T"</formula>
    </cfRule>
  </conditionalFormatting>
  <conditionalFormatting sqref="AR203">
    <cfRule type="expression" dxfId="12798" priority="16834">
      <formula>AR203="X"</formula>
    </cfRule>
    <cfRule type="expression" dxfId="12797" priority="16835">
      <formula>AR203="A"</formula>
    </cfRule>
    <cfRule type="expression" dxfId="12796" priority="16836">
      <formula>AR203="T"</formula>
    </cfRule>
  </conditionalFormatting>
  <conditionalFormatting sqref="AR205">
    <cfRule type="expression" dxfId="12795" priority="16831">
      <formula>AR205="X"</formula>
    </cfRule>
    <cfRule type="expression" dxfId="12794" priority="16832">
      <formula>AR205="A"</formula>
    </cfRule>
    <cfRule type="expression" dxfId="12793" priority="16833">
      <formula>AR205="T"</formula>
    </cfRule>
  </conditionalFormatting>
  <conditionalFormatting sqref="AR207">
    <cfRule type="expression" dxfId="12792" priority="16828">
      <formula>AR207="X"</formula>
    </cfRule>
    <cfRule type="expression" dxfId="12791" priority="16829">
      <formula>AR207="A"</formula>
    </cfRule>
    <cfRule type="expression" dxfId="12790" priority="16830">
      <formula>AR207="T"</formula>
    </cfRule>
  </conditionalFormatting>
  <conditionalFormatting sqref="AR204">
    <cfRule type="expression" dxfId="12789" priority="16825">
      <formula>AR203="X"</formula>
    </cfRule>
    <cfRule type="expression" dxfId="12788" priority="16826">
      <formula>AR203="A"</formula>
    </cfRule>
    <cfRule type="expression" dxfId="12787" priority="16827">
      <formula>AR203="T"</formula>
    </cfRule>
  </conditionalFormatting>
  <conditionalFormatting sqref="AR206">
    <cfRule type="expression" dxfId="12786" priority="16822">
      <formula>AR205="X"</formula>
    </cfRule>
    <cfRule type="expression" dxfId="12785" priority="16823">
      <formula>AR205="A"</formula>
    </cfRule>
    <cfRule type="expression" dxfId="12784" priority="16824">
      <formula>AR205="T"</formula>
    </cfRule>
  </conditionalFormatting>
  <conditionalFormatting sqref="AR196">
    <cfRule type="expression" dxfId="12783" priority="16819">
      <formula>AR195="X"</formula>
    </cfRule>
    <cfRule type="expression" dxfId="12782" priority="16820">
      <formula>AR195="A"</formula>
    </cfRule>
    <cfRule type="expression" dxfId="12781" priority="16821">
      <formula>AR195="T"</formula>
    </cfRule>
  </conditionalFormatting>
  <conditionalFormatting sqref="AR197">
    <cfRule type="expression" dxfId="12780" priority="16816">
      <formula>AR197="X"</formula>
    </cfRule>
    <cfRule type="expression" dxfId="12779" priority="16817">
      <formula>AR197="A"</formula>
    </cfRule>
    <cfRule type="expression" dxfId="12778" priority="16818">
      <formula>AR197="T"</formula>
    </cfRule>
  </conditionalFormatting>
  <conditionalFormatting sqref="AR198">
    <cfRule type="expression" dxfId="12777" priority="16813">
      <formula>AR197="X"</formula>
    </cfRule>
    <cfRule type="expression" dxfId="12776" priority="16814">
      <formula>AR197="A"</formula>
    </cfRule>
    <cfRule type="expression" dxfId="12775" priority="16815">
      <formula>AR197="T"</formula>
    </cfRule>
  </conditionalFormatting>
  <conditionalFormatting sqref="AR199">
    <cfRule type="expression" dxfId="12774" priority="16810">
      <formula>AR199="X"</formula>
    </cfRule>
    <cfRule type="expression" dxfId="12773" priority="16811">
      <formula>AR199="A"</formula>
    </cfRule>
    <cfRule type="expression" dxfId="12772" priority="16812">
      <formula>AR199="T"</formula>
    </cfRule>
  </conditionalFormatting>
  <conditionalFormatting sqref="AR200">
    <cfRule type="expression" dxfId="12771" priority="16807">
      <formula>AR199="X"</formula>
    </cfRule>
    <cfRule type="expression" dxfId="12770" priority="16808">
      <formula>AR199="A"</formula>
    </cfRule>
    <cfRule type="expression" dxfId="12769" priority="16809">
      <formula>AR199="T"</formula>
    </cfRule>
  </conditionalFormatting>
  <conditionalFormatting sqref="AR201">
    <cfRule type="expression" dxfId="12768" priority="16804">
      <formula>AR201="X"</formula>
    </cfRule>
    <cfRule type="expression" dxfId="12767" priority="16805">
      <formula>AR201="A"</formula>
    </cfRule>
    <cfRule type="expression" dxfId="12766" priority="16806">
      <formula>AR201="T"</formula>
    </cfRule>
  </conditionalFormatting>
  <conditionalFormatting sqref="AR202">
    <cfRule type="expression" dxfId="12765" priority="16801">
      <formula>AR201="X"</formula>
    </cfRule>
    <cfRule type="expression" dxfId="12764" priority="16802">
      <formula>AR201="A"</formula>
    </cfRule>
    <cfRule type="expression" dxfId="12763" priority="16803">
      <formula>AR201="T"</formula>
    </cfRule>
  </conditionalFormatting>
  <conditionalFormatting sqref="AS16 AS18 AS20 AS22 AS24 AS26 AS28 AS39 AS41 AS43 AS45 AS48 AS81 AS88 AS90 AS92 AS94 AS96 AS98 AS100 AS102 AS105 AS107 AS109 AS111 AS116">
    <cfRule type="expression" dxfId="12762" priority="16796">
      <formula>AS16="X"</formula>
    </cfRule>
    <cfRule type="expression" dxfId="12761" priority="16797">
      <formula>AS16="A"</formula>
    </cfRule>
    <cfRule type="expression" dxfId="12760" priority="16798">
      <formula>AS16="T"</formula>
    </cfRule>
  </conditionalFormatting>
  <conditionalFormatting sqref="AS36">
    <cfRule type="expression" dxfId="12759" priority="16793">
      <formula>AS36="X"</formula>
    </cfRule>
    <cfRule type="expression" dxfId="12758" priority="16794">
      <formula>AS36="A"</formula>
    </cfRule>
    <cfRule type="expression" dxfId="12757" priority="16795">
      <formula>AS36="T"</formula>
    </cfRule>
  </conditionalFormatting>
  <conditionalFormatting sqref="AS34">
    <cfRule type="expression" dxfId="12756" priority="16790">
      <formula>AS34="X"</formula>
    </cfRule>
    <cfRule type="expression" dxfId="12755" priority="16791">
      <formula>AS34="A"</formula>
    </cfRule>
    <cfRule type="expression" dxfId="12754" priority="16792">
      <formula>AS34="T"</formula>
    </cfRule>
  </conditionalFormatting>
  <conditionalFormatting sqref="AS32">
    <cfRule type="expression" dxfId="12753" priority="16787">
      <formula>AS32="X"</formula>
    </cfRule>
    <cfRule type="expression" dxfId="12752" priority="16788">
      <formula>AS32="A"</formula>
    </cfRule>
    <cfRule type="expression" dxfId="12751" priority="16789">
      <formula>AS32="T"</formula>
    </cfRule>
  </conditionalFormatting>
  <conditionalFormatting sqref="AS30">
    <cfRule type="expression" dxfId="12750" priority="16784">
      <formula>AS30="X"</formula>
    </cfRule>
    <cfRule type="expression" dxfId="12749" priority="16785">
      <formula>AS30="A"</formula>
    </cfRule>
    <cfRule type="expression" dxfId="12748" priority="16786">
      <formula>AS30="T"</formula>
    </cfRule>
  </conditionalFormatting>
  <conditionalFormatting sqref="AS52">
    <cfRule type="expression" dxfId="12747" priority="16781">
      <formula>AS52="X"</formula>
    </cfRule>
    <cfRule type="expression" dxfId="12746" priority="16782">
      <formula>AS52="A"</formula>
    </cfRule>
    <cfRule type="expression" dxfId="12745" priority="16783">
      <formula>AS52="T"</formula>
    </cfRule>
  </conditionalFormatting>
  <conditionalFormatting sqref="AS50">
    <cfRule type="expression" dxfId="12744" priority="16778">
      <formula>AS50="X"</formula>
    </cfRule>
    <cfRule type="expression" dxfId="12743" priority="16779">
      <formula>AS50="A"</formula>
    </cfRule>
    <cfRule type="expression" dxfId="12742" priority="16780">
      <formula>AS50="T"</formula>
    </cfRule>
  </conditionalFormatting>
  <conditionalFormatting sqref="AS54">
    <cfRule type="expression" dxfId="12741" priority="16775">
      <formula>AS54="X"</formula>
    </cfRule>
    <cfRule type="expression" dxfId="12740" priority="16776">
      <formula>AS54="A"</formula>
    </cfRule>
    <cfRule type="expression" dxfId="12739" priority="16777">
      <formula>AS54="T"</formula>
    </cfRule>
  </conditionalFormatting>
  <conditionalFormatting sqref="AS56">
    <cfRule type="expression" dxfId="12738" priority="16772">
      <formula>AS56="X"</formula>
    </cfRule>
    <cfRule type="expression" dxfId="12737" priority="16773">
      <formula>AS56="A"</formula>
    </cfRule>
    <cfRule type="expression" dxfId="12736" priority="16774">
      <formula>AS56="T"</formula>
    </cfRule>
  </conditionalFormatting>
  <conditionalFormatting sqref="AS58">
    <cfRule type="expression" dxfId="12735" priority="16769">
      <formula>AS58="X"</formula>
    </cfRule>
    <cfRule type="expression" dxfId="12734" priority="16770">
      <formula>AS58="A"</formula>
    </cfRule>
    <cfRule type="expression" dxfId="12733" priority="16771">
      <formula>AS58="T"</formula>
    </cfRule>
  </conditionalFormatting>
  <conditionalFormatting sqref="AS63">
    <cfRule type="expression" dxfId="12732" priority="16766">
      <formula>AS63="X"</formula>
    </cfRule>
    <cfRule type="expression" dxfId="12731" priority="16767">
      <formula>AS63="A"</formula>
    </cfRule>
    <cfRule type="expression" dxfId="12730" priority="16768">
      <formula>AS63="T"</formula>
    </cfRule>
  </conditionalFormatting>
  <conditionalFormatting sqref="AS65">
    <cfRule type="expression" dxfId="12729" priority="16763">
      <formula>AS65="X"</formula>
    </cfRule>
    <cfRule type="expression" dxfId="12728" priority="16764">
      <formula>AS65="A"</formula>
    </cfRule>
    <cfRule type="expression" dxfId="12727" priority="16765">
      <formula>AS65="T"</formula>
    </cfRule>
  </conditionalFormatting>
  <conditionalFormatting sqref="AS83">
    <cfRule type="expression" dxfId="12726" priority="16760">
      <formula>AS83="X"</formula>
    </cfRule>
    <cfRule type="expression" dxfId="12725" priority="16761">
      <formula>AS83="A"</formula>
    </cfRule>
    <cfRule type="expression" dxfId="12724" priority="16762">
      <formula>AS83="T"</formula>
    </cfRule>
  </conditionalFormatting>
  <conditionalFormatting sqref="AS85">
    <cfRule type="expression" dxfId="12723" priority="16757">
      <formula>AS85="X"</formula>
    </cfRule>
    <cfRule type="expression" dxfId="12722" priority="16758">
      <formula>AS85="A"</formula>
    </cfRule>
    <cfRule type="expression" dxfId="12721" priority="16759">
      <formula>AS85="T"</formula>
    </cfRule>
  </conditionalFormatting>
  <conditionalFormatting sqref="AS67">
    <cfRule type="expression" dxfId="12720" priority="16754">
      <formula>AS67="X"</formula>
    </cfRule>
    <cfRule type="expression" dxfId="12719" priority="16755">
      <formula>AS67="A"</formula>
    </cfRule>
    <cfRule type="expression" dxfId="12718" priority="16756">
      <formula>AS67="T"</formula>
    </cfRule>
  </conditionalFormatting>
  <conditionalFormatting sqref="AS113">
    <cfRule type="expression" dxfId="12717" priority="16751">
      <formula>AS113="X"</formula>
    </cfRule>
    <cfRule type="expression" dxfId="12716" priority="16752">
      <formula>AS113="A"</formula>
    </cfRule>
    <cfRule type="expression" dxfId="12715" priority="16753">
      <formula>AS113="T"</formula>
    </cfRule>
  </conditionalFormatting>
  <conditionalFormatting sqref="AS118">
    <cfRule type="expression" dxfId="12714" priority="16748">
      <formula>AS118="X"</formula>
    </cfRule>
    <cfRule type="expression" dxfId="12713" priority="16749">
      <formula>AS118="A"</formula>
    </cfRule>
    <cfRule type="expression" dxfId="12712" priority="16750">
      <formula>AS118="T"</formula>
    </cfRule>
  </conditionalFormatting>
  <conditionalFormatting sqref="AS120">
    <cfRule type="expression" dxfId="12711" priority="16745">
      <formula>AS120="X"</formula>
    </cfRule>
    <cfRule type="expression" dxfId="12710" priority="16746">
      <formula>AS120="A"</formula>
    </cfRule>
    <cfRule type="expression" dxfId="12709" priority="16747">
      <formula>AS120="T"</formula>
    </cfRule>
  </conditionalFormatting>
  <conditionalFormatting sqref="AS122">
    <cfRule type="expression" dxfId="12708" priority="16742">
      <formula>AS122="X"</formula>
    </cfRule>
    <cfRule type="expression" dxfId="12707" priority="16743">
      <formula>AS122="A"</formula>
    </cfRule>
    <cfRule type="expression" dxfId="12706" priority="16744">
      <formula>AS122="T"</formula>
    </cfRule>
  </conditionalFormatting>
  <conditionalFormatting sqref="AS125">
    <cfRule type="expression" dxfId="12705" priority="16739">
      <formula>AS125="X"</formula>
    </cfRule>
    <cfRule type="expression" dxfId="12704" priority="16740">
      <formula>AS125="A"</formula>
    </cfRule>
    <cfRule type="expression" dxfId="12703" priority="16741">
      <formula>AS125="T"</formula>
    </cfRule>
  </conditionalFormatting>
  <conditionalFormatting sqref="AS127">
    <cfRule type="expression" dxfId="12702" priority="16736">
      <formula>AS127="X"</formula>
    </cfRule>
    <cfRule type="expression" dxfId="12701" priority="16737">
      <formula>AS127="A"</formula>
    </cfRule>
    <cfRule type="expression" dxfId="12700" priority="16738">
      <formula>AS127="T"</formula>
    </cfRule>
  </conditionalFormatting>
  <conditionalFormatting sqref="AS141">
    <cfRule type="expression" dxfId="12699" priority="16733">
      <formula>AS141="X"</formula>
    </cfRule>
    <cfRule type="expression" dxfId="12698" priority="16734">
      <formula>AS141="A"</formula>
    </cfRule>
    <cfRule type="expression" dxfId="12697" priority="16735">
      <formula>AS141="T"</formula>
    </cfRule>
  </conditionalFormatting>
  <conditionalFormatting sqref="AS143">
    <cfRule type="expression" dxfId="12696" priority="16730">
      <formula>AS143="X"</formula>
    </cfRule>
    <cfRule type="expression" dxfId="12695" priority="16731">
      <formula>AS143="A"</formula>
    </cfRule>
    <cfRule type="expression" dxfId="12694" priority="16732">
      <formula>AS143="T"</formula>
    </cfRule>
  </conditionalFormatting>
  <conditionalFormatting sqref="AS149">
    <cfRule type="expression" dxfId="12693" priority="16727">
      <formula>AS149="X"</formula>
    </cfRule>
    <cfRule type="expression" dxfId="12692" priority="16728">
      <formula>AS149="A"</formula>
    </cfRule>
    <cfRule type="expression" dxfId="12691" priority="16729">
      <formula>AS149="T"</formula>
    </cfRule>
  </conditionalFormatting>
  <conditionalFormatting sqref="AS151">
    <cfRule type="expression" dxfId="12690" priority="16724">
      <formula>AS151="X"</formula>
    </cfRule>
    <cfRule type="expression" dxfId="12689" priority="16725">
      <formula>AS151="A"</formula>
    </cfRule>
    <cfRule type="expression" dxfId="12688" priority="16726">
      <formula>AS151="T"</formula>
    </cfRule>
  </conditionalFormatting>
  <conditionalFormatting sqref="AS155">
    <cfRule type="expression" dxfId="12687" priority="16721">
      <formula>AS155="X"</formula>
    </cfRule>
    <cfRule type="expression" dxfId="12686" priority="16722">
      <formula>AS155="A"</formula>
    </cfRule>
    <cfRule type="expression" dxfId="12685" priority="16723">
      <formula>AS155="T"</formula>
    </cfRule>
  </conditionalFormatting>
  <conditionalFormatting sqref="AS157">
    <cfRule type="expression" dxfId="12684" priority="16718">
      <formula>AS157="X"</formula>
    </cfRule>
    <cfRule type="expression" dxfId="12683" priority="16719">
      <formula>AS157="A"</formula>
    </cfRule>
    <cfRule type="expression" dxfId="12682" priority="16720">
      <formula>AS157="T"</formula>
    </cfRule>
  </conditionalFormatting>
  <conditionalFormatting sqref="AS167">
    <cfRule type="expression" dxfId="12681" priority="16715">
      <formula>AS167="X"</formula>
    </cfRule>
    <cfRule type="expression" dxfId="12680" priority="16716">
      <formula>AS167="A"</formula>
    </cfRule>
    <cfRule type="expression" dxfId="12679" priority="16717">
      <formula>AS167="T"</formula>
    </cfRule>
  </conditionalFormatting>
  <conditionalFormatting sqref="AS173">
    <cfRule type="expression" dxfId="12678" priority="16712">
      <formula>AS173="X"</formula>
    </cfRule>
    <cfRule type="expression" dxfId="12677" priority="16713">
      <formula>AS173="A"</formula>
    </cfRule>
    <cfRule type="expression" dxfId="12676" priority="16714">
      <formula>AS173="T"</formula>
    </cfRule>
  </conditionalFormatting>
  <conditionalFormatting sqref="AS175">
    <cfRule type="expression" dxfId="12675" priority="16709">
      <formula>AS175="X"</formula>
    </cfRule>
    <cfRule type="expression" dxfId="12674" priority="16710">
      <formula>AS175="A"</formula>
    </cfRule>
    <cfRule type="expression" dxfId="12673" priority="16711">
      <formula>AS175="T"</formula>
    </cfRule>
  </conditionalFormatting>
  <conditionalFormatting sqref="AS177">
    <cfRule type="expression" dxfId="12672" priority="16706">
      <formula>AS177="X"</formula>
    </cfRule>
    <cfRule type="expression" dxfId="12671" priority="16707">
      <formula>AS177="A"</formula>
    </cfRule>
    <cfRule type="expression" dxfId="12670" priority="16708">
      <formula>AS177="T"</formula>
    </cfRule>
  </conditionalFormatting>
  <conditionalFormatting sqref="AS179">
    <cfRule type="expression" dxfId="12669" priority="16703">
      <formula>AS179="X"</formula>
    </cfRule>
    <cfRule type="expression" dxfId="12668" priority="16704">
      <formula>AS179="A"</formula>
    </cfRule>
    <cfRule type="expression" dxfId="12667" priority="16705">
      <formula>AS179="T"</formula>
    </cfRule>
  </conditionalFormatting>
  <conditionalFormatting sqref="AS169">
    <cfRule type="expression" dxfId="12666" priority="16700">
      <formula>AS169="X"</formula>
    </cfRule>
    <cfRule type="expression" dxfId="12665" priority="16701">
      <formula>AS169="A"</formula>
    </cfRule>
    <cfRule type="expression" dxfId="12664" priority="16702">
      <formula>AS169="T"</formula>
    </cfRule>
  </conditionalFormatting>
  <conditionalFormatting sqref="AS171">
    <cfRule type="expression" dxfId="12663" priority="16697">
      <formula>AS171="X"</formula>
    </cfRule>
    <cfRule type="expression" dxfId="12662" priority="16698">
      <formula>AS171="A"</formula>
    </cfRule>
    <cfRule type="expression" dxfId="12661" priority="16699">
      <formula>AS171="T"</formula>
    </cfRule>
  </conditionalFormatting>
  <conditionalFormatting sqref="AS183">
    <cfRule type="expression" dxfId="12660" priority="16694">
      <formula>AS183="X"</formula>
    </cfRule>
    <cfRule type="expression" dxfId="12659" priority="16695">
      <formula>AS183="A"</formula>
    </cfRule>
    <cfRule type="expression" dxfId="12658" priority="16696">
      <formula>AS183="T"</formula>
    </cfRule>
  </conditionalFormatting>
  <conditionalFormatting sqref="AS185">
    <cfRule type="expression" dxfId="12657" priority="16691">
      <formula>AS185="X"</formula>
    </cfRule>
    <cfRule type="expression" dxfId="12656" priority="16692">
      <formula>AS185="A"</formula>
    </cfRule>
    <cfRule type="expression" dxfId="12655" priority="16693">
      <formula>AS185="T"</formula>
    </cfRule>
  </conditionalFormatting>
  <conditionalFormatting sqref="AS189">
    <cfRule type="expression" dxfId="12654" priority="16688">
      <formula>AS189="X"</formula>
    </cfRule>
    <cfRule type="expression" dxfId="12653" priority="16689">
      <formula>AS189="A"</formula>
    </cfRule>
    <cfRule type="expression" dxfId="12652" priority="16690">
      <formula>AS189="T"</formula>
    </cfRule>
  </conditionalFormatting>
  <conditionalFormatting sqref="AS191">
    <cfRule type="expression" dxfId="12651" priority="16685">
      <formula>AS191="X"</formula>
    </cfRule>
    <cfRule type="expression" dxfId="12650" priority="16686">
      <formula>AS191="A"</formula>
    </cfRule>
    <cfRule type="expression" dxfId="12649" priority="16687">
      <formula>AS191="T"</formula>
    </cfRule>
  </conditionalFormatting>
  <conditionalFormatting sqref="AS11">
    <cfRule type="expression" dxfId="12648" priority="16682">
      <formula>AS11="X"</formula>
    </cfRule>
    <cfRule type="expression" dxfId="12647" priority="16683">
      <formula>AS11="A"</formula>
    </cfRule>
    <cfRule type="expression" dxfId="12646" priority="16684">
      <formula>AS11="T"</formula>
    </cfRule>
  </conditionalFormatting>
  <conditionalFormatting sqref="AS12">
    <cfRule type="expression" dxfId="12645" priority="16679">
      <formula>AS11="X"</formula>
    </cfRule>
    <cfRule type="expression" dxfId="12644" priority="16680">
      <formula>AS11="A"</formula>
    </cfRule>
    <cfRule type="expression" dxfId="12643" priority="16681">
      <formula>AS11="T"</formula>
    </cfRule>
  </conditionalFormatting>
  <conditionalFormatting sqref="AS13">
    <cfRule type="expression" dxfId="12642" priority="16676">
      <formula>AS13="X"</formula>
    </cfRule>
    <cfRule type="expression" dxfId="12641" priority="16677">
      <formula>AS13="A"</formula>
    </cfRule>
    <cfRule type="expression" dxfId="12640" priority="16678">
      <formula>AS13="T"</formula>
    </cfRule>
  </conditionalFormatting>
  <conditionalFormatting sqref="AS14">
    <cfRule type="expression" dxfId="12639" priority="16673">
      <formula>AS13="X"</formula>
    </cfRule>
    <cfRule type="expression" dxfId="12638" priority="16674">
      <formula>AS13="A"</formula>
    </cfRule>
    <cfRule type="expression" dxfId="12637" priority="16675">
      <formula>AS13="T"</formula>
    </cfRule>
  </conditionalFormatting>
  <conditionalFormatting sqref="AS17">
    <cfRule type="expression" dxfId="12636" priority="16670">
      <formula>AS16="X"</formula>
    </cfRule>
    <cfRule type="expression" dxfId="12635" priority="16671">
      <formula>AS16="A"</formula>
    </cfRule>
    <cfRule type="expression" dxfId="12634" priority="16672">
      <formula>AS16="T"</formula>
    </cfRule>
  </conditionalFormatting>
  <conditionalFormatting sqref="AS19">
    <cfRule type="expression" dxfId="12633" priority="16664">
      <formula>AS18="X"</formula>
    </cfRule>
    <cfRule type="expression" dxfId="12632" priority="16665">
      <formula>AS18="A"</formula>
    </cfRule>
    <cfRule type="expression" dxfId="12631" priority="16666">
      <formula>AS18="T"</formula>
    </cfRule>
  </conditionalFormatting>
  <conditionalFormatting sqref="AS21">
    <cfRule type="expression" dxfId="12630" priority="16661">
      <formula>AS20="X"</formula>
    </cfRule>
    <cfRule type="expression" dxfId="12629" priority="16662">
      <formula>AS20="A"</formula>
    </cfRule>
    <cfRule type="expression" dxfId="12628" priority="16663">
      <formula>AS20="T"</formula>
    </cfRule>
  </conditionalFormatting>
  <conditionalFormatting sqref="AS23">
    <cfRule type="expression" dxfId="12627" priority="16658">
      <formula>AS22="X"</formula>
    </cfRule>
    <cfRule type="expression" dxfId="12626" priority="16659">
      <formula>AS22="A"</formula>
    </cfRule>
    <cfRule type="expression" dxfId="12625" priority="16660">
      <formula>AS22="T"</formula>
    </cfRule>
  </conditionalFormatting>
  <conditionalFormatting sqref="AS25">
    <cfRule type="expression" dxfId="12624" priority="16655">
      <formula>AS24="X"</formula>
    </cfRule>
    <cfRule type="expression" dxfId="12623" priority="16656">
      <formula>AS24="A"</formula>
    </cfRule>
    <cfRule type="expression" dxfId="12622" priority="16657">
      <formula>AS24="T"</formula>
    </cfRule>
  </conditionalFormatting>
  <conditionalFormatting sqref="AS27">
    <cfRule type="expression" dxfId="12621" priority="16652">
      <formula>AS26="X"</formula>
    </cfRule>
    <cfRule type="expression" dxfId="12620" priority="16653">
      <formula>AS26="A"</formula>
    </cfRule>
    <cfRule type="expression" dxfId="12619" priority="16654">
      <formula>AS26="T"</formula>
    </cfRule>
  </conditionalFormatting>
  <conditionalFormatting sqref="AS29">
    <cfRule type="expression" dxfId="12618" priority="16649">
      <formula>AS28="X"</formula>
    </cfRule>
    <cfRule type="expression" dxfId="12617" priority="16650">
      <formula>AS28="A"</formula>
    </cfRule>
    <cfRule type="expression" dxfId="12616" priority="16651">
      <formula>AS28="T"</formula>
    </cfRule>
  </conditionalFormatting>
  <conditionalFormatting sqref="AS31">
    <cfRule type="expression" dxfId="12615" priority="16646">
      <formula>AS30="X"</formula>
    </cfRule>
    <cfRule type="expression" dxfId="12614" priority="16647">
      <formula>AS30="A"</formula>
    </cfRule>
    <cfRule type="expression" dxfId="12613" priority="16648">
      <formula>AS30="T"</formula>
    </cfRule>
  </conditionalFormatting>
  <conditionalFormatting sqref="AS33">
    <cfRule type="expression" dxfId="12612" priority="16643">
      <formula>AS32="X"</formula>
    </cfRule>
    <cfRule type="expression" dxfId="12611" priority="16644">
      <formula>AS32="A"</formula>
    </cfRule>
    <cfRule type="expression" dxfId="12610" priority="16645">
      <formula>AS32="T"</formula>
    </cfRule>
  </conditionalFormatting>
  <conditionalFormatting sqref="AS35">
    <cfRule type="expression" dxfId="12609" priority="16640">
      <formula>AS34="X"</formula>
    </cfRule>
    <cfRule type="expression" dxfId="12608" priority="16641">
      <formula>AS34="A"</formula>
    </cfRule>
    <cfRule type="expression" dxfId="12607" priority="16642">
      <formula>AS34="T"</formula>
    </cfRule>
  </conditionalFormatting>
  <conditionalFormatting sqref="AS37">
    <cfRule type="expression" dxfId="12606" priority="16637">
      <formula>AS36="X"</formula>
    </cfRule>
    <cfRule type="expression" dxfId="12605" priority="16638">
      <formula>AS36="A"</formula>
    </cfRule>
    <cfRule type="expression" dxfId="12604" priority="16639">
      <formula>AS36="T"</formula>
    </cfRule>
  </conditionalFormatting>
  <conditionalFormatting sqref="AS40">
    <cfRule type="expression" dxfId="12603" priority="16634">
      <formula>AS39="X"</formula>
    </cfRule>
    <cfRule type="expression" dxfId="12602" priority="16635">
      <formula>AS39="A"</formula>
    </cfRule>
    <cfRule type="expression" dxfId="12601" priority="16636">
      <formula>AS39="T"</formula>
    </cfRule>
  </conditionalFormatting>
  <conditionalFormatting sqref="AS42">
    <cfRule type="expression" dxfId="12600" priority="16631">
      <formula>AS41="X"</formula>
    </cfRule>
    <cfRule type="expression" dxfId="12599" priority="16632">
      <formula>AS41="A"</formula>
    </cfRule>
    <cfRule type="expression" dxfId="12598" priority="16633">
      <formula>AS41="T"</formula>
    </cfRule>
  </conditionalFormatting>
  <conditionalFormatting sqref="AS44">
    <cfRule type="expression" dxfId="12597" priority="16628">
      <formula>AS43="X"</formula>
    </cfRule>
    <cfRule type="expression" dxfId="12596" priority="16629">
      <formula>AS43="A"</formula>
    </cfRule>
    <cfRule type="expression" dxfId="12595" priority="16630">
      <formula>AS43="T"</formula>
    </cfRule>
  </conditionalFormatting>
  <conditionalFormatting sqref="AS46">
    <cfRule type="expression" dxfId="12594" priority="16625">
      <formula>AS45="X"</formula>
    </cfRule>
    <cfRule type="expression" dxfId="12593" priority="16626">
      <formula>AS45="A"</formula>
    </cfRule>
    <cfRule type="expression" dxfId="12592" priority="16627">
      <formula>AS45="T"</formula>
    </cfRule>
  </conditionalFormatting>
  <conditionalFormatting sqref="AS49">
    <cfRule type="expression" dxfId="12591" priority="16622">
      <formula>AS48="X"</formula>
    </cfRule>
    <cfRule type="expression" dxfId="12590" priority="16623">
      <formula>AS48="A"</formula>
    </cfRule>
    <cfRule type="expression" dxfId="12589" priority="16624">
      <formula>AS48="T"</formula>
    </cfRule>
  </conditionalFormatting>
  <conditionalFormatting sqref="AS51">
    <cfRule type="expression" dxfId="12588" priority="16619">
      <formula>AS50="X"</formula>
    </cfRule>
    <cfRule type="expression" dxfId="12587" priority="16620">
      <formula>AS50="A"</formula>
    </cfRule>
    <cfRule type="expression" dxfId="12586" priority="16621">
      <formula>AS50="T"</formula>
    </cfRule>
  </conditionalFormatting>
  <conditionalFormatting sqref="AS53">
    <cfRule type="expression" dxfId="12585" priority="16616">
      <formula>AS52="X"</formula>
    </cfRule>
    <cfRule type="expression" dxfId="12584" priority="16617">
      <formula>AS52="A"</formula>
    </cfRule>
    <cfRule type="expression" dxfId="12583" priority="16618">
      <formula>AS52="T"</formula>
    </cfRule>
  </conditionalFormatting>
  <conditionalFormatting sqref="AS55">
    <cfRule type="expression" dxfId="12582" priority="16613">
      <formula>AS54="X"</formula>
    </cfRule>
    <cfRule type="expression" dxfId="12581" priority="16614">
      <formula>AS54="A"</formula>
    </cfRule>
    <cfRule type="expression" dxfId="12580" priority="16615">
      <formula>AS54="T"</formula>
    </cfRule>
  </conditionalFormatting>
  <conditionalFormatting sqref="AS57">
    <cfRule type="expression" dxfId="12579" priority="16610">
      <formula>AS56="X"</formula>
    </cfRule>
    <cfRule type="expression" dxfId="12578" priority="16611">
      <formula>AS56="A"</formula>
    </cfRule>
    <cfRule type="expression" dxfId="12577" priority="16612">
      <formula>AS56="T"</formula>
    </cfRule>
  </conditionalFormatting>
  <conditionalFormatting sqref="AS59">
    <cfRule type="expression" dxfId="12576" priority="16607">
      <formula>AS58="X"</formula>
    </cfRule>
    <cfRule type="expression" dxfId="12575" priority="16608">
      <formula>AS58="A"</formula>
    </cfRule>
    <cfRule type="expression" dxfId="12574" priority="16609">
      <formula>AS58="T"</formula>
    </cfRule>
  </conditionalFormatting>
  <conditionalFormatting sqref="AS64">
    <cfRule type="expression" dxfId="12573" priority="16604">
      <formula>AS63="X"</formula>
    </cfRule>
    <cfRule type="expression" dxfId="12572" priority="16605">
      <formula>AS63="A"</formula>
    </cfRule>
    <cfRule type="expression" dxfId="12571" priority="16606">
      <formula>AS63="T"</formula>
    </cfRule>
  </conditionalFormatting>
  <conditionalFormatting sqref="AS66">
    <cfRule type="expression" dxfId="12570" priority="16601">
      <formula>AS65="X"</formula>
    </cfRule>
    <cfRule type="expression" dxfId="12569" priority="16602">
      <formula>AS65="A"</formula>
    </cfRule>
    <cfRule type="expression" dxfId="12568" priority="16603">
      <formula>AS65="T"</formula>
    </cfRule>
  </conditionalFormatting>
  <conditionalFormatting sqref="AS68">
    <cfRule type="expression" dxfId="12567" priority="16598">
      <formula>AS67="X"</formula>
    </cfRule>
    <cfRule type="expression" dxfId="12566" priority="16599">
      <formula>AS67="A"</formula>
    </cfRule>
    <cfRule type="expression" dxfId="12565" priority="16600">
      <formula>AS67="T"</formula>
    </cfRule>
  </conditionalFormatting>
  <conditionalFormatting sqref="AS82">
    <cfRule type="expression" dxfId="12564" priority="16595">
      <formula>AS81="X"</formula>
    </cfRule>
    <cfRule type="expression" dxfId="12563" priority="16596">
      <formula>AS81="A"</formula>
    </cfRule>
    <cfRule type="expression" dxfId="12562" priority="16597">
      <formula>AS81="T"</formula>
    </cfRule>
  </conditionalFormatting>
  <conditionalFormatting sqref="AS84">
    <cfRule type="expression" dxfId="12561" priority="16592">
      <formula>AS83="X"</formula>
    </cfRule>
    <cfRule type="expression" dxfId="12560" priority="16593">
      <formula>AS83="A"</formula>
    </cfRule>
    <cfRule type="expression" dxfId="12559" priority="16594">
      <formula>AS83="T"</formula>
    </cfRule>
  </conditionalFormatting>
  <conditionalFormatting sqref="AS86">
    <cfRule type="expression" dxfId="12558" priority="16589">
      <formula>AS85="X"</formula>
    </cfRule>
    <cfRule type="expression" dxfId="12557" priority="16590">
      <formula>AS85="A"</formula>
    </cfRule>
    <cfRule type="expression" dxfId="12556" priority="16591">
      <formula>AS85="T"</formula>
    </cfRule>
  </conditionalFormatting>
  <conditionalFormatting sqref="AS89">
    <cfRule type="expression" dxfId="12555" priority="16586">
      <formula>AS88="X"</formula>
    </cfRule>
    <cfRule type="expression" dxfId="12554" priority="16587">
      <formula>AS88="A"</formula>
    </cfRule>
    <cfRule type="expression" dxfId="12553" priority="16588">
      <formula>AS88="T"</formula>
    </cfRule>
  </conditionalFormatting>
  <conditionalFormatting sqref="AS91">
    <cfRule type="expression" dxfId="12552" priority="16583">
      <formula>AS90="X"</formula>
    </cfRule>
    <cfRule type="expression" dxfId="12551" priority="16584">
      <formula>AS90="A"</formula>
    </cfRule>
    <cfRule type="expression" dxfId="12550" priority="16585">
      <formula>AS90="T"</formula>
    </cfRule>
  </conditionalFormatting>
  <conditionalFormatting sqref="AS93">
    <cfRule type="expression" dxfId="12549" priority="16580">
      <formula>AS92="X"</formula>
    </cfRule>
    <cfRule type="expression" dxfId="12548" priority="16581">
      <formula>AS92="A"</formula>
    </cfRule>
    <cfRule type="expression" dxfId="12547" priority="16582">
      <formula>AS92="T"</formula>
    </cfRule>
  </conditionalFormatting>
  <conditionalFormatting sqref="AS95">
    <cfRule type="expression" dxfId="12546" priority="16577">
      <formula>AS94="X"</formula>
    </cfRule>
    <cfRule type="expression" dxfId="12545" priority="16578">
      <formula>AS94="A"</formula>
    </cfRule>
    <cfRule type="expression" dxfId="12544" priority="16579">
      <formula>AS94="T"</formula>
    </cfRule>
  </conditionalFormatting>
  <conditionalFormatting sqref="AS97">
    <cfRule type="expression" dxfId="12543" priority="16574">
      <formula>AS96="X"</formula>
    </cfRule>
    <cfRule type="expression" dxfId="12542" priority="16575">
      <formula>AS96="A"</formula>
    </cfRule>
    <cfRule type="expression" dxfId="12541" priority="16576">
      <formula>AS96="T"</formula>
    </cfRule>
  </conditionalFormatting>
  <conditionalFormatting sqref="AS99">
    <cfRule type="expression" dxfId="12540" priority="16571">
      <formula>AS98="X"</formula>
    </cfRule>
    <cfRule type="expression" dxfId="12539" priority="16572">
      <formula>AS98="A"</formula>
    </cfRule>
    <cfRule type="expression" dxfId="12538" priority="16573">
      <formula>AS98="T"</formula>
    </cfRule>
  </conditionalFormatting>
  <conditionalFormatting sqref="AS101">
    <cfRule type="expression" dxfId="12537" priority="16568">
      <formula>AS100="X"</formula>
    </cfRule>
    <cfRule type="expression" dxfId="12536" priority="16569">
      <formula>AS100="A"</formula>
    </cfRule>
    <cfRule type="expression" dxfId="12535" priority="16570">
      <formula>AS100="T"</formula>
    </cfRule>
  </conditionalFormatting>
  <conditionalFormatting sqref="AS103">
    <cfRule type="expression" dxfId="12534" priority="16565">
      <formula>AS102="X"</formula>
    </cfRule>
    <cfRule type="expression" dxfId="12533" priority="16566">
      <formula>AS102="A"</formula>
    </cfRule>
    <cfRule type="expression" dxfId="12532" priority="16567">
      <formula>AS102="T"</formula>
    </cfRule>
  </conditionalFormatting>
  <conditionalFormatting sqref="AS106">
    <cfRule type="expression" dxfId="12531" priority="16562">
      <formula>AS105="X"</formula>
    </cfRule>
    <cfRule type="expression" dxfId="12530" priority="16563">
      <formula>AS105="A"</formula>
    </cfRule>
    <cfRule type="expression" dxfId="12529" priority="16564">
      <formula>AS105="T"</formula>
    </cfRule>
  </conditionalFormatting>
  <conditionalFormatting sqref="AS108">
    <cfRule type="expression" dxfId="12528" priority="16559">
      <formula>AS107="X"</formula>
    </cfRule>
    <cfRule type="expression" dxfId="12527" priority="16560">
      <formula>AS107="A"</formula>
    </cfRule>
    <cfRule type="expression" dxfId="12526" priority="16561">
      <formula>AS107="T"</formula>
    </cfRule>
  </conditionalFormatting>
  <conditionalFormatting sqref="AS110">
    <cfRule type="expression" dxfId="12525" priority="16556">
      <formula>AS109="X"</formula>
    </cfRule>
    <cfRule type="expression" dxfId="12524" priority="16557">
      <formula>AS109="A"</formula>
    </cfRule>
    <cfRule type="expression" dxfId="12523" priority="16558">
      <formula>AS109="T"</formula>
    </cfRule>
  </conditionalFormatting>
  <conditionalFormatting sqref="AS112">
    <cfRule type="expression" dxfId="12522" priority="16553">
      <formula>AS111="X"</formula>
    </cfRule>
    <cfRule type="expression" dxfId="12521" priority="16554">
      <formula>AS111="A"</formula>
    </cfRule>
    <cfRule type="expression" dxfId="12520" priority="16555">
      <formula>AS111="T"</formula>
    </cfRule>
  </conditionalFormatting>
  <conditionalFormatting sqref="AS114">
    <cfRule type="expression" dxfId="12519" priority="16550">
      <formula>AS113="X"</formula>
    </cfRule>
    <cfRule type="expression" dxfId="12518" priority="16551">
      <formula>AS113="A"</formula>
    </cfRule>
    <cfRule type="expression" dxfId="12517" priority="16552">
      <formula>AS113="T"</formula>
    </cfRule>
  </conditionalFormatting>
  <conditionalFormatting sqref="AS117">
    <cfRule type="expression" dxfId="12516" priority="16547">
      <formula>AS116="X"</formula>
    </cfRule>
    <cfRule type="expression" dxfId="12515" priority="16548">
      <formula>AS116="A"</formula>
    </cfRule>
    <cfRule type="expression" dxfId="12514" priority="16549">
      <formula>AS116="T"</formula>
    </cfRule>
  </conditionalFormatting>
  <conditionalFormatting sqref="AS119">
    <cfRule type="expression" dxfId="12513" priority="16544">
      <formula>AS118="X"</formula>
    </cfRule>
    <cfRule type="expression" dxfId="12512" priority="16545">
      <formula>AS118="A"</formula>
    </cfRule>
    <cfRule type="expression" dxfId="12511" priority="16546">
      <formula>AS118="T"</formula>
    </cfRule>
  </conditionalFormatting>
  <conditionalFormatting sqref="AS121">
    <cfRule type="expression" dxfId="12510" priority="16541">
      <formula>AS120="X"</formula>
    </cfRule>
    <cfRule type="expression" dxfId="12509" priority="16542">
      <formula>AS120="A"</formula>
    </cfRule>
    <cfRule type="expression" dxfId="12508" priority="16543">
      <formula>AS120="T"</formula>
    </cfRule>
  </conditionalFormatting>
  <conditionalFormatting sqref="AS123">
    <cfRule type="expression" dxfId="12507" priority="16538">
      <formula>AS122="X"</formula>
    </cfRule>
    <cfRule type="expression" dxfId="12506" priority="16539">
      <formula>AS122="A"</formula>
    </cfRule>
    <cfRule type="expression" dxfId="12505" priority="16540">
      <formula>AS122="T"</formula>
    </cfRule>
  </conditionalFormatting>
  <conditionalFormatting sqref="AS126">
    <cfRule type="expression" dxfId="12504" priority="16535">
      <formula>AS125="X"</formula>
    </cfRule>
    <cfRule type="expression" dxfId="12503" priority="16536">
      <formula>AS125="A"</formula>
    </cfRule>
    <cfRule type="expression" dxfId="12502" priority="16537">
      <formula>AS125="T"</formula>
    </cfRule>
  </conditionalFormatting>
  <conditionalFormatting sqref="AS128">
    <cfRule type="expression" dxfId="12501" priority="16532">
      <formula>AS127="X"</formula>
    </cfRule>
    <cfRule type="expression" dxfId="12500" priority="16533">
      <formula>AS127="A"</formula>
    </cfRule>
    <cfRule type="expression" dxfId="12499" priority="16534">
      <formula>AS127="T"</formula>
    </cfRule>
  </conditionalFormatting>
  <conditionalFormatting sqref="AS142">
    <cfRule type="expression" dxfId="12498" priority="16529">
      <formula>AS141="X"</formula>
    </cfRule>
    <cfRule type="expression" dxfId="12497" priority="16530">
      <formula>AS141="A"</formula>
    </cfRule>
    <cfRule type="expression" dxfId="12496" priority="16531">
      <formula>AS141="T"</formula>
    </cfRule>
  </conditionalFormatting>
  <conditionalFormatting sqref="AS144">
    <cfRule type="expression" dxfId="12495" priority="16526">
      <formula>AS143="X"</formula>
    </cfRule>
    <cfRule type="expression" dxfId="12494" priority="16527">
      <formula>AS143="A"</formula>
    </cfRule>
    <cfRule type="expression" dxfId="12493" priority="16528">
      <formula>AS143="T"</formula>
    </cfRule>
  </conditionalFormatting>
  <conditionalFormatting sqref="AS150">
    <cfRule type="expression" dxfId="12492" priority="16523">
      <formula>AS149="X"</formula>
    </cfRule>
    <cfRule type="expression" dxfId="12491" priority="16524">
      <formula>AS149="A"</formula>
    </cfRule>
    <cfRule type="expression" dxfId="12490" priority="16525">
      <formula>AS149="T"</formula>
    </cfRule>
  </conditionalFormatting>
  <conditionalFormatting sqref="AS152">
    <cfRule type="expression" dxfId="12489" priority="16520">
      <formula>AS151="X"</formula>
    </cfRule>
    <cfRule type="expression" dxfId="12488" priority="16521">
      <formula>AS151="A"</formula>
    </cfRule>
    <cfRule type="expression" dxfId="12487" priority="16522">
      <formula>AS151="T"</formula>
    </cfRule>
  </conditionalFormatting>
  <conditionalFormatting sqref="AS156">
    <cfRule type="expression" dxfId="12486" priority="16517">
      <formula>AS155="X"</formula>
    </cfRule>
    <cfRule type="expression" dxfId="12485" priority="16518">
      <formula>AS155="A"</formula>
    </cfRule>
    <cfRule type="expression" dxfId="12484" priority="16519">
      <formula>AS155="T"</formula>
    </cfRule>
  </conditionalFormatting>
  <conditionalFormatting sqref="AS168">
    <cfRule type="expression" dxfId="12483" priority="16511">
      <formula>AS167="X"</formula>
    </cfRule>
    <cfRule type="expression" dxfId="12482" priority="16512">
      <formula>AS167="A"</formula>
    </cfRule>
    <cfRule type="expression" dxfId="12481" priority="16513">
      <formula>AS167="T"</formula>
    </cfRule>
  </conditionalFormatting>
  <conditionalFormatting sqref="AS170">
    <cfRule type="expression" dxfId="12480" priority="16508">
      <formula>AS169="X"</formula>
    </cfRule>
    <cfRule type="expression" dxfId="12479" priority="16509">
      <formula>AS169="A"</formula>
    </cfRule>
    <cfRule type="expression" dxfId="12478" priority="16510">
      <formula>AS169="T"</formula>
    </cfRule>
  </conditionalFormatting>
  <conditionalFormatting sqref="AS172">
    <cfRule type="expression" dxfId="12477" priority="16505">
      <formula>AS171="X"</formula>
    </cfRule>
    <cfRule type="expression" dxfId="12476" priority="16506">
      <formula>AS171="A"</formula>
    </cfRule>
    <cfRule type="expression" dxfId="12475" priority="16507">
      <formula>AS171="T"</formula>
    </cfRule>
  </conditionalFormatting>
  <conditionalFormatting sqref="AS174">
    <cfRule type="expression" dxfId="12474" priority="16502">
      <formula>AS173="X"</formula>
    </cfRule>
    <cfRule type="expression" dxfId="12473" priority="16503">
      <formula>AS173="A"</formula>
    </cfRule>
    <cfRule type="expression" dxfId="12472" priority="16504">
      <formula>AS173="T"</formula>
    </cfRule>
  </conditionalFormatting>
  <conditionalFormatting sqref="AS176">
    <cfRule type="expression" dxfId="12471" priority="16499">
      <formula>AS175="X"</formula>
    </cfRule>
    <cfRule type="expression" dxfId="12470" priority="16500">
      <formula>AS175="A"</formula>
    </cfRule>
    <cfRule type="expression" dxfId="12469" priority="16501">
      <formula>AS175="T"</formula>
    </cfRule>
  </conditionalFormatting>
  <conditionalFormatting sqref="AS178">
    <cfRule type="expression" dxfId="12468" priority="16496">
      <formula>AS177="X"</formula>
    </cfRule>
    <cfRule type="expression" dxfId="12467" priority="16497">
      <formula>AS177="A"</formula>
    </cfRule>
    <cfRule type="expression" dxfId="12466" priority="16498">
      <formula>AS177="T"</formula>
    </cfRule>
  </conditionalFormatting>
  <conditionalFormatting sqref="AS180">
    <cfRule type="expression" dxfId="12465" priority="16493">
      <formula>AS179="X"</formula>
    </cfRule>
    <cfRule type="expression" dxfId="12464" priority="16494">
      <formula>AS179="A"</formula>
    </cfRule>
    <cfRule type="expression" dxfId="12463" priority="16495">
      <formula>AS179="T"</formula>
    </cfRule>
  </conditionalFormatting>
  <conditionalFormatting sqref="AS184">
    <cfRule type="expression" dxfId="12462" priority="16490">
      <formula>AS183="X"</formula>
    </cfRule>
    <cfRule type="expression" dxfId="12461" priority="16491">
      <formula>AS183="A"</formula>
    </cfRule>
    <cfRule type="expression" dxfId="12460" priority="16492">
      <formula>AS183="T"</formula>
    </cfRule>
  </conditionalFormatting>
  <conditionalFormatting sqref="AS186">
    <cfRule type="expression" dxfId="12459" priority="16487">
      <formula>AS185="X"</formula>
    </cfRule>
    <cfRule type="expression" dxfId="12458" priority="16488">
      <formula>AS185="A"</formula>
    </cfRule>
    <cfRule type="expression" dxfId="12457" priority="16489">
      <formula>AS185="T"</formula>
    </cfRule>
  </conditionalFormatting>
  <conditionalFormatting sqref="AS190">
    <cfRule type="expression" dxfId="12456" priority="16484">
      <formula>AS189="X"</formula>
    </cfRule>
    <cfRule type="expression" dxfId="12455" priority="16485">
      <formula>AS189="A"</formula>
    </cfRule>
    <cfRule type="expression" dxfId="12454" priority="16486">
      <formula>AS189="T"</formula>
    </cfRule>
  </conditionalFormatting>
  <conditionalFormatting sqref="AS192">
    <cfRule type="expression" dxfId="12453" priority="16481">
      <formula>AS191="X"</formula>
    </cfRule>
    <cfRule type="expression" dxfId="12452" priority="16482">
      <formula>AS191="A"</formula>
    </cfRule>
    <cfRule type="expression" dxfId="12451" priority="16483">
      <formula>AS191="T"</formula>
    </cfRule>
  </conditionalFormatting>
  <conditionalFormatting sqref="AS208">
    <cfRule type="expression" dxfId="12450" priority="16478">
      <formula>AS207="X"</formula>
    </cfRule>
    <cfRule type="expression" dxfId="12449" priority="16479">
      <formula>AS207="A"</formula>
    </cfRule>
    <cfRule type="expression" dxfId="12448" priority="16480">
      <formula>AS207="T"</formula>
    </cfRule>
  </conditionalFormatting>
  <conditionalFormatting sqref="AS211">
    <cfRule type="expression" dxfId="12447" priority="16475">
      <formula>AS211="X"</formula>
    </cfRule>
    <cfRule type="expression" dxfId="12446" priority="16476">
      <formula>AS211="A"</formula>
    </cfRule>
    <cfRule type="expression" dxfId="12445" priority="16477">
      <formula>AS211="T"</formula>
    </cfRule>
  </conditionalFormatting>
  <conditionalFormatting sqref="AS212">
    <cfRule type="expression" dxfId="12444" priority="16472">
      <formula>AS211="X"</formula>
    </cfRule>
    <cfRule type="expression" dxfId="12443" priority="16473">
      <formula>AS211="A"</formula>
    </cfRule>
    <cfRule type="expression" dxfId="12442" priority="16474">
      <formula>AS211="T"</formula>
    </cfRule>
  </conditionalFormatting>
  <conditionalFormatting sqref="AS213">
    <cfRule type="expression" dxfId="12441" priority="16469">
      <formula>AS213="X"</formula>
    </cfRule>
    <cfRule type="expression" dxfId="12440" priority="16470">
      <formula>AS213="A"</formula>
    </cfRule>
    <cfRule type="expression" dxfId="12439" priority="16471">
      <formula>AS213="T"</formula>
    </cfRule>
  </conditionalFormatting>
  <conditionalFormatting sqref="AS214">
    <cfRule type="expression" dxfId="12438" priority="16466">
      <formula>AS213="X"</formula>
    </cfRule>
    <cfRule type="expression" dxfId="12437" priority="16467">
      <formula>AS213="A"</formula>
    </cfRule>
    <cfRule type="expression" dxfId="12436" priority="16468">
      <formula>AS213="T"</formula>
    </cfRule>
  </conditionalFormatting>
  <conditionalFormatting sqref="AS215">
    <cfRule type="expression" dxfId="12435" priority="16463">
      <formula>AS215="X"</formula>
    </cfRule>
    <cfRule type="expression" dxfId="12434" priority="16464">
      <formula>AS215="A"</formula>
    </cfRule>
    <cfRule type="expression" dxfId="12433" priority="16465">
      <formula>AS215="T"</formula>
    </cfRule>
  </conditionalFormatting>
  <conditionalFormatting sqref="AS216">
    <cfRule type="expression" dxfId="12432" priority="16460">
      <formula>AS215="X"</formula>
    </cfRule>
    <cfRule type="expression" dxfId="12431" priority="16461">
      <formula>AS215="A"</formula>
    </cfRule>
    <cfRule type="expression" dxfId="12430" priority="16462">
      <formula>AS215="T"</formula>
    </cfRule>
  </conditionalFormatting>
  <conditionalFormatting sqref="AS217">
    <cfRule type="expression" dxfId="12429" priority="16457">
      <formula>AS217="X"</formula>
    </cfRule>
    <cfRule type="expression" dxfId="12428" priority="16458">
      <formula>AS217="A"</formula>
    </cfRule>
    <cfRule type="expression" dxfId="12427" priority="16459">
      <formula>AS217="T"</formula>
    </cfRule>
  </conditionalFormatting>
  <conditionalFormatting sqref="AS218">
    <cfRule type="expression" dxfId="12426" priority="16454">
      <formula>AS217="X"</formula>
    </cfRule>
    <cfRule type="expression" dxfId="12425" priority="16455">
      <formula>AS217="A"</formula>
    </cfRule>
    <cfRule type="expression" dxfId="12424" priority="16456">
      <formula>AS217="T"</formula>
    </cfRule>
  </conditionalFormatting>
  <conditionalFormatting sqref="AS219">
    <cfRule type="expression" dxfId="12423" priority="16451">
      <formula>AS219="X"</formula>
    </cfRule>
    <cfRule type="expression" dxfId="12422" priority="16452">
      <formula>AS219="A"</formula>
    </cfRule>
    <cfRule type="expression" dxfId="12421" priority="16453">
      <formula>AS219="T"</formula>
    </cfRule>
  </conditionalFormatting>
  <conditionalFormatting sqref="AS220">
    <cfRule type="expression" dxfId="12420" priority="16448">
      <formula>AS219="X"</formula>
    </cfRule>
    <cfRule type="expression" dxfId="12419" priority="16449">
      <formula>AS219="A"</formula>
    </cfRule>
    <cfRule type="expression" dxfId="12418" priority="16450">
      <formula>AS219="T"</formula>
    </cfRule>
  </conditionalFormatting>
  <conditionalFormatting sqref="AS221">
    <cfRule type="expression" dxfId="12417" priority="16445">
      <formula>AS221="X"</formula>
    </cfRule>
    <cfRule type="expression" dxfId="12416" priority="16446">
      <formula>AS221="A"</formula>
    </cfRule>
    <cfRule type="expression" dxfId="12415" priority="16447">
      <formula>AS221="T"</formula>
    </cfRule>
  </conditionalFormatting>
  <conditionalFormatting sqref="AS222">
    <cfRule type="expression" dxfId="12414" priority="16442">
      <formula>AS221="X"</formula>
    </cfRule>
    <cfRule type="expression" dxfId="12413" priority="16443">
      <formula>AS221="A"</formula>
    </cfRule>
    <cfRule type="expression" dxfId="12412" priority="16444">
      <formula>AS221="T"</formula>
    </cfRule>
  </conditionalFormatting>
  <conditionalFormatting sqref="AS223">
    <cfRule type="expression" dxfId="12411" priority="16439">
      <formula>AS223="X"</formula>
    </cfRule>
    <cfRule type="expression" dxfId="12410" priority="16440">
      <formula>AS223="A"</formula>
    </cfRule>
    <cfRule type="expression" dxfId="12409" priority="16441">
      <formula>AS223="T"</formula>
    </cfRule>
  </conditionalFormatting>
  <conditionalFormatting sqref="AS224">
    <cfRule type="expression" dxfId="12408" priority="16436">
      <formula>AS223="X"</formula>
    </cfRule>
    <cfRule type="expression" dxfId="12407" priority="16437">
      <formula>AS223="A"</formula>
    </cfRule>
    <cfRule type="expression" dxfId="12406" priority="16438">
      <formula>AS223="T"</formula>
    </cfRule>
  </conditionalFormatting>
  <conditionalFormatting sqref="AS4">
    <cfRule type="expression" dxfId="12405" priority="16433">
      <formula>AS4="X"</formula>
    </cfRule>
    <cfRule type="expression" dxfId="12404" priority="16434">
      <formula>AS4="A"</formula>
    </cfRule>
    <cfRule type="expression" dxfId="12403" priority="16435">
      <formula>AS4="T"</formula>
    </cfRule>
  </conditionalFormatting>
  <conditionalFormatting sqref="AS5">
    <cfRule type="expression" dxfId="12402" priority="16430">
      <formula>AS4="X"</formula>
    </cfRule>
    <cfRule type="expression" dxfId="12401" priority="16431">
      <formula>AS4="A"</formula>
    </cfRule>
    <cfRule type="expression" dxfId="12400" priority="16432">
      <formula>AS4="T"</formula>
    </cfRule>
  </conditionalFormatting>
  <conditionalFormatting sqref="AS6">
    <cfRule type="expression" dxfId="12399" priority="16427">
      <formula>AS6="X"</formula>
    </cfRule>
    <cfRule type="expression" dxfId="12398" priority="16428">
      <formula>AS6="A"</formula>
    </cfRule>
    <cfRule type="expression" dxfId="12397" priority="16429">
      <formula>AS6="T"</formula>
    </cfRule>
  </conditionalFormatting>
  <conditionalFormatting sqref="AS7">
    <cfRule type="expression" dxfId="12396" priority="16424">
      <formula>AS6="X"</formula>
    </cfRule>
    <cfRule type="expression" dxfId="12395" priority="16425">
      <formula>AS6="A"</formula>
    </cfRule>
    <cfRule type="expression" dxfId="12394" priority="16426">
      <formula>AS6="T"</formula>
    </cfRule>
  </conditionalFormatting>
  <conditionalFormatting sqref="AS8">
    <cfRule type="expression" dxfId="12393" priority="16421">
      <formula>AS8="X"</formula>
    </cfRule>
    <cfRule type="expression" dxfId="12392" priority="16422">
      <formula>AS8="A"</formula>
    </cfRule>
    <cfRule type="expression" dxfId="12391" priority="16423">
      <formula>AS8="T"</formula>
    </cfRule>
  </conditionalFormatting>
  <conditionalFormatting sqref="AS9">
    <cfRule type="expression" dxfId="12390" priority="16418">
      <formula>AS8="X"</formula>
    </cfRule>
    <cfRule type="expression" dxfId="12389" priority="16419">
      <formula>AS8="A"</formula>
    </cfRule>
    <cfRule type="expression" dxfId="12388" priority="16420">
      <formula>AS8="T"</formula>
    </cfRule>
  </conditionalFormatting>
  <conditionalFormatting sqref="AS74">
    <cfRule type="expression" dxfId="12387" priority="16415">
      <formula>AS74="X"</formula>
    </cfRule>
    <cfRule type="expression" dxfId="12386" priority="16416">
      <formula>AS74="A"</formula>
    </cfRule>
    <cfRule type="expression" dxfId="12385" priority="16417">
      <formula>AS74="T"</formula>
    </cfRule>
  </conditionalFormatting>
  <conditionalFormatting sqref="AS75">
    <cfRule type="expression" dxfId="12384" priority="16412">
      <formula>AS74="X"</formula>
    </cfRule>
    <cfRule type="expression" dxfId="12383" priority="16413">
      <formula>AS74="A"</formula>
    </cfRule>
    <cfRule type="expression" dxfId="12382" priority="16414">
      <formula>AS74="T"</formula>
    </cfRule>
  </conditionalFormatting>
  <conditionalFormatting sqref="AS76">
    <cfRule type="expression" dxfId="12381" priority="16409">
      <formula>AS76="X"</formula>
    </cfRule>
    <cfRule type="expression" dxfId="12380" priority="16410">
      <formula>AS76="A"</formula>
    </cfRule>
    <cfRule type="expression" dxfId="12379" priority="16411">
      <formula>AS76="T"</formula>
    </cfRule>
  </conditionalFormatting>
  <conditionalFormatting sqref="AS77">
    <cfRule type="expression" dxfId="12378" priority="16406">
      <formula>AS76="X"</formula>
    </cfRule>
    <cfRule type="expression" dxfId="12377" priority="16407">
      <formula>AS76="A"</formula>
    </cfRule>
    <cfRule type="expression" dxfId="12376" priority="16408">
      <formula>AS76="T"</formula>
    </cfRule>
  </conditionalFormatting>
  <conditionalFormatting sqref="AS78">
    <cfRule type="expression" dxfId="12375" priority="16403">
      <formula>AS78="X"</formula>
    </cfRule>
    <cfRule type="expression" dxfId="12374" priority="16404">
      <formula>AS78="A"</formula>
    </cfRule>
    <cfRule type="expression" dxfId="12373" priority="16405">
      <formula>AS78="T"</formula>
    </cfRule>
  </conditionalFormatting>
  <conditionalFormatting sqref="AS79">
    <cfRule type="expression" dxfId="12372" priority="16400">
      <formula>AS78="X"</formula>
    </cfRule>
    <cfRule type="expression" dxfId="12371" priority="16401">
      <formula>AS78="A"</formula>
    </cfRule>
    <cfRule type="expression" dxfId="12370" priority="16402">
      <formula>AS78="T"</formula>
    </cfRule>
  </conditionalFormatting>
  <conditionalFormatting sqref="AS134">
    <cfRule type="expression" dxfId="12369" priority="16397">
      <formula>AS134="X"</formula>
    </cfRule>
    <cfRule type="expression" dxfId="12368" priority="16398">
      <formula>AS134="A"</formula>
    </cfRule>
    <cfRule type="expression" dxfId="12367" priority="16399">
      <formula>AS134="T"</formula>
    </cfRule>
  </conditionalFormatting>
  <conditionalFormatting sqref="AS135">
    <cfRule type="expression" dxfId="12366" priority="16394">
      <formula>AS134="X"</formula>
    </cfRule>
    <cfRule type="expression" dxfId="12365" priority="16395">
      <formula>AS134="A"</formula>
    </cfRule>
    <cfRule type="expression" dxfId="12364" priority="16396">
      <formula>AS134="T"</formula>
    </cfRule>
  </conditionalFormatting>
  <conditionalFormatting sqref="AS136">
    <cfRule type="expression" dxfId="12363" priority="16391">
      <formula>AS136="X"</formula>
    </cfRule>
    <cfRule type="expression" dxfId="12362" priority="16392">
      <formula>AS136="A"</formula>
    </cfRule>
    <cfRule type="expression" dxfId="12361" priority="16393">
      <formula>AS136="T"</formula>
    </cfRule>
  </conditionalFormatting>
  <conditionalFormatting sqref="AS137">
    <cfRule type="expression" dxfId="12360" priority="16388">
      <formula>AS136="X"</formula>
    </cfRule>
    <cfRule type="expression" dxfId="12359" priority="16389">
      <formula>AS136="A"</formula>
    </cfRule>
    <cfRule type="expression" dxfId="12358" priority="16390">
      <formula>AS136="T"</formula>
    </cfRule>
  </conditionalFormatting>
  <conditionalFormatting sqref="AS138">
    <cfRule type="expression" dxfId="12357" priority="16385">
      <formula>AS138="X"</formula>
    </cfRule>
    <cfRule type="expression" dxfId="12356" priority="16386">
      <formula>AS138="A"</formula>
    </cfRule>
    <cfRule type="expression" dxfId="12355" priority="16387">
      <formula>AS138="T"</formula>
    </cfRule>
  </conditionalFormatting>
  <conditionalFormatting sqref="AS139">
    <cfRule type="expression" dxfId="12354" priority="16382">
      <formula>AS138="X"</formula>
    </cfRule>
    <cfRule type="expression" dxfId="12353" priority="16383">
      <formula>AS138="A"</formula>
    </cfRule>
    <cfRule type="expression" dxfId="12352" priority="16384">
      <formula>AS138="T"</formula>
    </cfRule>
  </conditionalFormatting>
  <conditionalFormatting sqref="AS10">
    <cfRule type="expression" dxfId="12351" priority="16379" stopIfTrue="1">
      <formula>AS4=""</formula>
    </cfRule>
  </conditionalFormatting>
  <conditionalFormatting sqref="AS10">
    <cfRule type="expression" dxfId="12350" priority="16380" stopIfTrue="1">
      <formula>AS10=1</formula>
    </cfRule>
    <cfRule type="colorScale" priority="16381">
      <colorScale>
        <cfvo type="num" val="0"/>
        <cfvo type="num" val="0.5"/>
        <cfvo type="num" val="1"/>
        <color rgb="FFF8696B"/>
        <color theme="4" tint="0.79998168889431442"/>
        <color rgb="FF5A8AC6"/>
      </colorScale>
    </cfRule>
  </conditionalFormatting>
  <conditionalFormatting sqref="AS15">
    <cfRule type="expression" dxfId="12349" priority="16376" stopIfTrue="1">
      <formula>AS11=""</formula>
    </cfRule>
  </conditionalFormatting>
  <conditionalFormatting sqref="AS15">
    <cfRule type="expression" dxfId="12348" priority="16377" stopIfTrue="1">
      <formula>AS15=1</formula>
    </cfRule>
    <cfRule type="colorScale" priority="16378">
      <colorScale>
        <cfvo type="num" val="0"/>
        <cfvo type="num" val="0.5"/>
        <cfvo type="num" val="1"/>
        <color rgb="FFF8696B"/>
        <color theme="4" tint="0.79998168889431442"/>
        <color rgb="FF5A8AC6"/>
      </colorScale>
    </cfRule>
  </conditionalFormatting>
  <conditionalFormatting sqref="AS38">
    <cfRule type="expression" dxfId="12347" priority="16373" stopIfTrue="1">
      <formula>AS16=""</formula>
    </cfRule>
  </conditionalFormatting>
  <conditionalFormatting sqref="AS38">
    <cfRule type="expression" dxfId="12346" priority="16374" stopIfTrue="1">
      <formula>AS38=1</formula>
    </cfRule>
    <cfRule type="colorScale" priority="16375">
      <colorScale>
        <cfvo type="num" val="0"/>
        <cfvo type="num" val="0.5"/>
        <cfvo type="num" val="1"/>
        <color rgb="FFF8696B"/>
        <color theme="4" tint="0.79998168889431442"/>
        <color rgb="FF5A8AC6"/>
      </colorScale>
    </cfRule>
  </conditionalFormatting>
  <conditionalFormatting sqref="AS47">
    <cfRule type="expression" dxfId="12345" priority="16370" stopIfTrue="1">
      <formula>AS39=""</formula>
    </cfRule>
  </conditionalFormatting>
  <conditionalFormatting sqref="AS47">
    <cfRule type="expression" dxfId="12344" priority="16371" stopIfTrue="1">
      <formula>AS47=1</formula>
    </cfRule>
    <cfRule type="colorScale" priority="16372">
      <colorScale>
        <cfvo type="num" val="0"/>
        <cfvo type="num" val="0.5"/>
        <cfvo type="num" val="1"/>
        <color rgb="FFF8696B"/>
        <color theme="4" tint="0.79998168889431442"/>
        <color rgb="FF5A8AC6"/>
      </colorScale>
    </cfRule>
  </conditionalFormatting>
  <conditionalFormatting sqref="AS69">
    <cfRule type="expression" dxfId="12343" priority="16364" stopIfTrue="1">
      <formula>AS63=""</formula>
    </cfRule>
  </conditionalFormatting>
  <conditionalFormatting sqref="AS69">
    <cfRule type="expression" dxfId="12342" priority="16365" stopIfTrue="1">
      <formula>AS69=1</formula>
    </cfRule>
    <cfRule type="colorScale" priority="16366">
      <colorScale>
        <cfvo type="num" val="0"/>
        <cfvo type="num" val="0.5"/>
        <cfvo type="num" val="1"/>
        <color rgb="FFF8696B"/>
        <color theme="4" tint="0.79998168889431442"/>
        <color rgb="FF5A8AC6"/>
      </colorScale>
    </cfRule>
  </conditionalFormatting>
  <conditionalFormatting sqref="AS80">
    <cfRule type="expression" dxfId="12341" priority="16361" stopIfTrue="1">
      <formula>AS74=""</formula>
    </cfRule>
  </conditionalFormatting>
  <conditionalFormatting sqref="AS80">
    <cfRule type="expression" dxfId="12340" priority="16362" stopIfTrue="1">
      <formula>AS80=1</formula>
    </cfRule>
    <cfRule type="colorScale" priority="16363">
      <colorScale>
        <cfvo type="num" val="0"/>
        <cfvo type="num" val="0.5"/>
        <cfvo type="num" val="1"/>
        <color rgb="FFF8696B"/>
        <color theme="4" tint="0.79998168889431442"/>
        <color rgb="FF5A8AC6"/>
      </colorScale>
    </cfRule>
  </conditionalFormatting>
  <conditionalFormatting sqref="AS87">
    <cfRule type="expression" dxfId="12339" priority="16358" stopIfTrue="1">
      <formula>AS81=""</formula>
    </cfRule>
  </conditionalFormatting>
  <conditionalFormatting sqref="AS87">
    <cfRule type="expression" dxfId="12338" priority="16359" stopIfTrue="1">
      <formula>AS87=1</formula>
    </cfRule>
    <cfRule type="colorScale" priority="16360">
      <colorScale>
        <cfvo type="num" val="0"/>
        <cfvo type="num" val="0.5"/>
        <cfvo type="num" val="1"/>
        <color rgb="FFF8696B"/>
        <color theme="4" tint="0.79998168889431442"/>
        <color rgb="FF5A8AC6"/>
      </colorScale>
    </cfRule>
  </conditionalFormatting>
  <conditionalFormatting sqref="AS104">
    <cfRule type="expression" dxfId="12337" priority="16355" stopIfTrue="1">
      <formula>AS88=""</formula>
    </cfRule>
  </conditionalFormatting>
  <conditionalFormatting sqref="AS104">
    <cfRule type="expression" dxfId="12336" priority="16356" stopIfTrue="1">
      <formula>AS104=1</formula>
    </cfRule>
    <cfRule type="colorScale" priority="16357">
      <colorScale>
        <cfvo type="num" val="0"/>
        <cfvo type="num" val="0.5"/>
        <cfvo type="num" val="1"/>
        <color rgb="FFF8696B"/>
        <color theme="4" tint="0.79998168889431442"/>
        <color rgb="FF5A8AC6"/>
      </colorScale>
    </cfRule>
  </conditionalFormatting>
  <conditionalFormatting sqref="AS115">
    <cfRule type="expression" dxfId="12335" priority="16352" stopIfTrue="1">
      <formula>AS105=""</formula>
    </cfRule>
  </conditionalFormatting>
  <conditionalFormatting sqref="AS115">
    <cfRule type="expression" dxfId="12334" priority="16353" stopIfTrue="1">
      <formula>AS115=1</formula>
    </cfRule>
    <cfRule type="colorScale" priority="16354">
      <colorScale>
        <cfvo type="num" val="0"/>
        <cfvo type="num" val="0.5"/>
        <cfvo type="num" val="1"/>
        <color rgb="FFF8696B"/>
        <color theme="4" tint="0.79998168889431442"/>
        <color rgb="FF5A8AC6"/>
      </colorScale>
    </cfRule>
  </conditionalFormatting>
  <conditionalFormatting sqref="AS124">
    <cfRule type="expression" dxfId="12333" priority="16349" stopIfTrue="1">
      <formula>AS116=""</formula>
    </cfRule>
  </conditionalFormatting>
  <conditionalFormatting sqref="AS124">
    <cfRule type="expression" dxfId="12332" priority="16350" stopIfTrue="1">
      <formula>AS124=1</formula>
    </cfRule>
    <cfRule type="colorScale" priority="16351">
      <colorScale>
        <cfvo type="num" val="0"/>
        <cfvo type="num" val="0.5"/>
        <cfvo type="num" val="1"/>
        <color rgb="FFF8696B"/>
        <color theme="4" tint="0.79998168889431442"/>
        <color rgb="FF5A8AC6"/>
      </colorScale>
    </cfRule>
  </conditionalFormatting>
  <conditionalFormatting sqref="AS129">
    <cfRule type="expression" dxfId="12331" priority="16346" stopIfTrue="1">
      <formula>AS125=""</formula>
    </cfRule>
  </conditionalFormatting>
  <conditionalFormatting sqref="AS129">
    <cfRule type="expression" dxfId="12330" priority="16347" stopIfTrue="1">
      <formula>AS129=1</formula>
    </cfRule>
    <cfRule type="colorScale" priority="16348">
      <colorScale>
        <cfvo type="num" val="0"/>
        <cfvo type="num" val="0.5"/>
        <cfvo type="num" val="1"/>
        <color rgb="FFF8696B"/>
        <color theme="4" tint="0.79998168889431442"/>
        <color rgb="FF5A8AC6"/>
      </colorScale>
    </cfRule>
  </conditionalFormatting>
  <conditionalFormatting sqref="AS140">
    <cfRule type="expression" dxfId="12329" priority="16343" stopIfTrue="1">
      <formula>AS134=""</formula>
    </cfRule>
  </conditionalFormatting>
  <conditionalFormatting sqref="AS140">
    <cfRule type="expression" dxfId="12328" priority="16344" stopIfTrue="1">
      <formula>AS140=1</formula>
    </cfRule>
    <cfRule type="colorScale" priority="16345">
      <colorScale>
        <cfvo type="num" val="0"/>
        <cfvo type="num" val="0.5"/>
        <cfvo type="num" val="1"/>
        <color rgb="FFF8696B"/>
        <color theme="4" tint="0.79998168889431442"/>
        <color rgb="FF5A8AC6"/>
      </colorScale>
    </cfRule>
  </conditionalFormatting>
  <conditionalFormatting sqref="AS145">
    <cfRule type="expression" dxfId="12327" priority="16340" stopIfTrue="1">
      <formula>AS141=""</formula>
    </cfRule>
  </conditionalFormatting>
  <conditionalFormatting sqref="AS145">
    <cfRule type="expression" dxfId="12326" priority="16341" stopIfTrue="1">
      <formula>AS145=1</formula>
    </cfRule>
    <cfRule type="colorScale" priority="16342">
      <colorScale>
        <cfvo type="num" val="0"/>
        <cfvo type="num" val="0.5"/>
        <cfvo type="num" val="1"/>
        <color rgb="FFF8696B"/>
        <color theme="4" tint="0.79998168889431442"/>
        <color rgb="FF5A8AC6"/>
      </colorScale>
    </cfRule>
  </conditionalFormatting>
  <conditionalFormatting sqref="AS153">
    <cfRule type="expression" dxfId="12325" priority="16337" stopIfTrue="1">
      <formula>AS149=""</formula>
    </cfRule>
  </conditionalFormatting>
  <conditionalFormatting sqref="AS153">
    <cfRule type="expression" dxfId="12324" priority="16338" stopIfTrue="1">
      <formula>AS153=1</formula>
    </cfRule>
    <cfRule type="colorScale" priority="16339">
      <colorScale>
        <cfvo type="num" val="0"/>
        <cfvo type="num" val="0.5"/>
        <cfvo type="num" val="1"/>
        <color rgb="FFF8696B"/>
        <color theme="4" tint="0.79998168889431442"/>
        <color rgb="FF5A8AC6"/>
      </colorScale>
    </cfRule>
  </conditionalFormatting>
  <conditionalFormatting sqref="AS165">
    <cfRule type="expression" dxfId="12323" priority="16334" stopIfTrue="1">
      <formula>AS155=""</formula>
    </cfRule>
  </conditionalFormatting>
  <conditionalFormatting sqref="AS165">
    <cfRule type="expression" dxfId="12322" priority="16335" stopIfTrue="1">
      <formula>AS165=1</formula>
    </cfRule>
    <cfRule type="colorScale" priority="16336">
      <colorScale>
        <cfvo type="num" val="0"/>
        <cfvo type="num" val="0.5"/>
        <cfvo type="num" val="1"/>
        <color rgb="FFF8696B"/>
        <color theme="4" tint="0.79998168889431442"/>
        <color rgb="FF5A8AC6"/>
      </colorScale>
    </cfRule>
  </conditionalFormatting>
  <conditionalFormatting sqref="AS187">
    <cfRule type="expression" dxfId="12321" priority="16331" stopIfTrue="1">
      <formula>AS183=""</formula>
    </cfRule>
  </conditionalFormatting>
  <conditionalFormatting sqref="AS187">
    <cfRule type="expression" dxfId="12320" priority="16332" stopIfTrue="1">
      <formula>AS187=1</formula>
    </cfRule>
    <cfRule type="colorScale" priority="16333">
      <colorScale>
        <cfvo type="num" val="0"/>
        <cfvo type="num" val="0.5"/>
        <cfvo type="num" val="1"/>
        <color rgb="FFF8696B"/>
        <color theme="4" tint="0.79998168889431442"/>
        <color rgb="FF5A8AC6"/>
      </colorScale>
    </cfRule>
  </conditionalFormatting>
  <conditionalFormatting sqref="AS193">
    <cfRule type="expression" dxfId="12319" priority="16328" stopIfTrue="1">
      <formula>AS189=""</formula>
    </cfRule>
  </conditionalFormatting>
  <conditionalFormatting sqref="AS193">
    <cfRule type="expression" dxfId="12318" priority="16329" stopIfTrue="1">
      <formula>AS193=1</formula>
    </cfRule>
    <cfRule type="colorScale" priority="16330">
      <colorScale>
        <cfvo type="num" val="0"/>
        <cfvo type="num" val="0.5"/>
        <cfvo type="num" val="1"/>
        <color rgb="FFF8696B"/>
        <color theme="4" tint="0.79998168889431442"/>
        <color rgb="FF5A8AC6"/>
      </colorScale>
    </cfRule>
  </conditionalFormatting>
  <conditionalFormatting sqref="AS181">
    <cfRule type="expression" dxfId="12317" priority="16325" stopIfTrue="1">
      <formula>AS167=""</formula>
    </cfRule>
  </conditionalFormatting>
  <conditionalFormatting sqref="AS181">
    <cfRule type="expression" dxfId="12316" priority="16326" stopIfTrue="1">
      <formula>AS181=1</formula>
    </cfRule>
    <cfRule type="colorScale" priority="16327">
      <colorScale>
        <cfvo type="num" val="0"/>
        <cfvo type="num" val="0.5"/>
        <cfvo type="num" val="1"/>
        <color rgb="FFF8696B"/>
        <color theme="4" tint="0.79998168889431442"/>
        <color rgb="FF5A8AC6"/>
      </colorScale>
    </cfRule>
  </conditionalFormatting>
  <conditionalFormatting sqref="AS209">
    <cfRule type="expression" dxfId="12315" priority="16322" stopIfTrue="1">
      <formula>AS195=""</formula>
    </cfRule>
  </conditionalFormatting>
  <conditionalFormatting sqref="AS209">
    <cfRule type="expression" dxfId="12314" priority="16323" stopIfTrue="1">
      <formula>AS209=1</formula>
    </cfRule>
    <cfRule type="colorScale" priority="16324">
      <colorScale>
        <cfvo type="num" val="0"/>
        <cfvo type="num" val="0.5"/>
        <cfvo type="num" val="1"/>
        <color rgb="FFF8696B"/>
        <color theme="4" tint="0.79998168889431442"/>
        <color rgb="FF5A8AC6"/>
      </colorScale>
    </cfRule>
  </conditionalFormatting>
  <conditionalFormatting sqref="AS225">
    <cfRule type="expression" dxfId="12313" priority="16319" stopIfTrue="1">
      <formula>AS211=""</formula>
    </cfRule>
  </conditionalFormatting>
  <conditionalFormatting sqref="AS225">
    <cfRule type="expression" dxfId="12312" priority="16320" stopIfTrue="1">
      <formula>AS225=1</formula>
    </cfRule>
    <cfRule type="colorScale" priority="16321">
      <colorScale>
        <cfvo type="num" val="0"/>
        <cfvo type="num" val="0.5"/>
        <cfvo type="num" val="1"/>
        <color rgb="FFF8696B"/>
        <color theme="4" tint="0.79998168889431442"/>
        <color rgb="FF5A8AC6"/>
      </colorScale>
    </cfRule>
  </conditionalFormatting>
  <conditionalFormatting sqref="AS71">
    <cfRule type="expression" dxfId="12311" priority="16305" stopIfTrue="1">
      <formula>AS71=1</formula>
    </cfRule>
    <cfRule type="colorScale" priority="16306">
      <colorScale>
        <cfvo type="num" val="0"/>
        <cfvo type="num" val="0.5"/>
        <cfvo type="num" val="1"/>
        <color rgb="FFF8696B"/>
        <color theme="4" tint="0.79998168889431442"/>
        <color rgb="FF5A8AC6"/>
      </colorScale>
    </cfRule>
  </conditionalFormatting>
  <conditionalFormatting sqref="AS147">
    <cfRule type="expression" dxfId="12310" priority="16310" stopIfTrue="1">
      <formula>AS134=""</formula>
    </cfRule>
  </conditionalFormatting>
  <conditionalFormatting sqref="AS147">
    <cfRule type="expression" dxfId="12309" priority="16311" stopIfTrue="1">
      <formula>AS147=1</formula>
    </cfRule>
    <cfRule type="colorScale" priority="16312">
      <colorScale>
        <cfvo type="num" val="0"/>
        <cfvo type="num" val="0.5"/>
        <cfvo type="num" val="1"/>
        <color rgb="FFF8696B"/>
        <color theme="4" tint="0.79998168889431442"/>
        <color rgb="FF5A8AC6"/>
      </colorScale>
    </cfRule>
  </conditionalFormatting>
  <conditionalFormatting sqref="AS131">
    <cfRule type="expression" dxfId="12308" priority="16307" stopIfTrue="1">
      <formula>AS74=""</formula>
    </cfRule>
  </conditionalFormatting>
  <conditionalFormatting sqref="AS131">
    <cfRule type="expression" dxfId="12307" priority="16308" stopIfTrue="1">
      <formula>AS131=1</formula>
    </cfRule>
    <cfRule type="colorScale" priority="16309">
      <colorScale>
        <cfvo type="num" val="0"/>
        <cfvo type="num" val="0.5"/>
        <cfvo type="num" val="1"/>
        <color rgb="FFF8696B"/>
        <color theme="4" tint="0.79998168889431442"/>
        <color rgb="FF5A8AC6"/>
      </colorScale>
    </cfRule>
  </conditionalFormatting>
  <conditionalFormatting sqref="AS71">
    <cfRule type="expression" dxfId="12306" priority="16304" stopIfTrue="1">
      <formula>AS65=""</formula>
    </cfRule>
  </conditionalFormatting>
  <conditionalFormatting sqref="AS195">
    <cfRule type="expression" dxfId="12305" priority="16301">
      <formula>AS195="X"</formula>
    </cfRule>
    <cfRule type="expression" dxfId="12304" priority="16302">
      <formula>AS195="A"</formula>
    </cfRule>
    <cfRule type="expression" dxfId="12303" priority="16303">
      <formula>AS195="T"</formula>
    </cfRule>
  </conditionalFormatting>
  <conditionalFormatting sqref="AS203">
    <cfRule type="expression" dxfId="12302" priority="16298">
      <formula>AS203="X"</formula>
    </cfRule>
    <cfRule type="expression" dxfId="12301" priority="16299">
      <formula>AS203="A"</formula>
    </cfRule>
    <cfRule type="expression" dxfId="12300" priority="16300">
      <formula>AS203="T"</formula>
    </cfRule>
  </conditionalFormatting>
  <conditionalFormatting sqref="AS205">
    <cfRule type="expression" dxfId="12299" priority="16295">
      <formula>AS205="X"</formula>
    </cfRule>
    <cfRule type="expression" dxfId="12298" priority="16296">
      <formula>AS205="A"</formula>
    </cfRule>
    <cfRule type="expression" dxfId="12297" priority="16297">
      <formula>AS205="T"</formula>
    </cfRule>
  </conditionalFormatting>
  <conditionalFormatting sqref="AS207">
    <cfRule type="expression" dxfId="12296" priority="16292">
      <formula>AS207="X"</formula>
    </cfRule>
    <cfRule type="expression" dxfId="12295" priority="16293">
      <formula>AS207="A"</formula>
    </cfRule>
    <cfRule type="expression" dxfId="12294" priority="16294">
      <formula>AS207="T"</formula>
    </cfRule>
  </conditionalFormatting>
  <conditionalFormatting sqref="AS204">
    <cfRule type="expression" dxfId="12293" priority="16289">
      <formula>AS203="X"</formula>
    </cfRule>
    <cfRule type="expression" dxfId="12292" priority="16290">
      <formula>AS203="A"</formula>
    </cfRule>
    <cfRule type="expression" dxfId="12291" priority="16291">
      <formula>AS203="T"</formula>
    </cfRule>
  </conditionalFormatting>
  <conditionalFormatting sqref="AS206">
    <cfRule type="expression" dxfId="12290" priority="16286">
      <formula>AS205="X"</formula>
    </cfRule>
    <cfRule type="expression" dxfId="12289" priority="16287">
      <formula>AS205="A"</formula>
    </cfRule>
    <cfRule type="expression" dxfId="12288" priority="16288">
      <formula>AS205="T"</formula>
    </cfRule>
  </conditionalFormatting>
  <conditionalFormatting sqref="AS196">
    <cfRule type="expression" dxfId="12287" priority="16283">
      <formula>AS195="X"</formula>
    </cfRule>
    <cfRule type="expression" dxfId="12286" priority="16284">
      <formula>AS195="A"</formula>
    </cfRule>
    <cfRule type="expression" dxfId="12285" priority="16285">
      <formula>AS195="T"</formula>
    </cfRule>
  </conditionalFormatting>
  <conditionalFormatting sqref="AS197">
    <cfRule type="expression" dxfId="12284" priority="16280">
      <formula>AS197="X"</formula>
    </cfRule>
    <cfRule type="expression" dxfId="12283" priority="16281">
      <formula>AS197="A"</formula>
    </cfRule>
    <cfRule type="expression" dxfId="12282" priority="16282">
      <formula>AS197="T"</formula>
    </cfRule>
  </conditionalFormatting>
  <conditionalFormatting sqref="AS198">
    <cfRule type="expression" dxfId="12281" priority="16277">
      <formula>AS197="X"</formula>
    </cfRule>
    <cfRule type="expression" dxfId="12280" priority="16278">
      <formula>AS197="A"</formula>
    </cfRule>
    <cfRule type="expression" dxfId="12279" priority="16279">
      <formula>AS197="T"</formula>
    </cfRule>
  </conditionalFormatting>
  <conditionalFormatting sqref="AS199">
    <cfRule type="expression" dxfId="12278" priority="16274">
      <formula>AS199="X"</formula>
    </cfRule>
    <cfRule type="expression" dxfId="12277" priority="16275">
      <formula>AS199="A"</formula>
    </cfRule>
    <cfRule type="expression" dxfId="12276" priority="16276">
      <formula>AS199="T"</formula>
    </cfRule>
  </conditionalFormatting>
  <conditionalFormatting sqref="AS200">
    <cfRule type="expression" dxfId="12275" priority="16271">
      <formula>AS199="X"</formula>
    </cfRule>
    <cfRule type="expression" dxfId="12274" priority="16272">
      <formula>AS199="A"</formula>
    </cfRule>
    <cfRule type="expression" dxfId="12273" priority="16273">
      <formula>AS199="T"</formula>
    </cfRule>
  </conditionalFormatting>
  <conditionalFormatting sqref="AS201">
    <cfRule type="expression" dxfId="12272" priority="16268">
      <formula>AS201="X"</formula>
    </cfRule>
    <cfRule type="expression" dxfId="12271" priority="16269">
      <formula>AS201="A"</formula>
    </cfRule>
    <cfRule type="expression" dxfId="12270" priority="16270">
      <formula>AS201="T"</formula>
    </cfRule>
  </conditionalFormatting>
  <conditionalFormatting sqref="AS202">
    <cfRule type="expression" dxfId="12269" priority="16265">
      <formula>AS201="X"</formula>
    </cfRule>
    <cfRule type="expression" dxfId="12268" priority="16266">
      <formula>AS201="A"</formula>
    </cfRule>
    <cfRule type="expression" dxfId="12267" priority="16267">
      <formula>AS201="T"</formula>
    </cfRule>
  </conditionalFormatting>
  <conditionalFormatting sqref="AT16 AT18 AT20 AT22 AT24 AT26 AT28 AT39 AT41 AT43 AT45 AT48 AT81 AT88 AT90 AT92 AT94 AT96 AT98 AT100 AT102 AT105 AT107 AT109 AT111 AT116">
    <cfRule type="expression" dxfId="12266" priority="16260">
      <formula>AT16="X"</formula>
    </cfRule>
    <cfRule type="expression" dxfId="12265" priority="16261">
      <formula>AT16="A"</formula>
    </cfRule>
    <cfRule type="expression" dxfId="12264" priority="16262">
      <formula>AT16="T"</formula>
    </cfRule>
  </conditionalFormatting>
  <conditionalFormatting sqref="AT36">
    <cfRule type="expression" dxfId="12263" priority="16257">
      <formula>AT36="X"</formula>
    </cfRule>
    <cfRule type="expression" dxfId="12262" priority="16258">
      <formula>AT36="A"</formula>
    </cfRule>
    <cfRule type="expression" dxfId="12261" priority="16259">
      <formula>AT36="T"</formula>
    </cfRule>
  </conditionalFormatting>
  <conditionalFormatting sqref="AT34">
    <cfRule type="expression" dxfId="12260" priority="16254">
      <formula>AT34="X"</formula>
    </cfRule>
    <cfRule type="expression" dxfId="12259" priority="16255">
      <formula>AT34="A"</formula>
    </cfRule>
    <cfRule type="expression" dxfId="12258" priority="16256">
      <formula>AT34="T"</formula>
    </cfRule>
  </conditionalFormatting>
  <conditionalFormatting sqref="AT32">
    <cfRule type="expression" dxfId="12257" priority="16251">
      <formula>AT32="X"</formula>
    </cfRule>
    <cfRule type="expression" dxfId="12256" priority="16252">
      <formula>AT32="A"</formula>
    </cfRule>
    <cfRule type="expression" dxfId="12255" priority="16253">
      <formula>AT32="T"</formula>
    </cfRule>
  </conditionalFormatting>
  <conditionalFormatting sqref="AT30">
    <cfRule type="expression" dxfId="12254" priority="16248">
      <formula>AT30="X"</formula>
    </cfRule>
    <cfRule type="expression" dxfId="12253" priority="16249">
      <formula>AT30="A"</formula>
    </cfRule>
    <cfRule type="expression" dxfId="12252" priority="16250">
      <formula>AT30="T"</formula>
    </cfRule>
  </conditionalFormatting>
  <conditionalFormatting sqref="AT52">
    <cfRule type="expression" dxfId="12251" priority="16245">
      <formula>AT52="X"</formula>
    </cfRule>
    <cfRule type="expression" dxfId="12250" priority="16246">
      <formula>AT52="A"</formula>
    </cfRule>
    <cfRule type="expression" dxfId="12249" priority="16247">
      <formula>AT52="T"</formula>
    </cfRule>
  </conditionalFormatting>
  <conditionalFormatting sqref="AT50">
    <cfRule type="expression" dxfId="12248" priority="16242">
      <formula>AT50="X"</formula>
    </cfRule>
    <cfRule type="expression" dxfId="12247" priority="16243">
      <formula>AT50="A"</formula>
    </cfRule>
    <cfRule type="expression" dxfId="12246" priority="16244">
      <formula>AT50="T"</formula>
    </cfRule>
  </conditionalFormatting>
  <conditionalFormatting sqref="AT54">
    <cfRule type="expression" dxfId="12245" priority="16239">
      <formula>AT54="X"</formula>
    </cfRule>
    <cfRule type="expression" dxfId="12244" priority="16240">
      <formula>AT54="A"</formula>
    </cfRule>
    <cfRule type="expression" dxfId="12243" priority="16241">
      <formula>AT54="T"</formula>
    </cfRule>
  </conditionalFormatting>
  <conditionalFormatting sqref="AT56">
    <cfRule type="expression" dxfId="12242" priority="16236">
      <formula>AT56="X"</formula>
    </cfRule>
    <cfRule type="expression" dxfId="12241" priority="16237">
      <formula>AT56="A"</formula>
    </cfRule>
    <cfRule type="expression" dxfId="12240" priority="16238">
      <formula>AT56="T"</formula>
    </cfRule>
  </conditionalFormatting>
  <conditionalFormatting sqref="AT58">
    <cfRule type="expression" dxfId="12239" priority="16233">
      <formula>AT58="X"</formula>
    </cfRule>
    <cfRule type="expression" dxfId="12238" priority="16234">
      <formula>AT58="A"</formula>
    </cfRule>
    <cfRule type="expression" dxfId="12237" priority="16235">
      <formula>AT58="T"</formula>
    </cfRule>
  </conditionalFormatting>
  <conditionalFormatting sqref="AT63">
    <cfRule type="expression" dxfId="12236" priority="16230">
      <formula>AT63="X"</formula>
    </cfRule>
    <cfRule type="expression" dxfId="12235" priority="16231">
      <formula>AT63="A"</formula>
    </cfRule>
    <cfRule type="expression" dxfId="12234" priority="16232">
      <formula>AT63="T"</formula>
    </cfRule>
  </conditionalFormatting>
  <conditionalFormatting sqref="AT65">
    <cfRule type="expression" dxfId="12233" priority="16227">
      <formula>AT65="X"</formula>
    </cfRule>
    <cfRule type="expression" dxfId="12232" priority="16228">
      <formula>AT65="A"</formula>
    </cfRule>
    <cfRule type="expression" dxfId="12231" priority="16229">
      <formula>AT65="T"</formula>
    </cfRule>
  </conditionalFormatting>
  <conditionalFormatting sqref="AT83">
    <cfRule type="expression" dxfId="12230" priority="16224">
      <formula>AT83="X"</formula>
    </cfRule>
    <cfRule type="expression" dxfId="12229" priority="16225">
      <formula>AT83="A"</formula>
    </cfRule>
    <cfRule type="expression" dxfId="12228" priority="16226">
      <formula>AT83="T"</formula>
    </cfRule>
  </conditionalFormatting>
  <conditionalFormatting sqref="AT85">
    <cfRule type="expression" dxfId="12227" priority="16221">
      <formula>AT85="X"</formula>
    </cfRule>
    <cfRule type="expression" dxfId="12226" priority="16222">
      <formula>AT85="A"</formula>
    </cfRule>
    <cfRule type="expression" dxfId="12225" priority="16223">
      <formula>AT85="T"</formula>
    </cfRule>
  </conditionalFormatting>
  <conditionalFormatting sqref="AT67">
    <cfRule type="expression" dxfId="12224" priority="16218">
      <formula>AT67="X"</formula>
    </cfRule>
    <cfRule type="expression" dxfId="12223" priority="16219">
      <formula>AT67="A"</formula>
    </cfRule>
    <cfRule type="expression" dxfId="12222" priority="16220">
      <formula>AT67="T"</formula>
    </cfRule>
  </conditionalFormatting>
  <conditionalFormatting sqref="AT113">
    <cfRule type="expression" dxfId="12221" priority="16215">
      <formula>AT113="X"</formula>
    </cfRule>
    <cfRule type="expression" dxfId="12220" priority="16216">
      <formula>AT113="A"</formula>
    </cfRule>
    <cfRule type="expression" dxfId="12219" priority="16217">
      <formula>AT113="T"</formula>
    </cfRule>
  </conditionalFormatting>
  <conditionalFormatting sqref="AT118">
    <cfRule type="expression" dxfId="12218" priority="16212">
      <formula>AT118="X"</formula>
    </cfRule>
    <cfRule type="expression" dxfId="12217" priority="16213">
      <formula>AT118="A"</formula>
    </cfRule>
    <cfRule type="expression" dxfId="12216" priority="16214">
      <formula>AT118="T"</formula>
    </cfRule>
  </conditionalFormatting>
  <conditionalFormatting sqref="AT120">
    <cfRule type="expression" dxfId="12215" priority="16209">
      <formula>AT120="X"</formula>
    </cfRule>
    <cfRule type="expression" dxfId="12214" priority="16210">
      <formula>AT120="A"</formula>
    </cfRule>
    <cfRule type="expression" dxfId="12213" priority="16211">
      <formula>AT120="T"</formula>
    </cfRule>
  </conditionalFormatting>
  <conditionalFormatting sqref="AT122">
    <cfRule type="expression" dxfId="12212" priority="16206">
      <formula>AT122="X"</formula>
    </cfRule>
    <cfRule type="expression" dxfId="12211" priority="16207">
      <formula>AT122="A"</formula>
    </cfRule>
    <cfRule type="expression" dxfId="12210" priority="16208">
      <formula>AT122="T"</formula>
    </cfRule>
  </conditionalFormatting>
  <conditionalFormatting sqref="AT125">
    <cfRule type="expression" dxfId="12209" priority="16203">
      <formula>AT125="X"</formula>
    </cfRule>
    <cfRule type="expression" dxfId="12208" priority="16204">
      <formula>AT125="A"</formula>
    </cfRule>
    <cfRule type="expression" dxfId="12207" priority="16205">
      <formula>AT125="T"</formula>
    </cfRule>
  </conditionalFormatting>
  <conditionalFormatting sqref="AT127">
    <cfRule type="expression" dxfId="12206" priority="16200">
      <formula>AT127="X"</formula>
    </cfRule>
    <cfRule type="expression" dxfId="12205" priority="16201">
      <formula>AT127="A"</formula>
    </cfRule>
    <cfRule type="expression" dxfId="12204" priority="16202">
      <formula>AT127="T"</formula>
    </cfRule>
  </conditionalFormatting>
  <conditionalFormatting sqref="AT141">
    <cfRule type="expression" dxfId="12203" priority="16197">
      <formula>AT141="X"</formula>
    </cfRule>
    <cfRule type="expression" dxfId="12202" priority="16198">
      <formula>AT141="A"</formula>
    </cfRule>
    <cfRule type="expression" dxfId="12201" priority="16199">
      <formula>AT141="T"</formula>
    </cfRule>
  </conditionalFormatting>
  <conditionalFormatting sqref="AT143">
    <cfRule type="expression" dxfId="12200" priority="16194">
      <formula>AT143="X"</formula>
    </cfRule>
    <cfRule type="expression" dxfId="12199" priority="16195">
      <formula>AT143="A"</formula>
    </cfRule>
    <cfRule type="expression" dxfId="12198" priority="16196">
      <formula>AT143="T"</formula>
    </cfRule>
  </conditionalFormatting>
  <conditionalFormatting sqref="AT149">
    <cfRule type="expression" dxfId="12197" priority="16191">
      <formula>AT149="X"</formula>
    </cfRule>
    <cfRule type="expression" dxfId="12196" priority="16192">
      <formula>AT149="A"</formula>
    </cfRule>
    <cfRule type="expression" dxfId="12195" priority="16193">
      <formula>AT149="T"</formula>
    </cfRule>
  </conditionalFormatting>
  <conditionalFormatting sqref="AT151">
    <cfRule type="expression" dxfId="12194" priority="16188">
      <formula>AT151="X"</formula>
    </cfRule>
    <cfRule type="expression" dxfId="12193" priority="16189">
      <formula>AT151="A"</formula>
    </cfRule>
    <cfRule type="expression" dxfId="12192" priority="16190">
      <formula>AT151="T"</formula>
    </cfRule>
  </conditionalFormatting>
  <conditionalFormatting sqref="AT155">
    <cfRule type="expression" dxfId="12191" priority="16185">
      <formula>AT155="X"</formula>
    </cfRule>
    <cfRule type="expression" dxfId="12190" priority="16186">
      <formula>AT155="A"</formula>
    </cfRule>
    <cfRule type="expression" dxfId="12189" priority="16187">
      <formula>AT155="T"</formula>
    </cfRule>
  </conditionalFormatting>
  <conditionalFormatting sqref="AT157">
    <cfRule type="expression" dxfId="12188" priority="16182">
      <formula>AT157="X"</formula>
    </cfRule>
    <cfRule type="expression" dxfId="12187" priority="16183">
      <formula>AT157="A"</formula>
    </cfRule>
    <cfRule type="expression" dxfId="12186" priority="16184">
      <formula>AT157="T"</formula>
    </cfRule>
  </conditionalFormatting>
  <conditionalFormatting sqref="AT167">
    <cfRule type="expression" dxfId="12185" priority="16179">
      <formula>AT167="X"</formula>
    </cfRule>
    <cfRule type="expression" dxfId="12184" priority="16180">
      <formula>AT167="A"</formula>
    </cfRule>
    <cfRule type="expression" dxfId="12183" priority="16181">
      <formula>AT167="T"</formula>
    </cfRule>
  </conditionalFormatting>
  <conditionalFormatting sqref="AT173">
    <cfRule type="expression" dxfId="12182" priority="16176">
      <formula>AT173="X"</formula>
    </cfRule>
    <cfRule type="expression" dxfId="12181" priority="16177">
      <formula>AT173="A"</formula>
    </cfRule>
    <cfRule type="expression" dxfId="12180" priority="16178">
      <formula>AT173="T"</formula>
    </cfRule>
  </conditionalFormatting>
  <conditionalFormatting sqref="AT175">
    <cfRule type="expression" dxfId="12179" priority="16173">
      <formula>AT175="X"</formula>
    </cfRule>
    <cfRule type="expression" dxfId="12178" priority="16174">
      <formula>AT175="A"</formula>
    </cfRule>
    <cfRule type="expression" dxfId="12177" priority="16175">
      <formula>AT175="T"</formula>
    </cfRule>
  </conditionalFormatting>
  <conditionalFormatting sqref="AT177">
    <cfRule type="expression" dxfId="12176" priority="16170">
      <formula>AT177="X"</formula>
    </cfRule>
    <cfRule type="expression" dxfId="12175" priority="16171">
      <formula>AT177="A"</formula>
    </cfRule>
    <cfRule type="expression" dxfId="12174" priority="16172">
      <formula>AT177="T"</formula>
    </cfRule>
  </conditionalFormatting>
  <conditionalFormatting sqref="AT179">
    <cfRule type="expression" dxfId="12173" priority="16167">
      <formula>AT179="X"</formula>
    </cfRule>
    <cfRule type="expression" dxfId="12172" priority="16168">
      <formula>AT179="A"</formula>
    </cfRule>
    <cfRule type="expression" dxfId="12171" priority="16169">
      <formula>AT179="T"</formula>
    </cfRule>
  </conditionalFormatting>
  <conditionalFormatting sqref="AT169">
    <cfRule type="expression" dxfId="12170" priority="16164">
      <formula>AT169="X"</formula>
    </cfRule>
    <cfRule type="expression" dxfId="12169" priority="16165">
      <formula>AT169="A"</formula>
    </cfRule>
    <cfRule type="expression" dxfId="12168" priority="16166">
      <formula>AT169="T"</formula>
    </cfRule>
  </conditionalFormatting>
  <conditionalFormatting sqref="AT171">
    <cfRule type="expression" dxfId="12167" priority="16161">
      <formula>AT171="X"</formula>
    </cfRule>
    <cfRule type="expression" dxfId="12166" priority="16162">
      <formula>AT171="A"</formula>
    </cfRule>
    <cfRule type="expression" dxfId="12165" priority="16163">
      <formula>AT171="T"</formula>
    </cfRule>
  </conditionalFormatting>
  <conditionalFormatting sqref="AT183">
    <cfRule type="expression" dxfId="12164" priority="16158">
      <formula>AT183="X"</formula>
    </cfRule>
    <cfRule type="expression" dxfId="12163" priority="16159">
      <formula>AT183="A"</formula>
    </cfRule>
    <cfRule type="expression" dxfId="12162" priority="16160">
      <formula>AT183="T"</formula>
    </cfRule>
  </conditionalFormatting>
  <conditionalFormatting sqref="AT185">
    <cfRule type="expression" dxfId="12161" priority="16155">
      <formula>AT185="X"</formula>
    </cfRule>
    <cfRule type="expression" dxfId="12160" priority="16156">
      <formula>AT185="A"</formula>
    </cfRule>
    <cfRule type="expression" dxfId="12159" priority="16157">
      <formula>AT185="T"</formula>
    </cfRule>
  </conditionalFormatting>
  <conditionalFormatting sqref="AT189">
    <cfRule type="expression" dxfId="12158" priority="16152">
      <formula>AT189="X"</formula>
    </cfRule>
    <cfRule type="expression" dxfId="12157" priority="16153">
      <formula>AT189="A"</formula>
    </cfRule>
    <cfRule type="expression" dxfId="12156" priority="16154">
      <formula>AT189="T"</formula>
    </cfRule>
  </conditionalFormatting>
  <conditionalFormatting sqref="AT191">
    <cfRule type="expression" dxfId="12155" priority="16149">
      <formula>AT191="X"</formula>
    </cfRule>
    <cfRule type="expression" dxfId="12154" priority="16150">
      <formula>AT191="A"</formula>
    </cfRule>
    <cfRule type="expression" dxfId="12153" priority="16151">
      <formula>AT191="T"</formula>
    </cfRule>
  </conditionalFormatting>
  <conditionalFormatting sqref="AT11">
    <cfRule type="expression" dxfId="12152" priority="16146">
      <formula>AT11="X"</formula>
    </cfRule>
    <cfRule type="expression" dxfId="12151" priority="16147">
      <formula>AT11="A"</formula>
    </cfRule>
    <cfRule type="expression" dxfId="12150" priority="16148">
      <formula>AT11="T"</formula>
    </cfRule>
  </conditionalFormatting>
  <conditionalFormatting sqref="AT12">
    <cfRule type="expression" dxfId="12149" priority="16143">
      <formula>AT11="X"</formula>
    </cfRule>
    <cfRule type="expression" dxfId="12148" priority="16144">
      <formula>AT11="A"</formula>
    </cfRule>
    <cfRule type="expression" dxfId="12147" priority="16145">
      <formula>AT11="T"</formula>
    </cfRule>
  </conditionalFormatting>
  <conditionalFormatting sqref="AT13">
    <cfRule type="expression" dxfId="12146" priority="16140">
      <formula>AT13="X"</formula>
    </cfRule>
    <cfRule type="expression" dxfId="12145" priority="16141">
      <formula>AT13="A"</formula>
    </cfRule>
    <cfRule type="expression" dxfId="12144" priority="16142">
      <formula>AT13="T"</formula>
    </cfRule>
  </conditionalFormatting>
  <conditionalFormatting sqref="AT14">
    <cfRule type="expression" dxfId="12143" priority="16137">
      <formula>AT13="X"</formula>
    </cfRule>
    <cfRule type="expression" dxfId="12142" priority="16138">
      <formula>AT13="A"</formula>
    </cfRule>
    <cfRule type="expression" dxfId="12141" priority="16139">
      <formula>AT13="T"</formula>
    </cfRule>
  </conditionalFormatting>
  <conditionalFormatting sqref="AT17">
    <cfRule type="expression" dxfId="12140" priority="16134">
      <formula>AT16="X"</formula>
    </cfRule>
    <cfRule type="expression" dxfId="12139" priority="16135">
      <formula>AT16="A"</formula>
    </cfRule>
    <cfRule type="expression" dxfId="12138" priority="16136">
      <formula>AT16="T"</formula>
    </cfRule>
  </conditionalFormatting>
  <conditionalFormatting sqref="AT19">
    <cfRule type="expression" dxfId="12137" priority="16128">
      <formula>AT18="X"</formula>
    </cfRule>
    <cfRule type="expression" dxfId="12136" priority="16129">
      <formula>AT18="A"</formula>
    </cfRule>
    <cfRule type="expression" dxfId="12135" priority="16130">
      <formula>AT18="T"</formula>
    </cfRule>
  </conditionalFormatting>
  <conditionalFormatting sqref="AT21">
    <cfRule type="expression" dxfId="12134" priority="16125">
      <formula>AT20="X"</formula>
    </cfRule>
    <cfRule type="expression" dxfId="12133" priority="16126">
      <formula>AT20="A"</formula>
    </cfRule>
    <cfRule type="expression" dxfId="12132" priority="16127">
      <formula>AT20="T"</formula>
    </cfRule>
  </conditionalFormatting>
  <conditionalFormatting sqref="AT23">
    <cfRule type="expression" dxfId="12131" priority="16122">
      <formula>AT22="X"</formula>
    </cfRule>
    <cfRule type="expression" dxfId="12130" priority="16123">
      <formula>AT22="A"</formula>
    </cfRule>
    <cfRule type="expression" dxfId="12129" priority="16124">
      <formula>AT22="T"</formula>
    </cfRule>
  </conditionalFormatting>
  <conditionalFormatting sqref="AT25">
    <cfRule type="expression" dxfId="12128" priority="16119">
      <formula>AT24="X"</formula>
    </cfRule>
    <cfRule type="expression" dxfId="12127" priority="16120">
      <formula>AT24="A"</formula>
    </cfRule>
    <cfRule type="expression" dxfId="12126" priority="16121">
      <formula>AT24="T"</formula>
    </cfRule>
  </conditionalFormatting>
  <conditionalFormatting sqref="AT27">
    <cfRule type="expression" dxfId="12125" priority="16116">
      <formula>AT26="X"</formula>
    </cfRule>
    <cfRule type="expression" dxfId="12124" priority="16117">
      <formula>AT26="A"</formula>
    </cfRule>
    <cfRule type="expression" dxfId="12123" priority="16118">
      <formula>AT26="T"</formula>
    </cfRule>
  </conditionalFormatting>
  <conditionalFormatting sqref="AT29">
    <cfRule type="expression" dxfId="12122" priority="16113">
      <formula>AT28="X"</formula>
    </cfRule>
    <cfRule type="expression" dxfId="12121" priority="16114">
      <formula>AT28="A"</formula>
    </cfRule>
    <cfRule type="expression" dxfId="12120" priority="16115">
      <formula>AT28="T"</formula>
    </cfRule>
  </conditionalFormatting>
  <conditionalFormatting sqref="AT31">
    <cfRule type="expression" dxfId="12119" priority="16110">
      <formula>AT30="X"</formula>
    </cfRule>
    <cfRule type="expression" dxfId="12118" priority="16111">
      <formula>AT30="A"</formula>
    </cfRule>
    <cfRule type="expression" dxfId="12117" priority="16112">
      <formula>AT30="T"</formula>
    </cfRule>
  </conditionalFormatting>
  <conditionalFormatting sqref="AT33">
    <cfRule type="expression" dxfId="12116" priority="16107">
      <formula>AT32="X"</formula>
    </cfRule>
    <cfRule type="expression" dxfId="12115" priority="16108">
      <formula>AT32="A"</formula>
    </cfRule>
    <cfRule type="expression" dxfId="12114" priority="16109">
      <formula>AT32="T"</formula>
    </cfRule>
  </conditionalFormatting>
  <conditionalFormatting sqref="AT35">
    <cfRule type="expression" dxfId="12113" priority="16104">
      <formula>AT34="X"</formula>
    </cfRule>
    <cfRule type="expression" dxfId="12112" priority="16105">
      <formula>AT34="A"</formula>
    </cfRule>
    <cfRule type="expression" dxfId="12111" priority="16106">
      <formula>AT34="T"</formula>
    </cfRule>
  </conditionalFormatting>
  <conditionalFormatting sqref="AT37">
    <cfRule type="expression" dxfId="12110" priority="16101">
      <formula>AT36="X"</formula>
    </cfRule>
    <cfRule type="expression" dxfId="12109" priority="16102">
      <formula>AT36="A"</formula>
    </cfRule>
    <cfRule type="expression" dxfId="12108" priority="16103">
      <formula>AT36="T"</formula>
    </cfRule>
  </conditionalFormatting>
  <conditionalFormatting sqref="AT40">
    <cfRule type="expression" dxfId="12107" priority="16098">
      <formula>AT39="X"</formula>
    </cfRule>
    <cfRule type="expression" dxfId="12106" priority="16099">
      <formula>AT39="A"</formula>
    </cfRule>
    <cfRule type="expression" dxfId="12105" priority="16100">
      <formula>AT39="T"</formula>
    </cfRule>
  </conditionalFormatting>
  <conditionalFormatting sqref="AT42">
    <cfRule type="expression" dxfId="12104" priority="16095">
      <formula>AT41="X"</formula>
    </cfRule>
    <cfRule type="expression" dxfId="12103" priority="16096">
      <formula>AT41="A"</formula>
    </cfRule>
    <cfRule type="expression" dxfId="12102" priority="16097">
      <formula>AT41="T"</formula>
    </cfRule>
  </conditionalFormatting>
  <conditionalFormatting sqref="AT44">
    <cfRule type="expression" dxfId="12101" priority="16092">
      <formula>AT43="X"</formula>
    </cfRule>
    <cfRule type="expression" dxfId="12100" priority="16093">
      <formula>AT43="A"</formula>
    </cfRule>
    <cfRule type="expression" dxfId="12099" priority="16094">
      <formula>AT43="T"</formula>
    </cfRule>
  </conditionalFormatting>
  <conditionalFormatting sqref="AT46">
    <cfRule type="expression" dxfId="12098" priority="16089">
      <formula>AT45="X"</formula>
    </cfRule>
    <cfRule type="expression" dxfId="12097" priority="16090">
      <formula>AT45="A"</formula>
    </cfRule>
    <cfRule type="expression" dxfId="12096" priority="16091">
      <formula>AT45="T"</formula>
    </cfRule>
  </conditionalFormatting>
  <conditionalFormatting sqref="AT49">
    <cfRule type="expression" dxfId="12095" priority="16086">
      <formula>AT48="X"</formula>
    </cfRule>
    <cfRule type="expression" dxfId="12094" priority="16087">
      <formula>AT48="A"</formula>
    </cfRule>
    <cfRule type="expression" dxfId="12093" priority="16088">
      <formula>AT48="T"</formula>
    </cfRule>
  </conditionalFormatting>
  <conditionalFormatting sqref="AT51">
    <cfRule type="expression" dxfId="12092" priority="16083">
      <formula>AT50="X"</formula>
    </cfRule>
    <cfRule type="expression" dxfId="12091" priority="16084">
      <formula>AT50="A"</formula>
    </cfRule>
    <cfRule type="expression" dxfId="12090" priority="16085">
      <formula>AT50="T"</formula>
    </cfRule>
  </conditionalFormatting>
  <conditionalFormatting sqref="AT53">
    <cfRule type="expression" dxfId="12089" priority="16080">
      <formula>AT52="X"</formula>
    </cfRule>
    <cfRule type="expression" dxfId="12088" priority="16081">
      <formula>AT52="A"</formula>
    </cfRule>
    <cfRule type="expression" dxfId="12087" priority="16082">
      <formula>AT52="T"</formula>
    </cfRule>
  </conditionalFormatting>
  <conditionalFormatting sqref="AT55">
    <cfRule type="expression" dxfId="12086" priority="16077">
      <formula>AT54="X"</formula>
    </cfRule>
    <cfRule type="expression" dxfId="12085" priority="16078">
      <formula>AT54="A"</formula>
    </cfRule>
    <cfRule type="expression" dxfId="12084" priority="16079">
      <formula>AT54="T"</formula>
    </cfRule>
  </conditionalFormatting>
  <conditionalFormatting sqref="AT57">
    <cfRule type="expression" dxfId="12083" priority="16074">
      <formula>AT56="X"</formula>
    </cfRule>
    <cfRule type="expression" dxfId="12082" priority="16075">
      <formula>AT56="A"</formula>
    </cfRule>
    <cfRule type="expression" dxfId="12081" priority="16076">
      <formula>AT56="T"</formula>
    </cfRule>
  </conditionalFormatting>
  <conditionalFormatting sqref="AT59">
    <cfRule type="expression" dxfId="12080" priority="16071">
      <formula>AT58="X"</formula>
    </cfRule>
    <cfRule type="expression" dxfId="12079" priority="16072">
      <formula>AT58="A"</formula>
    </cfRule>
    <cfRule type="expression" dxfId="12078" priority="16073">
      <formula>AT58="T"</formula>
    </cfRule>
  </conditionalFormatting>
  <conditionalFormatting sqref="AT64">
    <cfRule type="expression" dxfId="12077" priority="16068">
      <formula>AT63="X"</formula>
    </cfRule>
    <cfRule type="expression" dxfId="12076" priority="16069">
      <formula>AT63="A"</formula>
    </cfRule>
    <cfRule type="expression" dxfId="12075" priority="16070">
      <formula>AT63="T"</formula>
    </cfRule>
  </conditionalFormatting>
  <conditionalFormatting sqref="AT66">
    <cfRule type="expression" dxfId="12074" priority="16065">
      <formula>AT65="X"</formula>
    </cfRule>
    <cfRule type="expression" dxfId="12073" priority="16066">
      <formula>AT65="A"</formula>
    </cfRule>
    <cfRule type="expression" dxfId="12072" priority="16067">
      <formula>AT65="T"</formula>
    </cfRule>
  </conditionalFormatting>
  <conditionalFormatting sqref="AT68">
    <cfRule type="expression" dxfId="12071" priority="16062">
      <formula>AT67="X"</formula>
    </cfRule>
    <cfRule type="expression" dxfId="12070" priority="16063">
      <formula>AT67="A"</formula>
    </cfRule>
    <cfRule type="expression" dxfId="12069" priority="16064">
      <formula>AT67="T"</formula>
    </cfRule>
  </conditionalFormatting>
  <conditionalFormatting sqref="AT82">
    <cfRule type="expression" dxfId="12068" priority="16059">
      <formula>AT81="X"</formula>
    </cfRule>
    <cfRule type="expression" dxfId="12067" priority="16060">
      <formula>AT81="A"</formula>
    </cfRule>
    <cfRule type="expression" dxfId="12066" priority="16061">
      <formula>AT81="T"</formula>
    </cfRule>
  </conditionalFormatting>
  <conditionalFormatting sqref="AT84">
    <cfRule type="expression" dxfId="12065" priority="16056">
      <formula>AT83="X"</formula>
    </cfRule>
    <cfRule type="expression" dxfId="12064" priority="16057">
      <formula>AT83="A"</formula>
    </cfRule>
    <cfRule type="expression" dxfId="12063" priority="16058">
      <formula>AT83="T"</formula>
    </cfRule>
  </conditionalFormatting>
  <conditionalFormatting sqref="AT86">
    <cfRule type="expression" dxfId="12062" priority="16053">
      <formula>AT85="X"</formula>
    </cfRule>
    <cfRule type="expression" dxfId="12061" priority="16054">
      <formula>AT85="A"</formula>
    </cfRule>
    <cfRule type="expression" dxfId="12060" priority="16055">
      <formula>AT85="T"</formula>
    </cfRule>
  </conditionalFormatting>
  <conditionalFormatting sqref="AT89">
    <cfRule type="expression" dxfId="12059" priority="16050">
      <formula>AT88="X"</formula>
    </cfRule>
    <cfRule type="expression" dxfId="12058" priority="16051">
      <formula>AT88="A"</formula>
    </cfRule>
    <cfRule type="expression" dxfId="12057" priority="16052">
      <formula>AT88="T"</formula>
    </cfRule>
  </conditionalFormatting>
  <conditionalFormatting sqref="AT91">
    <cfRule type="expression" dxfId="12056" priority="16047">
      <formula>AT90="X"</formula>
    </cfRule>
    <cfRule type="expression" dxfId="12055" priority="16048">
      <formula>AT90="A"</formula>
    </cfRule>
    <cfRule type="expression" dxfId="12054" priority="16049">
      <formula>AT90="T"</formula>
    </cfRule>
  </conditionalFormatting>
  <conditionalFormatting sqref="AT93">
    <cfRule type="expression" dxfId="12053" priority="16044">
      <formula>AT92="X"</formula>
    </cfRule>
    <cfRule type="expression" dxfId="12052" priority="16045">
      <formula>AT92="A"</formula>
    </cfRule>
    <cfRule type="expression" dxfId="12051" priority="16046">
      <formula>AT92="T"</formula>
    </cfRule>
  </conditionalFormatting>
  <conditionalFormatting sqref="AT95">
    <cfRule type="expression" dxfId="12050" priority="16041">
      <formula>AT94="X"</formula>
    </cfRule>
    <cfRule type="expression" dxfId="12049" priority="16042">
      <formula>AT94="A"</formula>
    </cfRule>
    <cfRule type="expression" dxfId="12048" priority="16043">
      <formula>AT94="T"</formula>
    </cfRule>
  </conditionalFormatting>
  <conditionalFormatting sqref="AT97">
    <cfRule type="expression" dxfId="12047" priority="16038">
      <formula>AT96="X"</formula>
    </cfRule>
    <cfRule type="expression" dxfId="12046" priority="16039">
      <formula>AT96="A"</formula>
    </cfRule>
    <cfRule type="expression" dxfId="12045" priority="16040">
      <formula>AT96="T"</formula>
    </cfRule>
  </conditionalFormatting>
  <conditionalFormatting sqref="AT99">
    <cfRule type="expression" dxfId="12044" priority="16035">
      <formula>AT98="X"</formula>
    </cfRule>
    <cfRule type="expression" dxfId="12043" priority="16036">
      <formula>AT98="A"</formula>
    </cfRule>
    <cfRule type="expression" dxfId="12042" priority="16037">
      <formula>AT98="T"</formula>
    </cfRule>
  </conditionalFormatting>
  <conditionalFormatting sqref="AT101">
    <cfRule type="expression" dxfId="12041" priority="16032">
      <formula>AT100="X"</formula>
    </cfRule>
    <cfRule type="expression" dxfId="12040" priority="16033">
      <formula>AT100="A"</formula>
    </cfRule>
    <cfRule type="expression" dxfId="12039" priority="16034">
      <formula>AT100="T"</formula>
    </cfRule>
  </conditionalFormatting>
  <conditionalFormatting sqref="AT103">
    <cfRule type="expression" dxfId="12038" priority="16029">
      <formula>AT102="X"</formula>
    </cfRule>
    <cfRule type="expression" dxfId="12037" priority="16030">
      <formula>AT102="A"</formula>
    </cfRule>
    <cfRule type="expression" dxfId="12036" priority="16031">
      <formula>AT102="T"</formula>
    </cfRule>
  </conditionalFormatting>
  <conditionalFormatting sqref="AT106">
    <cfRule type="expression" dxfId="12035" priority="16026">
      <formula>AT105="X"</formula>
    </cfRule>
    <cfRule type="expression" dxfId="12034" priority="16027">
      <formula>AT105="A"</formula>
    </cfRule>
    <cfRule type="expression" dxfId="12033" priority="16028">
      <formula>AT105="T"</formula>
    </cfRule>
  </conditionalFormatting>
  <conditionalFormatting sqref="AT108">
    <cfRule type="expression" dxfId="12032" priority="16023">
      <formula>AT107="X"</formula>
    </cfRule>
    <cfRule type="expression" dxfId="12031" priority="16024">
      <formula>AT107="A"</formula>
    </cfRule>
    <cfRule type="expression" dxfId="12030" priority="16025">
      <formula>AT107="T"</formula>
    </cfRule>
  </conditionalFormatting>
  <conditionalFormatting sqref="AT110">
    <cfRule type="expression" dxfId="12029" priority="16020">
      <formula>AT109="X"</formula>
    </cfRule>
    <cfRule type="expression" dxfId="12028" priority="16021">
      <formula>AT109="A"</formula>
    </cfRule>
    <cfRule type="expression" dxfId="12027" priority="16022">
      <formula>AT109="T"</formula>
    </cfRule>
  </conditionalFormatting>
  <conditionalFormatting sqref="AT112">
    <cfRule type="expression" dxfId="12026" priority="16017">
      <formula>AT111="X"</formula>
    </cfRule>
    <cfRule type="expression" dxfId="12025" priority="16018">
      <formula>AT111="A"</formula>
    </cfRule>
    <cfRule type="expression" dxfId="12024" priority="16019">
      <formula>AT111="T"</formula>
    </cfRule>
  </conditionalFormatting>
  <conditionalFormatting sqref="AT114">
    <cfRule type="expression" dxfId="12023" priority="16014">
      <formula>AT113="X"</formula>
    </cfRule>
    <cfRule type="expression" dxfId="12022" priority="16015">
      <formula>AT113="A"</formula>
    </cfRule>
    <cfRule type="expression" dxfId="12021" priority="16016">
      <formula>AT113="T"</formula>
    </cfRule>
  </conditionalFormatting>
  <conditionalFormatting sqref="AT117">
    <cfRule type="expression" dxfId="12020" priority="16011">
      <formula>AT116="X"</formula>
    </cfRule>
    <cfRule type="expression" dxfId="12019" priority="16012">
      <formula>AT116="A"</formula>
    </cfRule>
    <cfRule type="expression" dxfId="12018" priority="16013">
      <formula>AT116="T"</formula>
    </cfRule>
  </conditionalFormatting>
  <conditionalFormatting sqref="AT119">
    <cfRule type="expression" dxfId="12017" priority="16008">
      <formula>AT118="X"</formula>
    </cfRule>
    <cfRule type="expression" dxfId="12016" priority="16009">
      <formula>AT118="A"</formula>
    </cfRule>
    <cfRule type="expression" dxfId="12015" priority="16010">
      <formula>AT118="T"</formula>
    </cfRule>
  </conditionalFormatting>
  <conditionalFormatting sqref="AT121">
    <cfRule type="expression" dxfId="12014" priority="16005">
      <formula>AT120="X"</formula>
    </cfRule>
    <cfRule type="expression" dxfId="12013" priority="16006">
      <formula>AT120="A"</formula>
    </cfRule>
    <cfRule type="expression" dxfId="12012" priority="16007">
      <formula>AT120="T"</formula>
    </cfRule>
  </conditionalFormatting>
  <conditionalFormatting sqref="AT123">
    <cfRule type="expression" dxfId="12011" priority="16002">
      <formula>AT122="X"</formula>
    </cfRule>
    <cfRule type="expression" dxfId="12010" priority="16003">
      <formula>AT122="A"</formula>
    </cfRule>
    <cfRule type="expression" dxfId="12009" priority="16004">
      <formula>AT122="T"</formula>
    </cfRule>
  </conditionalFormatting>
  <conditionalFormatting sqref="AT126">
    <cfRule type="expression" dxfId="12008" priority="15999">
      <formula>AT125="X"</formula>
    </cfRule>
    <cfRule type="expression" dxfId="12007" priority="16000">
      <formula>AT125="A"</formula>
    </cfRule>
    <cfRule type="expression" dxfId="12006" priority="16001">
      <formula>AT125="T"</formula>
    </cfRule>
  </conditionalFormatting>
  <conditionalFormatting sqref="AT128">
    <cfRule type="expression" dxfId="12005" priority="15996">
      <formula>AT127="X"</formula>
    </cfRule>
    <cfRule type="expression" dxfId="12004" priority="15997">
      <formula>AT127="A"</formula>
    </cfRule>
    <cfRule type="expression" dxfId="12003" priority="15998">
      <formula>AT127="T"</formula>
    </cfRule>
  </conditionalFormatting>
  <conditionalFormatting sqref="AT142">
    <cfRule type="expression" dxfId="12002" priority="15993">
      <formula>AT141="X"</formula>
    </cfRule>
    <cfRule type="expression" dxfId="12001" priority="15994">
      <formula>AT141="A"</formula>
    </cfRule>
    <cfRule type="expression" dxfId="12000" priority="15995">
      <formula>AT141="T"</formula>
    </cfRule>
  </conditionalFormatting>
  <conditionalFormatting sqref="AT144">
    <cfRule type="expression" dxfId="11999" priority="15990">
      <formula>AT143="X"</formula>
    </cfRule>
    <cfRule type="expression" dxfId="11998" priority="15991">
      <formula>AT143="A"</formula>
    </cfRule>
    <cfRule type="expression" dxfId="11997" priority="15992">
      <formula>AT143="T"</formula>
    </cfRule>
  </conditionalFormatting>
  <conditionalFormatting sqref="AT150">
    <cfRule type="expression" dxfId="11996" priority="15987">
      <formula>AT149="X"</formula>
    </cfRule>
    <cfRule type="expression" dxfId="11995" priority="15988">
      <formula>AT149="A"</formula>
    </cfRule>
    <cfRule type="expression" dxfId="11994" priority="15989">
      <formula>AT149="T"</formula>
    </cfRule>
  </conditionalFormatting>
  <conditionalFormatting sqref="AT152">
    <cfRule type="expression" dxfId="11993" priority="15984">
      <formula>AT151="X"</formula>
    </cfRule>
    <cfRule type="expression" dxfId="11992" priority="15985">
      <formula>AT151="A"</formula>
    </cfRule>
    <cfRule type="expression" dxfId="11991" priority="15986">
      <formula>AT151="T"</formula>
    </cfRule>
  </conditionalFormatting>
  <conditionalFormatting sqref="AT156">
    <cfRule type="expression" dxfId="11990" priority="15981">
      <formula>AT155="X"</formula>
    </cfRule>
    <cfRule type="expression" dxfId="11989" priority="15982">
      <formula>AT155="A"</formula>
    </cfRule>
    <cfRule type="expression" dxfId="11988" priority="15983">
      <formula>AT155="T"</formula>
    </cfRule>
  </conditionalFormatting>
  <conditionalFormatting sqref="AT168">
    <cfRule type="expression" dxfId="11987" priority="15975">
      <formula>AT167="X"</formula>
    </cfRule>
    <cfRule type="expression" dxfId="11986" priority="15976">
      <formula>AT167="A"</formula>
    </cfRule>
    <cfRule type="expression" dxfId="11985" priority="15977">
      <formula>AT167="T"</formula>
    </cfRule>
  </conditionalFormatting>
  <conditionalFormatting sqref="AT170">
    <cfRule type="expression" dxfId="11984" priority="15972">
      <formula>AT169="X"</formula>
    </cfRule>
    <cfRule type="expression" dxfId="11983" priority="15973">
      <formula>AT169="A"</formula>
    </cfRule>
    <cfRule type="expression" dxfId="11982" priority="15974">
      <formula>AT169="T"</formula>
    </cfRule>
  </conditionalFormatting>
  <conditionalFormatting sqref="AT172">
    <cfRule type="expression" dxfId="11981" priority="15969">
      <formula>AT171="X"</formula>
    </cfRule>
    <cfRule type="expression" dxfId="11980" priority="15970">
      <formula>AT171="A"</formula>
    </cfRule>
    <cfRule type="expression" dxfId="11979" priority="15971">
      <formula>AT171="T"</formula>
    </cfRule>
  </conditionalFormatting>
  <conditionalFormatting sqref="AT174">
    <cfRule type="expression" dxfId="11978" priority="15966">
      <formula>AT173="X"</formula>
    </cfRule>
    <cfRule type="expression" dxfId="11977" priority="15967">
      <formula>AT173="A"</formula>
    </cfRule>
    <cfRule type="expression" dxfId="11976" priority="15968">
      <formula>AT173="T"</formula>
    </cfRule>
  </conditionalFormatting>
  <conditionalFormatting sqref="AT176">
    <cfRule type="expression" dxfId="11975" priority="15963">
      <formula>AT175="X"</formula>
    </cfRule>
    <cfRule type="expression" dxfId="11974" priority="15964">
      <formula>AT175="A"</formula>
    </cfRule>
    <cfRule type="expression" dxfId="11973" priority="15965">
      <formula>AT175="T"</formula>
    </cfRule>
  </conditionalFormatting>
  <conditionalFormatting sqref="AT178">
    <cfRule type="expression" dxfId="11972" priority="15960">
      <formula>AT177="X"</formula>
    </cfRule>
    <cfRule type="expression" dxfId="11971" priority="15961">
      <formula>AT177="A"</formula>
    </cfRule>
    <cfRule type="expression" dxfId="11970" priority="15962">
      <formula>AT177="T"</formula>
    </cfRule>
  </conditionalFormatting>
  <conditionalFormatting sqref="AT180">
    <cfRule type="expression" dxfId="11969" priority="15957">
      <formula>AT179="X"</formula>
    </cfRule>
    <cfRule type="expression" dxfId="11968" priority="15958">
      <formula>AT179="A"</formula>
    </cfRule>
    <cfRule type="expression" dxfId="11967" priority="15959">
      <formula>AT179="T"</formula>
    </cfRule>
  </conditionalFormatting>
  <conditionalFormatting sqref="AT184">
    <cfRule type="expression" dxfId="11966" priority="15954">
      <formula>AT183="X"</formula>
    </cfRule>
    <cfRule type="expression" dxfId="11965" priority="15955">
      <formula>AT183="A"</formula>
    </cfRule>
    <cfRule type="expression" dxfId="11964" priority="15956">
      <formula>AT183="T"</formula>
    </cfRule>
  </conditionalFormatting>
  <conditionalFormatting sqref="AT186">
    <cfRule type="expression" dxfId="11963" priority="15951">
      <formula>AT185="X"</formula>
    </cfRule>
    <cfRule type="expression" dxfId="11962" priority="15952">
      <formula>AT185="A"</formula>
    </cfRule>
    <cfRule type="expression" dxfId="11961" priority="15953">
      <formula>AT185="T"</formula>
    </cfRule>
  </conditionalFormatting>
  <conditionalFormatting sqref="AT190">
    <cfRule type="expression" dxfId="11960" priority="15948">
      <formula>AT189="X"</formula>
    </cfRule>
    <cfRule type="expression" dxfId="11959" priority="15949">
      <formula>AT189="A"</formula>
    </cfRule>
    <cfRule type="expression" dxfId="11958" priority="15950">
      <formula>AT189="T"</formula>
    </cfRule>
  </conditionalFormatting>
  <conditionalFormatting sqref="AT192">
    <cfRule type="expression" dxfId="11957" priority="15945">
      <formula>AT191="X"</formula>
    </cfRule>
    <cfRule type="expression" dxfId="11956" priority="15946">
      <formula>AT191="A"</formula>
    </cfRule>
    <cfRule type="expression" dxfId="11955" priority="15947">
      <formula>AT191="T"</formula>
    </cfRule>
  </conditionalFormatting>
  <conditionalFormatting sqref="AT208">
    <cfRule type="expression" dxfId="11954" priority="15942">
      <formula>AT207="X"</formula>
    </cfRule>
    <cfRule type="expression" dxfId="11953" priority="15943">
      <formula>AT207="A"</formula>
    </cfRule>
    <cfRule type="expression" dxfId="11952" priority="15944">
      <formula>AT207="T"</formula>
    </cfRule>
  </conditionalFormatting>
  <conditionalFormatting sqref="AT211">
    <cfRule type="expression" dxfId="11951" priority="15939">
      <formula>AT211="X"</formula>
    </cfRule>
    <cfRule type="expression" dxfId="11950" priority="15940">
      <formula>AT211="A"</formula>
    </cfRule>
    <cfRule type="expression" dxfId="11949" priority="15941">
      <formula>AT211="T"</formula>
    </cfRule>
  </conditionalFormatting>
  <conditionalFormatting sqref="AT212">
    <cfRule type="expression" dxfId="11948" priority="15936">
      <formula>AT211="X"</formula>
    </cfRule>
    <cfRule type="expression" dxfId="11947" priority="15937">
      <formula>AT211="A"</formula>
    </cfRule>
    <cfRule type="expression" dxfId="11946" priority="15938">
      <formula>AT211="T"</formula>
    </cfRule>
  </conditionalFormatting>
  <conditionalFormatting sqref="AT213">
    <cfRule type="expression" dxfId="11945" priority="15933">
      <formula>AT213="X"</formula>
    </cfRule>
    <cfRule type="expression" dxfId="11944" priority="15934">
      <formula>AT213="A"</formula>
    </cfRule>
    <cfRule type="expression" dxfId="11943" priority="15935">
      <formula>AT213="T"</formula>
    </cfRule>
  </conditionalFormatting>
  <conditionalFormatting sqref="AT214">
    <cfRule type="expression" dxfId="11942" priority="15930">
      <formula>AT213="X"</formula>
    </cfRule>
    <cfRule type="expression" dxfId="11941" priority="15931">
      <formula>AT213="A"</formula>
    </cfRule>
    <cfRule type="expression" dxfId="11940" priority="15932">
      <formula>AT213="T"</formula>
    </cfRule>
  </conditionalFormatting>
  <conditionalFormatting sqref="AT215">
    <cfRule type="expression" dxfId="11939" priority="15927">
      <formula>AT215="X"</formula>
    </cfRule>
    <cfRule type="expression" dxfId="11938" priority="15928">
      <formula>AT215="A"</formula>
    </cfRule>
    <cfRule type="expression" dxfId="11937" priority="15929">
      <formula>AT215="T"</formula>
    </cfRule>
  </conditionalFormatting>
  <conditionalFormatting sqref="AT216">
    <cfRule type="expression" dxfId="11936" priority="15924">
      <formula>AT215="X"</formula>
    </cfRule>
    <cfRule type="expression" dxfId="11935" priority="15925">
      <formula>AT215="A"</formula>
    </cfRule>
    <cfRule type="expression" dxfId="11934" priority="15926">
      <formula>AT215="T"</formula>
    </cfRule>
  </conditionalFormatting>
  <conditionalFormatting sqref="AT217">
    <cfRule type="expression" dxfId="11933" priority="15921">
      <formula>AT217="X"</formula>
    </cfRule>
    <cfRule type="expression" dxfId="11932" priority="15922">
      <formula>AT217="A"</formula>
    </cfRule>
    <cfRule type="expression" dxfId="11931" priority="15923">
      <formula>AT217="T"</formula>
    </cfRule>
  </conditionalFormatting>
  <conditionalFormatting sqref="AT218">
    <cfRule type="expression" dxfId="11930" priority="15918">
      <formula>AT217="X"</formula>
    </cfRule>
    <cfRule type="expression" dxfId="11929" priority="15919">
      <formula>AT217="A"</formula>
    </cfRule>
    <cfRule type="expression" dxfId="11928" priority="15920">
      <formula>AT217="T"</formula>
    </cfRule>
  </conditionalFormatting>
  <conditionalFormatting sqref="AT219">
    <cfRule type="expression" dxfId="11927" priority="15915">
      <formula>AT219="X"</formula>
    </cfRule>
    <cfRule type="expression" dxfId="11926" priority="15916">
      <formula>AT219="A"</formula>
    </cfRule>
    <cfRule type="expression" dxfId="11925" priority="15917">
      <formula>AT219="T"</formula>
    </cfRule>
  </conditionalFormatting>
  <conditionalFormatting sqref="AT220">
    <cfRule type="expression" dxfId="11924" priority="15912">
      <formula>AT219="X"</formula>
    </cfRule>
    <cfRule type="expression" dxfId="11923" priority="15913">
      <formula>AT219="A"</formula>
    </cfRule>
    <cfRule type="expression" dxfId="11922" priority="15914">
      <formula>AT219="T"</formula>
    </cfRule>
  </conditionalFormatting>
  <conditionalFormatting sqref="AT221">
    <cfRule type="expression" dxfId="11921" priority="15909">
      <formula>AT221="X"</formula>
    </cfRule>
    <cfRule type="expression" dxfId="11920" priority="15910">
      <formula>AT221="A"</formula>
    </cfRule>
    <cfRule type="expression" dxfId="11919" priority="15911">
      <formula>AT221="T"</formula>
    </cfRule>
  </conditionalFormatting>
  <conditionalFormatting sqref="AT222">
    <cfRule type="expression" dxfId="11918" priority="15906">
      <formula>AT221="X"</formula>
    </cfRule>
    <cfRule type="expression" dxfId="11917" priority="15907">
      <formula>AT221="A"</formula>
    </cfRule>
    <cfRule type="expression" dxfId="11916" priority="15908">
      <formula>AT221="T"</formula>
    </cfRule>
  </conditionalFormatting>
  <conditionalFormatting sqref="AT223">
    <cfRule type="expression" dxfId="11915" priority="15903">
      <formula>AT223="X"</formula>
    </cfRule>
    <cfRule type="expression" dxfId="11914" priority="15904">
      <formula>AT223="A"</formula>
    </cfRule>
    <cfRule type="expression" dxfId="11913" priority="15905">
      <formula>AT223="T"</formula>
    </cfRule>
  </conditionalFormatting>
  <conditionalFormatting sqref="AT224">
    <cfRule type="expression" dxfId="11912" priority="15900">
      <formula>AT223="X"</formula>
    </cfRule>
    <cfRule type="expression" dxfId="11911" priority="15901">
      <formula>AT223="A"</formula>
    </cfRule>
    <cfRule type="expression" dxfId="11910" priority="15902">
      <formula>AT223="T"</formula>
    </cfRule>
  </conditionalFormatting>
  <conditionalFormatting sqref="AT4">
    <cfRule type="expression" dxfId="11909" priority="15897">
      <formula>AT4="X"</formula>
    </cfRule>
    <cfRule type="expression" dxfId="11908" priority="15898">
      <formula>AT4="A"</formula>
    </cfRule>
    <cfRule type="expression" dxfId="11907" priority="15899">
      <formula>AT4="T"</formula>
    </cfRule>
  </conditionalFormatting>
  <conditionalFormatting sqref="AT5">
    <cfRule type="expression" dxfId="11906" priority="15894">
      <formula>AT4="X"</formula>
    </cfRule>
    <cfRule type="expression" dxfId="11905" priority="15895">
      <formula>AT4="A"</formula>
    </cfRule>
    <cfRule type="expression" dxfId="11904" priority="15896">
      <formula>AT4="T"</formula>
    </cfRule>
  </conditionalFormatting>
  <conditionalFormatting sqref="AT6">
    <cfRule type="expression" dxfId="11903" priority="15891">
      <formula>AT6="X"</formula>
    </cfRule>
    <cfRule type="expression" dxfId="11902" priority="15892">
      <formula>AT6="A"</formula>
    </cfRule>
    <cfRule type="expression" dxfId="11901" priority="15893">
      <formula>AT6="T"</formula>
    </cfRule>
  </conditionalFormatting>
  <conditionalFormatting sqref="AT7">
    <cfRule type="expression" dxfId="11900" priority="15888">
      <formula>AT6="X"</formula>
    </cfRule>
    <cfRule type="expression" dxfId="11899" priority="15889">
      <formula>AT6="A"</formula>
    </cfRule>
    <cfRule type="expression" dxfId="11898" priority="15890">
      <formula>AT6="T"</formula>
    </cfRule>
  </conditionalFormatting>
  <conditionalFormatting sqref="AT8">
    <cfRule type="expression" dxfId="11897" priority="15885">
      <formula>AT8="X"</formula>
    </cfRule>
    <cfRule type="expression" dxfId="11896" priority="15886">
      <formula>AT8="A"</formula>
    </cfRule>
    <cfRule type="expression" dxfId="11895" priority="15887">
      <formula>AT8="T"</formula>
    </cfRule>
  </conditionalFormatting>
  <conditionalFormatting sqref="AT9">
    <cfRule type="expression" dxfId="11894" priority="15882">
      <formula>AT8="X"</formula>
    </cfRule>
    <cfRule type="expression" dxfId="11893" priority="15883">
      <formula>AT8="A"</formula>
    </cfRule>
    <cfRule type="expression" dxfId="11892" priority="15884">
      <formula>AT8="T"</formula>
    </cfRule>
  </conditionalFormatting>
  <conditionalFormatting sqref="AT74">
    <cfRule type="expression" dxfId="11891" priority="15879">
      <formula>AT74="X"</formula>
    </cfRule>
    <cfRule type="expression" dxfId="11890" priority="15880">
      <formula>AT74="A"</formula>
    </cfRule>
    <cfRule type="expression" dxfId="11889" priority="15881">
      <formula>AT74="T"</formula>
    </cfRule>
  </conditionalFormatting>
  <conditionalFormatting sqref="AT75">
    <cfRule type="expression" dxfId="11888" priority="15876">
      <formula>AT74="X"</formula>
    </cfRule>
    <cfRule type="expression" dxfId="11887" priority="15877">
      <formula>AT74="A"</formula>
    </cfRule>
    <cfRule type="expression" dxfId="11886" priority="15878">
      <formula>AT74="T"</formula>
    </cfRule>
  </conditionalFormatting>
  <conditionalFormatting sqref="AT76">
    <cfRule type="expression" dxfId="11885" priority="15873">
      <formula>AT76="X"</formula>
    </cfRule>
    <cfRule type="expression" dxfId="11884" priority="15874">
      <formula>AT76="A"</formula>
    </cfRule>
    <cfRule type="expression" dxfId="11883" priority="15875">
      <formula>AT76="T"</formula>
    </cfRule>
  </conditionalFormatting>
  <conditionalFormatting sqref="AT77">
    <cfRule type="expression" dxfId="11882" priority="15870">
      <formula>AT76="X"</formula>
    </cfRule>
    <cfRule type="expression" dxfId="11881" priority="15871">
      <formula>AT76="A"</formula>
    </cfRule>
    <cfRule type="expression" dxfId="11880" priority="15872">
      <formula>AT76="T"</formula>
    </cfRule>
  </conditionalFormatting>
  <conditionalFormatting sqref="AT78">
    <cfRule type="expression" dxfId="11879" priority="15867">
      <formula>AT78="X"</formula>
    </cfRule>
    <cfRule type="expression" dxfId="11878" priority="15868">
      <formula>AT78="A"</formula>
    </cfRule>
    <cfRule type="expression" dxfId="11877" priority="15869">
      <formula>AT78="T"</formula>
    </cfRule>
  </conditionalFormatting>
  <conditionalFormatting sqref="AT79">
    <cfRule type="expression" dxfId="11876" priority="15864">
      <formula>AT78="X"</formula>
    </cfRule>
    <cfRule type="expression" dxfId="11875" priority="15865">
      <formula>AT78="A"</formula>
    </cfRule>
    <cfRule type="expression" dxfId="11874" priority="15866">
      <formula>AT78="T"</formula>
    </cfRule>
  </conditionalFormatting>
  <conditionalFormatting sqref="AT134">
    <cfRule type="expression" dxfId="11873" priority="15861">
      <formula>AT134="X"</formula>
    </cfRule>
    <cfRule type="expression" dxfId="11872" priority="15862">
      <formula>AT134="A"</formula>
    </cfRule>
    <cfRule type="expression" dxfId="11871" priority="15863">
      <formula>AT134="T"</formula>
    </cfRule>
  </conditionalFormatting>
  <conditionalFormatting sqref="AT135">
    <cfRule type="expression" dxfId="11870" priority="15858">
      <formula>AT134="X"</formula>
    </cfRule>
    <cfRule type="expression" dxfId="11869" priority="15859">
      <formula>AT134="A"</formula>
    </cfRule>
    <cfRule type="expression" dxfId="11868" priority="15860">
      <formula>AT134="T"</formula>
    </cfRule>
  </conditionalFormatting>
  <conditionalFormatting sqref="AT136">
    <cfRule type="expression" dxfId="11867" priority="15855">
      <formula>AT136="X"</formula>
    </cfRule>
    <cfRule type="expression" dxfId="11866" priority="15856">
      <formula>AT136="A"</formula>
    </cfRule>
    <cfRule type="expression" dxfId="11865" priority="15857">
      <formula>AT136="T"</formula>
    </cfRule>
  </conditionalFormatting>
  <conditionalFormatting sqref="AT137">
    <cfRule type="expression" dxfId="11864" priority="15852">
      <formula>AT136="X"</formula>
    </cfRule>
    <cfRule type="expression" dxfId="11863" priority="15853">
      <formula>AT136="A"</formula>
    </cfRule>
    <cfRule type="expression" dxfId="11862" priority="15854">
      <formula>AT136="T"</formula>
    </cfRule>
  </conditionalFormatting>
  <conditionalFormatting sqref="AT138">
    <cfRule type="expression" dxfId="11861" priority="15849">
      <formula>AT138="X"</formula>
    </cfRule>
    <cfRule type="expression" dxfId="11860" priority="15850">
      <formula>AT138="A"</formula>
    </cfRule>
    <cfRule type="expression" dxfId="11859" priority="15851">
      <formula>AT138="T"</formula>
    </cfRule>
  </conditionalFormatting>
  <conditionalFormatting sqref="AT139">
    <cfRule type="expression" dxfId="11858" priority="15846">
      <formula>AT138="X"</formula>
    </cfRule>
    <cfRule type="expression" dxfId="11857" priority="15847">
      <formula>AT138="A"</formula>
    </cfRule>
    <cfRule type="expression" dxfId="11856" priority="15848">
      <formula>AT138="T"</formula>
    </cfRule>
  </conditionalFormatting>
  <conditionalFormatting sqref="AT10">
    <cfRule type="expression" dxfId="11855" priority="15843" stopIfTrue="1">
      <formula>AT4=""</formula>
    </cfRule>
  </conditionalFormatting>
  <conditionalFormatting sqref="AT10">
    <cfRule type="expression" dxfId="11854" priority="15844" stopIfTrue="1">
      <formula>AT10=1</formula>
    </cfRule>
    <cfRule type="colorScale" priority="15845">
      <colorScale>
        <cfvo type="num" val="0"/>
        <cfvo type="num" val="0.5"/>
        <cfvo type="num" val="1"/>
        <color rgb="FFF8696B"/>
        <color theme="4" tint="0.79998168889431442"/>
        <color rgb="FF5A8AC6"/>
      </colorScale>
    </cfRule>
  </conditionalFormatting>
  <conditionalFormatting sqref="AT15">
    <cfRule type="expression" dxfId="11853" priority="15840" stopIfTrue="1">
      <formula>AT11=""</formula>
    </cfRule>
  </conditionalFormatting>
  <conditionalFormatting sqref="AT15">
    <cfRule type="expression" dxfId="11852" priority="15841" stopIfTrue="1">
      <formula>AT15=1</formula>
    </cfRule>
    <cfRule type="colorScale" priority="15842">
      <colorScale>
        <cfvo type="num" val="0"/>
        <cfvo type="num" val="0.5"/>
        <cfvo type="num" val="1"/>
        <color rgb="FFF8696B"/>
        <color theme="4" tint="0.79998168889431442"/>
        <color rgb="FF5A8AC6"/>
      </colorScale>
    </cfRule>
  </conditionalFormatting>
  <conditionalFormatting sqref="AT38">
    <cfRule type="expression" dxfId="11851" priority="15837" stopIfTrue="1">
      <formula>AT16=""</formula>
    </cfRule>
  </conditionalFormatting>
  <conditionalFormatting sqref="AT38">
    <cfRule type="expression" dxfId="11850" priority="15838" stopIfTrue="1">
      <formula>AT38=1</formula>
    </cfRule>
    <cfRule type="colorScale" priority="15839">
      <colorScale>
        <cfvo type="num" val="0"/>
        <cfvo type="num" val="0.5"/>
        <cfvo type="num" val="1"/>
        <color rgb="FFF8696B"/>
        <color theme="4" tint="0.79998168889431442"/>
        <color rgb="FF5A8AC6"/>
      </colorScale>
    </cfRule>
  </conditionalFormatting>
  <conditionalFormatting sqref="AT47">
    <cfRule type="expression" dxfId="11849" priority="15834" stopIfTrue="1">
      <formula>AT39=""</formula>
    </cfRule>
  </conditionalFormatting>
  <conditionalFormatting sqref="AT47">
    <cfRule type="expression" dxfId="11848" priority="15835" stopIfTrue="1">
      <formula>AT47=1</formula>
    </cfRule>
    <cfRule type="colorScale" priority="15836">
      <colorScale>
        <cfvo type="num" val="0"/>
        <cfvo type="num" val="0.5"/>
        <cfvo type="num" val="1"/>
        <color rgb="FFF8696B"/>
        <color theme="4" tint="0.79998168889431442"/>
        <color rgb="FF5A8AC6"/>
      </colorScale>
    </cfRule>
  </conditionalFormatting>
  <conditionalFormatting sqref="AT69">
    <cfRule type="expression" dxfId="11847" priority="15828" stopIfTrue="1">
      <formula>AT63=""</formula>
    </cfRule>
  </conditionalFormatting>
  <conditionalFormatting sqref="AT69">
    <cfRule type="expression" dxfId="11846" priority="15829" stopIfTrue="1">
      <formula>AT69=1</formula>
    </cfRule>
    <cfRule type="colorScale" priority="15830">
      <colorScale>
        <cfvo type="num" val="0"/>
        <cfvo type="num" val="0.5"/>
        <cfvo type="num" val="1"/>
        <color rgb="FFF8696B"/>
        <color theme="4" tint="0.79998168889431442"/>
        <color rgb="FF5A8AC6"/>
      </colorScale>
    </cfRule>
  </conditionalFormatting>
  <conditionalFormatting sqref="AT80">
    <cfRule type="expression" dxfId="11845" priority="15825" stopIfTrue="1">
      <formula>AT74=""</formula>
    </cfRule>
  </conditionalFormatting>
  <conditionalFormatting sqref="AT80">
    <cfRule type="expression" dxfId="11844" priority="15826" stopIfTrue="1">
      <formula>AT80=1</formula>
    </cfRule>
    <cfRule type="colorScale" priority="15827">
      <colorScale>
        <cfvo type="num" val="0"/>
        <cfvo type="num" val="0.5"/>
        <cfvo type="num" val="1"/>
        <color rgb="FFF8696B"/>
        <color theme="4" tint="0.79998168889431442"/>
        <color rgb="FF5A8AC6"/>
      </colorScale>
    </cfRule>
  </conditionalFormatting>
  <conditionalFormatting sqref="AT87">
    <cfRule type="expression" dxfId="11843" priority="15822" stopIfTrue="1">
      <formula>AT81=""</formula>
    </cfRule>
  </conditionalFormatting>
  <conditionalFormatting sqref="AT87">
    <cfRule type="expression" dxfId="11842" priority="15823" stopIfTrue="1">
      <formula>AT87=1</formula>
    </cfRule>
    <cfRule type="colorScale" priority="15824">
      <colorScale>
        <cfvo type="num" val="0"/>
        <cfvo type="num" val="0.5"/>
        <cfvo type="num" val="1"/>
        <color rgb="FFF8696B"/>
        <color theme="4" tint="0.79998168889431442"/>
        <color rgb="FF5A8AC6"/>
      </colorScale>
    </cfRule>
  </conditionalFormatting>
  <conditionalFormatting sqref="AT104">
    <cfRule type="expression" dxfId="11841" priority="15819" stopIfTrue="1">
      <formula>AT88=""</formula>
    </cfRule>
  </conditionalFormatting>
  <conditionalFormatting sqref="AT104">
    <cfRule type="expression" dxfId="11840" priority="15820" stopIfTrue="1">
      <formula>AT104=1</formula>
    </cfRule>
    <cfRule type="colorScale" priority="15821">
      <colorScale>
        <cfvo type="num" val="0"/>
        <cfvo type="num" val="0.5"/>
        <cfvo type="num" val="1"/>
        <color rgb="FFF8696B"/>
        <color theme="4" tint="0.79998168889431442"/>
        <color rgb="FF5A8AC6"/>
      </colorScale>
    </cfRule>
  </conditionalFormatting>
  <conditionalFormatting sqref="AT115">
    <cfRule type="expression" dxfId="11839" priority="15816" stopIfTrue="1">
      <formula>AT105=""</formula>
    </cfRule>
  </conditionalFormatting>
  <conditionalFormatting sqref="AT115">
    <cfRule type="expression" dxfId="11838" priority="15817" stopIfTrue="1">
      <formula>AT115=1</formula>
    </cfRule>
    <cfRule type="colorScale" priority="15818">
      <colorScale>
        <cfvo type="num" val="0"/>
        <cfvo type="num" val="0.5"/>
        <cfvo type="num" val="1"/>
        <color rgb="FFF8696B"/>
        <color theme="4" tint="0.79998168889431442"/>
        <color rgb="FF5A8AC6"/>
      </colorScale>
    </cfRule>
  </conditionalFormatting>
  <conditionalFormatting sqref="AT124">
    <cfRule type="expression" dxfId="11837" priority="15813" stopIfTrue="1">
      <formula>AT116=""</formula>
    </cfRule>
  </conditionalFormatting>
  <conditionalFormatting sqref="AT124">
    <cfRule type="expression" dxfId="11836" priority="15814" stopIfTrue="1">
      <formula>AT124=1</formula>
    </cfRule>
    <cfRule type="colorScale" priority="15815">
      <colorScale>
        <cfvo type="num" val="0"/>
        <cfvo type="num" val="0.5"/>
        <cfvo type="num" val="1"/>
        <color rgb="FFF8696B"/>
        <color theme="4" tint="0.79998168889431442"/>
        <color rgb="FF5A8AC6"/>
      </colorScale>
    </cfRule>
  </conditionalFormatting>
  <conditionalFormatting sqref="AT129">
    <cfRule type="expression" dxfId="11835" priority="15810" stopIfTrue="1">
      <formula>AT125=""</formula>
    </cfRule>
  </conditionalFormatting>
  <conditionalFormatting sqref="AT129">
    <cfRule type="expression" dxfId="11834" priority="15811" stopIfTrue="1">
      <formula>AT129=1</formula>
    </cfRule>
    <cfRule type="colorScale" priority="15812">
      <colorScale>
        <cfvo type="num" val="0"/>
        <cfvo type="num" val="0.5"/>
        <cfvo type="num" val="1"/>
        <color rgb="FFF8696B"/>
        <color theme="4" tint="0.79998168889431442"/>
        <color rgb="FF5A8AC6"/>
      </colorScale>
    </cfRule>
  </conditionalFormatting>
  <conditionalFormatting sqref="AT140">
    <cfRule type="expression" dxfId="11833" priority="15807" stopIfTrue="1">
      <formula>AT134=""</formula>
    </cfRule>
  </conditionalFormatting>
  <conditionalFormatting sqref="AT140">
    <cfRule type="expression" dxfId="11832" priority="15808" stopIfTrue="1">
      <formula>AT140=1</formula>
    </cfRule>
    <cfRule type="colorScale" priority="15809">
      <colorScale>
        <cfvo type="num" val="0"/>
        <cfvo type="num" val="0.5"/>
        <cfvo type="num" val="1"/>
        <color rgb="FFF8696B"/>
        <color theme="4" tint="0.79998168889431442"/>
        <color rgb="FF5A8AC6"/>
      </colorScale>
    </cfRule>
  </conditionalFormatting>
  <conditionalFormatting sqref="AT145">
    <cfRule type="expression" dxfId="11831" priority="15804" stopIfTrue="1">
      <formula>AT141=""</formula>
    </cfRule>
  </conditionalFormatting>
  <conditionalFormatting sqref="AT145">
    <cfRule type="expression" dxfId="11830" priority="15805" stopIfTrue="1">
      <formula>AT145=1</formula>
    </cfRule>
    <cfRule type="colorScale" priority="15806">
      <colorScale>
        <cfvo type="num" val="0"/>
        <cfvo type="num" val="0.5"/>
        <cfvo type="num" val="1"/>
        <color rgb="FFF8696B"/>
        <color theme="4" tint="0.79998168889431442"/>
        <color rgb="FF5A8AC6"/>
      </colorScale>
    </cfRule>
  </conditionalFormatting>
  <conditionalFormatting sqref="AT153">
    <cfRule type="expression" dxfId="11829" priority="15801" stopIfTrue="1">
      <formula>AT149=""</formula>
    </cfRule>
  </conditionalFormatting>
  <conditionalFormatting sqref="AT153">
    <cfRule type="expression" dxfId="11828" priority="15802" stopIfTrue="1">
      <formula>AT153=1</formula>
    </cfRule>
    <cfRule type="colorScale" priority="15803">
      <colorScale>
        <cfvo type="num" val="0"/>
        <cfvo type="num" val="0.5"/>
        <cfvo type="num" val="1"/>
        <color rgb="FFF8696B"/>
        <color theme="4" tint="0.79998168889431442"/>
        <color rgb="FF5A8AC6"/>
      </colorScale>
    </cfRule>
  </conditionalFormatting>
  <conditionalFormatting sqref="AT165">
    <cfRule type="expression" dxfId="11827" priority="15798" stopIfTrue="1">
      <formula>AT155=""</formula>
    </cfRule>
  </conditionalFormatting>
  <conditionalFormatting sqref="AT165">
    <cfRule type="expression" dxfId="11826" priority="15799" stopIfTrue="1">
      <formula>AT165=1</formula>
    </cfRule>
    <cfRule type="colorScale" priority="15800">
      <colorScale>
        <cfvo type="num" val="0"/>
        <cfvo type="num" val="0.5"/>
        <cfvo type="num" val="1"/>
        <color rgb="FFF8696B"/>
        <color theme="4" tint="0.79998168889431442"/>
        <color rgb="FF5A8AC6"/>
      </colorScale>
    </cfRule>
  </conditionalFormatting>
  <conditionalFormatting sqref="AT187">
    <cfRule type="expression" dxfId="11825" priority="15795" stopIfTrue="1">
      <formula>AT183=""</formula>
    </cfRule>
  </conditionalFormatting>
  <conditionalFormatting sqref="AT187">
    <cfRule type="expression" dxfId="11824" priority="15796" stopIfTrue="1">
      <formula>AT187=1</formula>
    </cfRule>
    <cfRule type="colorScale" priority="15797">
      <colorScale>
        <cfvo type="num" val="0"/>
        <cfvo type="num" val="0.5"/>
        <cfvo type="num" val="1"/>
        <color rgb="FFF8696B"/>
        <color theme="4" tint="0.79998168889431442"/>
        <color rgb="FF5A8AC6"/>
      </colorScale>
    </cfRule>
  </conditionalFormatting>
  <conditionalFormatting sqref="AT193">
    <cfRule type="expression" dxfId="11823" priority="15792" stopIfTrue="1">
      <formula>AT189=""</formula>
    </cfRule>
  </conditionalFormatting>
  <conditionalFormatting sqref="AT193">
    <cfRule type="expression" dxfId="11822" priority="15793" stopIfTrue="1">
      <formula>AT193=1</formula>
    </cfRule>
    <cfRule type="colorScale" priority="15794">
      <colorScale>
        <cfvo type="num" val="0"/>
        <cfvo type="num" val="0.5"/>
        <cfvo type="num" val="1"/>
        <color rgb="FFF8696B"/>
        <color theme="4" tint="0.79998168889431442"/>
        <color rgb="FF5A8AC6"/>
      </colorScale>
    </cfRule>
  </conditionalFormatting>
  <conditionalFormatting sqref="AT181">
    <cfRule type="expression" dxfId="11821" priority="15789" stopIfTrue="1">
      <formula>AT167=""</formula>
    </cfRule>
  </conditionalFormatting>
  <conditionalFormatting sqref="AT181">
    <cfRule type="expression" dxfId="11820" priority="15790" stopIfTrue="1">
      <formula>AT181=1</formula>
    </cfRule>
    <cfRule type="colorScale" priority="15791">
      <colorScale>
        <cfvo type="num" val="0"/>
        <cfvo type="num" val="0.5"/>
        <cfvo type="num" val="1"/>
        <color rgb="FFF8696B"/>
        <color theme="4" tint="0.79998168889431442"/>
        <color rgb="FF5A8AC6"/>
      </colorScale>
    </cfRule>
  </conditionalFormatting>
  <conditionalFormatting sqref="AT209">
    <cfRule type="expression" dxfId="11819" priority="15786" stopIfTrue="1">
      <formula>AT195=""</formula>
    </cfRule>
  </conditionalFormatting>
  <conditionalFormatting sqref="AT209">
    <cfRule type="expression" dxfId="11818" priority="15787" stopIfTrue="1">
      <formula>AT209=1</formula>
    </cfRule>
    <cfRule type="colorScale" priority="15788">
      <colorScale>
        <cfvo type="num" val="0"/>
        <cfvo type="num" val="0.5"/>
        <cfvo type="num" val="1"/>
        <color rgb="FFF8696B"/>
        <color theme="4" tint="0.79998168889431442"/>
        <color rgb="FF5A8AC6"/>
      </colorScale>
    </cfRule>
  </conditionalFormatting>
  <conditionalFormatting sqref="AT225">
    <cfRule type="expression" dxfId="11817" priority="15783" stopIfTrue="1">
      <formula>AT211=""</formula>
    </cfRule>
  </conditionalFormatting>
  <conditionalFormatting sqref="AT225">
    <cfRule type="expression" dxfId="11816" priority="15784" stopIfTrue="1">
      <formula>AT225=1</formula>
    </cfRule>
    <cfRule type="colorScale" priority="15785">
      <colorScale>
        <cfvo type="num" val="0"/>
        <cfvo type="num" val="0.5"/>
        <cfvo type="num" val="1"/>
        <color rgb="FFF8696B"/>
        <color theme="4" tint="0.79998168889431442"/>
        <color rgb="FF5A8AC6"/>
      </colorScale>
    </cfRule>
  </conditionalFormatting>
  <conditionalFormatting sqref="AT71">
    <cfRule type="expression" dxfId="11815" priority="15769" stopIfTrue="1">
      <formula>AT71=1</formula>
    </cfRule>
    <cfRule type="colorScale" priority="15770">
      <colorScale>
        <cfvo type="num" val="0"/>
        <cfvo type="num" val="0.5"/>
        <cfvo type="num" val="1"/>
        <color rgb="FFF8696B"/>
        <color theme="4" tint="0.79998168889431442"/>
        <color rgb="FF5A8AC6"/>
      </colorScale>
    </cfRule>
  </conditionalFormatting>
  <conditionalFormatting sqref="AT147">
    <cfRule type="expression" dxfId="11814" priority="15774" stopIfTrue="1">
      <formula>AT134=""</formula>
    </cfRule>
  </conditionalFormatting>
  <conditionalFormatting sqref="AT147">
    <cfRule type="expression" dxfId="11813" priority="15775" stopIfTrue="1">
      <formula>AT147=1</formula>
    </cfRule>
    <cfRule type="colorScale" priority="15776">
      <colorScale>
        <cfvo type="num" val="0"/>
        <cfvo type="num" val="0.5"/>
        <cfvo type="num" val="1"/>
        <color rgb="FFF8696B"/>
        <color theme="4" tint="0.79998168889431442"/>
        <color rgb="FF5A8AC6"/>
      </colorScale>
    </cfRule>
  </conditionalFormatting>
  <conditionalFormatting sqref="AT131">
    <cfRule type="expression" dxfId="11812" priority="15771" stopIfTrue="1">
      <formula>AT74=""</formula>
    </cfRule>
  </conditionalFormatting>
  <conditionalFormatting sqref="AT131">
    <cfRule type="expression" dxfId="11811" priority="15772" stopIfTrue="1">
      <formula>AT131=1</formula>
    </cfRule>
    <cfRule type="colorScale" priority="15773">
      <colorScale>
        <cfvo type="num" val="0"/>
        <cfvo type="num" val="0.5"/>
        <cfvo type="num" val="1"/>
        <color rgb="FFF8696B"/>
        <color theme="4" tint="0.79998168889431442"/>
        <color rgb="FF5A8AC6"/>
      </colorScale>
    </cfRule>
  </conditionalFormatting>
  <conditionalFormatting sqref="AT71">
    <cfRule type="expression" dxfId="11810" priority="15768" stopIfTrue="1">
      <formula>AT65=""</formula>
    </cfRule>
  </conditionalFormatting>
  <conditionalFormatting sqref="AT195">
    <cfRule type="expression" dxfId="11809" priority="15765">
      <formula>AT195="X"</formula>
    </cfRule>
    <cfRule type="expression" dxfId="11808" priority="15766">
      <formula>AT195="A"</formula>
    </cfRule>
    <cfRule type="expression" dxfId="11807" priority="15767">
      <formula>AT195="T"</formula>
    </cfRule>
  </conditionalFormatting>
  <conditionalFormatting sqref="AT203">
    <cfRule type="expression" dxfId="11806" priority="15762">
      <formula>AT203="X"</formula>
    </cfRule>
    <cfRule type="expression" dxfId="11805" priority="15763">
      <formula>AT203="A"</formula>
    </cfRule>
    <cfRule type="expression" dxfId="11804" priority="15764">
      <formula>AT203="T"</formula>
    </cfRule>
  </conditionalFormatting>
  <conditionalFormatting sqref="AT205">
    <cfRule type="expression" dxfId="11803" priority="15759">
      <formula>AT205="X"</formula>
    </cfRule>
    <cfRule type="expression" dxfId="11802" priority="15760">
      <formula>AT205="A"</formula>
    </cfRule>
    <cfRule type="expression" dxfId="11801" priority="15761">
      <formula>AT205="T"</formula>
    </cfRule>
  </conditionalFormatting>
  <conditionalFormatting sqref="AT207">
    <cfRule type="expression" dxfId="11800" priority="15756">
      <formula>AT207="X"</formula>
    </cfRule>
    <cfRule type="expression" dxfId="11799" priority="15757">
      <formula>AT207="A"</formula>
    </cfRule>
    <cfRule type="expression" dxfId="11798" priority="15758">
      <formula>AT207="T"</formula>
    </cfRule>
  </conditionalFormatting>
  <conditionalFormatting sqref="AT204">
    <cfRule type="expression" dxfId="11797" priority="15753">
      <formula>AT203="X"</formula>
    </cfRule>
    <cfRule type="expression" dxfId="11796" priority="15754">
      <formula>AT203="A"</formula>
    </cfRule>
    <cfRule type="expression" dxfId="11795" priority="15755">
      <formula>AT203="T"</formula>
    </cfRule>
  </conditionalFormatting>
  <conditionalFormatting sqref="AT206">
    <cfRule type="expression" dxfId="11794" priority="15750">
      <formula>AT205="X"</formula>
    </cfRule>
    <cfRule type="expression" dxfId="11793" priority="15751">
      <formula>AT205="A"</formula>
    </cfRule>
    <cfRule type="expression" dxfId="11792" priority="15752">
      <formula>AT205="T"</formula>
    </cfRule>
  </conditionalFormatting>
  <conditionalFormatting sqref="AT196">
    <cfRule type="expression" dxfId="11791" priority="15747">
      <formula>AT195="X"</formula>
    </cfRule>
    <cfRule type="expression" dxfId="11790" priority="15748">
      <formula>AT195="A"</formula>
    </cfRule>
    <cfRule type="expression" dxfId="11789" priority="15749">
      <formula>AT195="T"</formula>
    </cfRule>
  </conditionalFormatting>
  <conditionalFormatting sqref="AT197">
    <cfRule type="expression" dxfId="11788" priority="15744">
      <formula>AT197="X"</formula>
    </cfRule>
    <cfRule type="expression" dxfId="11787" priority="15745">
      <formula>AT197="A"</formula>
    </cfRule>
    <cfRule type="expression" dxfId="11786" priority="15746">
      <formula>AT197="T"</formula>
    </cfRule>
  </conditionalFormatting>
  <conditionalFormatting sqref="AT198">
    <cfRule type="expression" dxfId="11785" priority="15741">
      <formula>AT197="X"</formula>
    </cfRule>
    <cfRule type="expression" dxfId="11784" priority="15742">
      <formula>AT197="A"</formula>
    </cfRule>
    <cfRule type="expression" dxfId="11783" priority="15743">
      <formula>AT197="T"</formula>
    </cfRule>
  </conditionalFormatting>
  <conditionalFormatting sqref="AT199">
    <cfRule type="expression" dxfId="11782" priority="15738">
      <formula>AT199="X"</formula>
    </cfRule>
    <cfRule type="expression" dxfId="11781" priority="15739">
      <formula>AT199="A"</formula>
    </cfRule>
    <cfRule type="expression" dxfId="11780" priority="15740">
      <formula>AT199="T"</formula>
    </cfRule>
  </conditionalFormatting>
  <conditionalFormatting sqref="AT200">
    <cfRule type="expression" dxfId="11779" priority="15735">
      <formula>AT199="X"</formula>
    </cfRule>
    <cfRule type="expression" dxfId="11778" priority="15736">
      <formula>AT199="A"</formula>
    </cfRule>
    <cfRule type="expression" dxfId="11777" priority="15737">
      <formula>AT199="T"</formula>
    </cfRule>
  </conditionalFormatting>
  <conditionalFormatting sqref="AT201">
    <cfRule type="expression" dxfId="11776" priority="15732">
      <formula>AT201="X"</formula>
    </cfRule>
    <cfRule type="expression" dxfId="11775" priority="15733">
      <formula>AT201="A"</formula>
    </cfRule>
    <cfRule type="expression" dxfId="11774" priority="15734">
      <formula>AT201="T"</formula>
    </cfRule>
  </conditionalFormatting>
  <conditionalFormatting sqref="AT202">
    <cfRule type="expression" dxfId="11773" priority="15729">
      <formula>AT201="X"</formula>
    </cfRule>
    <cfRule type="expression" dxfId="11772" priority="15730">
      <formula>AT201="A"</formula>
    </cfRule>
    <cfRule type="expression" dxfId="11771" priority="15731">
      <formula>AT201="T"</formula>
    </cfRule>
  </conditionalFormatting>
  <conditionalFormatting sqref="AU16 AU18 AU20 AU22 AU24 AU26 AU28 AU39 AU41 AU43 AU45 AU48 AU81 AU88 AU90 AU92 AU94 AU96 AU98 AU100 AU102 AU105 AU107 AU109 AU111 AU116">
    <cfRule type="expression" dxfId="11770" priority="15724">
      <formula>AU16="X"</formula>
    </cfRule>
    <cfRule type="expression" dxfId="11769" priority="15725">
      <formula>AU16="A"</formula>
    </cfRule>
    <cfRule type="expression" dxfId="11768" priority="15726">
      <formula>AU16="T"</formula>
    </cfRule>
  </conditionalFormatting>
  <conditionalFormatting sqref="AU36">
    <cfRule type="expression" dxfId="11767" priority="15721">
      <formula>AU36="X"</formula>
    </cfRule>
    <cfRule type="expression" dxfId="11766" priority="15722">
      <formula>AU36="A"</formula>
    </cfRule>
    <cfRule type="expression" dxfId="11765" priority="15723">
      <formula>AU36="T"</formula>
    </cfRule>
  </conditionalFormatting>
  <conditionalFormatting sqref="AU34">
    <cfRule type="expression" dxfId="11764" priority="15718">
      <formula>AU34="X"</formula>
    </cfRule>
    <cfRule type="expression" dxfId="11763" priority="15719">
      <formula>AU34="A"</formula>
    </cfRule>
    <cfRule type="expression" dxfId="11762" priority="15720">
      <formula>AU34="T"</formula>
    </cfRule>
  </conditionalFormatting>
  <conditionalFormatting sqref="AU32">
    <cfRule type="expression" dxfId="11761" priority="15715">
      <formula>AU32="X"</formula>
    </cfRule>
    <cfRule type="expression" dxfId="11760" priority="15716">
      <formula>AU32="A"</formula>
    </cfRule>
    <cfRule type="expression" dxfId="11759" priority="15717">
      <formula>AU32="T"</formula>
    </cfRule>
  </conditionalFormatting>
  <conditionalFormatting sqref="AU30">
    <cfRule type="expression" dxfId="11758" priority="15712">
      <formula>AU30="X"</formula>
    </cfRule>
    <cfRule type="expression" dxfId="11757" priority="15713">
      <formula>AU30="A"</formula>
    </cfRule>
    <cfRule type="expression" dxfId="11756" priority="15714">
      <formula>AU30="T"</formula>
    </cfRule>
  </conditionalFormatting>
  <conditionalFormatting sqref="AU52">
    <cfRule type="expression" dxfId="11755" priority="15709">
      <formula>AU52="X"</formula>
    </cfRule>
    <cfRule type="expression" dxfId="11754" priority="15710">
      <formula>AU52="A"</formula>
    </cfRule>
    <cfRule type="expression" dxfId="11753" priority="15711">
      <formula>AU52="T"</formula>
    </cfRule>
  </conditionalFormatting>
  <conditionalFormatting sqref="AU50">
    <cfRule type="expression" dxfId="11752" priority="15706">
      <formula>AU50="X"</formula>
    </cfRule>
    <cfRule type="expression" dxfId="11751" priority="15707">
      <formula>AU50="A"</formula>
    </cfRule>
    <cfRule type="expression" dxfId="11750" priority="15708">
      <formula>AU50="T"</formula>
    </cfRule>
  </conditionalFormatting>
  <conditionalFormatting sqref="AU54">
    <cfRule type="expression" dxfId="11749" priority="15703">
      <formula>AU54="X"</formula>
    </cfRule>
    <cfRule type="expression" dxfId="11748" priority="15704">
      <formula>AU54="A"</formula>
    </cfRule>
    <cfRule type="expression" dxfId="11747" priority="15705">
      <formula>AU54="T"</formula>
    </cfRule>
  </conditionalFormatting>
  <conditionalFormatting sqref="AU56">
    <cfRule type="expression" dxfId="11746" priority="15700">
      <formula>AU56="X"</formula>
    </cfRule>
    <cfRule type="expression" dxfId="11745" priority="15701">
      <formula>AU56="A"</formula>
    </cfRule>
    <cfRule type="expression" dxfId="11744" priority="15702">
      <formula>AU56="T"</formula>
    </cfRule>
  </conditionalFormatting>
  <conditionalFormatting sqref="AU58">
    <cfRule type="expression" dxfId="11743" priority="15697">
      <formula>AU58="X"</formula>
    </cfRule>
    <cfRule type="expression" dxfId="11742" priority="15698">
      <formula>AU58="A"</formula>
    </cfRule>
    <cfRule type="expression" dxfId="11741" priority="15699">
      <formula>AU58="T"</formula>
    </cfRule>
  </conditionalFormatting>
  <conditionalFormatting sqref="AU63">
    <cfRule type="expression" dxfId="11740" priority="15694">
      <formula>AU63="X"</formula>
    </cfRule>
    <cfRule type="expression" dxfId="11739" priority="15695">
      <formula>AU63="A"</formula>
    </cfRule>
    <cfRule type="expression" dxfId="11738" priority="15696">
      <formula>AU63="T"</formula>
    </cfRule>
  </conditionalFormatting>
  <conditionalFormatting sqref="AU65">
    <cfRule type="expression" dxfId="11737" priority="15691">
      <formula>AU65="X"</formula>
    </cfRule>
    <cfRule type="expression" dxfId="11736" priority="15692">
      <formula>AU65="A"</formula>
    </cfRule>
    <cfRule type="expression" dxfId="11735" priority="15693">
      <formula>AU65="T"</formula>
    </cfRule>
  </conditionalFormatting>
  <conditionalFormatting sqref="AU83">
    <cfRule type="expression" dxfId="11734" priority="15688">
      <formula>AU83="X"</formula>
    </cfRule>
    <cfRule type="expression" dxfId="11733" priority="15689">
      <formula>AU83="A"</formula>
    </cfRule>
    <cfRule type="expression" dxfId="11732" priority="15690">
      <formula>AU83="T"</formula>
    </cfRule>
  </conditionalFormatting>
  <conditionalFormatting sqref="AU85">
    <cfRule type="expression" dxfId="11731" priority="15685">
      <formula>AU85="X"</formula>
    </cfRule>
    <cfRule type="expression" dxfId="11730" priority="15686">
      <formula>AU85="A"</formula>
    </cfRule>
    <cfRule type="expression" dxfId="11729" priority="15687">
      <formula>AU85="T"</formula>
    </cfRule>
  </conditionalFormatting>
  <conditionalFormatting sqref="AU67">
    <cfRule type="expression" dxfId="11728" priority="15682">
      <formula>AU67="X"</formula>
    </cfRule>
    <cfRule type="expression" dxfId="11727" priority="15683">
      <formula>AU67="A"</formula>
    </cfRule>
    <cfRule type="expression" dxfId="11726" priority="15684">
      <formula>AU67="T"</formula>
    </cfRule>
  </conditionalFormatting>
  <conditionalFormatting sqref="AU113">
    <cfRule type="expression" dxfId="11725" priority="15679">
      <formula>AU113="X"</formula>
    </cfRule>
    <cfRule type="expression" dxfId="11724" priority="15680">
      <formula>AU113="A"</formula>
    </cfRule>
    <cfRule type="expression" dxfId="11723" priority="15681">
      <formula>AU113="T"</formula>
    </cfRule>
  </conditionalFormatting>
  <conditionalFormatting sqref="AU118">
    <cfRule type="expression" dxfId="11722" priority="15676">
      <formula>AU118="X"</formula>
    </cfRule>
    <cfRule type="expression" dxfId="11721" priority="15677">
      <formula>AU118="A"</formula>
    </cfRule>
    <cfRule type="expression" dxfId="11720" priority="15678">
      <formula>AU118="T"</formula>
    </cfRule>
  </conditionalFormatting>
  <conditionalFormatting sqref="AU120">
    <cfRule type="expression" dxfId="11719" priority="15673">
      <formula>AU120="X"</formula>
    </cfRule>
    <cfRule type="expression" dxfId="11718" priority="15674">
      <formula>AU120="A"</formula>
    </cfRule>
    <cfRule type="expression" dxfId="11717" priority="15675">
      <formula>AU120="T"</formula>
    </cfRule>
  </conditionalFormatting>
  <conditionalFormatting sqref="AU122">
    <cfRule type="expression" dxfId="11716" priority="15670">
      <formula>AU122="X"</formula>
    </cfRule>
    <cfRule type="expression" dxfId="11715" priority="15671">
      <formula>AU122="A"</formula>
    </cfRule>
    <cfRule type="expression" dxfId="11714" priority="15672">
      <formula>AU122="T"</formula>
    </cfRule>
  </conditionalFormatting>
  <conditionalFormatting sqref="AU125">
    <cfRule type="expression" dxfId="11713" priority="15667">
      <formula>AU125="X"</formula>
    </cfRule>
    <cfRule type="expression" dxfId="11712" priority="15668">
      <formula>AU125="A"</formula>
    </cfRule>
    <cfRule type="expression" dxfId="11711" priority="15669">
      <formula>AU125="T"</formula>
    </cfRule>
  </conditionalFormatting>
  <conditionalFormatting sqref="AU127">
    <cfRule type="expression" dxfId="11710" priority="15664">
      <formula>AU127="X"</formula>
    </cfRule>
    <cfRule type="expression" dxfId="11709" priority="15665">
      <formula>AU127="A"</formula>
    </cfRule>
    <cfRule type="expression" dxfId="11708" priority="15666">
      <formula>AU127="T"</formula>
    </cfRule>
  </conditionalFormatting>
  <conditionalFormatting sqref="AU141">
    <cfRule type="expression" dxfId="11707" priority="15661">
      <formula>AU141="X"</formula>
    </cfRule>
    <cfRule type="expression" dxfId="11706" priority="15662">
      <formula>AU141="A"</formula>
    </cfRule>
    <cfRule type="expression" dxfId="11705" priority="15663">
      <formula>AU141="T"</formula>
    </cfRule>
  </conditionalFormatting>
  <conditionalFormatting sqref="AU143">
    <cfRule type="expression" dxfId="11704" priority="15658">
      <formula>AU143="X"</formula>
    </cfRule>
    <cfRule type="expression" dxfId="11703" priority="15659">
      <formula>AU143="A"</formula>
    </cfRule>
    <cfRule type="expression" dxfId="11702" priority="15660">
      <formula>AU143="T"</formula>
    </cfRule>
  </conditionalFormatting>
  <conditionalFormatting sqref="AU149">
    <cfRule type="expression" dxfId="11701" priority="15655">
      <formula>AU149="X"</formula>
    </cfRule>
    <cfRule type="expression" dxfId="11700" priority="15656">
      <formula>AU149="A"</formula>
    </cfRule>
    <cfRule type="expression" dxfId="11699" priority="15657">
      <formula>AU149="T"</formula>
    </cfRule>
  </conditionalFormatting>
  <conditionalFormatting sqref="AU151">
    <cfRule type="expression" dxfId="11698" priority="15652">
      <formula>AU151="X"</formula>
    </cfRule>
    <cfRule type="expression" dxfId="11697" priority="15653">
      <formula>AU151="A"</formula>
    </cfRule>
    <cfRule type="expression" dxfId="11696" priority="15654">
      <formula>AU151="T"</formula>
    </cfRule>
  </conditionalFormatting>
  <conditionalFormatting sqref="AU155">
    <cfRule type="expression" dxfId="11695" priority="15649">
      <formula>AU155="X"</formula>
    </cfRule>
    <cfRule type="expression" dxfId="11694" priority="15650">
      <formula>AU155="A"</formula>
    </cfRule>
    <cfRule type="expression" dxfId="11693" priority="15651">
      <formula>AU155="T"</formula>
    </cfRule>
  </conditionalFormatting>
  <conditionalFormatting sqref="AU157">
    <cfRule type="expression" dxfId="11692" priority="15646">
      <formula>AU157="X"</formula>
    </cfRule>
    <cfRule type="expression" dxfId="11691" priority="15647">
      <formula>AU157="A"</formula>
    </cfRule>
    <cfRule type="expression" dxfId="11690" priority="15648">
      <formula>AU157="T"</formula>
    </cfRule>
  </conditionalFormatting>
  <conditionalFormatting sqref="AU167">
    <cfRule type="expression" dxfId="11689" priority="15643">
      <formula>AU167="X"</formula>
    </cfRule>
    <cfRule type="expression" dxfId="11688" priority="15644">
      <formula>AU167="A"</formula>
    </cfRule>
    <cfRule type="expression" dxfId="11687" priority="15645">
      <formula>AU167="T"</formula>
    </cfRule>
  </conditionalFormatting>
  <conditionalFormatting sqref="AU173">
    <cfRule type="expression" dxfId="11686" priority="15640">
      <formula>AU173="X"</formula>
    </cfRule>
    <cfRule type="expression" dxfId="11685" priority="15641">
      <formula>AU173="A"</formula>
    </cfRule>
    <cfRule type="expression" dxfId="11684" priority="15642">
      <formula>AU173="T"</formula>
    </cfRule>
  </conditionalFormatting>
  <conditionalFormatting sqref="AU175">
    <cfRule type="expression" dxfId="11683" priority="15637">
      <formula>AU175="X"</formula>
    </cfRule>
    <cfRule type="expression" dxfId="11682" priority="15638">
      <formula>AU175="A"</formula>
    </cfRule>
    <cfRule type="expression" dxfId="11681" priority="15639">
      <formula>AU175="T"</formula>
    </cfRule>
  </conditionalFormatting>
  <conditionalFormatting sqref="AU177">
    <cfRule type="expression" dxfId="11680" priority="15634">
      <formula>AU177="X"</formula>
    </cfRule>
    <cfRule type="expression" dxfId="11679" priority="15635">
      <formula>AU177="A"</formula>
    </cfRule>
    <cfRule type="expression" dxfId="11678" priority="15636">
      <formula>AU177="T"</formula>
    </cfRule>
  </conditionalFormatting>
  <conditionalFormatting sqref="AU179">
    <cfRule type="expression" dxfId="11677" priority="15631">
      <formula>AU179="X"</formula>
    </cfRule>
    <cfRule type="expression" dxfId="11676" priority="15632">
      <formula>AU179="A"</formula>
    </cfRule>
    <cfRule type="expression" dxfId="11675" priority="15633">
      <formula>AU179="T"</formula>
    </cfRule>
  </conditionalFormatting>
  <conditionalFormatting sqref="AU169">
    <cfRule type="expression" dxfId="11674" priority="15628">
      <formula>AU169="X"</formula>
    </cfRule>
    <cfRule type="expression" dxfId="11673" priority="15629">
      <formula>AU169="A"</formula>
    </cfRule>
    <cfRule type="expression" dxfId="11672" priority="15630">
      <formula>AU169="T"</formula>
    </cfRule>
  </conditionalFormatting>
  <conditionalFormatting sqref="AU171">
    <cfRule type="expression" dxfId="11671" priority="15625">
      <formula>AU171="X"</formula>
    </cfRule>
    <cfRule type="expression" dxfId="11670" priority="15626">
      <formula>AU171="A"</formula>
    </cfRule>
    <cfRule type="expression" dxfId="11669" priority="15627">
      <formula>AU171="T"</formula>
    </cfRule>
  </conditionalFormatting>
  <conditionalFormatting sqref="AU183">
    <cfRule type="expression" dxfId="11668" priority="15622">
      <formula>AU183="X"</formula>
    </cfRule>
    <cfRule type="expression" dxfId="11667" priority="15623">
      <formula>AU183="A"</formula>
    </cfRule>
    <cfRule type="expression" dxfId="11666" priority="15624">
      <formula>AU183="T"</formula>
    </cfRule>
  </conditionalFormatting>
  <conditionalFormatting sqref="AU185">
    <cfRule type="expression" dxfId="11665" priority="15619">
      <formula>AU185="X"</formula>
    </cfRule>
    <cfRule type="expression" dxfId="11664" priority="15620">
      <formula>AU185="A"</formula>
    </cfRule>
    <cfRule type="expression" dxfId="11663" priority="15621">
      <formula>AU185="T"</formula>
    </cfRule>
  </conditionalFormatting>
  <conditionalFormatting sqref="AU189">
    <cfRule type="expression" dxfId="11662" priority="15616">
      <formula>AU189="X"</formula>
    </cfRule>
    <cfRule type="expression" dxfId="11661" priority="15617">
      <formula>AU189="A"</formula>
    </cfRule>
    <cfRule type="expression" dxfId="11660" priority="15618">
      <formula>AU189="T"</formula>
    </cfRule>
  </conditionalFormatting>
  <conditionalFormatting sqref="AU191">
    <cfRule type="expression" dxfId="11659" priority="15613">
      <formula>AU191="X"</formula>
    </cfRule>
    <cfRule type="expression" dxfId="11658" priority="15614">
      <formula>AU191="A"</formula>
    </cfRule>
    <cfRule type="expression" dxfId="11657" priority="15615">
      <formula>AU191="T"</formula>
    </cfRule>
  </conditionalFormatting>
  <conditionalFormatting sqref="AU11">
    <cfRule type="expression" dxfId="11656" priority="15610">
      <formula>AU11="X"</formula>
    </cfRule>
    <cfRule type="expression" dxfId="11655" priority="15611">
      <formula>AU11="A"</formula>
    </cfRule>
    <cfRule type="expression" dxfId="11654" priority="15612">
      <formula>AU11="T"</formula>
    </cfRule>
  </conditionalFormatting>
  <conditionalFormatting sqref="AU12">
    <cfRule type="expression" dxfId="11653" priority="15607">
      <formula>AU11="X"</formula>
    </cfRule>
    <cfRule type="expression" dxfId="11652" priority="15608">
      <formula>AU11="A"</formula>
    </cfRule>
    <cfRule type="expression" dxfId="11651" priority="15609">
      <formula>AU11="T"</formula>
    </cfRule>
  </conditionalFormatting>
  <conditionalFormatting sqref="AU13">
    <cfRule type="expression" dxfId="11650" priority="15604">
      <formula>AU13="X"</formula>
    </cfRule>
    <cfRule type="expression" dxfId="11649" priority="15605">
      <formula>AU13="A"</formula>
    </cfRule>
    <cfRule type="expression" dxfId="11648" priority="15606">
      <formula>AU13="T"</formula>
    </cfRule>
  </conditionalFormatting>
  <conditionalFormatting sqref="AU14">
    <cfRule type="expression" dxfId="11647" priority="15601">
      <formula>AU13="X"</formula>
    </cfRule>
    <cfRule type="expression" dxfId="11646" priority="15602">
      <formula>AU13="A"</formula>
    </cfRule>
    <cfRule type="expression" dxfId="11645" priority="15603">
      <formula>AU13="T"</formula>
    </cfRule>
  </conditionalFormatting>
  <conditionalFormatting sqref="AU17">
    <cfRule type="expression" dxfId="11644" priority="15598">
      <formula>AU16="X"</formula>
    </cfRule>
    <cfRule type="expression" dxfId="11643" priority="15599">
      <formula>AU16="A"</formula>
    </cfRule>
    <cfRule type="expression" dxfId="11642" priority="15600">
      <formula>AU16="T"</formula>
    </cfRule>
  </conditionalFormatting>
  <conditionalFormatting sqref="AU19">
    <cfRule type="expression" dxfId="11641" priority="15592">
      <formula>AU18="X"</formula>
    </cfRule>
    <cfRule type="expression" dxfId="11640" priority="15593">
      <formula>AU18="A"</formula>
    </cfRule>
    <cfRule type="expression" dxfId="11639" priority="15594">
      <formula>AU18="T"</formula>
    </cfRule>
  </conditionalFormatting>
  <conditionalFormatting sqref="AU21">
    <cfRule type="expression" dxfId="11638" priority="15589">
      <formula>AU20="X"</formula>
    </cfRule>
    <cfRule type="expression" dxfId="11637" priority="15590">
      <formula>AU20="A"</formula>
    </cfRule>
    <cfRule type="expression" dxfId="11636" priority="15591">
      <formula>AU20="T"</formula>
    </cfRule>
  </conditionalFormatting>
  <conditionalFormatting sqref="AU23">
    <cfRule type="expression" dxfId="11635" priority="15586">
      <formula>AU22="X"</formula>
    </cfRule>
    <cfRule type="expression" dxfId="11634" priority="15587">
      <formula>AU22="A"</formula>
    </cfRule>
    <cfRule type="expression" dxfId="11633" priority="15588">
      <formula>AU22="T"</formula>
    </cfRule>
  </conditionalFormatting>
  <conditionalFormatting sqref="AU25">
    <cfRule type="expression" dxfId="11632" priority="15583">
      <formula>AU24="X"</formula>
    </cfRule>
    <cfRule type="expression" dxfId="11631" priority="15584">
      <formula>AU24="A"</formula>
    </cfRule>
    <cfRule type="expression" dxfId="11630" priority="15585">
      <formula>AU24="T"</formula>
    </cfRule>
  </conditionalFormatting>
  <conditionalFormatting sqref="AU27">
    <cfRule type="expression" dxfId="11629" priority="15580">
      <formula>AU26="X"</formula>
    </cfRule>
    <cfRule type="expression" dxfId="11628" priority="15581">
      <formula>AU26="A"</formula>
    </cfRule>
    <cfRule type="expression" dxfId="11627" priority="15582">
      <formula>AU26="T"</formula>
    </cfRule>
  </conditionalFormatting>
  <conditionalFormatting sqref="AU29">
    <cfRule type="expression" dxfId="11626" priority="15577">
      <formula>AU28="X"</formula>
    </cfRule>
    <cfRule type="expression" dxfId="11625" priority="15578">
      <formula>AU28="A"</formula>
    </cfRule>
    <cfRule type="expression" dxfId="11624" priority="15579">
      <formula>AU28="T"</formula>
    </cfRule>
  </conditionalFormatting>
  <conditionalFormatting sqref="AU31">
    <cfRule type="expression" dxfId="11623" priority="15574">
      <formula>AU30="X"</formula>
    </cfRule>
    <cfRule type="expression" dxfId="11622" priority="15575">
      <formula>AU30="A"</formula>
    </cfRule>
    <cfRule type="expression" dxfId="11621" priority="15576">
      <formula>AU30="T"</formula>
    </cfRule>
  </conditionalFormatting>
  <conditionalFormatting sqref="AU33">
    <cfRule type="expression" dxfId="11620" priority="15571">
      <formula>AU32="X"</formula>
    </cfRule>
    <cfRule type="expression" dxfId="11619" priority="15572">
      <formula>AU32="A"</formula>
    </cfRule>
    <cfRule type="expression" dxfId="11618" priority="15573">
      <formula>AU32="T"</formula>
    </cfRule>
  </conditionalFormatting>
  <conditionalFormatting sqref="AU35">
    <cfRule type="expression" dxfId="11617" priority="15568">
      <formula>AU34="X"</formula>
    </cfRule>
    <cfRule type="expression" dxfId="11616" priority="15569">
      <formula>AU34="A"</formula>
    </cfRule>
    <cfRule type="expression" dxfId="11615" priority="15570">
      <formula>AU34="T"</formula>
    </cfRule>
  </conditionalFormatting>
  <conditionalFormatting sqref="AU37">
    <cfRule type="expression" dxfId="11614" priority="15565">
      <formula>AU36="X"</formula>
    </cfRule>
    <cfRule type="expression" dxfId="11613" priority="15566">
      <formula>AU36="A"</formula>
    </cfRule>
    <cfRule type="expression" dxfId="11612" priority="15567">
      <formula>AU36="T"</formula>
    </cfRule>
  </conditionalFormatting>
  <conditionalFormatting sqref="AU40">
    <cfRule type="expression" dxfId="11611" priority="15562">
      <formula>AU39="X"</formula>
    </cfRule>
    <cfRule type="expression" dxfId="11610" priority="15563">
      <formula>AU39="A"</formula>
    </cfRule>
    <cfRule type="expression" dxfId="11609" priority="15564">
      <formula>AU39="T"</formula>
    </cfRule>
  </conditionalFormatting>
  <conditionalFormatting sqref="AU42">
    <cfRule type="expression" dxfId="11608" priority="15559">
      <formula>AU41="X"</formula>
    </cfRule>
    <cfRule type="expression" dxfId="11607" priority="15560">
      <formula>AU41="A"</formula>
    </cfRule>
    <cfRule type="expression" dxfId="11606" priority="15561">
      <formula>AU41="T"</formula>
    </cfRule>
  </conditionalFormatting>
  <conditionalFormatting sqref="AU44">
    <cfRule type="expression" dxfId="11605" priority="15556">
      <formula>AU43="X"</formula>
    </cfRule>
    <cfRule type="expression" dxfId="11604" priority="15557">
      <formula>AU43="A"</formula>
    </cfRule>
    <cfRule type="expression" dxfId="11603" priority="15558">
      <formula>AU43="T"</formula>
    </cfRule>
  </conditionalFormatting>
  <conditionalFormatting sqref="AU46">
    <cfRule type="expression" dxfId="11602" priority="15553">
      <formula>AU45="X"</formula>
    </cfRule>
    <cfRule type="expression" dxfId="11601" priority="15554">
      <formula>AU45="A"</formula>
    </cfRule>
    <cfRule type="expression" dxfId="11600" priority="15555">
      <formula>AU45="T"</formula>
    </cfRule>
  </conditionalFormatting>
  <conditionalFormatting sqref="AU49">
    <cfRule type="expression" dxfId="11599" priority="15550">
      <formula>AU48="X"</formula>
    </cfRule>
    <cfRule type="expression" dxfId="11598" priority="15551">
      <formula>AU48="A"</formula>
    </cfRule>
    <cfRule type="expression" dxfId="11597" priority="15552">
      <formula>AU48="T"</formula>
    </cfRule>
  </conditionalFormatting>
  <conditionalFormatting sqref="AU51">
    <cfRule type="expression" dxfId="11596" priority="15547">
      <formula>AU50="X"</formula>
    </cfRule>
    <cfRule type="expression" dxfId="11595" priority="15548">
      <formula>AU50="A"</formula>
    </cfRule>
    <cfRule type="expression" dxfId="11594" priority="15549">
      <formula>AU50="T"</formula>
    </cfRule>
  </conditionalFormatting>
  <conditionalFormatting sqref="AU53">
    <cfRule type="expression" dxfId="11593" priority="15544">
      <formula>AU52="X"</formula>
    </cfRule>
    <cfRule type="expression" dxfId="11592" priority="15545">
      <formula>AU52="A"</formula>
    </cfRule>
    <cfRule type="expression" dxfId="11591" priority="15546">
      <formula>AU52="T"</formula>
    </cfRule>
  </conditionalFormatting>
  <conditionalFormatting sqref="AU55">
    <cfRule type="expression" dxfId="11590" priority="15541">
      <formula>AU54="X"</formula>
    </cfRule>
    <cfRule type="expression" dxfId="11589" priority="15542">
      <formula>AU54="A"</formula>
    </cfRule>
    <cfRule type="expression" dxfId="11588" priority="15543">
      <formula>AU54="T"</formula>
    </cfRule>
  </conditionalFormatting>
  <conditionalFormatting sqref="AU57">
    <cfRule type="expression" dxfId="11587" priority="15538">
      <formula>AU56="X"</formula>
    </cfRule>
    <cfRule type="expression" dxfId="11586" priority="15539">
      <formula>AU56="A"</formula>
    </cfRule>
    <cfRule type="expression" dxfId="11585" priority="15540">
      <formula>AU56="T"</formula>
    </cfRule>
  </conditionalFormatting>
  <conditionalFormatting sqref="AU59">
    <cfRule type="expression" dxfId="11584" priority="15535">
      <formula>AU58="X"</formula>
    </cfRule>
    <cfRule type="expression" dxfId="11583" priority="15536">
      <formula>AU58="A"</formula>
    </cfRule>
    <cfRule type="expression" dxfId="11582" priority="15537">
      <formula>AU58="T"</formula>
    </cfRule>
  </conditionalFormatting>
  <conditionalFormatting sqref="AU64">
    <cfRule type="expression" dxfId="11581" priority="15532">
      <formula>AU63="X"</formula>
    </cfRule>
    <cfRule type="expression" dxfId="11580" priority="15533">
      <formula>AU63="A"</formula>
    </cfRule>
    <cfRule type="expression" dxfId="11579" priority="15534">
      <formula>AU63="T"</formula>
    </cfRule>
  </conditionalFormatting>
  <conditionalFormatting sqref="AU66">
    <cfRule type="expression" dxfId="11578" priority="15529">
      <formula>AU65="X"</formula>
    </cfRule>
    <cfRule type="expression" dxfId="11577" priority="15530">
      <formula>AU65="A"</formula>
    </cfRule>
    <cfRule type="expression" dxfId="11576" priority="15531">
      <formula>AU65="T"</formula>
    </cfRule>
  </conditionalFormatting>
  <conditionalFormatting sqref="AU68">
    <cfRule type="expression" dxfId="11575" priority="15526">
      <formula>AU67="X"</formula>
    </cfRule>
    <cfRule type="expression" dxfId="11574" priority="15527">
      <formula>AU67="A"</formula>
    </cfRule>
    <cfRule type="expression" dxfId="11573" priority="15528">
      <formula>AU67="T"</formula>
    </cfRule>
  </conditionalFormatting>
  <conditionalFormatting sqref="AU82">
    <cfRule type="expression" dxfId="11572" priority="15523">
      <formula>AU81="X"</formula>
    </cfRule>
    <cfRule type="expression" dxfId="11571" priority="15524">
      <formula>AU81="A"</formula>
    </cfRule>
    <cfRule type="expression" dxfId="11570" priority="15525">
      <formula>AU81="T"</formula>
    </cfRule>
  </conditionalFormatting>
  <conditionalFormatting sqref="AU84">
    <cfRule type="expression" dxfId="11569" priority="15520">
      <formula>AU83="X"</formula>
    </cfRule>
    <cfRule type="expression" dxfId="11568" priority="15521">
      <formula>AU83="A"</formula>
    </cfRule>
    <cfRule type="expression" dxfId="11567" priority="15522">
      <formula>AU83="T"</formula>
    </cfRule>
  </conditionalFormatting>
  <conditionalFormatting sqref="AU86">
    <cfRule type="expression" dxfId="11566" priority="15517">
      <formula>AU85="X"</formula>
    </cfRule>
    <cfRule type="expression" dxfId="11565" priority="15518">
      <formula>AU85="A"</formula>
    </cfRule>
    <cfRule type="expression" dxfId="11564" priority="15519">
      <formula>AU85="T"</formula>
    </cfRule>
  </conditionalFormatting>
  <conditionalFormatting sqref="AU89">
    <cfRule type="expression" dxfId="11563" priority="15514">
      <formula>AU88="X"</formula>
    </cfRule>
    <cfRule type="expression" dxfId="11562" priority="15515">
      <formula>AU88="A"</formula>
    </cfRule>
    <cfRule type="expression" dxfId="11561" priority="15516">
      <formula>AU88="T"</formula>
    </cfRule>
  </conditionalFormatting>
  <conditionalFormatting sqref="AU91">
    <cfRule type="expression" dxfId="11560" priority="15511">
      <formula>AU90="X"</formula>
    </cfRule>
    <cfRule type="expression" dxfId="11559" priority="15512">
      <formula>AU90="A"</formula>
    </cfRule>
    <cfRule type="expression" dxfId="11558" priority="15513">
      <formula>AU90="T"</formula>
    </cfRule>
  </conditionalFormatting>
  <conditionalFormatting sqref="AU93">
    <cfRule type="expression" dxfId="11557" priority="15508">
      <formula>AU92="X"</formula>
    </cfRule>
    <cfRule type="expression" dxfId="11556" priority="15509">
      <formula>AU92="A"</formula>
    </cfRule>
    <cfRule type="expression" dxfId="11555" priority="15510">
      <formula>AU92="T"</formula>
    </cfRule>
  </conditionalFormatting>
  <conditionalFormatting sqref="AU95">
    <cfRule type="expression" dxfId="11554" priority="15505">
      <formula>AU94="X"</formula>
    </cfRule>
    <cfRule type="expression" dxfId="11553" priority="15506">
      <formula>AU94="A"</formula>
    </cfRule>
    <cfRule type="expression" dxfId="11552" priority="15507">
      <formula>AU94="T"</formula>
    </cfRule>
  </conditionalFormatting>
  <conditionalFormatting sqref="AU97">
    <cfRule type="expression" dxfId="11551" priority="15502">
      <formula>AU96="X"</formula>
    </cfRule>
    <cfRule type="expression" dxfId="11550" priority="15503">
      <formula>AU96="A"</formula>
    </cfRule>
    <cfRule type="expression" dxfId="11549" priority="15504">
      <formula>AU96="T"</formula>
    </cfRule>
  </conditionalFormatting>
  <conditionalFormatting sqref="AU99">
    <cfRule type="expression" dxfId="11548" priority="15499">
      <formula>AU98="X"</formula>
    </cfRule>
    <cfRule type="expression" dxfId="11547" priority="15500">
      <formula>AU98="A"</formula>
    </cfRule>
    <cfRule type="expression" dxfId="11546" priority="15501">
      <formula>AU98="T"</formula>
    </cfRule>
  </conditionalFormatting>
  <conditionalFormatting sqref="AU101">
    <cfRule type="expression" dxfId="11545" priority="15496">
      <formula>AU100="X"</formula>
    </cfRule>
    <cfRule type="expression" dxfId="11544" priority="15497">
      <formula>AU100="A"</formula>
    </cfRule>
    <cfRule type="expression" dxfId="11543" priority="15498">
      <formula>AU100="T"</formula>
    </cfRule>
  </conditionalFormatting>
  <conditionalFormatting sqref="AU103">
    <cfRule type="expression" dxfId="11542" priority="15493">
      <formula>AU102="X"</formula>
    </cfRule>
    <cfRule type="expression" dxfId="11541" priority="15494">
      <formula>AU102="A"</formula>
    </cfRule>
    <cfRule type="expression" dxfId="11540" priority="15495">
      <formula>AU102="T"</formula>
    </cfRule>
  </conditionalFormatting>
  <conditionalFormatting sqref="AU106">
    <cfRule type="expression" dxfId="11539" priority="15490">
      <formula>AU105="X"</formula>
    </cfRule>
    <cfRule type="expression" dxfId="11538" priority="15491">
      <formula>AU105="A"</formula>
    </cfRule>
    <cfRule type="expression" dxfId="11537" priority="15492">
      <formula>AU105="T"</formula>
    </cfRule>
  </conditionalFormatting>
  <conditionalFormatting sqref="AU108">
    <cfRule type="expression" dxfId="11536" priority="15487">
      <formula>AU107="X"</formula>
    </cfRule>
    <cfRule type="expression" dxfId="11535" priority="15488">
      <formula>AU107="A"</formula>
    </cfRule>
    <cfRule type="expression" dxfId="11534" priority="15489">
      <formula>AU107="T"</formula>
    </cfRule>
  </conditionalFormatting>
  <conditionalFormatting sqref="AU110">
    <cfRule type="expression" dxfId="11533" priority="15484">
      <formula>AU109="X"</formula>
    </cfRule>
    <cfRule type="expression" dxfId="11532" priority="15485">
      <formula>AU109="A"</formula>
    </cfRule>
    <cfRule type="expression" dxfId="11531" priority="15486">
      <formula>AU109="T"</formula>
    </cfRule>
  </conditionalFormatting>
  <conditionalFormatting sqref="AU112">
    <cfRule type="expression" dxfId="11530" priority="15481">
      <formula>AU111="X"</formula>
    </cfRule>
    <cfRule type="expression" dxfId="11529" priority="15482">
      <formula>AU111="A"</formula>
    </cfRule>
    <cfRule type="expression" dxfId="11528" priority="15483">
      <formula>AU111="T"</formula>
    </cfRule>
  </conditionalFormatting>
  <conditionalFormatting sqref="AU114">
    <cfRule type="expression" dxfId="11527" priority="15478">
      <formula>AU113="X"</formula>
    </cfRule>
    <cfRule type="expression" dxfId="11526" priority="15479">
      <formula>AU113="A"</formula>
    </cfRule>
    <cfRule type="expression" dxfId="11525" priority="15480">
      <formula>AU113="T"</formula>
    </cfRule>
  </conditionalFormatting>
  <conditionalFormatting sqref="AU117">
    <cfRule type="expression" dxfId="11524" priority="15475">
      <formula>AU116="X"</formula>
    </cfRule>
    <cfRule type="expression" dxfId="11523" priority="15476">
      <formula>AU116="A"</formula>
    </cfRule>
    <cfRule type="expression" dxfId="11522" priority="15477">
      <formula>AU116="T"</formula>
    </cfRule>
  </conditionalFormatting>
  <conditionalFormatting sqref="AU119">
    <cfRule type="expression" dxfId="11521" priority="15472">
      <formula>AU118="X"</formula>
    </cfRule>
    <cfRule type="expression" dxfId="11520" priority="15473">
      <formula>AU118="A"</formula>
    </cfRule>
    <cfRule type="expression" dxfId="11519" priority="15474">
      <formula>AU118="T"</formula>
    </cfRule>
  </conditionalFormatting>
  <conditionalFormatting sqref="AU121">
    <cfRule type="expression" dxfId="11518" priority="15469">
      <formula>AU120="X"</formula>
    </cfRule>
    <cfRule type="expression" dxfId="11517" priority="15470">
      <formula>AU120="A"</formula>
    </cfRule>
    <cfRule type="expression" dxfId="11516" priority="15471">
      <formula>AU120="T"</formula>
    </cfRule>
  </conditionalFormatting>
  <conditionalFormatting sqref="AU123">
    <cfRule type="expression" dxfId="11515" priority="15466">
      <formula>AU122="X"</formula>
    </cfRule>
    <cfRule type="expression" dxfId="11514" priority="15467">
      <formula>AU122="A"</formula>
    </cfRule>
    <cfRule type="expression" dxfId="11513" priority="15468">
      <formula>AU122="T"</formula>
    </cfRule>
  </conditionalFormatting>
  <conditionalFormatting sqref="AU126">
    <cfRule type="expression" dxfId="11512" priority="15463">
      <formula>AU125="X"</formula>
    </cfRule>
    <cfRule type="expression" dxfId="11511" priority="15464">
      <formula>AU125="A"</formula>
    </cfRule>
    <cfRule type="expression" dxfId="11510" priority="15465">
      <formula>AU125="T"</formula>
    </cfRule>
  </conditionalFormatting>
  <conditionalFormatting sqref="AU128">
    <cfRule type="expression" dxfId="11509" priority="15460">
      <formula>AU127="X"</formula>
    </cfRule>
    <cfRule type="expression" dxfId="11508" priority="15461">
      <formula>AU127="A"</formula>
    </cfRule>
    <cfRule type="expression" dxfId="11507" priority="15462">
      <formula>AU127="T"</formula>
    </cfRule>
  </conditionalFormatting>
  <conditionalFormatting sqref="AU142">
    <cfRule type="expression" dxfId="11506" priority="15457">
      <formula>AU141="X"</formula>
    </cfRule>
    <cfRule type="expression" dxfId="11505" priority="15458">
      <formula>AU141="A"</formula>
    </cfRule>
    <cfRule type="expression" dxfId="11504" priority="15459">
      <formula>AU141="T"</formula>
    </cfRule>
  </conditionalFormatting>
  <conditionalFormatting sqref="AU144">
    <cfRule type="expression" dxfId="11503" priority="15454">
      <formula>AU143="X"</formula>
    </cfRule>
    <cfRule type="expression" dxfId="11502" priority="15455">
      <formula>AU143="A"</formula>
    </cfRule>
    <cfRule type="expression" dxfId="11501" priority="15456">
      <formula>AU143="T"</formula>
    </cfRule>
  </conditionalFormatting>
  <conditionalFormatting sqref="AU150">
    <cfRule type="expression" dxfId="11500" priority="15451">
      <formula>AU149="X"</formula>
    </cfRule>
    <cfRule type="expression" dxfId="11499" priority="15452">
      <formula>AU149="A"</formula>
    </cfRule>
    <cfRule type="expression" dxfId="11498" priority="15453">
      <formula>AU149="T"</formula>
    </cfRule>
  </conditionalFormatting>
  <conditionalFormatting sqref="AU152">
    <cfRule type="expression" dxfId="11497" priority="15448">
      <formula>AU151="X"</formula>
    </cfRule>
    <cfRule type="expression" dxfId="11496" priority="15449">
      <formula>AU151="A"</formula>
    </cfRule>
    <cfRule type="expression" dxfId="11495" priority="15450">
      <formula>AU151="T"</formula>
    </cfRule>
  </conditionalFormatting>
  <conditionalFormatting sqref="AU156">
    <cfRule type="expression" dxfId="11494" priority="15445">
      <formula>AU155="X"</formula>
    </cfRule>
    <cfRule type="expression" dxfId="11493" priority="15446">
      <formula>AU155="A"</formula>
    </cfRule>
    <cfRule type="expression" dxfId="11492" priority="15447">
      <formula>AU155="T"</formula>
    </cfRule>
  </conditionalFormatting>
  <conditionalFormatting sqref="AU168">
    <cfRule type="expression" dxfId="11491" priority="15439">
      <formula>AU167="X"</formula>
    </cfRule>
    <cfRule type="expression" dxfId="11490" priority="15440">
      <formula>AU167="A"</formula>
    </cfRule>
    <cfRule type="expression" dxfId="11489" priority="15441">
      <formula>AU167="T"</formula>
    </cfRule>
  </conditionalFormatting>
  <conditionalFormatting sqref="AU170">
    <cfRule type="expression" dxfId="11488" priority="15436">
      <formula>AU169="X"</formula>
    </cfRule>
    <cfRule type="expression" dxfId="11487" priority="15437">
      <formula>AU169="A"</formula>
    </cfRule>
    <cfRule type="expression" dxfId="11486" priority="15438">
      <formula>AU169="T"</formula>
    </cfRule>
  </conditionalFormatting>
  <conditionalFormatting sqref="AU172">
    <cfRule type="expression" dxfId="11485" priority="15433">
      <formula>AU171="X"</formula>
    </cfRule>
    <cfRule type="expression" dxfId="11484" priority="15434">
      <formula>AU171="A"</formula>
    </cfRule>
    <cfRule type="expression" dxfId="11483" priority="15435">
      <formula>AU171="T"</formula>
    </cfRule>
  </conditionalFormatting>
  <conditionalFormatting sqref="AU174">
    <cfRule type="expression" dxfId="11482" priority="15430">
      <formula>AU173="X"</formula>
    </cfRule>
    <cfRule type="expression" dxfId="11481" priority="15431">
      <formula>AU173="A"</formula>
    </cfRule>
    <cfRule type="expression" dxfId="11480" priority="15432">
      <formula>AU173="T"</formula>
    </cfRule>
  </conditionalFormatting>
  <conditionalFormatting sqref="AU176">
    <cfRule type="expression" dxfId="11479" priority="15427">
      <formula>AU175="X"</formula>
    </cfRule>
    <cfRule type="expression" dxfId="11478" priority="15428">
      <formula>AU175="A"</formula>
    </cfRule>
    <cfRule type="expression" dxfId="11477" priority="15429">
      <formula>AU175="T"</formula>
    </cfRule>
  </conditionalFormatting>
  <conditionalFormatting sqref="AU178">
    <cfRule type="expression" dxfId="11476" priority="15424">
      <formula>AU177="X"</formula>
    </cfRule>
    <cfRule type="expression" dxfId="11475" priority="15425">
      <formula>AU177="A"</formula>
    </cfRule>
    <cfRule type="expression" dxfId="11474" priority="15426">
      <formula>AU177="T"</formula>
    </cfRule>
  </conditionalFormatting>
  <conditionalFormatting sqref="AU180">
    <cfRule type="expression" dxfId="11473" priority="15421">
      <formula>AU179="X"</formula>
    </cfRule>
    <cfRule type="expression" dxfId="11472" priority="15422">
      <formula>AU179="A"</formula>
    </cfRule>
    <cfRule type="expression" dxfId="11471" priority="15423">
      <formula>AU179="T"</formula>
    </cfRule>
  </conditionalFormatting>
  <conditionalFormatting sqref="AU184">
    <cfRule type="expression" dxfId="11470" priority="15418">
      <formula>AU183="X"</formula>
    </cfRule>
    <cfRule type="expression" dxfId="11469" priority="15419">
      <formula>AU183="A"</formula>
    </cfRule>
    <cfRule type="expression" dxfId="11468" priority="15420">
      <formula>AU183="T"</formula>
    </cfRule>
  </conditionalFormatting>
  <conditionalFormatting sqref="AU186">
    <cfRule type="expression" dxfId="11467" priority="15415">
      <formula>AU185="X"</formula>
    </cfRule>
    <cfRule type="expression" dxfId="11466" priority="15416">
      <formula>AU185="A"</formula>
    </cfRule>
    <cfRule type="expression" dxfId="11465" priority="15417">
      <formula>AU185="T"</formula>
    </cfRule>
  </conditionalFormatting>
  <conditionalFormatting sqref="AU190">
    <cfRule type="expression" dxfId="11464" priority="15412">
      <formula>AU189="X"</formula>
    </cfRule>
    <cfRule type="expression" dxfId="11463" priority="15413">
      <formula>AU189="A"</formula>
    </cfRule>
    <cfRule type="expression" dxfId="11462" priority="15414">
      <formula>AU189="T"</formula>
    </cfRule>
  </conditionalFormatting>
  <conditionalFormatting sqref="AU192">
    <cfRule type="expression" dxfId="11461" priority="15409">
      <formula>AU191="X"</formula>
    </cfRule>
    <cfRule type="expression" dxfId="11460" priority="15410">
      <formula>AU191="A"</formula>
    </cfRule>
    <cfRule type="expression" dxfId="11459" priority="15411">
      <formula>AU191="T"</formula>
    </cfRule>
  </conditionalFormatting>
  <conditionalFormatting sqref="AU208">
    <cfRule type="expression" dxfId="11458" priority="15406">
      <formula>AU207="X"</formula>
    </cfRule>
    <cfRule type="expression" dxfId="11457" priority="15407">
      <formula>AU207="A"</formula>
    </cfRule>
    <cfRule type="expression" dxfId="11456" priority="15408">
      <formula>AU207="T"</formula>
    </cfRule>
  </conditionalFormatting>
  <conditionalFormatting sqref="AU211">
    <cfRule type="expression" dxfId="11455" priority="15403">
      <formula>AU211="X"</formula>
    </cfRule>
    <cfRule type="expression" dxfId="11454" priority="15404">
      <formula>AU211="A"</formula>
    </cfRule>
    <cfRule type="expression" dxfId="11453" priority="15405">
      <formula>AU211="T"</formula>
    </cfRule>
  </conditionalFormatting>
  <conditionalFormatting sqref="AU212">
    <cfRule type="expression" dxfId="11452" priority="15400">
      <formula>AU211="X"</formula>
    </cfRule>
    <cfRule type="expression" dxfId="11451" priority="15401">
      <formula>AU211="A"</formula>
    </cfRule>
    <cfRule type="expression" dxfId="11450" priority="15402">
      <formula>AU211="T"</formula>
    </cfRule>
  </conditionalFormatting>
  <conditionalFormatting sqref="AU213">
    <cfRule type="expression" dxfId="11449" priority="15397">
      <formula>AU213="X"</formula>
    </cfRule>
    <cfRule type="expression" dxfId="11448" priority="15398">
      <formula>AU213="A"</formula>
    </cfRule>
    <cfRule type="expression" dxfId="11447" priority="15399">
      <formula>AU213="T"</formula>
    </cfRule>
  </conditionalFormatting>
  <conditionalFormatting sqref="AU214">
    <cfRule type="expression" dxfId="11446" priority="15394">
      <formula>AU213="X"</formula>
    </cfRule>
    <cfRule type="expression" dxfId="11445" priority="15395">
      <formula>AU213="A"</formula>
    </cfRule>
    <cfRule type="expression" dxfId="11444" priority="15396">
      <formula>AU213="T"</formula>
    </cfRule>
  </conditionalFormatting>
  <conditionalFormatting sqref="AU215">
    <cfRule type="expression" dxfId="11443" priority="15391">
      <formula>AU215="X"</formula>
    </cfRule>
    <cfRule type="expression" dxfId="11442" priority="15392">
      <formula>AU215="A"</formula>
    </cfRule>
    <cfRule type="expression" dxfId="11441" priority="15393">
      <formula>AU215="T"</formula>
    </cfRule>
  </conditionalFormatting>
  <conditionalFormatting sqref="AU216">
    <cfRule type="expression" dxfId="11440" priority="15388">
      <formula>AU215="X"</formula>
    </cfRule>
    <cfRule type="expression" dxfId="11439" priority="15389">
      <formula>AU215="A"</formula>
    </cfRule>
    <cfRule type="expression" dxfId="11438" priority="15390">
      <formula>AU215="T"</formula>
    </cfRule>
  </conditionalFormatting>
  <conditionalFormatting sqref="AU217">
    <cfRule type="expression" dxfId="11437" priority="15385">
      <formula>AU217="X"</formula>
    </cfRule>
    <cfRule type="expression" dxfId="11436" priority="15386">
      <formula>AU217="A"</formula>
    </cfRule>
    <cfRule type="expression" dxfId="11435" priority="15387">
      <formula>AU217="T"</formula>
    </cfRule>
  </conditionalFormatting>
  <conditionalFormatting sqref="AU218">
    <cfRule type="expression" dxfId="11434" priority="15382">
      <formula>AU217="X"</formula>
    </cfRule>
    <cfRule type="expression" dxfId="11433" priority="15383">
      <formula>AU217="A"</formula>
    </cfRule>
    <cfRule type="expression" dxfId="11432" priority="15384">
      <formula>AU217="T"</formula>
    </cfRule>
  </conditionalFormatting>
  <conditionalFormatting sqref="AU219">
    <cfRule type="expression" dxfId="11431" priority="15379">
      <formula>AU219="X"</formula>
    </cfRule>
    <cfRule type="expression" dxfId="11430" priority="15380">
      <formula>AU219="A"</formula>
    </cfRule>
    <cfRule type="expression" dxfId="11429" priority="15381">
      <formula>AU219="T"</formula>
    </cfRule>
  </conditionalFormatting>
  <conditionalFormatting sqref="AU220">
    <cfRule type="expression" dxfId="11428" priority="15376">
      <formula>AU219="X"</formula>
    </cfRule>
    <cfRule type="expression" dxfId="11427" priority="15377">
      <formula>AU219="A"</formula>
    </cfRule>
    <cfRule type="expression" dxfId="11426" priority="15378">
      <formula>AU219="T"</formula>
    </cfRule>
  </conditionalFormatting>
  <conditionalFormatting sqref="AU221">
    <cfRule type="expression" dxfId="11425" priority="15373">
      <formula>AU221="X"</formula>
    </cfRule>
    <cfRule type="expression" dxfId="11424" priority="15374">
      <formula>AU221="A"</formula>
    </cfRule>
    <cfRule type="expression" dxfId="11423" priority="15375">
      <formula>AU221="T"</formula>
    </cfRule>
  </conditionalFormatting>
  <conditionalFormatting sqref="AU222">
    <cfRule type="expression" dxfId="11422" priority="15370">
      <formula>AU221="X"</formula>
    </cfRule>
    <cfRule type="expression" dxfId="11421" priority="15371">
      <formula>AU221="A"</formula>
    </cfRule>
    <cfRule type="expression" dxfId="11420" priority="15372">
      <formula>AU221="T"</formula>
    </cfRule>
  </conditionalFormatting>
  <conditionalFormatting sqref="AU223">
    <cfRule type="expression" dxfId="11419" priority="15367">
      <formula>AU223="X"</formula>
    </cfRule>
    <cfRule type="expression" dxfId="11418" priority="15368">
      <formula>AU223="A"</formula>
    </cfRule>
    <cfRule type="expression" dxfId="11417" priority="15369">
      <formula>AU223="T"</formula>
    </cfRule>
  </conditionalFormatting>
  <conditionalFormatting sqref="AU224">
    <cfRule type="expression" dxfId="11416" priority="15364">
      <formula>AU223="X"</formula>
    </cfRule>
    <cfRule type="expression" dxfId="11415" priority="15365">
      <formula>AU223="A"</formula>
    </cfRule>
    <cfRule type="expression" dxfId="11414" priority="15366">
      <formula>AU223="T"</formula>
    </cfRule>
  </conditionalFormatting>
  <conditionalFormatting sqref="AU4">
    <cfRule type="expression" dxfId="11413" priority="15361">
      <formula>AU4="X"</formula>
    </cfRule>
    <cfRule type="expression" dxfId="11412" priority="15362">
      <formula>AU4="A"</formula>
    </cfRule>
    <cfRule type="expression" dxfId="11411" priority="15363">
      <formula>AU4="T"</formula>
    </cfRule>
  </conditionalFormatting>
  <conditionalFormatting sqref="AU5">
    <cfRule type="expression" dxfId="11410" priority="15358">
      <formula>AU4="X"</formula>
    </cfRule>
    <cfRule type="expression" dxfId="11409" priority="15359">
      <formula>AU4="A"</formula>
    </cfRule>
    <cfRule type="expression" dxfId="11408" priority="15360">
      <formula>AU4="T"</formula>
    </cfRule>
  </conditionalFormatting>
  <conditionalFormatting sqref="AU6">
    <cfRule type="expression" dxfId="11407" priority="15355">
      <formula>AU6="X"</formula>
    </cfRule>
    <cfRule type="expression" dxfId="11406" priority="15356">
      <formula>AU6="A"</formula>
    </cfRule>
    <cfRule type="expression" dxfId="11405" priority="15357">
      <formula>AU6="T"</formula>
    </cfRule>
  </conditionalFormatting>
  <conditionalFormatting sqref="AU7">
    <cfRule type="expression" dxfId="11404" priority="15352">
      <formula>AU6="X"</formula>
    </cfRule>
    <cfRule type="expression" dxfId="11403" priority="15353">
      <formula>AU6="A"</formula>
    </cfRule>
    <cfRule type="expression" dxfId="11402" priority="15354">
      <formula>AU6="T"</formula>
    </cfRule>
  </conditionalFormatting>
  <conditionalFormatting sqref="AU8">
    <cfRule type="expression" dxfId="11401" priority="15349">
      <formula>AU8="X"</formula>
    </cfRule>
    <cfRule type="expression" dxfId="11400" priority="15350">
      <formula>AU8="A"</formula>
    </cfRule>
    <cfRule type="expression" dxfId="11399" priority="15351">
      <formula>AU8="T"</formula>
    </cfRule>
  </conditionalFormatting>
  <conditionalFormatting sqref="AU9">
    <cfRule type="expression" dxfId="11398" priority="15346">
      <formula>AU8="X"</formula>
    </cfRule>
    <cfRule type="expression" dxfId="11397" priority="15347">
      <formula>AU8="A"</formula>
    </cfRule>
    <cfRule type="expression" dxfId="11396" priority="15348">
      <formula>AU8="T"</formula>
    </cfRule>
  </conditionalFormatting>
  <conditionalFormatting sqref="AU74">
    <cfRule type="expression" dxfId="11395" priority="15343">
      <formula>AU74="X"</formula>
    </cfRule>
    <cfRule type="expression" dxfId="11394" priority="15344">
      <formula>AU74="A"</formula>
    </cfRule>
    <cfRule type="expression" dxfId="11393" priority="15345">
      <formula>AU74="T"</formula>
    </cfRule>
  </conditionalFormatting>
  <conditionalFormatting sqref="AU75">
    <cfRule type="expression" dxfId="11392" priority="15340">
      <formula>AU74="X"</formula>
    </cfRule>
    <cfRule type="expression" dxfId="11391" priority="15341">
      <formula>AU74="A"</formula>
    </cfRule>
    <cfRule type="expression" dxfId="11390" priority="15342">
      <formula>AU74="T"</formula>
    </cfRule>
  </conditionalFormatting>
  <conditionalFormatting sqref="AU76">
    <cfRule type="expression" dxfId="11389" priority="15337">
      <formula>AU76="X"</formula>
    </cfRule>
    <cfRule type="expression" dxfId="11388" priority="15338">
      <formula>AU76="A"</formula>
    </cfRule>
    <cfRule type="expression" dxfId="11387" priority="15339">
      <formula>AU76="T"</formula>
    </cfRule>
  </conditionalFormatting>
  <conditionalFormatting sqref="AU77">
    <cfRule type="expression" dxfId="11386" priority="15334">
      <formula>AU76="X"</formula>
    </cfRule>
    <cfRule type="expression" dxfId="11385" priority="15335">
      <formula>AU76="A"</formula>
    </cfRule>
    <cfRule type="expression" dxfId="11384" priority="15336">
      <formula>AU76="T"</formula>
    </cfRule>
  </conditionalFormatting>
  <conditionalFormatting sqref="AU78">
    <cfRule type="expression" dxfId="11383" priority="15331">
      <formula>AU78="X"</formula>
    </cfRule>
    <cfRule type="expression" dxfId="11382" priority="15332">
      <formula>AU78="A"</formula>
    </cfRule>
    <cfRule type="expression" dxfId="11381" priority="15333">
      <formula>AU78="T"</formula>
    </cfRule>
  </conditionalFormatting>
  <conditionalFormatting sqref="AU79">
    <cfRule type="expression" dxfId="11380" priority="15328">
      <formula>AU78="X"</formula>
    </cfRule>
    <cfRule type="expression" dxfId="11379" priority="15329">
      <formula>AU78="A"</formula>
    </cfRule>
    <cfRule type="expression" dxfId="11378" priority="15330">
      <formula>AU78="T"</formula>
    </cfRule>
  </conditionalFormatting>
  <conditionalFormatting sqref="AU134">
    <cfRule type="expression" dxfId="11377" priority="15325">
      <formula>AU134="X"</formula>
    </cfRule>
    <cfRule type="expression" dxfId="11376" priority="15326">
      <formula>AU134="A"</formula>
    </cfRule>
    <cfRule type="expression" dxfId="11375" priority="15327">
      <formula>AU134="T"</formula>
    </cfRule>
  </conditionalFormatting>
  <conditionalFormatting sqref="AU135">
    <cfRule type="expression" dxfId="11374" priority="15322">
      <formula>AU134="X"</formula>
    </cfRule>
    <cfRule type="expression" dxfId="11373" priority="15323">
      <formula>AU134="A"</formula>
    </cfRule>
    <cfRule type="expression" dxfId="11372" priority="15324">
      <formula>AU134="T"</formula>
    </cfRule>
  </conditionalFormatting>
  <conditionalFormatting sqref="AU136">
    <cfRule type="expression" dxfId="11371" priority="15319">
      <formula>AU136="X"</formula>
    </cfRule>
    <cfRule type="expression" dxfId="11370" priority="15320">
      <formula>AU136="A"</formula>
    </cfRule>
    <cfRule type="expression" dxfId="11369" priority="15321">
      <formula>AU136="T"</formula>
    </cfRule>
  </conditionalFormatting>
  <conditionalFormatting sqref="AU137">
    <cfRule type="expression" dxfId="11368" priority="15316">
      <formula>AU136="X"</formula>
    </cfRule>
    <cfRule type="expression" dxfId="11367" priority="15317">
      <formula>AU136="A"</formula>
    </cfRule>
    <cfRule type="expression" dxfId="11366" priority="15318">
      <formula>AU136="T"</formula>
    </cfRule>
  </conditionalFormatting>
  <conditionalFormatting sqref="AU138">
    <cfRule type="expression" dxfId="11365" priority="15313">
      <formula>AU138="X"</formula>
    </cfRule>
    <cfRule type="expression" dxfId="11364" priority="15314">
      <formula>AU138="A"</formula>
    </cfRule>
    <cfRule type="expression" dxfId="11363" priority="15315">
      <formula>AU138="T"</formula>
    </cfRule>
  </conditionalFormatting>
  <conditionalFormatting sqref="AU139">
    <cfRule type="expression" dxfId="11362" priority="15310">
      <formula>AU138="X"</formula>
    </cfRule>
    <cfRule type="expression" dxfId="11361" priority="15311">
      <formula>AU138="A"</formula>
    </cfRule>
    <cfRule type="expression" dxfId="11360" priority="15312">
      <formula>AU138="T"</formula>
    </cfRule>
  </conditionalFormatting>
  <conditionalFormatting sqref="AU10">
    <cfRule type="expression" dxfId="11359" priority="15307" stopIfTrue="1">
      <formula>AU4=""</formula>
    </cfRule>
  </conditionalFormatting>
  <conditionalFormatting sqref="AU10">
    <cfRule type="expression" dxfId="11358" priority="15308" stopIfTrue="1">
      <formula>AU10=1</formula>
    </cfRule>
    <cfRule type="colorScale" priority="15309">
      <colorScale>
        <cfvo type="num" val="0"/>
        <cfvo type="num" val="0.5"/>
        <cfvo type="num" val="1"/>
        <color rgb="FFF8696B"/>
        <color theme="4" tint="0.79998168889431442"/>
        <color rgb="FF5A8AC6"/>
      </colorScale>
    </cfRule>
  </conditionalFormatting>
  <conditionalFormatting sqref="AU15">
    <cfRule type="expression" dxfId="11357" priority="15304" stopIfTrue="1">
      <formula>AU11=""</formula>
    </cfRule>
  </conditionalFormatting>
  <conditionalFormatting sqref="AU15">
    <cfRule type="expression" dxfId="11356" priority="15305" stopIfTrue="1">
      <formula>AU15=1</formula>
    </cfRule>
    <cfRule type="colorScale" priority="15306">
      <colorScale>
        <cfvo type="num" val="0"/>
        <cfvo type="num" val="0.5"/>
        <cfvo type="num" val="1"/>
        <color rgb="FFF8696B"/>
        <color theme="4" tint="0.79998168889431442"/>
        <color rgb="FF5A8AC6"/>
      </colorScale>
    </cfRule>
  </conditionalFormatting>
  <conditionalFormatting sqref="AU38">
    <cfRule type="expression" dxfId="11355" priority="15301" stopIfTrue="1">
      <formula>AU16=""</formula>
    </cfRule>
  </conditionalFormatting>
  <conditionalFormatting sqref="AU38">
    <cfRule type="expression" dxfId="11354" priority="15302" stopIfTrue="1">
      <formula>AU38=1</formula>
    </cfRule>
    <cfRule type="colorScale" priority="15303">
      <colorScale>
        <cfvo type="num" val="0"/>
        <cfvo type="num" val="0.5"/>
        <cfvo type="num" val="1"/>
        <color rgb="FFF8696B"/>
        <color theme="4" tint="0.79998168889431442"/>
        <color rgb="FF5A8AC6"/>
      </colorScale>
    </cfRule>
  </conditionalFormatting>
  <conditionalFormatting sqref="AU47">
    <cfRule type="expression" dxfId="11353" priority="15298" stopIfTrue="1">
      <formula>AU39=""</formula>
    </cfRule>
  </conditionalFormatting>
  <conditionalFormatting sqref="AU47">
    <cfRule type="expression" dxfId="11352" priority="15299" stopIfTrue="1">
      <formula>AU47=1</formula>
    </cfRule>
    <cfRule type="colorScale" priority="15300">
      <colorScale>
        <cfvo type="num" val="0"/>
        <cfvo type="num" val="0.5"/>
        <cfvo type="num" val="1"/>
        <color rgb="FFF8696B"/>
        <color theme="4" tint="0.79998168889431442"/>
        <color rgb="FF5A8AC6"/>
      </colorScale>
    </cfRule>
  </conditionalFormatting>
  <conditionalFormatting sqref="AU69">
    <cfRule type="expression" dxfId="11351" priority="15292" stopIfTrue="1">
      <formula>AU63=""</formula>
    </cfRule>
  </conditionalFormatting>
  <conditionalFormatting sqref="AU69">
    <cfRule type="expression" dxfId="11350" priority="15293" stopIfTrue="1">
      <formula>AU69=1</formula>
    </cfRule>
    <cfRule type="colorScale" priority="15294">
      <colorScale>
        <cfvo type="num" val="0"/>
        <cfvo type="num" val="0.5"/>
        <cfvo type="num" val="1"/>
        <color rgb="FFF8696B"/>
        <color theme="4" tint="0.79998168889431442"/>
        <color rgb="FF5A8AC6"/>
      </colorScale>
    </cfRule>
  </conditionalFormatting>
  <conditionalFormatting sqref="AU80">
    <cfRule type="expression" dxfId="11349" priority="15289" stopIfTrue="1">
      <formula>AU74=""</formula>
    </cfRule>
  </conditionalFormatting>
  <conditionalFormatting sqref="AU80">
    <cfRule type="expression" dxfId="11348" priority="15290" stopIfTrue="1">
      <formula>AU80=1</formula>
    </cfRule>
    <cfRule type="colorScale" priority="15291">
      <colorScale>
        <cfvo type="num" val="0"/>
        <cfvo type="num" val="0.5"/>
        <cfvo type="num" val="1"/>
        <color rgb="FFF8696B"/>
        <color theme="4" tint="0.79998168889431442"/>
        <color rgb="FF5A8AC6"/>
      </colorScale>
    </cfRule>
  </conditionalFormatting>
  <conditionalFormatting sqref="AU87">
    <cfRule type="expression" dxfId="11347" priority="15286" stopIfTrue="1">
      <formula>AU81=""</formula>
    </cfRule>
  </conditionalFormatting>
  <conditionalFormatting sqref="AU87">
    <cfRule type="expression" dxfId="11346" priority="15287" stopIfTrue="1">
      <formula>AU87=1</formula>
    </cfRule>
    <cfRule type="colorScale" priority="15288">
      <colorScale>
        <cfvo type="num" val="0"/>
        <cfvo type="num" val="0.5"/>
        <cfvo type="num" val="1"/>
        <color rgb="FFF8696B"/>
        <color theme="4" tint="0.79998168889431442"/>
        <color rgb="FF5A8AC6"/>
      </colorScale>
    </cfRule>
  </conditionalFormatting>
  <conditionalFormatting sqref="AU104">
    <cfRule type="expression" dxfId="11345" priority="15283" stopIfTrue="1">
      <formula>AU88=""</formula>
    </cfRule>
  </conditionalFormatting>
  <conditionalFormatting sqref="AU104">
    <cfRule type="expression" dxfId="11344" priority="15284" stopIfTrue="1">
      <formula>AU104=1</formula>
    </cfRule>
    <cfRule type="colorScale" priority="15285">
      <colorScale>
        <cfvo type="num" val="0"/>
        <cfvo type="num" val="0.5"/>
        <cfvo type="num" val="1"/>
        <color rgb="FFF8696B"/>
        <color theme="4" tint="0.79998168889431442"/>
        <color rgb="FF5A8AC6"/>
      </colorScale>
    </cfRule>
  </conditionalFormatting>
  <conditionalFormatting sqref="AU115">
    <cfRule type="expression" dxfId="11343" priority="15280" stopIfTrue="1">
      <formula>AU105=""</formula>
    </cfRule>
  </conditionalFormatting>
  <conditionalFormatting sqref="AU115">
    <cfRule type="expression" dxfId="11342" priority="15281" stopIfTrue="1">
      <formula>AU115=1</formula>
    </cfRule>
    <cfRule type="colorScale" priority="15282">
      <colorScale>
        <cfvo type="num" val="0"/>
        <cfvo type="num" val="0.5"/>
        <cfvo type="num" val="1"/>
        <color rgb="FFF8696B"/>
        <color theme="4" tint="0.79998168889431442"/>
        <color rgb="FF5A8AC6"/>
      </colorScale>
    </cfRule>
  </conditionalFormatting>
  <conditionalFormatting sqref="AU124">
    <cfRule type="expression" dxfId="11341" priority="15277" stopIfTrue="1">
      <formula>AU116=""</formula>
    </cfRule>
  </conditionalFormatting>
  <conditionalFormatting sqref="AU124">
    <cfRule type="expression" dxfId="11340" priority="15278" stopIfTrue="1">
      <formula>AU124=1</formula>
    </cfRule>
    <cfRule type="colorScale" priority="15279">
      <colorScale>
        <cfvo type="num" val="0"/>
        <cfvo type="num" val="0.5"/>
        <cfvo type="num" val="1"/>
        <color rgb="FFF8696B"/>
        <color theme="4" tint="0.79998168889431442"/>
        <color rgb="FF5A8AC6"/>
      </colorScale>
    </cfRule>
  </conditionalFormatting>
  <conditionalFormatting sqref="AU129">
    <cfRule type="expression" dxfId="11339" priority="15274" stopIfTrue="1">
      <formula>AU125=""</formula>
    </cfRule>
  </conditionalFormatting>
  <conditionalFormatting sqref="AU129">
    <cfRule type="expression" dxfId="11338" priority="15275" stopIfTrue="1">
      <formula>AU129=1</formula>
    </cfRule>
    <cfRule type="colorScale" priority="15276">
      <colorScale>
        <cfvo type="num" val="0"/>
        <cfvo type="num" val="0.5"/>
        <cfvo type="num" val="1"/>
        <color rgb="FFF8696B"/>
        <color theme="4" tint="0.79998168889431442"/>
        <color rgb="FF5A8AC6"/>
      </colorScale>
    </cfRule>
  </conditionalFormatting>
  <conditionalFormatting sqref="AU140">
    <cfRule type="expression" dxfId="11337" priority="15271" stopIfTrue="1">
      <formula>AU134=""</formula>
    </cfRule>
  </conditionalFormatting>
  <conditionalFormatting sqref="AU140">
    <cfRule type="expression" dxfId="11336" priority="15272" stopIfTrue="1">
      <formula>AU140=1</formula>
    </cfRule>
    <cfRule type="colorScale" priority="15273">
      <colorScale>
        <cfvo type="num" val="0"/>
        <cfvo type="num" val="0.5"/>
        <cfvo type="num" val="1"/>
        <color rgb="FFF8696B"/>
        <color theme="4" tint="0.79998168889431442"/>
        <color rgb="FF5A8AC6"/>
      </colorScale>
    </cfRule>
  </conditionalFormatting>
  <conditionalFormatting sqref="AU145">
    <cfRule type="expression" dxfId="11335" priority="15268" stopIfTrue="1">
      <formula>AU141=""</formula>
    </cfRule>
  </conditionalFormatting>
  <conditionalFormatting sqref="AU145">
    <cfRule type="expression" dxfId="11334" priority="15269" stopIfTrue="1">
      <formula>AU145=1</formula>
    </cfRule>
    <cfRule type="colorScale" priority="15270">
      <colorScale>
        <cfvo type="num" val="0"/>
        <cfvo type="num" val="0.5"/>
        <cfvo type="num" val="1"/>
        <color rgb="FFF8696B"/>
        <color theme="4" tint="0.79998168889431442"/>
        <color rgb="FF5A8AC6"/>
      </colorScale>
    </cfRule>
  </conditionalFormatting>
  <conditionalFormatting sqref="AU153">
    <cfRule type="expression" dxfId="11333" priority="15265" stopIfTrue="1">
      <formula>AU149=""</formula>
    </cfRule>
  </conditionalFormatting>
  <conditionalFormatting sqref="AU153">
    <cfRule type="expression" dxfId="11332" priority="15266" stopIfTrue="1">
      <formula>AU153=1</formula>
    </cfRule>
    <cfRule type="colorScale" priority="15267">
      <colorScale>
        <cfvo type="num" val="0"/>
        <cfvo type="num" val="0.5"/>
        <cfvo type="num" val="1"/>
        <color rgb="FFF8696B"/>
        <color theme="4" tint="0.79998168889431442"/>
        <color rgb="FF5A8AC6"/>
      </colorScale>
    </cfRule>
  </conditionalFormatting>
  <conditionalFormatting sqref="AU165">
    <cfRule type="expression" dxfId="11331" priority="15262" stopIfTrue="1">
      <formula>AU155=""</formula>
    </cfRule>
  </conditionalFormatting>
  <conditionalFormatting sqref="AU165">
    <cfRule type="expression" dxfId="11330" priority="15263" stopIfTrue="1">
      <formula>AU165=1</formula>
    </cfRule>
    <cfRule type="colorScale" priority="15264">
      <colorScale>
        <cfvo type="num" val="0"/>
        <cfvo type="num" val="0.5"/>
        <cfvo type="num" val="1"/>
        <color rgb="FFF8696B"/>
        <color theme="4" tint="0.79998168889431442"/>
        <color rgb="FF5A8AC6"/>
      </colorScale>
    </cfRule>
  </conditionalFormatting>
  <conditionalFormatting sqref="AU187">
    <cfRule type="expression" dxfId="11329" priority="15259" stopIfTrue="1">
      <formula>AU183=""</formula>
    </cfRule>
  </conditionalFormatting>
  <conditionalFormatting sqref="AU187">
    <cfRule type="expression" dxfId="11328" priority="15260" stopIfTrue="1">
      <formula>AU187=1</formula>
    </cfRule>
    <cfRule type="colorScale" priority="15261">
      <colorScale>
        <cfvo type="num" val="0"/>
        <cfvo type="num" val="0.5"/>
        <cfvo type="num" val="1"/>
        <color rgb="FFF8696B"/>
        <color theme="4" tint="0.79998168889431442"/>
        <color rgb="FF5A8AC6"/>
      </colorScale>
    </cfRule>
  </conditionalFormatting>
  <conditionalFormatting sqref="AU193">
    <cfRule type="expression" dxfId="11327" priority="15256" stopIfTrue="1">
      <formula>AU189=""</formula>
    </cfRule>
  </conditionalFormatting>
  <conditionalFormatting sqref="AU193">
    <cfRule type="expression" dxfId="11326" priority="15257" stopIfTrue="1">
      <formula>AU193=1</formula>
    </cfRule>
    <cfRule type="colorScale" priority="15258">
      <colorScale>
        <cfvo type="num" val="0"/>
        <cfvo type="num" val="0.5"/>
        <cfvo type="num" val="1"/>
        <color rgb="FFF8696B"/>
        <color theme="4" tint="0.79998168889431442"/>
        <color rgb="FF5A8AC6"/>
      </colorScale>
    </cfRule>
  </conditionalFormatting>
  <conditionalFormatting sqref="AU181">
    <cfRule type="expression" dxfId="11325" priority="15253" stopIfTrue="1">
      <formula>AU167=""</formula>
    </cfRule>
  </conditionalFormatting>
  <conditionalFormatting sqref="AU181">
    <cfRule type="expression" dxfId="11324" priority="15254" stopIfTrue="1">
      <formula>AU181=1</formula>
    </cfRule>
    <cfRule type="colorScale" priority="15255">
      <colorScale>
        <cfvo type="num" val="0"/>
        <cfvo type="num" val="0.5"/>
        <cfvo type="num" val="1"/>
        <color rgb="FFF8696B"/>
        <color theme="4" tint="0.79998168889431442"/>
        <color rgb="FF5A8AC6"/>
      </colorScale>
    </cfRule>
  </conditionalFormatting>
  <conditionalFormatting sqref="AU209">
    <cfRule type="expression" dxfId="11323" priority="15250" stopIfTrue="1">
      <formula>AU195=""</formula>
    </cfRule>
  </conditionalFormatting>
  <conditionalFormatting sqref="AU209">
    <cfRule type="expression" dxfId="11322" priority="15251" stopIfTrue="1">
      <formula>AU209=1</formula>
    </cfRule>
    <cfRule type="colorScale" priority="15252">
      <colorScale>
        <cfvo type="num" val="0"/>
        <cfvo type="num" val="0.5"/>
        <cfvo type="num" val="1"/>
        <color rgb="FFF8696B"/>
        <color theme="4" tint="0.79998168889431442"/>
        <color rgb="FF5A8AC6"/>
      </colorScale>
    </cfRule>
  </conditionalFormatting>
  <conditionalFormatting sqref="AU225">
    <cfRule type="expression" dxfId="11321" priority="15247" stopIfTrue="1">
      <formula>AU211=""</formula>
    </cfRule>
  </conditionalFormatting>
  <conditionalFormatting sqref="AU225">
    <cfRule type="expression" dxfId="11320" priority="15248" stopIfTrue="1">
      <formula>AU225=1</formula>
    </cfRule>
    <cfRule type="colorScale" priority="15249">
      <colorScale>
        <cfvo type="num" val="0"/>
        <cfvo type="num" val="0.5"/>
        <cfvo type="num" val="1"/>
        <color rgb="FFF8696B"/>
        <color theme="4" tint="0.79998168889431442"/>
        <color rgb="FF5A8AC6"/>
      </colorScale>
    </cfRule>
  </conditionalFormatting>
  <conditionalFormatting sqref="AU71">
    <cfRule type="expression" dxfId="11319" priority="15233" stopIfTrue="1">
      <formula>AU71=1</formula>
    </cfRule>
    <cfRule type="colorScale" priority="15234">
      <colorScale>
        <cfvo type="num" val="0"/>
        <cfvo type="num" val="0.5"/>
        <cfvo type="num" val="1"/>
        <color rgb="FFF8696B"/>
        <color theme="4" tint="0.79998168889431442"/>
        <color rgb="FF5A8AC6"/>
      </colorScale>
    </cfRule>
  </conditionalFormatting>
  <conditionalFormatting sqref="AU147">
    <cfRule type="expression" dxfId="11318" priority="15238" stopIfTrue="1">
      <formula>AU134=""</formula>
    </cfRule>
  </conditionalFormatting>
  <conditionalFormatting sqref="AU147">
    <cfRule type="expression" dxfId="11317" priority="15239" stopIfTrue="1">
      <formula>AU147=1</formula>
    </cfRule>
    <cfRule type="colorScale" priority="15240">
      <colorScale>
        <cfvo type="num" val="0"/>
        <cfvo type="num" val="0.5"/>
        <cfvo type="num" val="1"/>
        <color rgb="FFF8696B"/>
        <color theme="4" tint="0.79998168889431442"/>
        <color rgb="FF5A8AC6"/>
      </colorScale>
    </cfRule>
  </conditionalFormatting>
  <conditionalFormatting sqref="AU131">
    <cfRule type="expression" dxfId="11316" priority="15235" stopIfTrue="1">
      <formula>AU74=""</formula>
    </cfRule>
  </conditionalFormatting>
  <conditionalFormatting sqref="AU131">
    <cfRule type="expression" dxfId="11315" priority="15236" stopIfTrue="1">
      <formula>AU131=1</formula>
    </cfRule>
    <cfRule type="colorScale" priority="15237">
      <colorScale>
        <cfvo type="num" val="0"/>
        <cfvo type="num" val="0.5"/>
        <cfvo type="num" val="1"/>
        <color rgb="FFF8696B"/>
        <color theme="4" tint="0.79998168889431442"/>
        <color rgb="FF5A8AC6"/>
      </colorScale>
    </cfRule>
  </conditionalFormatting>
  <conditionalFormatting sqref="AU71">
    <cfRule type="expression" dxfId="11314" priority="15232" stopIfTrue="1">
      <formula>AU65=""</formula>
    </cfRule>
  </conditionalFormatting>
  <conditionalFormatting sqref="AU195">
    <cfRule type="expression" dxfId="11313" priority="15229">
      <formula>AU195="X"</formula>
    </cfRule>
    <cfRule type="expression" dxfId="11312" priority="15230">
      <formula>AU195="A"</formula>
    </cfRule>
    <cfRule type="expression" dxfId="11311" priority="15231">
      <formula>AU195="T"</formula>
    </cfRule>
  </conditionalFormatting>
  <conditionalFormatting sqref="AU203">
    <cfRule type="expression" dxfId="11310" priority="15226">
      <formula>AU203="X"</formula>
    </cfRule>
    <cfRule type="expression" dxfId="11309" priority="15227">
      <formula>AU203="A"</formula>
    </cfRule>
    <cfRule type="expression" dxfId="11308" priority="15228">
      <formula>AU203="T"</formula>
    </cfRule>
  </conditionalFormatting>
  <conditionalFormatting sqref="AU205">
    <cfRule type="expression" dxfId="11307" priority="15223">
      <formula>AU205="X"</formula>
    </cfRule>
    <cfRule type="expression" dxfId="11306" priority="15224">
      <formula>AU205="A"</formula>
    </cfRule>
    <cfRule type="expression" dxfId="11305" priority="15225">
      <formula>AU205="T"</formula>
    </cfRule>
  </conditionalFormatting>
  <conditionalFormatting sqref="AU207">
    <cfRule type="expression" dxfId="11304" priority="15220">
      <formula>AU207="X"</formula>
    </cfRule>
    <cfRule type="expression" dxfId="11303" priority="15221">
      <formula>AU207="A"</formula>
    </cfRule>
    <cfRule type="expression" dxfId="11302" priority="15222">
      <formula>AU207="T"</formula>
    </cfRule>
  </conditionalFormatting>
  <conditionalFormatting sqref="AU204">
    <cfRule type="expression" dxfId="11301" priority="15217">
      <formula>AU203="X"</formula>
    </cfRule>
    <cfRule type="expression" dxfId="11300" priority="15218">
      <formula>AU203="A"</formula>
    </cfRule>
    <cfRule type="expression" dxfId="11299" priority="15219">
      <formula>AU203="T"</formula>
    </cfRule>
  </conditionalFormatting>
  <conditionalFormatting sqref="AU206">
    <cfRule type="expression" dxfId="11298" priority="15214">
      <formula>AU205="X"</formula>
    </cfRule>
    <cfRule type="expression" dxfId="11297" priority="15215">
      <formula>AU205="A"</formula>
    </cfRule>
    <cfRule type="expression" dxfId="11296" priority="15216">
      <formula>AU205="T"</formula>
    </cfRule>
  </conditionalFormatting>
  <conditionalFormatting sqref="AU196">
    <cfRule type="expression" dxfId="11295" priority="15211">
      <formula>AU195="X"</formula>
    </cfRule>
    <cfRule type="expression" dxfId="11294" priority="15212">
      <formula>AU195="A"</formula>
    </cfRule>
    <cfRule type="expression" dxfId="11293" priority="15213">
      <formula>AU195="T"</formula>
    </cfRule>
  </conditionalFormatting>
  <conditionalFormatting sqref="AU197">
    <cfRule type="expression" dxfId="11292" priority="15208">
      <formula>AU197="X"</formula>
    </cfRule>
    <cfRule type="expression" dxfId="11291" priority="15209">
      <formula>AU197="A"</formula>
    </cfRule>
    <cfRule type="expression" dxfId="11290" priority="15210">
      <formula>AU197="T"</formula>
    </cfRule>
  </conditionalFormatting>
  <conditionalFormatting sqref="AU198">
    <cfRule type="expression" dxfId="11289" priority="15205">
      <formula>AU197="X"</formula>
    </cfRule>
    <cfRule type="expression" dxfId="11288" priority="15206">
      <formula>AU197="A"</formula>
    </cfRule>
    <cfRule type="expression" dxfId="11287" priority="15207">
      <formula>AU197="T"</formula>
    </cfRule>
  </conditionalFormatting>
  <conditionalFormatting sqref="AU199">
    <cfRule type="expression" dxfId="11286" priority="15202">
      <formula>AU199="X"</formula>
    </cfRule>
    <cfRule type="expression" dxfId="11285" priority="15203">
      <formula>AU199="A"</formula>
    </cfRule>
    <cfRule type="expression" dxfId="11284" priority="15204">
      <formula>AU199="T"</formula>
    </cfRule>
  </conditionalFormatting>
  <conditionalFormatting sqref="AU200">
    <cfRule type="expression" dxfId="11283" priority="15199">
      <formula>AU199="X"</formula>
    </cfRule>
    <cfRule type="expression" dxfId="11282" priority="15200">
      <formula>AU199="A"</formula>
    </cfRule>
    <cfRule type="expression" dxfId="11281" priority="15201">
      <formula>AU199="T"</formula>
    </cfRule>
  </conditionalFormatting>
  <conditionalFormatting sqref="AU201">
    <cfRule type="expression" dxfId="11280" priority="15196">
      <formula>AU201="X"</formula>
    </cfRule>
    <cfRule type="expression" dxfId="11279" priority="15197">
      <formula>AU201="A"</formula>
    </cfRule>
    <cfRule type="expression" dxfId="11278" priority="15198">
      <formula>AU201="T"</formula>
    </cfRule>
  </conditionalFormatting>
  <conditionalFormatting sqref="AU202">
    <cfRule type="expression" dxfId="11277" priority="15193">
      <formula>AU201="X"</formula>
    </cfRule>
    <cfRule type="expression" dxfId="11276" priority="15194">
      <formula>AU201="A"</formula>
    </cfRule>
    <cfRule type="expression" dxfId="11275" priority="15195">
      <formula>AU201="T"</formula>
    </cfRule>
  </conditionalFormatting>
  <conditionalFormatting sqref="AQ16 AQ18 AQ20 AQ22 AQ24 AQ26 AQ28 AQ39 AQ41 AQ43 AQ45 AQ48 AQ81 AQ88 AQ90 AQ92 AQ94 AQ96 AQ98 AQ100 AQ102 AQ105 AQ107 AQ109 AQ111 AQ116">
    <cfRule type="expression" dxfId="11274" priority="15188">
      <formula>AQ16="X"</formula>
    </cfRule>
    <cfRule type="expression" dxfId="11273" priority="15189">
      <formula>AQ16="A"</formula>
    </cfRule>
    <cfRule type="expression" dxfId="11272" priority="15190">
      <formula>AQ16="T"</formula>
    </cfRule>
  </conditionalFormatting>
  <conditionalFormatting sqref="AQ36">
    <cfRule type="expression" dxfId="11271" priority="15185">
      <formula>AQ36="X"</formula>
    </cfRule>
    <cfRule type="expression" dxfId="11270" priority="15186">
      <formula>AQ36="A"</formula>
    </cfRule>
    <cfRule type="expression" dxfId="11269" priority="15187">
      <formula>AQ36="T"</formula>
    </cfRule>
  </conditionalFormatting>
  <conditionalFormatting sqref="AQ34">
    <cfRule type="expression" dxfId="11268" priority="15182">
      <formula>AQ34="X"</formula>
    </cfRule>
    <cfRule type="expression" dxfId="11267" priority="15183">
      <formula>AQ34="A"</formula>
    </cfRule>
    <cfRule type="expression" dxfId="11266" priority="15184">
      <formula>AQ34="T"</formula>
    </cfRule>
  </conditionalFormatting>
  <conditionalFormatting sqref="AQ32">
    <cfRule type="expression" dxfId="11265" priority="15179">
      <formula>AQ32="X"</formula>
    </cfRule>
    <cfRule type="expression" dxfId="11264" priority="15180">
      <formula>AQ32="A"</formula>
    </cfRule>
    <cfRule type="expression" dxfId="11263" priority="15181">
      <formula>AQ32="T"</formula>
    </cfRule>
  </conditionalFormatting>
  <conditionalFormatting sqref="AQ30">
    <cfRule type="expression" dxfId="11262" priority="15176">
      <formula>AQ30="X"</formula>
    </cfRule>
    <cfRule type="expression" dxfId="11261" priority="15177">
      <formula>AQ30="A"</formula>
    </cfRule>
    <cfRule type="expression" dxfId="11260" priority="15178">
      <formula>AQ30="T"</formula>
    </cfRule>
  </conditionalFormatting>
  <conditionalFormatting sqref="AQ52">
    <cfRule type="expression" dxfId="11259" priority="15173">
      <formula>AQ52="X"</formula>
    </cfRule>
    <cfRule type="expression" dxfId="11258" priority="15174">
      <formula>AQ52="A"</formula>
    </cfRule>
    <cfRule type="expression" dxfId="11257" priority="15175">
      <formula>AQ52="T"</formula>
    </cfRule>
  </conditionalFormatting>
  <conditionalFormatting sqref="AQ50">
    <cfRule type="expression" dxfId="11256" priority="15170">
      <formula>AQ50="X"</formula>
    </cfRule>
    <cfRule type="expression" dxfId="11255" priority="15171">
      <formula>AQ50="A"</formula>
    </cfRule>
    <cfRule type="expression" dxfId="11254" priority="15172">
      <formula>AQ50="T"</formula>
    </cfRule>
  </conditionalFormatting>
  <conditionalFormatting sqref="AQ54">
    <cfRule type="expression" dxfId="11253" priority="15167">
      <formula>AQ54="X"</formula>
    </cfRule>
    <cfRule type="expression" dxfId="11252" priority="15168">
      <formula>AQ54="A"</formula>
    </cfRule>
    <cfRule type="expression" dxfId="11251" priority="15169">
      <formula>AQ54="T"</formula>
    </cfRule>
  </conditionalFormatting>
  <conditionalFormatting sqref="AQ56">
    <cfRule type="expression" dxfId="11250" priority="15164">
      <formula>AQ56="X"</formula>
    </cfRule>
    <cfRule type="expression" dxfId="11249" priority="15165">
      <formula>AQ56="A"</formula>
    </cfRule>
    <cfRule type="expression" dxfId="11248" priority="15166">
      <formula>AQ56="T"</formula>
    </cfRule>
  </conditionalFormatting>
  <conditionalFormatting sqref="AQ58">
    <cfRule type="expression" dxfId="11247" priority="15161">
      <formula>AQ58="X"</formula>
    </cfRule>
    <cfRule type="expression" dxfId="11246" priority="15162">
      <formula>AQ58="A"</formula>
    </cfRule>
    <cfRule type="expression" dxfId="11245" priority="15163">
      <formula>AQ58="T"</formula>
    </cfRule>
  </conditionalFormatting>
  <conditionalFormatting sqref="AQ63">
    <cfRule type="expression" dxfId="11244" priority="15158">
      <formula>AQ63="X"</formula>
    </cfRule>
    <cfRule type="expression" dxfId="11243" priority="15159">
      <formula>AQ63="A"</formula>
    </cfRule>
    <cfRule type="expression" dxfId="11242" priority="15160">
      <formula>AQ63="T"</formula>
    </cfRule>
  </conditionalFormatting>
  <conditionalFormatting sqref="AQ65">
    <cfRule type="expression" dxfId="11241" priority="15155">
      <formula>AQ65="X"</formula>
    </cfRule>
    <cfRule type="expression" dxfId="11240" priority="15156">
      <formula>AQ65="A"</formula>
    </cfRule>
    <cfRule type="expression" dxfId="11239" priority="15157">
      <formula>AQ65="T"</formula>
    </cfRule>
  </conditionalFormatting>
  <conditionalFormatting sqref="AQ83">
    <cfRule type="expression" dxfId="11238" priority="15152">
      <formula>AQ83="X"</formula>
    </cfRule>
    <cfRule type="expression" dxfId="11237" priority="15153">
      <formula>AQ83="A"</formula>
    </cfRule>
    <cfRule type="expression" dxfId="11236" priority="15154">
      <formula>AQ83="T"</formula>
    </cfRule>
  </conditionalFormatting>
  <conditionalFormatting sqref="AQ85">
    <cfRule type="expression" dxfId="11235" priority="15149">
      <formula>AQ85="X"</formula>
    </cfRule>
    <cfRule type="expression" dxfId="11234" priority="15150">
      <formula>AQ85="A"</formula>
    </cfRule>
    <cfRule type="expression" dxfId="11233" priority="15151">
      <formula>AQ85="T"</formula>
    </cfRule>
  </conditionalFormatting>
  <conditionalFormatting sqref="AQ67">
    <cfRule type="expression" dxfId="11232" priority="15146">
      <formula>AQ67="X"</formula>
    </cfRule>
    <cfRule type="expression" dxfId="11231" priority="15147">
      <formula>AQ67="A"</formula>
    </cfRule>
    <cfRule type="expression" dxfId="11230" priority="15148">
      <formula>AQ67="T"</formula>
    </cfRule>
  </conditionalFormatting>
  <conditionalFormatting sqref="AQ113">
    <cfRule type="expression" dxfId="11229" priority="15143">
      <formula>AQ113="X"</formula>
    </cfRule>
    <cfRule type="expression" dxfId="11228" priority="15144">
      <formula>AQ113="A"</formula>
    </cfRule>
    <cfRule type="expression" dxfId="11227" priority="15145">
      <formula>AQ113="T"</formula>
    </cfRule>
  </conditionalFormatting>
  <conditionalFormatting sqref="AQ118">
    <cfRule type="expression" dxfId="11226" priority="15140">
      <formula>AQ118="X"</formula>
    </cfRule>
    <cfRule type="expression" dxfId="11225" priority="15141">
      <formula>AQ118="A"</formula>
    </cfRule>
    <cfRule type="expression" dxfId="11224" priority="15142">
      <formula>AQ118="T"</formula>
    </cfRule>
  </conditionalFormatting>
  <conditionalFormatting sqref="AQ120">
    <cfRule type="expression" dxfId="11223" priority="15137">
      <formula>AQ120="X"</formula>
    </cfRule>
    <cfRule type="expression" dxfId="11222" priority="15138">
      <formula>AQ120="A"</formula>
    </cfRule>
    <cfRule type="expression" dxfId="11221" priority="15139">
      <formula>AQ120="T"</formula>
    </cfRule>
  </conditionalFormatting>
  <conditionalFormatting sqref="AQ122">
    <cfRule type="expression" dxfId="11220" priority="15134">
      <formula>AQ122="X"</formula>
    </cfRule>
    <cfRule type="expression" dxfId="11219" priority="15135">
      <formula>AQ122="A"</formula>
    </cfRule>
    <cfRule type="expression" dxfId="11218" priority="15136">
      <formula>AQ122="T"</formula>
    </cfRule>
  </conditionalFormatting>
  <conditionalFormatting sqref="AQ125">
    <cfRule type="expression" dxfId="11217" priority="15131">
      <formula>AQ125="X"</formula>
    </cfRule>
    <cfRule type="expression" dxfId="11216" priority="15132">
      <formula>AQ125="A"</formula>
    </cfRule>
    <cfRule type="expression" dxfId="11215" priority="15133">
      <formula>AQ125="T"</formula>
    </cfRule>
  </conditionalFormatting>
  <conditionalFormatting sqref="AQ127">
    <cfRule type="expression" dxfId="11214" priority="15128">
      <formula>AQ127="X"</formula>
    </cfRule>
    <cfRule type="expression" dxfId="11213" priority="15129">
      <formula>AQ127="A"</formula>
    </cfRule>
    <cfRule type="expression" dxfId="11212" priority="15130">
      <formula>AQ127="T"</formula>
    </cfRule>
  </conditionalFormatting>
  <conditionalFormatting sqref="AQ141">
    <cfRule type="expression" dxfId="11211" priority="15125">
      <formula>AQ141="X"</formula>
    </cfRule>
    <cfRule type="expression" dxfId="11210" priority="15126">
      <formula>AQ141="A"</formula>
    </cfRule>
    <cfRule type="expression" dxfId="11209" priority="15127">
      <formula>AQ141="T"</formula>
    </cfRule>
  </conditionalFormatting>
  <conditionalFormatting sqref="AQ143">
    <cfRule type="expression" dxfId="11208" priority="15122">
      <formula>AQ143="X"</formula>
    </cfRule>
    <cfRule type="expression" dxfId="11207" priority="15123">
      <formula>AQ143="A"</formula>
    </cfRule>
    <cfRule type="expression" dxfId="11206" priority="15124">
      <formula>AQ143="T"</formula>
    </cfRule>
  </conditionalFormatting>
  <conditionalFormatting sqref="AQ149">
    <cfRule type="expression" dxfId="11205" priority="15119">
      <formula>AQ149="X"</formula>
    </cfRule>
    <cfRule type="expression" dxfId="11204" priority="15120">
      <formula>AQ149="A"</formula>
    </cfRule>
    <cfRule type="expression" dxfId="11203" priority="15121">
      <formula>AQ149="T"</formula>
    </cfRule>
  </conditionalFormatting>
  <conditionalFormatting sqref="AQ151">
    <cfRule type="expression" dxfId="11202" priority="15116">
      <formula>AQ151="X"</formula>
    </cfRule>
    <cfRule type="expression" dxfId="11201" priority="15117">
      <formula>AQ151="A"</formula>
    </cfRule>
    <cfRule type="expression" dxfId="11200" priority="15118">
      <formula>AQ151="T"</formula>
    </cfRule>
  </conditionalFormatting>
  <conditionalFormatting sqref="AQ155">
    <cfRule type="expression" dxfId="11199" priority="15113">
      <formula>AQ155="X"</formula>
    </cfRule>
    <cfRule type="expression" dxfId="11198" priority="15114">
      <formula>AQ155="A"</formula>
    </cfRule>
    <cfRule type="expression" dxfId="11197" priority="15115">
      <formula>AQ155="T"</formula>
    </cfRule>
  </conditionalFormatting>
  <conditionalFormatting sqref="AQ157">
    <cfRule type="expression" dxfId="11196" priority="15110">
      <formula>AQ157="X"</formula>
    </cfRule>
    <cfRule type="expression" dxfId="11195" priority="15111">
      <formula>AQ157="A"</formula>
    </cfRule>
    <cfRule type="expression" dxfId="11194" priority="15112">
      <formula>AQ157="T"</formula>
    </cfRule>
  </conditionalFormatting>
  <conditionalFormatting sqref="AQ167">
    <cfRule type="expression" dxfId="11193" priority="15107">
      <formula>AQ167="X"</formula>
    </cfRule>
    <cfRule type="expression" dxfId="11192" priority="15108">
      <formula>AQ167="A"</formula>
    </cfRule>
    <cfRule type="expression" dxfId="11191" priority="15109">
      <formula>AQ167="T"</formula>
    </cfRule>
  </conditionalFormatting>
  <conditionalFormatting sqref="AQ173">
    <cfRule type="expression" dxfId="11190" priority="15104">
      <formula>AQ173="X"</formula>
    </cfRule>
    <cfRule type="expression" dxfId="11189" priority="15105">
      <formula>AQ173="A"</formula>
    </cfRule>
    <cfRule type="expression" dxfId="11188" priority="15106">
      <formula>AQ173="T"</formula>
    </cfRule>
  </conditionalFormatting>
  <conditionalFormatting sqref="AQ175">
    <cfRule type="expression" dxfId="11187" priority="15101">
      <formula>AQ175="X"</formula>
    </cfRule>
    <cfRule type="expression" dxfId="11186" priority="15102">
      <formula>AQ175="A"</formula>
    </cfRule>
    <cfRule type="expression" dxfId="11185" priority="15103">
      <formula>AQ175="T"</formula>
    </cfRule>
  </conditionalFormatting>
  <conditionalFormatting sqref="AQ177">
    <cfRule type="expression" dxfId="11184" priority="15098">
      <formula>AQ177="X"</formula>
    </cfRule>
    <cfRule type="expression" dxfId="11183" priority="15099">
      <formula>AQ177="A"</formula>
    </cfRule>
    <cfRule type="expression" dxfId="11182" priority="15100">
      <formula>AQ177="T"</formula>
    </cfRule>
  </conditionalFormatting>
  <conditionalFormatting sqref="AQ179">
    <cfRule type="expression" dxfId="11181" priority="15095">
      <formula>AQ179="X"</formula>
    </cfRule>
    <cfRule type="expression" dxfId="11180" priority="15096">
      <formula>AQ179="A"</formula>
    </cfRule>
    <cfRule type="expression" dxfId="11179" priority="15097">
      <formula>AQ179="T"</formula>
    </cfRule>
  </conditionalFormatting>
  <conditionalFormatting sqref="AQ169">
    <cfRule type="expression" dxfId="11178" priority="15092">
      <formula>AQ169="X"</formula>
    </cfRule>
    <cfRule type="expression" dxfId="11177" priority="15093">
      <formula>AQ169="A"</formula>
    </cfRule>
    <cfRule type="expression" dxfId="11176" priority="15094">
      <formula>AQ169="T"</formula>
    </cfRule>
  </conditionalFormatting>
  <conditionalFormatting sqref="AQ171">
    <cfRule type="expression" dxfId="11175" priority="15089">
      <formula>AQ171="X"</formula>
    </cfRule>
    <cfRule type="expression" dxfId="11174" priority="15090">
      <formula>AQ171="A"</formula>
    </cfRule>
    <cfRule type="expression" dxfId="11173" priority="15091">
      <formula>AQ171="T"</formula>
    </cfRule>
  </conditionalFormatting>
  <conditionalFormatting sqref="AQ183">
    <cfRule type="expression" dxfId="11172" priority="15086">
      <formula>AQ183="X"</formula>
    </cfRule>
    <cfRule type="expression" dxfId="11171" priority="15087">
      <formula>AQ183="A"</formula>
    </cfRule>
    <cfRule type="expression" dxfId="11170" priority="15088">
      <formula>AQ183="T"</formula>
    </cfRule>
  </conditionalFormatting>
  <conditionalFormatting sqref="AQ185">
    <cfRule type="expression" dxfId="11169" priority="15083">
      <formula>AQ185="X"</formula>
    </cfRule>
    <cfRule type="expression" dxfId="11168" priority="15084">
      <formula>AQ185="A"</formula>
    </cfRule>
    <cfRule type="expression" dxfId="11167" priority="15085">
      <formula>AQ185="T"</formula>
    </cfRule>
  </conditionalFormatting>
  <conditionalFormatting sqref="AQ189">
    <cfRule type="expression" dxfId="11166" priority="15080">
      <formula>AQ189="X"</formula>
    </cfRule>
    <cfRule type="expression" dxfId="11165" priority="15081">
      <formula>AQ189="A"</formula>
    </cfRule>
    <cfRule type="expression" dxfId="11164" priority="15082">
      <formula>AQ189="T"</formula>
    </cfRule>
  </conditionalFormatting>
  <conditionalFormatting sqref="AQ191">
    <cfRule type="expression" dxfId="11163" priority="15077">
      <formula>AQ191="X"</formula>
    </cfRule>
    <cfRule type="expression" dxfId="11162" priority="15078">
      <formula>AQ191="A"</formula>
    </cfRule>
    <cfRule type="expression" dxfId="11161" priority="15079">
      <formula>AQ191="T"</formula>
    </cfRule>
  </conditionalFormatting>
  <conditionalFormatting sqref="AQ11">
    <cfRule type="expression" dxfId="11160" priority="15074">
      <formula>AQ11="X"</formula>
    </cfRule>
    <cfRule type="expression" dxfId="11159" priority="15075">
      <formula>AQ11="A"</formula>
    </cfRule>
    <cfRule type="expression" dxfId="11158" priority="15076">
      <formula>AQ11="T"</formula>
    </cfRule>
  </conditionalFormatting>
  <conditionalFormatting sqref="AQ12">
    <cfRule type="expression" dxfId="11157" priority="15071">
      <formula>AQ11="X"</formula>
    </cfRule>
    <cfRule type="expression" dxfId="11156" priority="15072">
      <formula>AQ11="A"</formula>
    </cfRule>
    <cfRule type="expression" dxfId="11155" priority="15073">
      <formula>AQ11="T"</formula>
    </cfRule>
  </conditionalFormatting>
  <conditionalFormatting sqref="AQ13">
    <cfRule type="expression" dxfId="11154" priority="15068">
      <formula>AQ13="X"</formula>
    </cfRule>
    <cfRule type="expression" dxfId="11153" priority="15069">
      <formula>AQ13="A"</formula>
    </cfRule>
    <cfRule type="expression" dxfId="11152" priority="15070">
      <formula>AQ13="T"</formula>
    </cfRule>
  </conditionalFormatting>
  <conditionalFormatting sqref="AQ14">
    <cfRule type="expression" dxfId="11151" priority="15065">
      <formula>AQ13="X"</formula>
    </cfRule>
    <cfRule type="expression" dxfId="11150" priority="15066">
      <formula>AQ13="A"</formula>
    </cfRule>
    <cfRule type="expression" dxfId="11149" priority="15067">
      <formula>AQ13="T"</formula>
    </cfRule>
  </conditionalFormatting>
  <conditionalFormatting sqref="AQ17">
    <cfRule type="expression" dxfId="11148" priority="15062">
      <formula>AQ16="X"</formula>
    </cfRule>
    <cfRule type="expression" dxfId="11147" priority="15063">
      <formula>AQ16="A"</formula>
    </cfRule>
    <cfRule type="expression" dxfId="11146" priority="15064">
      <formula>AQ16="T"</formula>
    </cfRule>
  </conditionalFormatting>
  <conditionalFormatting sqref="AQ19">
    <cfRule type="expression" dxfId="11145" priority="15056">
      <formula>AQ18="X"</formula>
    </cfRule>
    <cfRule type="expression" dxfId="11144" priority="15057">
      <formula>AQ18="A"</formula>
    </cfRule>
    <cfRule type="expression" dxfId="11143" priority="15058">
      <formula>AQ18="T"</formula>
    </cfRule>
  </conditionalFormatting>
  <conditionalFormatting sqref="AQ21">
    <cfRule type="expression" dxfId="11142" priority="15053">
      <formula>AQ20="X"</formula>
    </cfRule>
    <cfRule type="expression" dxfId="11141" priority="15054">
      <formula>AQ20="A"</formula>
    </cfRule>
    <cfRule type="expression" dxfId="11140" priority="15055">
      <formula>AQ20="T"</formula>
    </cfRule>
  </conditionalFormatting>
  <conditionalFormatting sqref="AQ23">
    <cfRule type="expression" dxfId="11139" priority="15050">
      <formula>AQ22="X"</formula>
    </cfRule>
    <cfRule type="expression" dxfId="11138" priority="15051">
      <formula>AQ22="A"</formula>
    </cfRule>
    <cfRule type="expression" dxfId="11137" priority="15052">
      <formula>AQ22="T"</formula>
    </cfRule>
  </conditionalFormatting>
  <conditionalFormatting sqref="AQ25">
    <cfRule type="expression" dxfId="11136" priority="15047">
      <formula>AQ24="X"</formula>
    </cfRule>
    <cfRule type="expression" dxfId="11135" priority="15048">
      <formula>AQ24="A"</formula>
    </cfRule>
    <cfRule type="expression" dxfId="11134" priority="15049">
      <formula>AQ24="T"</formula>
    </cfRule>
  </conditionalFormatting>
  <conditionalFormatting sqref="AQ27">
    <cfRule type="expression" dxfId="11133" priority="15044">
      <formula>AQ26="X"</formula>
    </cfRule>
    <cfRule type="expression" dxfId="11132" priority="15045">
      <formula>AQ26="A"</formula>
    </cfRule>
    <cfRule type="expression" dxfId="11131" priority="15046">
      <formula>AQ26="T"</formula>
    </cfRule>
  </conditionalFormatting>
  <conditionalFormatting sqref="AQ29">
    <cfRule type="expression" dxfId="11130" priority="15041">
      <formula>AQ28="X"</formula>
    </cfRule>
    <cfRule type="expression" dxfId="11129" priority="15042">
      <formula>AQ28="A"</formula>
    </cfRule>
    <cfRule type="expression" dxfId="11128" priority="15043">
      <formula>AQ28="T"</formula>
    </cfRule>
  </conditionalFormatting>
  <conditionalFormatting sqref="AQ31">
    <cfRule type="expression" dxfId="11127" priority="15038">
      <formula>AQ30="X"</formula>
    </cfRule>
    <cfRule type="expression" dxfId="11126" priority="15039">
      <formula>AQ30="A"</formula>
    </cfRule>
    <cfRule type="expression" dxfId="11125" priority="15040">
      <formula>AQ30="T"</formula>
    </cfRule>
  </conditionalFormatting>
  <conditionalFormatting sqref="AQ33">
    <cfRule type="expression" dxfId="11124" priority="15035">
      <formula>AQ32="X"</formula>
    </cfRule>
    <cfRule type="expression" dxfId="11123" priority="15036">
      <formula>AQ32="A"</formula>
    </cfRule>
    <cfRule type="expression" dxfId="11122" priority="15037">
      <formula>AQ32="T"</formula>
    </cfRule>
  </conditionalFormatting>
  <conditionalFormatting sqref="AQ35">
    <cfRule type="expression" dxfId="11121" priority="15032">
      <formula>AQ34="X"</formula>
    </cfRule>
    <cfRule type="expression" dxfId="11120" priority="15033">
      <formula>AQ34="A"</formula>
    </cfRule>
    <cfRule type="expression" dxfId="11119" priority="15034">
      <formula>AQ34="T"</formula>
    </cfRule>
  </conditionalFormatting>
  <conditionalFormatting sqref="AQ37">
    <cfRule type="expression" dxfId="11118" priority="15029">
      <formula>AQ36="X"</formula>
    </cfRule>
    <cfRule type="expression" dxfId="11117" priority="15030">
      <formula>AQ36="A"</formula>
    </cfRule>
    <cfRule type="expression" dxfId="11116" priority="15031">
      <formula>AQ36="T"</formula>
    </cfRule>
  </conditionalFormatting>
  <conditionalFormatting sqref="AQ40">
    <cfRule type="expression" dxfId="11115" priority="15026">
      <formula>AQ39="X"</formula>
    </cfRule>
    <cfRule type="expression" dxfId="11114" priority="15027">
      <formula>AQ39="A"</formula>
    </cfRule>
    <cfRule type="expression" dxfId="11113" priority="15028">
      <formula>AQ39="T"</formula>
    </cfRule>
  </conditionalFormatting>
  <conditionalFormatting sqref="AQ42">
    <cfRule type="expression" dxfId="11112" priority="15023">
      <formula>AQ41="X"</formula>
    </cfRule>
    <cfRule type="expression" dxfId="11111" priority="15024">
      <formula>AQ41="A"</formula>
    </cfRule>
    <cfRule type="expression" dxfId="11110" priority="15025">
      <formula>AQ41="T"</formula>
    </cfRule>
  </conditionalFormatting>
  <conditionalFormatting sqref="AQ44">
    <cfRule type="expression" dxfId="11109" priority="15020">
      <formula>AQ43="X"</formula>
    </cfRule>
    <cfRule type="expression" dxfId="11108" priority="15021">
      <formula>AQ43="A"</formula>
    </cfRule>
    <cfRule type="expression" dxfId="11107" priority="15022">
      <formula>AQ43="T"</formula>
    </cfRule>
  </conditionalFormatting>
  <conditionalFormatting sqref="AQ46">
    <cfRule type="expression" dxfId="11106" priority="15017">
      <formula>AQ45="X"</formula>
    </cfRule>
    <cfRule type="expression" dxfId="11105" priority="15018">
      <formula>AQ45="A"</formula>
    </cfRule>
    <cfRule type="expression" dxfId="11104" priority="15019">
      <formula>AQ45="T"</formula>
    </cfRule>
  </conditionalFormatting>
  <conditionalFormatting sqref="AQ49">
    <cfRule type="expression" dxfId="11103" priority="15014">
      <formula>AQ48="X"</formula>
    </cfRule>
    <cfRule type="expression" dxfId="11102" priority="15015">
      <formula>AQ48="A"</formula>
    </cfRule>
    <cfRule type="expression" dxfId="11101" priority="15016">
      <formula>AQ48="T"</formula>
    </cfRule>
  </conditionalFormatting>
  <conditionalFormatting sqref="AQ51">
    <cfRule type="expression" dxfId="11100" priority="15011">
      <formula>AQ50="X"</formula>
    </cfRule>
    <cfRule type="expression" dxfId="11099" priority="15012">
      <formula>AQ50="A"</formula>
    </cfRule>
    <cfRule type="expression" dxfId="11098" priority="15013">
      <formula>AQ50="T"</formula>
    </cfRule>
  </conditionalFormatting>
  <conditionalFormatting sqref="AQ53">
    <cfRule type="expression" dxfId="11097" priority="15008">
      <formula>AQ52="X"</formula>
    </cfRule>
    <cfRule type="expression" dxfId="11096" priority="15009">
      <formula>AQ52="A"</formula>
    </cfRule>
    <cfRule type="expression" dxfId="11095" priority="15010">
      <formula>AQ52="T"</formula>
    </cfRule>
  </conditionalFormatting>
  <conditionalFormatting sqref="AQ55">
    <cfRule type="expression" dxfId="11094" priority="15005">
      <formula>AQ54="X"</formula>
    </cfRule>
    <cfRule type="expression" dxfId="11093" priority="15006">
      <formula>AQ54="A"</formula>
    </cfRule>
    <cfRule type="expression" dxfId="11092" priority="15007">
      <formula>AQ54="T"</formula>
    </cfRule>
  </conditionalFormatting>
  <conditionalFormatting sqref="AQ57">
    <cfRule type="expression" dxfId="11091" priority="15002">
      <formula>AQ56="X"</formula>
    </cfRule>
    <cfRule type="expression" dxfId="11090" priority="15003">
      <formula>AQ56="A"</formula>
    </cfRule>
    <cfRule type="expression" dxfId="11089" priority="15004">
      <formula>AQ56="T"</formula>
    </cfRule>
  </conditionalFormatting>
  <conditionalFormatting sqref="AQ59">
    <cfRule type="expression" dxfId="11088" priority="14999">
      <formula>AQ58="X"</formula>
    </cfRule>
    <cfRule type="expression" dxfId="11087" priority="15000">
      <formula>AQ58="A"</formula>
    </cfRule>
    <cfRule type="expression" dxfId="11086" priority="15001">
      <formula>AQ58="T"</formula>
    </cfRule>
  </conditionalFormatting>
  <conditionalFormatting sqref="AQ64">
    <cfRule type="expression" dxfId="11085" priority="14996">
      <formula>AQ63="X"</formula>
    </cfRule>
    <cfRule type="expression" dxfId="11084" priority="14997">
      <formula>AQ63="A"</formula>
    </cfRule>
    <cfRule type="expression" dxfId="11083" priority="14998">
      <formula>AQ63="T"</formula>
    </cfRule>
  </conditionalFormatting>
  <conditionalFormatting sqref="AQ66">
    <cfRule type="expression" dxfId="11082" priority="14993">
      <formula>AQ65="X"</formula>
    </cfRule>
    <cfRule type="expression" dxfId="11081" priority="14994">
      <formula>AQ65="A"</formula>
    </cfRule>
    <cfRule type="expression" dxfId="11080" priority="14995">
      <formula>AQ65="T"</formula>
    </cfRule>
  </conditionalFormatting>
  <conditionalFormatting sqref="AQ68">
    <cfRule type="expression" dxfId="11079" priority="14990">
      <formula>AQ67="X"</formula>
    </cfRule>
    <cfRule type="expression" dxfId="11078" priority="14991">
      <formula>AQ67="A"</formula>
    </cfRule>
    <cfRule type="expression" dxfId="11077" priority="14992">
      <formula>AQ67="T"</formula>
    </cfRule>
  </conditionalFormatting>
  <conditionalFormatting sqref="AQ82">
    <cfRule type="expression" dxfId="11076" priority="14987">
      <formula>AQ81="X"</formula>
    </cfRule>
    <cfRule type="expression" dxfId="11075" priority="14988">
      <formula>AQ81="A"</formula>
    </cfRule>
    <cfRule type="expression" dxfId="11074" priority="14989">
      <formula>AQ81="T"</formula>
    </cfRule>
  </conditionalFormatting>
  <conditionalFormatting sqref="AQ84">
    <cfRule type="expression" dxfId="11073" priority="14984">
      <formula>AQ83="X"</formula>
    </cfRule>
    <cfRule type="expression" dxfId="11072" priority="14985">
      <formula>AQ83="A"</formula>
    </cfRule>
    <cfRule type="expression" dxfId="11071" priority="14986">
      <formula>AQ83="T"</formula>
    </cfRule>
  </conditionalFormatting>
  <conditionalFormatting sqref="AQ86">
    <cfRule type="expression" dxfId="11070" priority="14981">
      <formula>AQ85="X"</formula>
    </cfRule>
    <cfRule type="expression" dxfId="11069" priority="14982">
      <formula>AQ85="A"</formula>
    </cfRule>
    <cfRule type="expression" dxfId="11068" priority="14983">
      <formula>AQ85="T"</formula>
    </cfRule>
  </conditionalFormatting>
  <conditionalFormatting sqref="AQ89">
    <cfRule type="expression" dxfId="11067" priority="14978">
      <formula>AQ88="X"</formula>
    </cfRule>
    <cfRule type="expression" dxfId="11066" priority="14979">
      <formula>AQ88="A"</formula>
    </cfRule>
    <cfRule type="expression" dxfId="11065" priority="14980">
      <formula>AQ88="T"</formula>
    </cfRule>
  </conditionalFormatting>
  <conditionalFormatting sqref="AQ91">
    <cfRule type="expression" dxfId="11064" priority="14975">
      <formula>AQ90="X"</formula>
    </cfRule>
    <cfRule type="expression" dxfId="11063" priority="14976">
      <formula>AQ90="A"</formula>
    </cfRule>
    <cfRule type="expression" dxfId="11062" priority="14977">
      <formula>AQ90="T"</formula>
    </cfRule>
  </conditionalFormatting>
  <conditionalFormatting sqref="AQ93">
    <cfRule type="expression" dxfId="11061" priority="14972">
      <formula>AQ92="X"</formula>
    </cfRule>
    <cfRule type="expression" dxfId="11060" priority="14973">
      <formula>AQ92="A"</formula>
    </cfRule>
    <cfRule type="expression" dxfId="11059" priority="14974">
      <formula>AQ92="T"</formula>
    </cfRule>
  </conditionalFormatting>
  <conditionalFormatting sqref="AQ95">
    <cfRule type="expression" dxfId="11058" priority="14969">
      <formula>AQ94="X"</formula>
    </cfRule>
    <cfRule type="expression" dxfId="11057" priority="14970">
      <formula>AQ94="A"</formula>
    </cfRule>
    <cfRule type="expression" dxfId="11056" priority="14971">
      <formula>AQ94="T"</formula>
    </cfRule>
  </conditionalFormatting>
  <conditionalFormatting sqref="AQ97">
    <cfRule type="expression" dxfId="11055" priority="14966">
      <formula>AQ96="X"</formula>
    </cfRule>
    <cfRule type="expression" dxfId="11054" priority="14967">
      <formula>AQ96="A"</formula>
    </cfRule>
    <cfRule type="expression" dxfId="11053" priority="14968">
      <formula>AQ96="T"</formula>
    </cfRule>
  </conditionalFormatting>
  <conditionalFormatting sqref="AQ99">
    <cfRule type="expression" dxfId="11052" priority="14963">
      <formula>AQ98="X"</formula>
    </cfRule>
    <cfRule type="expression" dxfId="11051" priority="14964">
      <formula>AQ98="A"</formula>
    </cfRule>
    <cfRule type="expression" dxfId="11050" priority="14965">
      <formula>AQ98="T"</formula>
    </cfRule>
  </conditionalFormatting>
  <conditionalFormatting sqref="AQ101">
    <cfRule type="expression" dxfId="11049" priority="14960">
      <formula>AQ100="X"</formula>
    </cfRule>
    <cfRule type="expression" dxfId="11048" priority="14961">
      <formula>AQ100="A"</formula>
    </cfRule>
    <cfRule type="expression" dxfId="11047" priority="14962">
      <formula>AQ100="T"</formula>
    </cfRule>
  </conditionalFormatting>
  <conditionalFormatting sqref="AQ103">
    <cfRule type="expression" dxfId="11046" priority="14957">
      <formula>AQ102="X"</formula>
    </cfRule>
    <cfRule type="expression" dxfId="11045" priority="14958">
      <formula>AQ102="A"</formula>
    </cfRule>
    <cfRule type="expression" dxfId="11044" priority="14959">
      <formula>AQ102="T"</formula>
    </cfRule>
  </conditionalFormatting>
  <conditionalFormatting sqref="AQ106">
    <cfRule type="expression" dxfId="11043" priority="14954">
      <formula>AQ105="X"</formula>
    </cfRule>
    <cfRule type="expression" dxfId="11042" priority="14955">
      <formula>AQ105="A"</formula>
    </cfRule>
    <cfRule type="expression" dxfId="11041" priority="14956">
      <formula>AQ105="T"</formula>
    </cfRule>
  </conditionalFormatting>
  <conditionalFormatting sqref="AQ108">
    <cfRule type="expression" dxfId="11040" priority="14951">
      <formula>AQ107="X"</formula>
    </cfRule>
    <cfRule type="expression" dxfId="11039" priority="14952">
      <formula>AQ107="A"</formula>
    </cfRule>
    <cfRule type="expression" dxfId="11038" priority="14953">
      <formula>AQ107="T"</formula>
    </cfRule>
  </conditionalFormatting>
  <conditionalFormatting sqref="AQ110">
    <cfRule type="expression" dxfId="11037" priority="14948">
      <formula>AQ109="X"</formula>
    </cfRule>
    <cfRule type="expression" dxfId="11036" priority="14949">
      <formula>AQ109="A"</formula>
    </cfRule>
    <cfRule type="expression" dxfId="11035" priority="14950">
      <formula>AQ109="T"</formula>
    </cfRule>
  </conditionalFormatting>
  <conditionalFormatting sqref="AQ112">
    <cfRule type="expression" dxfId="11034" priority="14945">
      <formula>AQ111="X"</formula>
    </cfRule>
    <cfRule type="expression" dxfId="11033" priority="14946">
      <formula>AQ111="A"</formula>
    </cfRule>
    <cfRule type="expression" dxfId="11032" priority="14947">
      <formula>AQ111="T"</formula>
    </cfRule>
  </conditionalFormatting>
  <conditionalFormatting sqref="AQ114">
    <cfRule type="expression" dxfId="11031" priority="14942">
      <formula>AQ113="X"</formula>
    </cfRule>
    <cfRule type="expression" dxfId="11030" priority="14943">
      <formula>AQ113="A"</formula>
    </cfRule>
    <cfRule type="expression" dxfId="11029" priority="14944">
      <formula>AQ113="T"</formula>
    </cfRule>
  </conditionalFormatting>
  <conditionalFormatting sqref="AQ117">
    <cfRule type="expression" dxfId="11028" priority="14939">
      <formula>AQ116="X"</formula>
    </cfRule>
    <cfRule type="expression" dxfId="11027" priority="14940">
      <formula>AQ116="A"</formula>
    </cfRule>
    <cfRule type="expression" dxfId="11026" priority="14941">
      <formula>AQ116="T"</formula>
    </cfRule>
  </conditionalFormatting>
  <conditionalFormatting sqref="AQ119">
    <cfRule type="expression" dxfId="11025" priority="14936">
      <formula>AQ118="X"</formula>
    </cfRule>
    <cfRule type="expression" dxfId="11024" priority="14937">
      <formula>AQ118="A"</formula>
    </cfRule>
    <cfRule type="expression" dxfId="11023" priority="14938">
      <formula>AQ118="T"</formula>
    </cfRule>
  </conditionalFormatting>
  <conditionalFormatting sqref="AQ121">
    <cfRule type="expression" dxfId="11022" priority="14933">
      <formula>AQ120="X"</formula>
    </cfRule>
    <cfRule type="expression" dxfId="11021" priority="14934">
      <formula>AQ120="A"</formula>
    </cfRule>
    <cfRule type="expression" dxfId="11020" priority="14935">
      <formula>AQ120="T"</formula>
    </cfRule>
  </conditionalFormatting>
  <conditionalFormatting sqref="AQ123">
    <cfRule type="expression" dxfId="11019" priority="14930">
      <formula>AQ122="X"</formula>
    </cfRule>
    <cfRule type="expression" dxfId="11018" priority="14931">
      <formula>AQ122="A"</formula>
    </cfRule>
    <cfRule type="expression" dxfId="11017" priority="14932">
      <formula>AQ122="T"</formula>
    </cfRule>
  </conditionalFormatting>
  <conditionalFormatting sqref="AQ126">
    <cfRule type="expression" dxfId="11016" priority="14927">
      <formula>AQ125="X"</formula>
    </cfRule>
    <cfRule type="expression" dxfId="11015" priority="14928">
      <formula>AQ125="A"</formula>
    </cfRule>
    <cfRule type="expression" dxfId="11014" priority="14929">
      <formula>AQ125="T"</formula>
    </cfRule>
  </conditionalFormatting>
  <conditionalFormatting sqref="AQ128">
    <cfRule type="expression" dxfId="11013" priority="14924">
      <formula>AQ127="X"</formula>
    </cfRule>
    <cfRule type="expression" dxfId="11012" priority="14925">
      <formula>AQ127="A"</formula>
    </cfRule>
    <cfRule type="expression" dxfId="11011" priority="14926">
      <formula>AQ127="T"</formula>
    </cfRule>
  </conditionalFormatting>
  <conditionalFormatting sqref="AQ142">
    <cfRule type="expression" dxfId="11010" priority="14921">
      <formula>AQ141="X"</formula>
    </cfRule>
    <cfRule type="expression" dxfId="11009" priority="14922">
      <formula>AQ141="A"</formula>
    </cfRule>
    <cfRule type="expression" dxfId="11008" priority="14923">
      <formula>AQ141="T"</formula>
    </cfRule>
  </conditionalFormatting>
  <conditionalFormatting sqref="AQ144">
    <cfRule type="expression" dxfId="11007" priority="14918">
      <formula>AQ143="X"</formula>
    </cfRule>
    <cfRule type="expression" dxfId="11006" priority="14919">
      <formula>AQ143="A"</formula>
    </cfRule>
    <cfRule type="expression" dxfId="11005" priority="14920">
      <formula>AQ143="T"</formula>
    </cfRule>
  </conditionalFormatting>
  <conditionalFormatting sqref="AQ150">
    <cfRule type="expression" dxfId="11004" priority="14915">
      <formula>AQ149="X"</formula>
    </cfRule>
    <cfRule type="expression" dxfId="11003" priority="14916">
      <formula>AQ149="A"</formula>
    </cfRule>
    <cfRule type="expression" dxfId="11002" priority="14917">
      <formula>AQ149="T"</formula>
    </cfRule>
  </conditionalFormatting>
  <conditionalFormatting sqref="AQ152">
    <cfRule type="expression" dxfId="11001" priority="14912">
      <formula>AQ151="X"</formula>
    </cfRule>
    <cfRule type="expression" dxfId="11000" priority="14913">
      <formula>AQ151="A"</formula>
    </cfRule>
    <cfRule type="expression" dxfId="10999" priority="14914">
      <formula>AQ151="T"</formula>
    </cfRule>
  </conditionalFormatting>
  <conditionalFormatting sqref="AQ156">
    <cfRule type="expression" dxfId="10998" priority="14909">
      <formula>AQ155="X"</formula>
    </cfRule>
    <cfRule type="expression" dxfId="10997" priority="14910">
      <formula>AQ155="A"</formula>
    </cfRule>
    <cfRule type="expression" dxfId="10996" priority="14911">
      <formula>AQ155="T"</formula>
    </cfRule>
  </conditionalFormatting>
  <conditionalFormatting sqref="AQ168">
    <cfRule type="expression" dxfId="10995" priority="14903">
      <formula>AQ167="X"</formula>
    </cfRule>
    <cfRule type="expression" dxfId="10994" priority="14904">
      <formula>AQ167="A"</formula>
    </cfRule>
    <cfRule type="expression" dxfId="10993" priority="14905">
      <formula>AQ167="T"</formula>
    </cfRule>
  </conditionalFormatting>
  <conditionalFormatting sqref="AQ170">
    <cfRule type="expression" dxfId="10992" priority="14900">
      <formula>AQ169="X"</formula>
    </cfRule>
    <cfRule type="expression" dxfId="10991" priority="14901">
      <formula>AQ169="A"</formula>
    </cfRule>
    <cfRule type="expression" dxfId="10990" priority="14902">
      <formula>AQ169="T"</formula>
    </cfRule>
  </conditionalFormatting>
  <conditionalFormatting sqref="AQ172">
    <cfRule type="expression" dxfId="10989" priority="14897">
      <formula>AQ171="X"</formula>
    </cfRule>
    <cfRule type="expression" dxfId="10988" priority="14898">
      <formula>AQ171="A"</formula>
    </cfRule>
    <cfRule type="expression" dxfId="10987" priority="14899">
      <formula>AQ171="T"</formula>
    </cfRule>
  </conditionalFormatting>
  <conditionalFormatting sqref="AQ174">
    <cfRule type="expression" dxfId="10986" priority="14894">
      <formula>AQ173="X"</formula>
    </cfRule>
    <cfRule type="expression" dxfId="10985" priority="14895">
      <formula>AQ173="A"</formula>
    </cfRule>
    <cfRule type="expression" dxfId="10984" priority="14896">
      <formula>AQ173="T"</formula>
    </cfRule>
  </conditionalFormatting>
  <conditionalFormatting sqref="AQ176">
    <cfRule type="expression" dxfId="10983" priority="14891">
      <formula>AQ175="X"</formula>
    </cfRule>
    <cfRule type="expression" dxfId="10982" priority="14892">
      <formula>AQ175="A"</formula>
    </cfRule>
    <cfRule type="expression" dxfId="10981" priority="14893">
      <formula>AQ175="T"</formula>
    </cfRule>
  </conditionalFormatting>
  <conditionalFormatting sqref="AQ178">
    <cfRule type="expression" dxfId="10980" priority="14888">
      <formula>AQ177="X"</formula>
    </cfRule>
    <cfRule type="expression" dxfId="10979" priority="14889">
      <formula>AQ177="A"</formula>
    </cfRule>
    <cfRule type="expression" dxfId="10978" priority="14890">
      <formula>AQ177="T"</formula>
    </cfRule>
  </conditionalFormatting>
  <conditionalFormatting sqref="AQ180">
    <cfRule type="expression" dxfId="10977" priority="14885">
      <formula>AQ179="X"</formula>
    </cfRule>
    <cfRule type="expression" dxfId="10976" priority="14886">
      <formula>AQ179="A"</formula>
    </cfRule>
    <cfRule type="expression" dxfId="10975" priority="14887">
      <formula>AQ179="T"</formula>
    </cfRule>
  </conditionalFormatting>
  <conditionalFormatting sqref="AQ184">
    <cfRule type="expression" dxfId="10974" priority="14882">
      <formula>AQ183="X"</formula>
    </cfRule>
    <cfRule type="expression" dxfId="10973" priority="14883">
      <formula>AQ183="A"</formula>
    </cfRule>
    <cfRule type="expression" dxfId="10972" priority="14884">
      <formula>AQ183="T"</formula>
    </cfRule>
  </conditionalFormatting>
  <conditionalFormatting sqref="AQ186">
    <cfRule type="expression" dxfId="10971" priority="14879">
      <formula>AQ185="X"</formula>
    </cfRule>
    <cfRule type="expression" dxfId="10970" priority="14880">
      <formula>AQ185="A"</formula>
    </cfRule>
    <cfRule type="expression" dxfId="10969" priority="14881">
      <formula>AQ185="T"</formula>
    </cfRule>
  </conditionalFormatting>
  <conditionalFormatting sqref="AQ190">
    <cfRule type="expression" dxfId="10968" priority="14876">
      <formula>AQ189="X"</formula>
    </cfRule>
    <cfRule type="expression" dxfId="10967" priority="14877">
      <formula>AQ189="A"</formula>
    </cfRule>
    <cfRule type="expression" dxfId="10966" priority="14878">
      <formula>AQ189="T"</formula>
    </cfRule>
  </conditionalFormatting>
  <conditionalFormatting sqref="AQ192">
    <cfRule type="expression" dxfId="10965" priority="14873">
      <formula>AQ191="X"</formula>
    </cfRule>
    <cfRule type="expression" dxfId="10964" priority="14874">
      <formula>AQ191="A"</formula>
    </cfRule>
    <cfRule type="expression" dxfId="10963" priority="14875">
      <formula>AQ191="T"</formula>
    </cfRule>
  </conditionalFormatting>
  <conditionalFormatting sqref="AQ208">
    <cfRule type="expression" dxfId="10962" priority="14870">
      <formula>AQ207="X"</formula>
    </cfRule>
    <cfRule type="expression" dxfId="10961" priority="14871">
      <formula>AQ207="A"</formula>
    </cfRule>
    <cfRule type="expression" dxfId="10960" priority="14872">
      <formula>AQ207="T"</formula>
    </cfRule>
  </conditionalFormatting>
  <conditionalFormatting sqref="AQ211">
    <cfRule type="expression" dxfId="10959" priority="14867">
      <formula>AQ211="X"</formula>
    </cfRule>
    <cfRule type="expression" dxfId="10958" priority="14868">
      <formula>AQ211="A"</formula>
    </cfRule>
    <cfRule type="expression" dxfId="10957" priority="14869">
      <formula>AQ211="T"</formula>
    </cfRule>
  </conditionalFormatting>
  <conditionalFormatting sqref="AQ212">
    <cfRule type="expression" dxfId="10956" priority="14864">
      <formula>AQ211="X"</formula>
    </cfRule>
    <cfRule type="expression" dxfId="10955" priority="14865">
      <formula>AQ211="A"</formula>
    </cfRule>
    <cfRule type="expression" dxfId="10954" priority="14866">
      <formula>AQ211="T"</formula>
    </cfRule>
  </conditionalFormatting>
  <conditionalFormatting sqref="AQ213">
    <cfRule type="expression" dxfId="10953" priority="14861">
      <formula>AQ213="X"</formula>
    </cfRule>
    <cfRule type="expression" dxfId="10952" priority="14862">
      <formula>AQ213="A"</formula>
    </cfRule>
    <cfRule type="expression" dxfId="10951" priority="14863">
      <formula>AQ213="T"</formula>
    </cfRule>
  </conditionalFormatting>
  <conditionalFormatting sqref="AQ214">
    <cfRule type="expression" dxfId="10950" priority="14858">
      <formula>AQ213="X"</formula>
    </cfRule>
    <cfRule type="expression" dxfId="10949" priority="14859">
      <formula>AQ213="A"</formula>
    </cfRule>
    <cfRule type="expression" dxfId="10948" priority="14860">
      <formula>AQ213="T"</formula>
    </cfRule>
  </conditionalFormatting>
  <conditionalFormatting sqref="AQ215">
    <cfRule type="expression" dxfId="10947" priority="14855">
      <formula>AQ215="X"</formula>
    </cfRule>
    <cfRule type="expression" dxfId="10946" priority="14856">
      <formula>AQ215="A"</formula>
    </cfRule>
    <cfRule type="expression" dxfId="10945" priority="14857">
      <formula>AQ215="T"</formula>
    </cfRule>
  </conditionalFormatting>
  <conditionalFormatting sqref="AQ216">
    <cfRule type="expression" dxfId="10944" priority="14852">
      <formula>AQ215="X"</formula>
    </cfRule>
    <cfRule type="expression" dxfId="10943" priority="14853">
      <formula>AQ215="A"</formula>
    </cfRule>
    <cfRule type="expression" dxfId="10942" priority="14854">
      <formula>AQ215="T"</formula>
    </cfRule>
  </conditionalFormatting>
  <conditionalFormatting sqref="AQ217">
    <cfRule type="expression" dxfId="10941" priority="14849">
      <formula>AQ217="X"</formula>
    </cfRule>
    <cfRule type="expression" dxfId="10940" priority="14850">
      <formula>AQ217="A"</formula>
    </cfRule>
    <cfRule type="expression" dxfId="10939" priority="14851">
      <formula>AQ217="T"</formula>
    </cfRule>
  </conditionalFormatting>
  <conditionalFormatting sqref="AQ218">
    <cfRule type="expression" dxfId="10938" priority="14846">
      <formula>AQ217="X"</formula>
    </cfRule>
    <cfRule type="expression" dxfId="10937" priority="14847">
      <formula>AQ217="A"</formula>
    </cfRule>
    <cfRule type="expression" dxfId="10936" priority="14848">
      <formula>AQ217="T"</formula>
    </cfRule>
  </conditionalFormatting>
  <conditionalFormatting sqref="AQ219">
    <cfRule type="expression" dxfId="10935" priority="14843">
      <formula>AQ219="X"</formula>
    </cfRule>
    <cfRule type="expression" dxfId="10934" priority="14844">
      <formula>AQ219="A"</formula>
    </cfRule>
    <cfRule type="expression" dxfId="10933" priority="14845">
      <formula>AQ219="T"</formula>
    </cfRule>
  </conditionalFormatting>
  <conditionalFormatting sqref="AQ220">
    <cfRule type="expression" dxfId="10932" priority="14840">
      <formula>AQ219="X"</formula>
    </cfRule>
    <cfRule type="expression" dxfId="10931" priority="14841">
      <formula>AQ219="A"</formula>
    </cfRule>
    <cfRule type="expression" dxfId="10930" priority="14842">
      <formula>AQ219="T"</formula>
    </cfRule>
  </conditionalFormatting>
  <conditionalFormatting sqref="AQ221">
    <cfRule type="expression" dxfId="10929" priority="14837">
      <formula>AQ221="X"</formula>
    </cfRule>
    <cfRule type="expression" dxfId="10928" priority="14838">
      <formula>AQ221="A"</formula>
    </cfRule>
    <cfRule type="expression" dxfId="10927" priority="14839">
      <formula>AQ221="T"</formula>
    </cfRule>
  </conditionalFormatting>
  <conditionalFormatting sqref="AQ222">
    <cfRule type="expression" dxfId="10926" priority="14834">
      <formula>AQ221="X"</formula>
    </cfRule>
    <cfRule type="expression" dxfId="10925" priority="14835">
      <formula>AQ221="A"</formula>
    </cfRule>
    <cfRule type="expression" dxfId="10924" priority="14836">
      <formula>AQ221="T"</formula>
    </cfRule>
  </conditionalFormatting>
  <conditionalFormatting sqref="AQ223">
    <cfRule type="expression" dxfId="10923" priority="14831">
      <formula>AQ223="X"</formula>
    </cfRule>
    <cfRule type="expression" dxfId="10922" priority="14832">
      <formula>AQ223="A"</formula>
    </cfRule>
    <cfRule type="expression" dxfId="10921" priority="14833">
      <formula>AQ223="T"</formula>
    </cfRule>
  </conditionalFormatting>
  <conditionalFormatting sqref="AQ224">
    <cfRule type="expression" dxfId="10920" priority="14828">
      <formula>AQ223="X"</formula>
    </cfRule>
    <cfRule type="expression" dxfId="10919" priority="14829">
      <formula>AQ223="A"</formula>
    </cfRule>
    <cfRule type="expression" dxfId="10918" priority="14830">
      <formula>AQ223="T"</formula>
    </cfRule>
  </conditionalFormatting>
  <conditionalFormatting sqref="AQ4">
    <cfRule type="expression" dxfId="10917" priority="14825">
      <formula>AQ4="X"</formula>
    </cfRule>
    <cfRule type="expression" dxfId="10916" priority="14826">
      <formula>AQ4="A"</formula>
    </cfRule>
    <cfRule type="expression" dxfId="10915" priority="14827">
      <formula>AQ4="T"</formula>
    </cfRule>
  </conditionalFormatting>
  <conditionalFormatting sqref="AQ5">
    <cfRule type="expression" dxfId="10914" priority="14822">
      <formula>AQ4="X"</formula>
    </cfRule>
    <cfRule type="expression" dxfId="10913" priority="14823">
      <formula>AQ4="A"</formula>
    </cfRule>
    <cfRule type="expression" dxfId="10912" priority="14824">
      <formula>AQ4="T"</formula>
    </cfRule>
  </conditionalFormatting>
  <conditionalFormatting sqref="AQ6">
    <cfRule type="expression" dxfId="10911" priority="14819">
      <formula>AQ6="X"</formula>
    </cfRule>
    <cfRule type="expression" dxfId="10910" priority="14820">
      <formula>AQ6="A"</formula>
    </cfRule>
    <cfRule type="expression" dxfId="10909" priority="14821">
      <formula>AQ6="T"</formula>
    </cfRule>
  </conditionalFormatting>
  <conditionalFormatting sqref="AQ7">
    <cfRule type="expression" dxfId="10908" priority="14816">
      <formula>AQ6="X"</formula>
    </cfRule>
    <cfRule type="expression" dxfId="10907" priority="14817">
      <formula>AQ6="A"</formula>
    </cfRule>
    <cfRule type="expression" dxfId="10906" priority="14818">
      <formula>AQ6="T"</formula>
    </cfRule>
  </conditionalFormatting>
  <conditionalFormatting sqref="AQ8">
    <cfRule type="expression" dxfId="10905" priority="14813">
      <formula>AQ8="X"</formula>
    </cfRule>
    <cfRule type="expression" dxfId="10904" priority="14814">
      <formula>AQ8="A"</formula>
    </cfRule>
    <cfRule type="expression" dxfId="10903" priority="14815">
      <formula>AQ8="T"</formula>
    </cfRule>
  </conditionalFormatting>
  <conditionalFormatting sqref="AQ9">
    <cfRule type="expression" dxfId="10902" priority="14810">
      <formula>AQ8="X"</formula>
    </cfRule>
    <cfRule type="expression" dxfId="10901" priority="14811">
      <formula>AQ8="A"</formula>
    </cfRule>
    <cfRule type="expression" dxfId="10900" priority="14812">
      <formula>AQ8="T"</formula>
    </cfRule>
  </conditionalFormatting>
  <conditionalFormatting sqref="AQ74">
    <cfRule type="expression" dxfId="10899" priority="14807">
      <formula>AQ74="X"</formula>
    </cfRule>
    <cfRule type="expression" dxfId="10898" priority="14808">
      <formula>AQ74="A"</formula>
    </cfRule>
    <cfRule type="expression" dxfId="10897" priority="14809">
      <formula>AQ74="T"</formula>
    </cfRule>
  </conditionalFormatting>
  <conditionalFormatting sqref="AQ75">
    <cfRule type="expression" dxfId="10896" priority="14804">
      <formula>AQ74="X"</formula>
    </cfRule>
    <cfRule type="expression" dxfId="10895" priority="14805">
      <formula>AQ74="A"</formula>
    </cfRule>
    <cfRule type="expression" dxfId="10894" priority="14806">
      <formula>AQ74="T"</formula>
    </cfRule>
  </conditionalFormatting>
  <conditionalFormatting sqref="AQ76">
    <cfRule type="expression" dxfId="10893" priority="14801">
      <formula>AQ76="X"</formula>
    </cfRule>
    <cfRule type="expression" dxfId="10892" priority="14802">
      <formula>AQ76="A"</formula>
    </cfRule>
    <cfRule type="expression" dxfId="10891" priority="14803">
      <formula>AQ76="T"</formula>
    </cfRule>
  </conditionalFormatting>
  <conditionalFormatting sqref="AQ77">
    <cfRule type="expression" dxfId="10890" priority="14798">
      <formula>AQ76="X"</formula>
    </cfRule>
    <cfRule type="expression" dxfId="10889" priority="14799">
      <formula>AQ76="A"</formula>
    </cfRule>
    <cfRule type="expression" dxfId="10888" priority="14800">
      <formula>AQ76="T"</formula>
    </cfRule>
  </conditionalFormatting>
  <conditionalFormatting sqref="AQ78">
    <cfRule type="expression" dxfId="10887" priority="14795">
      <formula>AQ78="X"</formula>
    </cfRule>
    <cfRule type="expression" dxfId="10886" priority="14796">
      <formula>AQ78="A"</formula>
    </cfRule>
    <cfRule type="expression" dxfId="10885" priority="14797">
      <formula>AQ78="T"</formula>
    </cfRule>
  </conditionalFormatting>
  <conditionalFormatting sqref="AQ79">
    <cfRule type="expression" dxfId="10884" priority="14792">
      <formula>AQ78="X"</formula>
    </cfRule>
    <cfRule type="expression" dxfId="10883" priority="14793">
      <formula>AQ78="A"</formula>
    </cfRule>
    <cfRule type="expression" dxfId="10882" priority="14794">
      <formula>AQ78="T"</formula>
    </cfRule>
  </conditionalFormatting>
  <conditionalFormatting sqref="AQ134">
    <cfRule type="expression" dxfId="10881" priority="14789">
      <formula>AQ134="X"</formula>
    </cfRule>
    <cfRule type="expression" dxfId="10880" priority="14790">
      <formula>AQ134="A"</formula>
    </cfRule>
    <cfRule type="expression" dxfId="10879" priority="14791">
      <formula>AQ134="T"</formula>
    </cfRule>
  </conditionalFormatting>
  <conditionalFormatting sqref="AQ135">
    <cfRule type="expression" dxfId="10878" priority="14786">
      <formula>AQ134="X"</formula>
    </cfRule>
    <cfRule type="expression" dxfId="10877" priority="14787">
      <formula>AQ134="A"</formula>
    </cfRule>
    <cfRule type="expression" dxfId="10876" priority="14788">
      <formula>AQ134="T"</formula>
    </cfRule>
  </conditionalFormatting>
  <conditionalFormatting sqref="AQ136">
    <cfRule type="expression" dxfId="10875" priority="14783">
      <formula>AQ136="X"</formula>
    </cfRule>
    <cfRule type="expression" dxfId="10874" priority="14784">
      <formula>AQ136="A"</formula>
    </cfRule>
    <cfRule type="expression" dxfId="10873" priority="14785">
      <formula>AQ136="T"</formula>
    </cfRule>
  </conditionalFormatting>
  <conditionalFormatting sqref="AQ137">
    <cfRule type="expression" dxfId="10872" priority="14780">
      <formula>AQ136="X"</formula>
    </cfRule>
    <cfRule type="expression" dxfId="10871" priority="14781">
      <formula>AQ136="A"</formula>
    </cfRule>
    <cfRule type="expression" dxfId="10870" priority="14782">
      <formula>AQ136="T"</formula>
    </cfRule>
  </conditionalFormatting>
  <conditionalFormatting sqref="AQ138">
    <cfRule type="expression" dxfId="10869" priority="14777">
      <formula>AQ138="X"</formula>
    </cfRule>
    <cfRule type="expression" dxfId="10868" priority="14778">
      <formula>AQ138="A"</formula>
    </cfRule>
    <cfRule type="expression" dxfId="10867" priority="14779">
      <formula>AQ138="T"</formula>
    </cfRule>
  </conditionalFormatting>
  <conditionalFormatting sqref="AQ139">
    <cfRule type="expression" dxfId="10866" priority="14774">
      <formula>AQ138="X"</formula>
    </cfRule>
    <cfRule type="expression" dxfId="10865" priority="14775">
      <formula>AQ138="A"</formula>
    </cfRule>
    <cfRule type="expression" dxfId="10864" priority="14776">
      <formula>AQ138="T"</formula>
    </cfRule>
  </conditionalFormatting>
  <conditionalFormatting sqref="AQ10">
    <cfRule type="expression" dxfId="10863" priority="14771" stopIfTrue="1">
      <formula>AQ4=""</formula>
    </cfRule>
  </conditionalFormatting>
  <conditionalFormatting sqref="AQ10">
    <cfRule type="expression" dxfId="10862" priority="14772" stopIfTrue="1">
      <formula>AQ10=1</formula>
    </cfRule>
    <cfRule type="colorScale" priority="14773">
      <colorScale>
        <cfvo type="num" val="0"/>
        <cfvo type="num" val="0.5"/>
        <cfvo type="num" val="1"/>
        <color rgb="FFF8696B"/>
        <color theme="4" tint="0.79998168889431442"/>
        <color rgb="FF5A8AC6"/>
      </colorScale>
    </cfRule>
  </conditionalFormatting>
  <conditionalFormatting sqref="AQ15">
    <cfRule type="expression" dxfId="10861" priority="14768" stopIfTrue="1">
      <formula>AQ11=""</formula>
    </cfRule>
  </conditionalFormatting>
  <conditionalFormatting sqref="AQ15">
    <cfRule type="expression" dxfId="10860" priority="14769" stopIfTrue="1">
      <formula>AQ15=1</formula>
    </cfRule>
    <cfRule type="colorScale" priority="14770">
      <colorScale>
        <cfvo type="num" val="0"/>
        <cfvo type="num" val="0.5"/>
        <cfvo type="num" val="1"/>
        <color rgb="FFF8696B"/>
        <color theme="4" tint="0.79998168889431442"/>
        <color rgb="FF5A8AC6"/>
      </colorScale>
    </cfRule>
  </conditionalFormatting>
  <conditionalFormatting sqref="AQ38">
    <cfRule type="expression" dxfId="10859" priority="14765" stopIfTrue="1">
      <formula>AQ16=""</formula>
    </cfRule>
  </conditionalFormatting>
  <conditionalFormatting sqref="AQ38">
    <cfRule type="expression" dxfId="10858" priority="14766" stopIfTrue="1">
      <formula>AQ38=1</formula>
    </cfRule>
    <cfRule type="colorScale" priority="14767">
      <colorScale>
        <cfvo type="num" val="0"/>
        <cfvo type="num" val="0.5"/>
        <cfvo type="num" val="1"/>
        <color rgb="FFF8696B"/>
        <color theme="4" tint="0.79998168889431442"/>
        <color rgb="FF5A8AC6"/>
      </colorScale>
    </cfRule>
  </conditionalFormatting>
  <conditionalFormatting sqref="AQ47">
    <cfRule type="expression" dxfId="10857" priority="14762" stopIfTrue="1">
      <formula>AQ39=""</formula>
    </cfRule>
  </conditionalFormatting>
  <conditionalFormatting sqref="AQ47">
    <cfRule type="expression" dxfId="10856" priority="14763" stopIfTrue="1">
      <formula>AQ47=1</formula>
    </cfRule>
    <cfRule type="colorScale" priority="14764">
      <colorScale>
        <cfvo type="num" val="0"/>
        <cfvo type="num" val="0.5"/>
        <cfvo type="num" val="1"/>
        <color rgb="FFF8696B"/>
        <color theme="4" tint="0.79998168889431442"/>
        <color rgb="FF5A8AC6"/>
      </colorScale>
    </cfRule>
  </conditionalFormatting>
  <conditionalFormatting sqref="AQ62:AU62">
    <cfRule type="expression" dxfId="10855" priority="14759" stopIfTrue="1">
      <formula>AQ48=""</formula>
    </cfRule>
  </conditionalFormatting>
  <conditionalFormatting sqref="AQ62:AU62">
    <cfRule type="expression" dxfId="10854" priority="14760" stopIfTrue="1">
      <formula>AQ62=1</formula>
    </cfRule>
    <cfRule type="colorScale" priority="14761">
      <colorScale>
        <cfvo type="num" val="0"/>
        <cfvo type="num" val="0.5"/>
        <cfvo type="num" val="1"/>
        <color rgb="FFF8696B"/>
        <color theme="4" tint="0.79998168889431442"/>
        <color rgb="FF5A8AC6"/>
      </colorScale>
    </cfRule>
  </conditionalFormatting>
  <conditionalFormatting sqref="AQ69">
    <cfRule type="expression" dxfId="10853" priority="14756" stopIfTrue="1">
      <formula>AQ63=""</formula>
    </cfRule>
  </conditionalFormatting>
  <conditionalFormatting sqref="AQ69">
    <cfRule type="expression" dxfId="10852" priority="14757" stopIfTrue="1">
      <formula>AQ69=1</formula>
    </cfRule>
    <cfRule type="colorScale" priority="14758">
      <colorScale>
        <cfvo type="num" val="0"/>
        <cfvo type="num" val="0.5"/>
        <cfvo type="num" val="1"/>
        <color rgb="FFF8696B"/>
        <color theme="4" tint="0.79998168889431442"/>
        <color rgb="FF5A8AC6"/>
      </colorScale>
    </cfRule>
  </conditionalFormatting>
  <conditionalFormatting sqref="AQ80">
    <cfRule type="expression" dxfId="10851" priority="14753" stopIfTrue="1">
      <formula>AQ74=""</formula>
    </cfRule>
  </conditionalFormatting>
  <conditionalFormatting sqref="AQ80">
    <cfRule type="expression" dxfId="10850" priority="14754" stopIfTrue="1">
      <formula>AQ80=1</formula>
    </cfRule>
    <cfRule type="colorScale" priority="14755">
      <colorScale>
        <cfvo type="num" val="0"/>
        <cfvo type="num" val="0.5"/>
        <cfvo type="num" val="1"/>
        <color rgb="FFF8696B"/>
        <color theme="4" tint="0.79998168889431442"/>
        <color rgb="FF5A8AC6"/>
      </colorScale>
    </cfRule>
  </conditionalFormatting>
  <conditionalFormatting sqref="AQ87">
    <cfRule type="expression" dxfId="10849" priority="14750" stopIfTrue="1">
      <formula>AQ81=""</formula>
    </cfRule>
  </conditionalFormatting>
  <conditionalFormatting sqref="AQ87">
    <cfRule type="expression" dxfId="10848" priority="14751" stopIfTrue="1">
      <formula>AQ87=1</formula>
    </cfRule>
    <cfRule type="colorScale" priority="14752">
      <colorScale>
        <cfvo type="num" val="0"/>
        <cfvo type="num" val="0.5"/>
        <cfvo type="num" val="1"/>
        <color rgb="FFF8696B"/>
        <color theme="4" tint="0.79998168889431442"/>
        <color rgb="FF5A8AC6"/>
      </colorScale>
    </cfRule>
  </conditionalFormatting>
  <conditionalFormatting sqref="AQ104">
    <cfRule type="expression" dxfId="10847" priority="14747" stopIfTrue="1">
      <formula>AQ88=""</formula>
    </cfRule>
  </conditionalFormatting>
  <conditionalFormatting sqref="AQ104">
    <cfRule type="expression" dxfId="10846" priority="14748" stopIfTrue="1">
      <formula>AQ104=1</formula>
    </cfRule>
    <cfRule type="colorScale" priority="14749">
      <colorScale>
        <cfvo type="num" val="0"/>
        <cfvo type="num" val="0.5"/>
        <cfvo type="num" val="1"/>
        <color rgb="FFF8696B"/>
        <color theme="4" tint="0.79998168889431442"/>
        <color rgb="FF5A8AC6"/>
      </colorScale>
    </cfRule>
  </conditionalFormatting>
  <conditionalFormatting sqref="AQ115">
    <cfRule type="expression" dxfId="10845" priority="14744" stopIfTrue="1">
      <formula>AQ105=""</formula>
    </cfRule>
  </conditionalFormatting>
  <conditionalFormatting sqref="AQ115">
    <cfRule type="expression" dxfId="10844" priority="14745" stopIfTrue="1">
      <formula>AQ115=1</formula>
    </cfRule>
    <cfRule type="colorScale" priority="14746">
      <colorScale>
        <cfvo type="num" val="0"/>
        <cfvo type="num" val="0.5"/>
        <cfvo type="num" val="1"/>
        <color rgb="FFF8696B"/>
        <color theme="4" tint="0.79998168889431442"/>
        <color rgb="FF5A8AC6"/>
      </colorScale>
    </cfRule>
  </conditionalFormatting>
  <conditionalFormatting sqref="AQ124">
    <cfRule type="expression" dxfId="10843" priority="14741" stopIfTrue="1">
      <formula>AQ116=""</formula>
    </cfRule>
  </conditionalFormatting>
  <conditionalFormatting sqref="AQ124">
    <cfRule type="expression" dxfId="10842" priority="14742" stopIfTrue="1">
      <formula>AQ124=1</formula>
    </cfRule>
    <cfRule type="colorScale" priority="14743">
      <colorScale>
        <cfvo type="num" val="0"/>
        <cfvo type="num" val="0.5"/>
        <cfvo type="num" val="1"/>
        <color rgb="FFF8696B"/>
        <color theme="4" tint="0.79998168889431442"/>
        <color rgb="FF5A8AC6"/>
      </colorScale>
    </cfRule>
  </conditionalFormatting>
  <conditionalFormatting sqref="AQ129">
    <cfRule type="expression" dxfId="10841" priority="14738" stopIfTrue="1">
      <formula>AQ125=""</formula>
    </cfRule>
  </conditionalFormatting>
  <conditionalFormatting sqref="AQ129">
    <cfRule type="expression" dxfId="10840" priority="14739" stopIfTrue="1">
      <formula>AQ129=1</formula>
    </cfRule>
    <cfRule type="colorScale" priority="14740">
      <colorScale>
        <cfvo type="num" val="0"/>
        <cfvo type="num" val="0.5"/>
        <cfvo type="num" val="1"/>
        <color rgb="FFF8696B"/>
        <color theme="4" tint="0.79998168889431442"/>
        <color rgb="FF5A8AC6"/>
      </colorScale>
    </cfRule>
  </conditionalFormatting>
  <conditionalFormatting sqref="AQ140">
    <cfRule type="expression" dxfId="10839" priority="14735" stopIfTrue="1">
      <formula>AQ134=""</formula>
    </cfRule>
  </conditionalFormatting>
  <conditionalFormatting sqref="AQ140">
    <cfRule type="expression" dxfId="10838" priority="14736" stopIfTrue="1">
      <formula>AQ140=1</formula>
    </cfRule>
    <cfRule type="colorScale" priority="14737">
      <colorScale>
        <cfvo type="num" val="0"/>
        <cfvo type="num" val="0.5"/>
        <cfvo type="num" val="1"/>
        <color rgb="FFF8696B"/>
        <color theme="4" tint="0.79998168889431442"/>
        <color rgb="FF5A8AC6"/>
      </colorScale>
    </cfRule>
  </conditionalFormatting>
  <conditionalFormatting sqref="AQ145">
    <cfRule type="expression" dxfId="10837" priority="14732" stopIfTrue="1">
      <formula>AQ141=""</formula>
    </cfRule>
  </conditionalFormatting>
  <conditionalFormatting sqref="AQ145">
    <cfRule type="expression" dxfId="10836" priority="14733" stopIfTrue="1">
      <formula>AQ145=1</formula>
    </cfRule>
    <cfRule type="colorScale" priority="14734">
      <colorScale>
        <cfvo type="num" val="0"/>
        <cfvo type="num" val="0.5"/>
        <cfvo type="num" val="1"/>
        <color rgb="FFF8696B"/>
        <color theme="4" tint="0.79998168889431442"/>
        <color rgb="FF5A8AC6"/>
      </colorScale>
    </cfRule>
  </conditionalFormatting>
  <conditionalFormatting sqref="AQ153">
    <cfRule type="expression" dxfId="10835" priority="14729" stopIfTrue="1">
      <formula>AQ149=""</formula>
    </cfRule>
  </conditionalFormatting>
  <conditionalFormatting sqref="AQ153">
    <cfRule type="expression" dxfId="10834" priority="14730" stopIfTrue="1">
      <formula>AQ153=1</formula>
    </cfRule>
    <cfRule type="colorScale" priority="14731">
      <colorScale>
        <cfvo type="num" val="0"/>
        <cfvo type="num" val="0.5"/>
        <cfvo type="num" val="1"/>
        <color rgb="FFF8696B"/>
        <color theme="4" tint="0.79998168889431442"/>
        <color rgb="FF5A8AC6"/>
      </colorScale>
    </cfRule>
  </conditionalFormatting>
  <conditionalFormatting sqref="AQ165">
    <cfRule type="expression" dxfId="10833" priority="14726" stopIfTrue="1">
      <formula>AQ155=""</formula>
    </cfRule>
  </conditionalFormatting>
  <conditionalFormatting sqref="AQ165">
    <cfRule type="expression" dxfId="10832" priority="14727" stopIfTrue="1">
      <formula>AQ165=1</formula>
    </cfRule>
    <cfRule type="colorScale" priority="14728">
      <colorScale>
        <cfvo type="num" val="0"/>
        <cfvo type="num" val="0.5"/>
        <cfvo type="num" val="1"/>
        <color rgb="FFF8696B"/>
        <color theme="4" tint="0.79998168889431442"/>
        <color rgb="FF5A8AC6"/>
      </colorScale>
    </cfRule>
  </conditionalFormatting>
  <conditionalFormatting sqref="AQ187">
    <cfRule type="expression" dxfId="10831" priority="14723" stopIfTrue="1">
      <formula>AQ183=""</formula>
    </cfRule>
  </conditionalFormatting>
  <conditionalFormatting sqref="AQ187">
    <cfRule type="expression" dxfId="10830" priority="14724" stopIfTrue="1">
      <formula>AQ187=1</formula>
    </cfRule>
    <cfRule type="colorScale" priority="14725">
      <colorScale>
        <cfvo type="num" val="0"/>
        <cfvo type="num" val="0.5"/>
        <cfvo type="num" val="1"/>
        <color rgb="FFF8696B"/>
        <color theme="4" tint="0.79998168889431442"/>
        <color rgb="FF5A8AC6"/>
      </colorScale>
    </cfRule>
  </conditionalFormatting>
  <conditionalFormatting sqref="AQ193">
    <cfRule type="expression" dxfId="10829" priority="14720" stopIfTrue="1">
      <formula>AQ189=""</formula>
    </cfRule>
  </conditionalFormatting>
  <conditionalFormatting sqref="AQ193">
    <cfRule type="expression" dxfId="10828" priority="14721" stopIfTrue="1">
      <formula>AQ193=1</formula>
    </cfRule>
    <cfRule type="colorScale" priority="14722">
      <colorScale>
        <cfvo type="num" val="0"/>
        <cfvo type="num" val="0.5"/>
        <cfvo type="num" val="1"/>
        <color rgb="FFF8696B"/>
        <color theme="4" tint="0.79998168889431442"/>
        <color rgb="FF5A8AC6"/>
      </colorScale>
    </cfRule>
  </conditionalFormatting>
  <conditionalFormatting sqref="AQ181">
    <cfRule type="expression" dxfId="10827" priority="14717" stopIfTrue="1">
      <formula>AQ167=""</formula>
    </cfRule>
  </conditionalFormatting>
  <conditionalFormatting sqref="AQ181">
    <cfRule type="expression" dxfId="10826" priority="14718" stopIfTrue="1">
      <formula>AQ181=1</formula>
    </cfRule>
    <cfRule type="colorScale" priority="14719">
      <colorScale>
        <cfvo type="num" val="0"/>
        <cfvo type="num" val="0.5"/>
        <cfvo type="num" val="1"/>
        <color rgb="FFF8696B"/>
        <color theme="4" tint="0.79998168889431442"/>
        <color rgb="FF5A8AC6"/>
      </colorScale>
    </cfRule>
  </conditionalFormatting>
  <conditionalFormatting sqref="AQ209">
    <cfRule type="expression" dxfId="10825" priority="14714" stopIfTrue="1">
      <formula>AQ195=""</formula>
    </cfRule>
  </conditionalFormatting>
  <conditionalFormatting sqref="AQ209">
    <cfRule type="expression" dxfId="10824" priority="14715" stopIfTrue="1">
      <formula>AQ209=1</formula>
    </cfRule>
    <cfRule type="colorScale" priority="14716">
      <colorScale>
        <cfvo type="num" val="0"/>
        <cfvo type="num" val="0.5"/>
        <cfvo type="num" val="1"/>
        <color rgb="FFF8696B"/>
        <color theme="4" tint="0.79998168889431442"/>
        <color rgb="FF5A8AC6"/>
      </colorScale>
    </cfRule>
  </conditionalFormatting>
  <conditionalFormatting sqref="AQ225">
    <cfRule type="expression" dxfId="10823" priority="14711" stopIfTrue="1">
      <formula>AQ211=""</formula>
    </cfRule>
  </conditionalFormatting>
  <conditionalFormatting sqref="AQ225">
    <cfRule type="expression" dxfId="10822" priority="14712" stopIfTrue="1">
      <formula>AQ225=1</formula>
    </cfRule>
    <cfRule type="colorScale" priority="14713">
      <colorScale>
        <cfvo type="num" val="0"/>
        <cfvo type="num" val="0.5"/>
        <cfvo type="num" val="1"/>
        <color rgb="FFF8696B"/>
        <color theme="4" tint="0.79998168889431442"/>
        <color rgb="FF5A8AC6"/>
      </colorScale>
    </cfRule>
  </conditionalFormatting>
  <conditionalFormatting sqref="AQ71">
    <cfRule type="expression" dxfId="10821" priority="14697" stopIfTrue="1">
      <formula>AQ71=1</formula>
    </cfRule>
    <cfRule type="colorScale" priority="14698">
      <colorScale>
        <cfvo type="num" val="0"/>
        <cfvo type="num" val="0.5"/>
        <cfvo type="num" val="1"/>
        <color rgb="FFF8696B"/>
        <color theme="4" tint="0.79998168889431442"/>
        <color rgb="FF5A8AC6"/>
      </colorScale>
    </cfRule>
  </conditionalFormatting>
  <conditionalFormatting sqref="AQ147">
    <cfRule type="expression" dxfId="10820" priority="14702" stopIfTrue="1">
      <formula>AQ134=""</formula>
    </cfRule>
  </conditionalFormatting>
  <conditionalFormatting sqref="AQ147">
    <cfRule type="expression" dxfId="10819" priority="14703" stopIfTrue="1">
      <formula>AQ147=1</formula>
    </cfRule>
    <cfRule type="colorScale" priority="14704">
      <colorScale>
        <cfvo type="num" val="0"/>
        <cfvo type="num" val="0.5"/>
        <cfvo type="num" val="1"/>
        <color rgb="FFF8696B"/>
        <color theme="4" tint="0.79998168889431442"/>
        <color rgb="FF5A8AC6"/>
      </colorScale>
    </cfRule>
  </conditionalFormatting>
  <conditionalFormatting sqref="AQ131">
    <cfRule type="expression" dxfId="10818" priority="14699" stopIfTrue="1">
      <formula>AQ74=""</formula>
    </cfRule>
  </conditionalFormatting>
  <conditionalFormatting sqref="AQ131">
    <cfRule type="expression" dxfId="10817" priority="14700" stopIfTrue="1">
      <formula>AQ131=1</formula>
    </cfRule>
    <cfRule type="colorScale" priority="14701">
      <colorScale>
        <cfvo type="num" val="0"/>
        <cfvo type="num" val="0.5"/>
        <cfvo type="num" val="1"/>
        <color rgb="FFF8696B"/>
        <color theme="4" tint="0.79998168889431442"/>
        <color rgb="FF5A8AC6"/>
      </colorScale>
    </cfRule>
  </conditionalFormatting>
  <conditionalFormatting sqref="AQ71">
    <cfRule type="expression" dxfId="10816" priority="14696" stopIfTrue="1">
      <formula>AQ65=""</formula>
    </cfRule>
  </conditionalFormatting>
  <conditionalFormatting sqref="AQ195">
    <cfRule type="expression" dxfId="10815" priority="14693">
      <formula>AQ195="X"</formula>
    </cfRule>
    <cfRule type="expression" dxfId="10814" priority="14694">
      <formula>AQ195="A"</formula>
    </cfRule>
    <cfRule type="expression" dxfId="10813" priority="14695">
      <formula>AQ195="T"</formula>
    </cfRule>
  </conditionalFormatting>
  <conditionalFormatting sqref="AQ203">
    <cfRule type="expression" dxfId="10812" priority="14690">
      <formula>AQ203="X"</formula>
    </cfRule>
    <cfRule type="expression" dxfId="10811" priority="14691">
      <formula>AQ203="A"</formula>
    </cfRule>
    <cfRule type="expression" dxfId="10810" priority="14692">
      <formula>AQ203="T"</formula>
    </cfRule>
  </conditionalFormatting>
  <conditionalFormatting sqref="AQ205">
    <cfRule type="expression" dxfId="10809" priority="14687">
      <formula>AQ205="X"</formula>
    </cfRule>
    <cfRule type="expression" dxfId="10808" priority="14688">
      <formula>AQ205="A"</formula>
    </cfRule>
    <cfRule type="expression" dxfId="10807" priority="14689">
      <formula>AQ205="T"</formula>
    </cfRule>
  </conditionalFormatting>
  <conditionalFormatting sqref="AQ207">
    <cfRule type="expression" dxfId="10806" priority="14684">
      <formula>AQ207="X"</formula>
    </cfRule>
    <cfRule type="expression" dxfId="10805" priority="14685">
      <formula>AQ207="A"</formula>
    </cfRule>
    <cfRule type="expression" dxfId="10804" priority="14686">
      <formula>AQ207="T"</formula>
    </cfRule>
  </conditionalFormatting>
  <conditionalFormatting sqref="AQ204">
    <cfRule type="expression" dxfId="10803" priority="14681">
      <formula>AQ203="X"</formula>
    </cfRule>
    <cfRule type="expression" dxfId="10802" priority="14682">
      <formula>AQ203="A"</formula>
    </cfRule>
    <cfRule type="expression" dxfId="10801" priority="14683">
      <formula>AQ203="T"</formula>
    </cfRule>
  </conditionalFormatting>
  <conditionalFormatting sqref="AQ206">
    <cfRule type="expression" dxfId="10800" priority="14678">
      <formula>AQ205="X"</formula>
    </cfRule>
    <cfRule type="expression" dxfId="10799" priority="14679">
      <formula>AQ205="A"</formula>
    </cfRule>
    <cfRule type="expression" dxfId="10798" priority="14680">
      <formula>AQ205="T"</formula>
    </cfRule>
  </conditionalFormatting>
  <conditionalFormatting sqref="AQ196">
    <cfRule type="expression" dxfId="10797" priority="14675">
      <formula>AQ195="X"</formula>
    </cfRule>
    <cfRule type="expression" dxfId="10796" priority="14676">
      <formula>AQ195="A"</formula>
    </cfRule>
    <cfRule type="expression" dxfId="10795" priority="14677">
      <formula>AQ195="T"</formula>
    </cfRule>
  </conditionalFormatting>
  <conditionalFormatting sqref="AQ197">
    <cfRule type="expression" dxfId="10794" priority="14672">
      <formula>AQ197="X"</formula>
    </cfRule>
    <cfRule type="expression" dxfId="10793" priority="14673">
      <formula>AQ197="A"</formula>
    </cfRule>
    <cfRule type="expression" dxfId="10792" priority="14674">
      <formula>AQ197="T"</formula>
    </cfRule>
  </conditionalFormatting>
  <conditionalFormatting sqref="AQ198">
    <cfRule type="expression" dxfId="10791" priority="14669">
      <formula>AQ197="X"</formula>
    </cfRule>
    <cfRule type="expression" dxfId="10790" priority="14670">
      <formula>AQ197="A"</formula>
    </cfRule>
    <cfRule type="expression" dxfId="10789" priority="14671">
      <formula>AQ197="T"</formula>
    </cfRule>
  </conditionalFormatting>
  <conditionalFormatting sqref="AQ199">
    <cfRule type="expression" dxfId="10788" priority="14666">
      <formula>AQ199="X"</formula>
    </cfRule>
    <cfRule type="expression" dxfId="10787" priority="14667">
      <formula>AQ199="A"</formula>
    </cfRule>
    <cfRule type="expression" dxfId="10786" priority="14668">
      <formula>AQ199="T"</formula>
    </cfRule>
  </conditionalFormatting>
  <conditionalFormatting sqref="AQ200">
    <cfRule type="expression" dxfId="10785" priority="14663">
      <formula>AQ199="X"</formula>
    </cfRule>
    <cfRule type="expression" dxfId="10784" priority="14664">
      <formula>AQ199="A"</formula>
    </cfRule>
    <cfRule type="expression" dxfId="10783" priority="14665">
      <formula>AQ199="T"</formula>
    </cfRule>
  </conditionalFormatting>
  <conditionalFormatting sqref="AQ201">
    <cfRule type="expression" dxfId="10782" priority="14660">
      <formula>AQ201="X"</formula>
    </cfRule>
    <cfRule type="expression" dxfId="10781" priority="14661">
      <formula>AQ201="A"</formula>
    </cfRule>
    <cfRule type="expression" dxfId="10780" priority="14662">
      <formula>AQ201="T"</formula>
    </cfRule>
  </conditionalFormatting>
  <conditionalFormatting sqref="AQ202">
    <cfRule type="expression" dxfId="10779" priority="14657">
      <formula>AQ201="X"</formula>
    </cfRule>
    <cfRule type="expression" dxfId="10778" priority="14658">
      <formula>AQ201="A"</formula>
    </cfRule>
    <cfRule type="expression" dxfId="10777" priority="14659">
      <formula>AQ201="T"</formula>
    </cfRule>
  </conditionalFormatting>
  <conditionalFormatting sqref="X237:X238">
    <cfRule type="expression" dxfId="10776" priority="14655" stopIfTrue="1">
      <formula>X237=_xlfn.UNICHAR(10003)</formula>
    </cfRule>
    <cfRule type="colorScale" priority="14656">
      <colorScale>
        <cfvo type="num" val="0"/>
        <cfvo type="num" val="0.5"/>
        <cfvo type="num" val="1"/>
        <color rgb="FFF8696B"/>
        <color theme="4" tint="0.79998168889431442"/>
        <color rgb="FF5A8AC6"/>
      </colorScale>
    </cfRule>
  </conditionalFormatting>
  <conditionalFormatting sqref="X16 X18 X20 X22 X24 X26 X28 X39 X41 X43 X45 X48 X81 X88 X90 X92 X94 X96 X98 X100 X102 X105 X107 X109 X111 X116">
    <cfRule type="expression" dxfId="10775" priority="14652">
      <formula>X16="X"</formula>
    </cfRule>
    <cfRule type="expression" dxfId="10774" priority="14653">
      <formula>X16="A"</formula>
    </cfRule>
    <cfRule type="expression" dxfId="10773" priority="14654">
      <formula>X16="T"</formula>
    </cfRule>
  </conditionalFormatting>
  <conditionalFormatting sqref="X36">
    <cfRule type="expression" dxfId="10772" priority="14649">
      <formula>X36="X"</formula>
    </cfRule>
    <cfRule type="expression" dxfId="10771" priority="14650">
      <formula>X36="A"</formula>
    </cfRule>
    <cfRule type="expression" dxfId="10770" priority="14651">
      <formula>X36="T"</formula>
    </cfRule>
  </conditionalFormatting>
  <conditionalFormatting sqref="X34">
    <cfRule type="expression" dxfId="10769" priority="14646">
      <formula>X34="X"</formula>
    </cfRule>
    <cfRule type="expression" dxfId="10768" priority="14647">
      <formula>X34="A"</formula>
    </cfRule>
    <cfRule type="expression" dxfId="10767" priority="14648">
      <formula>X34="T"</formula>
    </cfRule>
  </conditionalFormatting>
  <conditionalFormatting sqref="X32">
    <cfRule type="expression" dxfId="10766" priority="14643">
      <formula>X32="X"</formula>
    </cfRule>
    <cfRule type="expression" dxfId="10765" priority="14644">
      <formula>X32="A"</formula>
    </cfRule>
    <cfRule type="expression" dxfId="10764" priority="14645">
      <formula>X32="T"</formula>
    </cfRule>
  </conditionalFormatting>
  <conditionalFormatting sqref="X30">
    <cfRule type="expression" dxfId="10763" priority="14640">
      <formula>X30="X"</formula>
    </cfRule>
    <cfRule type="expression" dxfId="10762" priority="14641">
      <formula>X30="A"</formula>
    </cfRule>
    <cfRule type="expression" dxfId="10761" priority="14642">
      <formula>X30="T"</formula>
    </cfRule>
  </conditionalFormatting>
  <conditionalFormatting sqref="X52">
    <cfRule type="expression" dxfId="10760" priority="14637">
      <formula>X52="X"</formula>
    </cfRule>
    <cfRule type="expression" dxfId="10759" priority="14638">
      <formula>X52="A"</formula>
    </cfRule>
    <cfRule type="expression" dxfId="10758" priority="14639">
      <formula>X52="T"</formula>
    </cfRule>
  </conditionalFormatting>
  <conditionalFormatting sqref="X50">
    <cfRule type="expression" dxfId="10757" priority="14634">
      <formula>X50="X"</formula>
    </cfRule>
    <cfRule type="expression" dxfId="10756" priority="14635">
      <formula>X50="A"</formula>
    </cfRule>
    <cfRule type="expression" dxfId="10755" priority="14636">
      <formula>X50="T"</formula>
    </cfRule>
  </conditionalFormatting>
  <conditionalFormatting sqref="X54">
    <cfRule type="expression" dxfId="10754" priority="14631">
      <formula>X54="X"</formula>
    </cfRule>
    <cfRule type="expression" dxfId="10753" priority="14632">
      <formula>X54="A"</formula>
    </cfRule>
    <cfRule type="expression" dxfId="10752" priority="14633">
      <formula>X54="T"</formula>
    </cfRule>
  </conditionalFormatting>
  <conditionalFormatting sqref="X56">
    <cfRule type="expression" dxfId="10751" priority="14628">
      <formula>X56="X"</formula>
    </cfRule>
    <cfRule type="expression" dxfId="10750" priority="14629">
      <formula>X56="A"</formula>
    </cfRule>
    <cfRule type="expression" dxfId="10749" priority="14630">
      <formula>X56="T"</formula>
    </cfRule>
  </conditionalFormatting>
  <conditionalFormatting sqref="X58">
    <cfRule type="expression" dxfId="10748" priority="14625">
      <formula>X58="X"</formula>
    </cfRule>
    <cfRule type="expression" dxfId="10747" priority="14626">
      <formula>X58="A"</formula>
    </cfRule>
    <cfRule type="expression" dxfId="10746" priority="14627">
      <formula>X58="T"</formula>
    </cfRule>
  </conditionalFormatting>
  <conditionalFormatting sqref="X83">
    <cfRule type="expression" dxfId="10745" priority="14616">
      <formula>X83="X"</formula>
    </cfRule>
    <cfRule type="expression" dxfId="10744" priority="14617">
      <formula>X83="A"</formula>
    </cfRule>
    <cfRule type="expression" dxfId="10743" priority="14618">
      <formula>X83="T"</formula>
    </cfRule>
  </conditionalFormatting>
  <conditionalFormatting sqref="X85">
    <cfRule type="expression" dxfId="10742" priority="14613">
      <formula>X85="X"</formula>
    </cfRule>
    <cfRule type="expression" dxfId="10741" priority="14614">
      <formula>X85="A"</formula>
    </cfRule>
    <cfRule type="expression" dxfId="10740" priority="14615">
      <formula>X85="T"</formula>
    </cfRule>
  </conditionalFormatting>
  <conditionalFormatting sqref="X67">
    <cfRule type="expression" dxfId="10739" priority="14610">
      <formula>X67="X"</formula>
    </cfRule>
    <cfRule type="expression" dxfId="10738" priority="14611">
      <formula>X67="A"</formula>
    </cfRule>
    <cfRule type="expression" dxfId="10737" priority="14612">
      <formula>X67="T"</formula>
    </cfRule>
  </conditionalFormatting>
  <conditionalFormatting sqref="X113">
    <cfRule type="expression" dxfId="10736" priority="14607">
      <formula>X113="X"</formula>
    </cfRule>
    <cfRule type="expression" dxfId="10735" priority="14608">
      <formula>X113="A"</formula>
    </cfRule>
    <cfRule type="expression" dxfId="10734" priority="14609">
      <formula>X113="T"</formula>
    </cfRule>
  </conditionalFormatting>
  <conditionalFormatting sqref="X118">
    <cfRule type="expression" dxfId="10733" priority="14604">
      <formula>X118="X"</formula>
    </cfRule>
    <cfRule type="expression" dxfId="10732" priority="14605">
      <formula>X118="A"</formula>
    </cfRule>
    <cfRule type="expression" dxfId="10731" priority="14606">
      <formula>X118="T"</formula>
    </cfRule>
  </conditionalFormatting>
  <conditionalFormatting sqref="X120">
    <cfRule type="expression" dxfId="10730" priority="14601">
      <formula>X120="X"</formula>
    </cfRule>
    <cfRule type="expression" dxfId="10729" priority="14602">
      <formula>X120="A"</formula>
    </cfRule>
    <cfRule type="expression" dxfId="10728" priority="14603">
      <formula>X120="T"</formula>
    </cfRule>
  </conditionalFormatting>
  <conditionalFormatting sqref="X122">
    <cfRule type="expression" dxfId="10727" priority="14598">
      <formula>X122="X"</formula>
    </cfRule>
    <cfRule type="expression" dxfId="10726" priority="14599">
      <formula>X122="A"</formula>
    </cfRule>
    <cfRule type="expression" dxfId="10725" priority="14600">
      <formula>X122="T"</formula>
    </cfRule>
  </conditionalFormatting>
  <conditionalFormatting sqref="X127">
    <cfRule type="expression" dxfId="10724" priority="14592">
      <formula>X127="X"</formula>
    </cfRule>
    <cfRule type="expression" dxfId="10723" priority="14593">
      <formula>X127="A"</formula>
    </cfRule>
    <cfRule type="expression" dxfId="10722" priority="14594">
      <formula>X127="T"</formula>
    </cfRule>
  </conditionalFormatting>
  <conditionalFormatting sqref="X141">
    <cfRule type="expression" dxfId="10721" priority="14589">
      <formula>X141="X"</formula>
    </cfRule>
    <cfRule type="expression" dxfId="10720" priority="14590">
      <formula>X141="A"</formula>
    </cfRule>
    <cfRule type="expression" dxfId="10719" priority="14591">
      <formula>X141="T"</formula>
    </cfRule>
  </conditionalFormatting>
  <conditionalFormatting sqref="X143">
    <cfRule type="expression" dxfId="10718" priority="14586">
      <formula>X143="X"</formula>
    </cfRule>
    <cfRule type="expression" dxfId="10717" priority="14587">
      <formula>X143="A"</formula>
    </cfRule>
    <cfRule type="expression" dxfId="10716" priority="14588">
      <formula>X143="T"</formula>
    </cfRule>
  </conditionalFormatting>
  <conditionalFormatting sqref="X149">
    <cfRule type="expression" dxfId="10715" priority="14583">
      <formula>X149="X"</formula>
    </cfRule>
    <cfRule type="expression" dxfId="10714" priority="14584">
      <formula>X149="A"</formula>
    </cfRule>
    <cfRule type="expression" dxfId="10713" priority="14585">
      <formula>X149="T"</formula>
    </cfRule>
  </conditionalFormatting>
  <conditionalFormatting sqref="X151">
    <cfRule type="expression" dxfId="10712" priority="14580">
      <formula>X151="X"</formula>
    </cfRule>
    <cfRule type="expression" dxfId="10711" priority="14581">
      <formula>X151="A"</formula>
    </cfRule>
    <cfRule type="expression" dxfId="10710" priority="14582">
      <formula>X151="T"</formula>
    </cfRule>
  </conditionalFormatting>
  <conditionalFormatting sqref="X155">
    <cfRule type="expression" dxfId="10709" priority="14577">
      <formula>X155="X"</formula>
    </cfRule>
    <cfRule type="expression" dxfId="10708" priority="14578">
      <formula>X155="A"</formula>
    </cfRule>
    <cfRule type="expression" dxfId="10707" priority="14579">
      <formula>X155="T"</formula>
    </cfRule>
  </conditionalFormatting>
  <conditionalFormatting sqref="X157">
    <cfRule type="expression" dxfId="10706" priority="14574">
      <formula>X157="X"</formula>
    </cfRule>
    <cfRule type="expression" dxfId="10705" priority="14575">
      <formula>X157="A"</formula>
    </cfRule>
    <cfRule type="expression" dxfId="10704" priority="14576">
      <formula>X157="T"</formula>
    </cfRule>
  </conditionalFormatting>
  <conditionalFormatting sqref="X167">
    <cfRule type="expression" dxfId="10703" priority="14571">
      <formula>X167="X"</formula>
    </cfRule>
    <cfRule type="expression" dxfId="10702" priority="14572">
      <formula>X167="A"</formula>
    </cfRule>
    <cfRule type="expression" dxfId="10701" priority="14573">
      <formula>X167="T"</formula>
    </cfRule>
  </conditionalFormatting>
  <conditionalFormatting sqref="X173">
    <cfRule type="expression" dxfId="10700" priority="14568">
      <formula>X173="X"</formula>
    </cfRule>
    <cfRule type="expression" dxfId="10699" priority="14569">
      <formula>X173="A"</formula>
    </cfRule>
    <cfRule type="expression" dxfId="10698" priority="14570">
      <formula>X173="T"</formula>
    </cfRule>
  </conditionalFormatting>
  <conditionalFormatting sqref="X175">
    <cfRule type="expression" dxfId="10697" priority="14565">
      <formula>X175="X"</formula>
    </cfRule>
    <cfRule type="expression" dxfId="10696" priority="14566">
      <formula>X175="A"</formula>
    </cfRule>
    <cfRule type="expression" dxfId="10695" priority="14567">
      <formula>X175="T"</formula>
    </cfRule>
  </conditionalFormatting>
  <conditionalFormatting sqref="X177">
    <cfRule type="expression" dxfId="10694" priority="14562">
      <formula>X177="X"</formula>
    </cfRule>
    <cfRule type="expression" dxfId="10693" priority="14563">
      <formula>X177="A"</formula>
    </cfRule>
    <cfRule type="expression" dxfId="10692" priority="14564">
      <formula>X177="T"</formula>
    </cfRule>
  </conditionalFormatting>
  <conditionalFormatting sqref="X179">
    <cfRule type="expression" dxfId="10691" priority="14559">
      <formula>X179="X"</formula>
    </cfRule>
    <cfRule type="expression" dxfId="10690" priority="14560">
      <formula>X179="A"</formula>
    </cfRule>
    <cfRule type="expression" dxfId="10689" priority="14561">
      <formula>X179="T"</formula>
    </cfRule>
  </conditionalFormatting>
  <conditionalFormatting sqref="X169">
    <cfRule type="expression" dxfId="10688" priority="14556">
      <formula>X169="X"</formula>
    </cfRule>
    <cfRule type="expression" dxfId="10687" priority="14557">
      <formula>X169="A"</formula>
    </cfRule>
    <cfRule type="expression" dxfId="10686" priority="14558">
      <formula>X169="T"</formula>
    </cfRule>
  </conditionalFormatting>
  <conditionalFormatting sqref="X171">
    <cfRule type="expression" dxfId="10685" priority="14553">
      <formula>X171="X"</formula>
    </cfRule>
    <cfRule type="expression" dxfId="10684" priority="14554">
      <formula>X171="A"</formula>
    </cfRule>
    <cfRule type="expression" dxfId="10683" priority="14555">
      <formula>X171="T"</formula>
    </cfRule>
  </conditionalFormatting>
  <conditionalFormatting sqref="X183">
    <cfRule type="expression" dxfId="10682" priority="14550">
      <formula>X183="X"</formula>
    </cfRule>
    <cfRule type="expression" dxfId="10681" priority="14551">
      <formula>X183="A"</formula>
    </cfRule>
    <cfRule type="expression" dxfId="10680" priority="14552">
      <formula>X183="T"</formula>
    </cfRule>
  </conditionalFormatting>
  <conditionalFormatting sqref="X185">
    <cfRule type="expression" dxfId="10679" priority="14547">
      <formula>X185="X"</formula>
    </cfRule>
    <cfRule type="expression" dxfId="10678" priority="14548">
      <formula>X185="A"</formula>
    </cfRule>
    <cfRule type="expression" dxfId="10677" priority="14549">
      <formula>X185="T"</formula>
    </cfRule>
  </conditionalFormatting>
  <conditionalFormatting sqref="X189">
    <cfRule type="expression" dxfId="10676" priority="14544">
      <formula>X189="X"</formula>
    </cfRule>
    <cfRule type="expression" dxfId="10675" priority="14545">
      <formula>X189="A"</formula>
    </cfRule>
    <cfRule type="expression" dxfId="10674" priority="14546">
      <formula>X189="T"</formula>
    </cfRule>
  </conditionalFormatting>
  <conditionalFormatting sqref="X191">
    <cfRule type="expression" dxfId="10673" priority="14541">
      <formula>X191="X"</formula>
    </cfRule>
    <cfRule type="expression" dxfId="10672" priority="14542">
      <formula>X191="A"</formula>
    </cfRule>
    <cfRule type="expression" dxfId="10671" priority="14543">
      <formula>X191="T"</formula>
    </cfRule>
  </conditionalFormatting>
  <conditionalFormatting sqref="X11">
    <cfRule type="expression" dxfId="10670" priority="14538">
      <formula>X11="X"</formula>
    </cfRule>
    <cfRule type="expression" dxfId="10669" priority="14539">
      <formula>X11="A"</formula>
    </cfRule>
    <cfRule type="expression" dxfId="10668" priority="14540">
      <formula>X11="T"</formula>
    </cfRule>
  </conditionalFormatting>
  <conditionalFormatting sqref="X12">
    <cfRule type="expression" dxfId="10667" priority="14535">
      <formula>X11="X"</formula>
    </cfRule>
    <cfRule type="expression" dxfId="10666" priority="14536">
      <formula>X11="A"</formula>
    </cfRule>
    <cfRule type="expression" dxfId="10665" priority="14537">
      <formula>X11="T"</formula>
    </cfRule>
  </conditionalFormatting>
  <conditionalFormatting sqref="X13">
    <cfRule type="expression" dxfId="10664" priority="14532">
      <formula>X13="X"</formula>
    </cfRule>
    <cfRule type="expression" dxfId="10663" priority="14533">
      <formula>X13="A"</formula>
    </cfRule>
    <cfRule type="expression" dxfId="10662" priority="14534">
      <formula>X13="T"</formula>
    </cfRule>
  </conditionalFormatting>
  <conditionalFormatting sqref="X14">
    <cfRule type="expression" dxfId="10661" priority="14529">
      <formula>X13="X"</formula>
    </cfRule>
    <cfRule type="expression" dxfId="10660" priority="14530">
      <formula>X13="A"</formula>
    </cfRule>
    <cfRule type="expression" dxfId="10659" priority="14531">
      <formula>X13="T"</formula>
    </cfRule>
  </conditionalFormatting>
  <conditionalFormatting sqref="X17">
    <cfRule type="expression" dxfId="10658" priority="14526">
      <formula>X16="X"</formula>
    </cfRule>
    <cfRule type="expression" dxfId="10657" priority="14527">
      <formula>X16="A"</formula>
    </cfRule>
    <cfRule type="expression" dxfId="10656" priority="14528">
      <formula>X16="T"</formula>
    </cfRule>
  </conditionalFormatting>
  <conditionalFormatting sqref="X19">
    <cfRule type="expression" dxfId="10655" priority="14520">
      <formula>X18="X"</formula>
    </cfRule>
    <cfRule type="expression" dxfId="10654" priority="14521">
      <formula>X18="A"</formula>
    </cfRule>
    <cfRule type="expression" dxfId="10653" priority="14522">
      <formula>X18="T"</formula>
    </cfRule>
  </conditionalFormatting>
  <conditionalFormatting sqref="X21">
    <cfRule type="expression" dxfId="10652" priority="14517">
      <formula>X20="X"</formula>
    </cfRule>
    <cfRule type="expression" dxfId="10651" priority="14518">
      <formula>X20="A"</formula>
    </cfRule>
    <cfRule type="expression" dxfId="10650" priority="14519">
      <formula>X20="T"</formula>
    </cfRule>
  </conditionalFormatting>
  <conditionalFormatting sqref="X23">
    <cfRule type="expression" dxfId="10649" priority="14514">
      <formula>X22="X"</formula>
    </cfRule>
    <cfRule type="expression" dxfId="10648" priority="14515">
      <formula>X22="A"</formula>
    </cfRule>
    <cfRule type="expression" dxfId="10647" priority="14516">
      <formula>X22="T"</formula>
    </cfRule>
  </conditionalFormatting>
  <conditionalFormatting sqref="X25">
    <cfRule type="expression" dxfId="10646" priority="14511">
      <formula>X24="X"</formula>
    </cfRule>
    <cfRule type="expression" dxfId="10645" priority="14512">
      <formula>X24="A"</formula>
    </cfRule>
    <cfRule type="expression" dxfId="10644" priority="14513">
      <formula>X24="T"</formula>
    </cfRule>
  </conditionalFormatting>
  <conditionalFormatting sqref="X27">
    <cfRule type="expression" dxfId="10643" priority="14508">
      <formula>X26="X"</formula>
    </cfRule>
    <cfRule type="expression" dxfId="10642" priority="14509">
      <formula>X26="A"</formula>
    </cfRule>
    <cfRule type="expression" dxfId="10641" priority="14510">
      <formula>X26="T"</formula>
    </cfRule>
  </conditionalFormatting>
  <conditionalFormatting sqref="X29">
    <cfRule type="expression" dxfId="10640" priority="14505">
      <formula>X28="X"</formula>
    </cfRule>
    <cfRule type="expression" dxfId="10639" priority="14506">
      <formula>X28="A"</formula>
    </cfRule>
    <cfRule type="expression" dxfId="10638" priority="14507">
      <formula>X28="T"</formula>
    </cfRule>
  </conditionalFormatting>
  <conditionalFormatting sqref="X31">
    <cfRule type="expression" dxfId="10637" priority="14502">
      <formula>X30="X"</formula>
    </cfRule>
    <cfRule type="expression" dxfId="10636" priority="14503">
      <formula>X30="A"</formula>
    </cfRule>
    <cfRule type="expression" dxfId="10635" priority="14504">
      <formula>X30="T"</formula>
    </cfRule>
  </conditionalFormatting>
  <conditionalFormatting sqref="X33">
    <cfRule type="expression" dxfId="10634" priority="14499">
      <formula>X32="X"</formula>
    </cfRule>
    <cfRule type="expression" dxfId="10633" priority="14500">
      <formula>X32="A"</formula>
    </cfRule>
    <cfRule type="expression" dxfId="10632" priority="14501">
      <formula>X32="T"</formula>
    </cfRule>
  </conditionalFormatting>
  <conditionalFormatting sqref="X35">
    <cfRule type="expression" dxfId="10631" priority="14496">
      <formula>X34="X"</formula>
    </cfRule>
    <cfRule type="expression" dxfId="10630" priority="14497">
      <formula>X34="A"</formula>
    </cfRule>
    <cfRule type="expression" dxfId="10629" priority="14498">
      <formula>X34="T"</formula>
    </cfRule>
  </conditionalFormatting>
  <conditionalFormatting sqref="X37">
    <cfRule type="expression" dxfId="10628" priority="14493">
      <formula>X36="X"</formula>
    </cfRule>
    <cfRule type="expression" dxfId="10627" priority="14494">
      <formula>X36="A"</formula>
    </cfRule>
    <cfRule type="expression" dxfId="10626" priority="14495">
      <formula>X36="T"</formula>
    </cfRule>
  </conditionalFormatting>
  <conditionalFormatting sqref="X40">
    <cfRule type="expression" dxfId="10625" priority="14490">
      <formula>X39="X"</formula>
    </cfRule>
    <cfRule type="expression" dxfId="10624" priority="14491">
      <formula>X39="A"</formula>
    </cfRule>
    <cfRule type="expression" dxfId="10623" priority="14492">
      <formula>X39="T"</formula>
    </cfRule>
  </conditionalFormatting>
  <conditionalFormatting sqref="X42">
    <cfRule type="expression" dxfId="10622" priority="14487">
      <formula>X41="X"</formula>
    </cfRule>
    <cfRule type="expression" dxfId="10621" priority="14488">
      <formula>X41="A"</formula>
    </cfRule>
    <cfRule type="expression" dxfId="10620" priority="14489">
      <formula>X41="T"</formula>
    </cfRule>
  </conditionalFormatting>
  <conditionalFormatting sqref="X44">
    <cfRule type="expression" dxfId="10619" priority="14484">
      <formula>X43="X"</formula>
    </cfRule>
    <cfRule type="expression" dxfId="10618" priority="14485">
      <formula>X43="A"</formula>
    </cfRule>
    <cfRule type="expression" dxfId="10617" priority="14486">
      <formula>X43="T"</formula>
    </cfRule>
  </conditionalFormatting>
  <conditionalFormatting sqref="X46">
    <cfRule type="expression" dxfId="10616" priority="14481">
      <formula>X45="X"</formula>
    </cfRule>
    <cfRule type="expression" dxfId="10615" priority="14482">
      <formula>X45="A"</formula>
    </cfRule>
    <cfRule type="expression" dxfId="10614" priority="14483">
      <formula>X45="T"</formula>
    </cfRule>
  </conditionalFormatting>
  <conditionalFormatting sqref="X49">
    <cfRule type="expression" dxfId="10613" priority="14478">
      <formula>X48="X"</formula>
    </cfRule>
    <cfRule type="expression" dxfId="10612" priority="14479">
      <formula>X48="A"</formula>
    </cfRule>
    <cfRule type="expression" dxfId="10611" priority="14480">
      <formula>X48="T"</formula>
    </cfRule>
  </conditionalFormatting>
  <conditionalFormatting sqref="X51">
    <cfRule type="expression" dxfId="10610" priority="14475">
      <formula>X50="X"</formula>
    </cfRule>
    <cfRule type="expression" dxfId="10609" priority="14476">
      <formula>X50="A"</formula>
    </cfRule>
    <cfRule type="expression" dxfId="10608" priority="14477">
      <formula>X50="T"</formula>
    </cfRule>
  </conditionalFormatting>
  <conditionalFormatting sqref="X53">
    <cfRule type="expression" dxfId="10607" priority="14472">
      <formula>X52="X"</formula>
    </cfRule>
    <cfRule type="expression" dxfId="10606" priority="14473">
      <formula>X52="A"</formula>
    </cfRule>
    <cfRule type="expression" dxfId="10605" priority="14474">
      <formula>X52="T"</formula>
    </cfRule>
  </conditionalFormatting>
  <conditionalFormatting sqref="X55">
    <cfRule type="expression" dxfId="10604" priority="14469">
      <formula>X54="X"</formula>
    </cfRule>
    <cfRule type="expression" dxfId="10603" priority="14470">
      <formula>X54="A"</formula>
    </cfRule>
    <cfRule type="expression" dxfId="10602" priority="14471">
      <formula>X54="T"</formula>
    </cfRule>
  </conditionalFormatting>
  <conditionalFormatting sqref="X57">
    <cfRule type="expression" dxfId="10601" priority="14466">
      <formula>X56="X"</formula>
    </cfRule>
    <cfRule type="expression" dxfId="10600" priority="14467">
      <formula>X56="A"</formula>
    </cfRule>
    <cfRule type="expression" dxfId="10599" priority="14468">
      <formula>X56="T"</formula>
    </cfRule>
  </conditionalFormatting>
  <conditionalFormatting sqref="X59">
    <cfRule type="expression" dxfId="10598" priority="14463">
      <formula>X58="X"</formula>
    </cfRule>
    <cfRule type="expression" dxfId="10597" priority="14464">
      <formula>X58="A"</formula>
    </cfRule>
    <cfRule type="expression" dxfId="10596" priority="14465">
      <formula>X58="T"</formula>
    </cfRule>
  </conditionalFormatting>
  <conditionalFormatting sqref="X66">
    <cfRule type="expression" dxfId="10595" priority="14457">
      <formula>X65="X"</formula>
    </cfRule>
    <cfRule type="expression" dxfId="10594" priority="14458">
      <formula>X65="A"</formula>
    </cfRule>
    <cfRule type="expression" dxfId="10593" priority="14459">
      <formula>X65="T"</formula>
    </cfRule>
  </conditionalFormatting>
  <conditionalFormatting sqref="X68">
    <cfRule type="expression" dxfId="10592" priority="14454">
      <formula>X67="X"</formula>
    </cfRule>
    <cfRule type="expression" dxfId="10591" priority="14455">
      <formula>X67="A"</formula>
    </cfRule>
    <cfRule type="expression" dxfId="10590" priority="14456">
      <formula>X67="T"</formula>
    </cfRule>
  </conditionalFormatting>
  <conditionalFormatting sqref="X82">
    <cfRule type="expression" dxfId="10589" priority="14451">
      <formula>X81="X"</formula>
    </cfRule>
    <cfRule type="expression" dxfId="10588" priority="14452">
      <formula>X81="A"</formula>
    </cfRule>
    <cfRule type="expression" dxfId="10587" priority="14453">
      <formula>X81="T"</formula>
    </cfRule>
  </conditionalFormatting>
  <conditionalFormatting sqref="X84">
    <cfRule type="expression" dxfId="10586" priority="14448">
      <formula>X83="X"</formula>
    </cfRule>
    <cfRule type="expression" dxfId="10585" priority="14449">
      <formula>X83="A"</formula>
    </cfRule>
    <cfRule type="expression" dxfId="10584" priority="14450">
      <formula>X83="T"</formula>
    </cfRule>
  </conditionalFormatting>
  <conditionalFormatting sqref="X86">
    <cfRule type="expression" dxfId="10583" priority="14445">
      <formula>X85="X"</formula>
    </cfRule>
    <cfRule type="expression" dxfId="10582" priority="14446">
      <formula>X85="A"</formula>
    </cfRule>
    <cfRule type="expression" dxfId="10581" priority="14447">
      <formula>X85="T"</formula>
    </cfRule>
  </conditionalFormatting>
  <conditionalFormatting sqref="X89">
    <cfRule type="expression" dxfId="10580" priority="14442">
      <formula>X88="X"</formula>
    </cfRule>
    <cfRule type="expression" dxfId="10579" priority="14443">
      <formula>X88="A"</formula>
    </cfRule>
    <cfRule type="expression" dxfId="10578" priority="14444">
      <formula>X88="T"</formula>
    </cfRule>
  </conditionalFormatting>
  <conditionalFormatting sqref="X91">
    <cfRule type="expression" dxfId="10577" priority="14439">
      <formula>X90="X"</formula>
    </cfRule>
    <cfRule type="expression" dxfId="10576" priority="14440">
      <formula>X90="A"</formula>
    </cfRule>
    <cfRule type="expression" dxfId="10575" priority="14441">
      <formula>X90="T"</formula>
    </cfRule>
  </conditionalFormatting>
  <conditionalFormatting sqref="X93">
    <cfRule type="expression" dxfId="10574" priority="14436">
      <formula>X92="X"</formula>
    </cfRule>
    <cfRule type="expression" dxfId="10573" priority="14437">
      <formula>X92="A"</formula>
    </cfRule>
    <cfRule type="expression" dxfId="10572" priority="14438">
      <formula>X92="T"</formula>
    </cfRule>
  </conditionalFormatting>
  <conditionalFormatting sqref="X95">
    <cfRule type="expression" dxfId="10571" priority="14433">
      <formula>X94="X"</formula>
    </cfRule>
    <cfRule type="expression" dxfId="10570" priority="14434">
      <formula>X94="A"</formula>
    </cfRule>
    <cfRule type="expression" dxfId="10569" priority="14435">
      <formula>X94="T"</formula>
    </cfRule>
  </conditionalFormatting>
  <conditionalFormatting sqref="X97">
    <cfRule type="expression" dxfId="10568" priority="14430">
      <formula>X96="X"</formula>
    </cfRule>
    <cfRule type="expression" dxfId="10567" priority="14431">
      <formula>X96="A"</formula>
    </cfRule>
    <cfRule type="expression" dxfId="10566" priority="14432">
      <formula>X96="T"</formula>
    </cfRule>
  </conditionalFormatting>
  <conditionalFormatting sqref="X99">
    <cfRule type="expression" dxfId="10565" priority="14427">
      <formula>X98="X"</formula>
    </cfRule>
    <cfRule type="expression" dxfId="10564" priority="14428">
      <formula>X98="A"</formula>
    </cfRule>
    <cfRule type="expression" dxfId="10563" priority="14429">
      <formula>X98="T"</formula>
    </cfRule>
  </conditionalFormatting>
  <conditionalFormatting sqref="X101">
    <cfRule type="expression" dxfId="10562" priority="14424">
      <formula>X100="X"</formula>
    </cfRule>
    <cfRule type="expression" dxfId="10561" priority="14425">
      <formula>X100="A"</formula>
    </cfRule>
    <cfRule type="expression" dxfId="10560" priority="14426">
      <formula>X100="T"</formula>
    </cfRule>
  </conditionalFormatting>
  <conditionalFormatting sqref="X103">
    <cfRule type="expression" dxfId="10559" priority="14421">
      <formula>X102="X"</formula>
    </cfRule>
    <cfRule type="expression" dxfId="10558" priority="14422">
      <formula>X102="A"</formula>
    </cfRule>
    <cfRule type="expression" dxfId="10557" priority="14423">
      <formula>X102="T"</formula>
    </cfRule>
  </conditionalFormatting>
  <conditionalFormatting sqref="X106">
    <cfRule type="expression" dxfId="10556" priority="14418">
      <formula>X105="X"</formula>
    </cfRule>
    <cfRule type="expression" dxfId="10555" priority="14419">
      <formula>X105="A"</formula>
    </cfRule>
    <cfRule type="expression" dxfId="10554" priority="14420">
      <formula>X105="T"</formula>
    </cfRule>
  </conditionalFormatting>
  <conditionalFormatting sqref="X108">
    <cfRule type="expression" dxfId="10553" priority="14415">
      <formula>X107="X"</formula>
    </cfRule>
    <cfRule type="expression" dxfId="10552" priority="14416">
      <formula>X107="A"</formula>
    </cfRule>
    <cfRule type="expression" dxfId="10551" priority="14417">
      <formula>X107="T"</formula>
    </cfRule>
  </conditionalFormatting>
  <conditionalFormatting sqref="X110">
    <cfRule type="expression" dxfId="10550" priority="14412">
      <formula>X109="X"</formula>
    </cfRule>
    <cfRule type="expression" dxfId="10549" priority="14413">
      <formula>X109="A"</formula>
    </cfRule>
    <cfRule type="expression" dxfId="10548" priority="14414">
      <formula>X109="T"</formula>
    </cfRule>
  </conditionalFormatting>
  <conditionalFormatting sqref="X112">
    <cfRule type="expression" dxfId="10547" priority="14409">
      <formula>X111="X"</formula>
    </cfRule>
    <cfRule type="expression" dxfId="10546" priority="14410">
      <formula>X111="A"</formula>
    </cfRule>
    <cfRule type="expression" dxfId="10545" priority="14411">
      <formula>X111="T"</formula>
    </cfRule>
  </conditionalFormatting>
  <conditionalFormatting sqref="X114">
    <cfRule type="expression" dxfId="10544" priority="14406">
      <formula>X113="X"</formula>
    </cfRule>
    <cfRule type="expression" dxfId="10543" priority="14407">
      <formula>X113="A"</formula>
    </cfRule>
    <cfRule type="expression" dxfId="10542" priority="14408">
      <formula>X113="T"</formula>
    </cfRule>
  </conditionalFormatting>
  <conditionalFormatting sqref="X117">
    <cfRule type="expression" dxfId="10541" priority="14403">
      <formula>X116="X"</formula>
    </cfRule>
    <cfRule type="expression" dxfId="10540" priority="14404">
      <formula>X116="A"</formula>
    </cfRule>
    <cfRule type="expression" dxfId="10539" priority="14405">
      <formula>X116="T"</formula>
    </cfRule>
  </conditionalFormatting>
  <conditionalFormatting sqref="X119">
    <cfRule type="expression" dxfId="10538" priority="14400">
      <formula>X118="X"</formula>
    </cfRule>
    <cfRule type="expression" dxfId="10537" priority="14401">
      <formula>X118="A"</formula>
    </cfRule>
    <cfRule type="expression" dxfId="10536" priority="14402">
      <formula>X118="T"</formula>
    </cfRule>
  </conditionalFormatting>
  <conditionalFormatting sqref="X121">
    <cfRule type="expression" dxfId="10535" priority="14397">
      <formula>X120="X"</formula>
    </cfRule>
    <cfRule type="expression" dxfId="10534" priority="14398">
      <formula>X120="A"</formula>
    </cfRule>
    <cfRule type="expression" dxfId="10533" priority="14399">
      <formula>X120="T"</formula>
    </cfRule>
  </conditionalFormatting>
  <conditionalFormatting sqref="X123">
    <cfRule type="expression" dxfId="10532" priority="14394">
      <formula>X122="X"</formula>
    </cfRule>
    <cfRule type="expression" dxfId="10531" priority="14395">
      <formula>X122="A"</formula>
    </cfRule>
    <cfRule type="expression" dxfId="10530" priority="14396">
      <formula>X122="T"</formula>
    </cfRule>
  </conditionalFormatting>
  <conditionalFormatting sqref="X126">
    <cfRule type="expression" dxfId="10529" priority="14391">
      <formula>X125="X"</formula>
    </cfRule>
    <cfRule type="expression" dxfId="10528" priority="14392">
      <formula>X125="A"</formula>
    </cfRule>
    <cfRule type="expression" dxfId="10527" priority="14393">
      <formula>X125="T"</formula>
    </cfRule>
  </conditionalFormatting>
  <conditionalFormatting sqref="X128">
    <cfRule type="expression" dxfId="10526" priority="14388">
      <formula>X127="X"</formula>
    </cfRule>
    <cfRule type="expression" dxfId="10525" priority="14389">
      <formula>X127="A"</formula>
    </cfRule>
    <cfRule type="expression" dxfId="10524" priority="14390">
      <formula>X127="T"</formula>
    </cfRule>
  </conditionalFormatting>
  <conditionalFormatting sqref="X142">
    <cfRule type="expression" dxfId="10523" priority="14385">
      <formula>X141="X"</formula>
    </cfRule>
    <cfRule type="expression" dxfId="10522" priority="14386">
      <formula>X141="A"</formula>
    </cfRule>
    <cfRule type="expression" dxfId="10521" priority="14387">
      <formula>X141="T"</formula>
    </cfRule>
  </conditionalFormatting>
  <conditionalFormatting sqref="X144">
    <cfRule type="expression" dxfId="10520" priority="14382">
      <formula>X143="X"</formula>
    </cfRule>
    <cfRule type="expression" dxfId="10519" priority="14383">
      <formula>X143="A"</formula>
    </cfRule>
    <cfRule type="expression" dxfId="10518" priority="14384">
      <formula>X143="T"</formula>
    </cfRule>
  </conditionalFormatting>
  <conditionalFormatting sqref="X150">
    <cfRule type="expression" dxfId="10517" priority="14379">
      <formula>X149="X"</formula>
    </cfRule>
    <cfRule type="expression" dxfId="10516" priority="14380">
      <formula>X149="A"</formula>
    </cfRule>
    <cfRule type="expression" dxfId="10515" priority="14381">
      <formula>X149="T"</formula>
    </cfRule>
  </conditionalFormatting>
  <conditionalFormatting sqref="X152">
    <cfRule type="expression" dxfId="10514" priority="14376">
      <formula>X151="X"</formula>
    </cfRule>
    <cfRule type="expression" dxfId="10513" priority="14377">
      <formula>X151="A"</formula>
    </cfRule>
    <cfRule type="expression" dxfId="10512" priority="14378">
      <formula>X151="T"</formula>
    </cfRule>
  </conditionalFormatting>
  <conditionalFormatting sqref="X156">
    <cfRule type="expression" dxfId="10511" priority="14373">
      <formula>X155="X"</formula>
    </cfRule>
    <cfRule type="expression" dxfId="10510" priority="14374">
      <formula>X155="A"</formula>
    </cfRule>
    <cfRule type="expression" dxfId="10509" priority="14375">
      <formula>X155="T"</formula>
    </cfRule>
  </conditionalFormatting>
  <conditionalFormatting sqref="X168">
    <cfRule type="expression" dxfId="10508" priority="14367">
      <formula>X167="X"</formula>
    </cfRule>
    <cfRule type="expression" dxfId="10507" priority="14368">
      <formula>X167="A"</formula>
    </cfRule>
    <cfRule type="expression" dxfId="10506" priority="14369">
      <formula>X167="T"</formula>
    </cfRule>
  </conditionalFormatting>
  <conditionalFormatting sqref="X170">
    <cfRule type="expression" dxfId="10505" priority="14364">
      <formula>X169="X"</formula>
    </cfRule>
    <cfRule type="expression" dxfId="10504" priority="14365">
      <formula>X169="A"</formula>
    </cfRule>
    <cfRule type="expression" dxfId="10503" priority="14366">
      <formula>X169="T"</formula>
    </cfRule>
  </conditionalFormatting>
  <conditionalFormatting sqref="X172">
    <cfRule type="expression" dxfId="10502" priority="14361">
      <formula>X171="X"</formula>
    </cfRule>
    <cfRule type="expression" dxfId="10501" priority="14362">
      <formula>X171="A"</formula>
    </cfRule>
    <cfRule type="expression" dxfId="10500" priority="14363">
      <formula>X171="T"</formula>
    </cfRule>
  </conditionalFormatting>
  <conditionalFormatting sqref="X174">
    <cfRule type="expression" dxfId="10499" priority="14358">
      <formula>X173="X"</formula>
    </cfRule>
    <cfRule type="expression" dxfId="10498" priority="14359">
      <formula>X173="A"</formula>
    </cfRule>
    <cfRule type="expression" dxfId="10497" priority="14360">
      <formula>X173="T"</formula>
    </cfRule>
  </conditionalFormatting>
  <conditionalFormatting sqref="X176">
    <cfRule type="expression" dxfId="10496" priority="14355">
      <formula>X175="X"</formula>
    </cfRule>
    <cfRule type="expression" dxfId="10495" priority="14356">
      <formula>X175="A"</formula>
    </cfRule>
    <cfRule type="expression" dxfId="10494" priority="14357">
      <formula>X175="T"</formula>
    </cfRule>
  </conditionalFormatting>
  <conditionalFormatting sqref="X178">
    <cfRule type="expression" dxfId="10493" priority="14352">
      <formula>X177="X"</formula>
    </cfRule>
    <cfRule type="expression" dxfId="10492" priority="14353">
      <formula>X177="A"</formula>
    </cfRule>
    <cfRule type="expression" dxfId="10491" priority="14354">
      <formula>X177="T"</formula>
    </cfRule>
  </conditionalFormatting>
  <conditionalFormatting sqref="X180">
    <cfRule type="expression" dxfId="10490" priority="14349">
      <formula>X179="X"</formula>
    </cfRule>
    <cfRule type="expression" dxfId="10489" priority="14350">
      <formula>X179="A"</formula>
    </cfRule>
    <cfRule type="expression" dxfId="10488" priority="14351">
      <formula>X179="T"</formula>
    </cfRule>
  </conditionalFormatting>
  <conditionalFormatting sqref="X184">
    <cfRule type="expression" dxfId="10487" priority="14346">
      <formula>X183="X"</formula>
    </cfRule>
    <cfRule type="expression" dxfId="10486" priority="14347">
      <formula>X183="A"</formula>
    </cfRule>
    <cfRule type="expression" dxfId="10485" priority="14348">
      <formula>X183="T"</formula>
    </cfRule>
  </conditionalFormatting>
  <conditionalFormatting sqref="X186">
    <cfRule type="expression" dxfId="10484" priority="14343">
      <formula>X185="X"</formula>
    </cfRule>
    <cfRule type="expression" dxfId="10483" priority="14344">
      <formula>X185="A"</formula>
    </cfRule>
    <cfRule type="expression" dxfId="10482" priority="14345">
      <formula>X185="T"</formula>
    </cfRule>
  </conditionalFormatting>
  <conditionalFormatting sqref="X190">
    <cfRule type="expression" dxfId="10481" priority="14340">
      <formula>X189="X"</formula>
    </cfRule>
    <cfRule type="expression" dxfId="10480" priority="14341">
      <formula>X189="A"</formula>
    </cfRule>
    <cfRule type="expression" dxfId="10479" priority="14342">
      <formula>X189="T"</formula>
    </cfRule>
  </conditionalFormatting>
  <conditionalFormatting sqref="X192">
    <cfRule type="expression" dxfId="10478" priority="14337">
      <formula>X191="X"</formula>
    </cfRule>
    <cfRule type="expression" dxfId="10477" priority="14338">
      <formula>X191="A"</formula>
    </cfRule>
    <cfRule type="expression" dxfId="10476" priority="14339">
      <formula>X191="T"</formula>
    </cfRule>
  </conditionalFormatting>
  <conditionalFormatting sqref="X208">
    <cfRule type="expression" dxfId="10475" priority="14334">
      <formula>X207="X"</formula>
    </cfRule>
    <cfRule type="expression" dxfId="10474" priority="14335">
      <formula>X207="A"</formula>
    </cfRule>
    <cfRule type="expression" dxfId="10473" priority="14336">
      <formula>X207="T"</formula>
    </cfRule>
  </conditionalFormatting>
  <conditionalFormatting sqref="X211">
    <cfRule type="expression" dxfId="10472" priority="14331">
      <formula>X211="X"</formula>
    </cfRule>
    <cfRule type="expression" dxfId="10471" priority="14332">
      <formula>X211="A"</formula>
    </cfRule>
    <cfRule type="expression" dxfId="10470" priority="14333">
      <formula>X211="T"</formula>
    </cfRule>
  </conditionalFormatting>
  <conditionalFormatting sqref="X212">
    <cfRule type="expression" dxfId="10469" priority="14328">
      <formula>X211="X"</formula>
    </cfRule>
    <cfRule type="expression" dxfId="10468" priority="14329">
      <formula>X211="A"</formula>
    </cfRule>
    <cfRule type="expression" dxfId="10467" priority="14330">
      <formula>X211="T"</formula>
    </cfRule>
  </conditionalFormatting>
  <conditionalFormatting sqref="X213">
    <cfRule type="expression" dxfId="10466" priority="14325">
      <formula>X213="X"</formula>
    </cfRule>
    <cfRule type="expression" dxfId="10465" priority="14326">
      <formula>X213="A"</formula>
    </cfRule>
    <cfRule type="expression" dxfId="10464" priority="14327">
      <formula>X213="T"</formula>
    </cfRule>
  </conditionalFormatting>
  <conditionalFormatting sqref="X214">
    <cfRule type="expression" dxfId="10463" priority="14322">
      <formula>X213="X"</formula>
    </cfRule>
    <cfRule type="expression" dxfId="10462" priority="14323">
      <formula>X213="A"</formula>
    </cfRule>
    <cfRule type="expression" dxfId="10461" priority="14324">
      <formula>X213="T"</formula>
    </cfRule>
  </conditionalFormatting>
  <conditionalFormatting sqref="X215">
    <cfRule type="expression" dxfId="10460" priority="14319">
      <formula>X215="X"</formula>
    </cfRule>
    <cfRule type="expression" dxfId="10459" priority="14320">
      <formula>X215="A"</formula>
    </cfRule>
    <cfRule type="expression" dxfId="10458" priority="14321">
      <formula>X215="T"</formula>
    </cfRule>
  </conditionalFormatting>
  <conditionalFormatting sqref="X216">
    <cfRule type="expression" dxfId="10457" priority="14316">
      <formula>X215="X"</formula>
    </cfRule>
    <cfRule type="expression" dxfId="10456" priority="14317">
      <formula>X215="A"</formula>
    </cfRule>
    <cfRule type="expression" dxfId="10455" priority="14318">
      <formula>X215="T"</formula>
    </cfRule>
  </conditionalFormatting>
  <conditionalFormatting sqref="X217">
    <cfRule type="expression" dxfId="10454" priority="14313">
      <formula>X217="X"</formula>
    </cfRule>
    <cfRule type="expression" dxfId="10453" priority="14314">
      <formula>X217="A"</formula>
    </cfRule>
    <cfRule type="expression" dxfId="10452" priority="14315">
      <formula>X217="T"</formula>
    </cfRule>
  </conditionalFormatting>
  <conditionalFormatting sqref="X218">
    <cfRule type="expression" dxfId="10451" priority="14310">
      <formula>X217="X"</formula>
    </cfRule>
    <cfRule type="expression" dxfId="10450" priority="14311">
      <formula>X217="A"</formula>
    </cfRule>
    <cfRule type="expression" dxfId="10449" priority="14312">
      <formula>X217="T"</formula>
    </cfRule>
  </conditionalFormatting>
  <conditionalFormatting sqref="X219">
    <cfRule type="expression" dxfId="10448" priority="14307">
      <formula>X219="X"</formula>
    </cfRule>
    <cfRule type="expression" dxfId="10447" priority="14308">
      <formula>X219="A"</formula>
    </cfRule>
    <cfRule type="expression" dxfId="10446" priority="14309">
      <formula>X219="T"</formula>
    </cfRule>
  </conditionalFormatting>
  <conditionalFormatting sqref="X220">
    <cfRule type="expression" dxfId="10445" priority="14304">
      <formula>X219="X"</formula>
    </cfRule>
    <cfRule type="expression" dxfId="10444" priority="14305">
      <formula>X219="A"</formula>
    </cfRule>
    <cfRule type="expression" dxfId="10443" priority="14306">
      <formula>X219="T"</formula>
    </cfRule>
  </conditionalFormatting>
  <conditionalFormatting sqref="X221">
    <cfRule type="expression" dxfId="10442" priority="14301">
      <formula>X221="X"</formula>
    </cfRule>
    <cfRule type="expression" dxfId="10441" priority="14302">
      <formula>X221="A"</formula>
    </cfRule>
    <cfRule type="expression" dxfId="10440" priority="14303">
      <formula>X221="T"</formula>
    </cfRule>
  </conditionalFormatting>
  <conditionalFormatting sqref="X222">
    <cfRule type="expression" dxfId="10439" priority="14298">
      <formula>X221="X"</formula>
    </cfRule>
    <cfRule type="expression" dxfId="10438" priority="14299">
      <formula>X221="A"</formula>
    </cfRule>
    <cfRule type="expression" dxfId="10437" priority="14300">
      <formula>X221="T"</formula>
    </cfRule>
  </conditionalFormatting>
  <conditionalFormatting sqref="X223">
    <cfRule type="expression" dxfId="10436" priority="14295">
      <formula>X223="X"</formula>
    </cfRule>
    <cfRule type="expression" dxfId="10435" priority="14296">
      <formula>X223="A"</formula>
    </cfRule>
    <cfRule type="expression" dxfId="10434" priority="14297">
      <formula>X223="T"</formula>
    </cfRule>
  </conditionalFormatting>
  <conditionalFormatting sqref="X224">
    <cfRule type="expression" dxfId="10433" priority="14292">
      <formula>X223="X"</formula>
    </cfRule>
    <cfRule type="expression" dxfId="10432" priority="14293">
      <formula>X223="A"</formula>
    </cfRule>
    <cfRule type="expression" dxfId="10431" priority="14294">
      <formula>X223="T"</formula>
    </cfRule>
  </conditionalFormatting>
  <conditionalFormatting sqref="X4">
    <cfRule type="expression" dxfId="10430" priority="14289">
      <formula>X4="X"</formula>
    </cfRule>
    <cfRule type="expression" dxfId="10429" priority="14290">
      <formula>X4="A"</formula>
    </cfRule>
    <cfRule type="expression" dxfId="10428" priority="14291">
      <formula>X4="T"</formula>
    </cfRule>
  </conditionalFormatting>
  <conditionalFormatting sqref="X5">
    <cfRule type="expression" dxfId="10427" priority="14286">
      <formula>X4="X"</formula>
    </cfRule>
    <cfRule type="expression" dxfId="10426" priority="14287">
      <formula>X4="A"</formula>
    </cfRule>
    <cfRule type="expression" dxfId="10425" priority="14288">
      <formula>X4="T"</formula>
    </cfRule>
  </conditionalFormatting>
  <conditionalFormatting sqref="X6">
    <cfRule type="expression" dxfId="10424" priority="14283">
      <formula>X6="X"</formula>
    </cfRule>
    <cfRule type="expression" dxfId="10423" priority="14284">
      <formula>X6="A"</formula>
    </cfRule>
    <cfRule type="expression" dxfId="10422" priority="14285">
      <formula>X6="T"</formula>
    </cfRule>
  </conditionalFormatting>
  <conditionalFormatting sqref="X7">
    <cfRule type="expression" dxfId="10421" priority="14280">
      <formula>X6="X"</formula>
    </cfRule>
    <cfRule type="expression" dxfId="10420" priority="14281">
      <formula>X6="A"</formula>
    </cfRule>
    <cfRule type="expression" dxfId="10419" priority="14282">
      <formula>X6="T"</formula>
    </cfRule>
  </conditionalFormatting>
  <conditionalFormatting sqref="X8">
    <cfRule type="expression" dxfId="10418" priority="14277">
      <formula>X8="X"</formula>
    </cfRule>
    <cfRule type="expression" dxfId="10417" priority="14278">
      <formula>X8="A"</formula>
    </cfRule>
    <cfRule type="expression" dxfId="10416" priority="14279">
      <formula>X8="T"</formula>
    </cfRule>
  </conditionalFormatting>
  <conditionalFormatting sqref="X9">
    <cfRule type="expression" dxfId="10415" priority="14274">
      <formula>X8="X"</formula>
    </cfRule>
    <cfRule type="expression" dxfId="10414" priority="14275">
      <formula>X8="A"</formula>
    </cfRule>
    <cfRule type="expression" dxfId="10413" priority="14276">
      <formula>X8="T"</formula>
    </cfRule>
  </conditionalFormatting>
  <conditionalFormatting sqref="X74">
    <cfRule type="expression" dxfId="10412" priority="14271">
      <formula>X74="X"</formula>
    </cfRule>
    <cfRule type="expression" dxfId="10411" priority="14272">
      <formula>X74="A"</formula>
    </cfRule>
    <cfRule type="expression" dxfId="10410" priority="14273">
      <formula>X74="T"</formula>
    </cfRule>
  </conditionalFormatting>
  <conditionalFormatting sqref="X75">
    <cfRule type="expression" dxfId="10409" priority="14268">
      <formula>X74="X"</formula>
    </cfRule>
    <cfRule type="expression" dxfId="10408" priority="14269">
      <formula>X74="A"</formula>
    </cfRule>
    <cfRule type="expression" dxfId="10407" priority="14270">
      <formula>X74="T"</formula>
    </cfRule>
  </conditionalFormatting>
  <conditionalFormatting sqref="X76">
    <cfRule type="expression" dxfId="10406" priority="14265">
      <formula>X76="X"</formula>
    </cfRule>
    <cfRule type="expression" dxfId="10405" priority="14266">
      <formula>X76="A"</formula>
    </cfRule>
    <cfRule type="expression" dxfId="10404" priority="14267">
      <formula>X76="T"</formula>
    </cfRule>
  </conditionalFormatting>
  <conditionalFormatting sqref="X77">
    <cfRule type="expression" dxfId="10403" priority="14262">
      <formula>X76="X"</formula>
    </cfRule>
    <cfRule type="expression" dxfId="10402" priority="14263">
      <formula>X76="A"</formula>
    </cfRule>
    <cfRule type="expression" dxfId="10401" priority="14264">
      <formula>X76="T"</formula>
    </cfRule>
  </conditionalFormatting>
  <conditionalFormatting sqref="X78">
    <cfRule type="expression" dxfId="10400" priority="14259">
      <formula>X78="X"</formula>
    </cfRule>
    <cfRule type="expression" dxfId="10399" priority="14260">
      <formula>X78="A"</formula>
    </cfRule>
    <cfRule type="expression" dxfId="10398" priority="14261">
      <formula>X78="T"</formula>
    </cfRule>
  </conditionalFormatting>
  <conditionalFormatting sqref="X79">
    <cfRule type="expression" dxfId="10397" priority="14256">
      <formula>X78="X"</formula>
    </cfRule>
    <cfRule type="expression" dxfId="10396" priority="14257">
      <formula>X78="A"</formula>
    </cfRule>
    <cfRule type="expression" dxfId="10395" priority="14258">
      <formula>X78="T"</formula>
    </cfRule>
  </conditionalFormatting>
  <conditionalFormatting sqref="X134">
    <cfRule type="expression" dxfId="10394" priority="14253">
      <formula>X134="X"</formula>
    </cfRule>
    <cfRule type="expression" dxfId="10393" priority="14254">
      <formula>X134="A"</formula>
    </cfRule>
    <cfRule type="expression" dxfId="10392" priority="14255">
      <formula>X134="T"</formula>
    </cfRule>
  </conditionalFormatting>
  <conditionalFormatting sqref="X135">
    <cfRule type="expression" dxfId="10391" priority="14250">
      <formula>X134="X"</formula>
    </cfRule>
    <cfRule type="expression" dxfId="10390" priority="14251">
      <formula>X134="A"</formula>
    </cfRule>
    <cfRule type="expression" dxfId="10389" priority="14252">
      <formula>X134="T"</formula>
    </cfRule>
  </conditionalFormatting>
  <conditionalFormatting sqref="X136">
    <cfRule type="expression" dxfId="10388" priority="14247">
      <formula>X136="X"</formula>
    </cfRule>
    <cfRule type="expression" dxfId="10387" priority="14248">
      <formula>X136="A"</formula>
    </cfRule>
    <cfRule type="expression" dxfId="10386" priority="14249">
      <formula>X136="T"</formula>
    </cfRule>
  </conditionalFormatting>
  <conditionalFormatting sqref="X137">
    <cfRule type="expression" dxfId="10385" priority="14244">
      <formula>X136="X"</formula>
    </cfRule>
    <cfRule type="expression" dxfId="10384" priority="14245">
      <formula>X136="A"</formula>
    </cfRule>
    <cfRule type="expression" dxfId="10383" priority="14246">
      <formula>X136="T"</formula>
    </cfRule>
  </conditionalFormatting>
  <conditionalFormatting sqref="X138">
    <cfRule type="expression" dxfId="10382" priority="14241">
      <formula>X138="X"</formula>
    </cfRule>
    <cfRule type="expression" dxfId="10381" priority="14242">
      <formula>X138="A"</formula>
    </cfRule>
    <cfRule type="expression" dxfId="10380" priority="14243">
      <formula>X138="T"</formula>
    </cfRule>
  </conditionalFormatting>
  <conditionalFormatting sqref="X139">
    <cfRule type="expression" dxfId="10379" priority="14238">
      <formula>X138="X"</formula>
    </cfRule>
    <cfRule type="expression" dxfId="10378" priority="14239">
      <formula>X138="A"</formula>
    </cfRule>
    <cfRule type="expression" dxfId="10377" priority="14240">
      <formula>X138="T"</formula>
    </cfRule>
  </conditionalFormatting>
  <conditionalFormatting sqref="X15">
    <cfRule type="expression" dxfId="10376" priority="14232" stopIfTrue="1">
      <formula>X11=""</formula>
    </cfRule>
  </conditionalFormatting>
  <conditionalFormatting sqref="X15">
    <cfRule type="expression" dxfId="10375" priority="14233" stopIfTrue="1">
      <formula>X15=1</formula>
    </cfRule>
    <cfRule type="colorScale" priority="14234">
      <colorScale>
        <cfvo type="num" val="0"/>
        <cfvo type="num" val="0.5"/>
        <cfvo type="num" val="1"/>
        <color rgb="FFF8696B"/>
        <color theme="4" tint="0.79998168889431442"/>
        <color rgb="FF5A8AC6"/>
      </colorScale>
    </cfRule>
  </conditionalFormatting>
  <conditionalFormatting sqref="X38">
    <cfRule type="expression" dxfId="10374" priority="14229" stopIfTrue="1">
      <formula>X16=""</formula>
    </cfRule>
  </conditionalFormatting>
  <conditionalFormatting sqref="X38">
    <cfRule type="expression" dxfId="10373" priority="14230" stopIfTrue="1">
      <formula>X38=1</formula>
    </cfRule>
    <cfRule type="colorScale" priority="14231">
      <colorScale>
        <cfvo type="num" val="0"/>
        <cfvo type="num" val="0.5"/>
        <cfvo type="num" val="1"/>
        <color rgb="FFF8696B"/>
        <color theme="4" tint="0.79998168889431442"/>
        <color rgb="FF5A8AC6"/>
      </colorScale>
    </cfRule>
  </conditionalFormatting>
  <conditionalFormatting sqref="X47">
    <cfRule type="expression" dxfId="10372" priority="14226" stopIfTrue="1">
      <formula>X39=""</formula>
    </cfRule>
  </conditionalFormatting>
  <conditionalFormatting sqref="X47">
    <cfRule type="expression" dxfId="10371" priority="14227" stopIfTrue="1">
      <formula>X47=1</formula>
    </cfRule>
    <cfRule type="colorScale" priority="14228">
      <colorScale>
        <cfvo type="num" val="0"/>
        <cfvo type="num" val="0.5"/>
        <cfvo type="num" val="1"/>
        <color rgb="FFF8696B"/>
        <color theme="4" tint="0.79998168889431442"/>
        <color rgb="FF5A8AC6"/>
      </colorScale>
    </cfRule>
  </conditionalFormatting>
  <conditionalFormatting sqref="X230:X236">
    <cfRule type="expression" dxfId="10370" priority="14173" stopIfTrue="1">
      <formula>X230=_xlfn.UNICHAR(10003)</formula>
    </cfRule>
    <cfRule type="colorScale" priority="14174">
      <colorScale>
        <cfvo type="num" val="0"/>
        <cfvo type="num" val="0.5"/>
        <cfvo type="num" val="1"/>
        <color rgb="FFF8696B"/>
        <color theme="4" tint="0.79998168889431442"/>
        <color rgb="FF5A8AC6"/>
      </colorScale>
    </cfRule>
  </conditionalFormatting>
  <conditionalFormatting sqref="X239">
    <cfRule type="expression" dxfId="10369" priority="14171" stopIfTrue="1">
      <formula>X239=_xlfn.UNICHAR(10003)</formula>
    </cfRule>
    <cfRule type="colorScale" priority="14172">
      <colorScale>
        <cfvo type="num" val="0"/>
        <cfvo type="num" val="0.5"/>
        <cfvo type="num" val="1"/>
        <color rgb="FFF8696B"/>
        <color theme="4" tint="0.79998168889431442"/>
        <color rgb="FF5A8AC6"/>
      </colorScale>
    </cfRule>
  </conditionalFormatting>
  <conditionalFormatting sqref="X239">
    <cfRule type="expression" dxfId="10368" priority="14169" stopIfTrue="1">
      <formula>X239=1</formula>
    </cfRule>
    <cfRule type="colorScale" priority="14170">
      <colorScale>
        <cfvo type="num" val="0"/>
        <cfvo type="num" val="0.5"/>
        <cfvo type="num" val="1"/>
        <color rgb="FFF8696B"/>
        <color theme="4" tint="0.79998168889431442"/>
        <color rgb="FF5A8AC6"/>
      </colorScale>
    </cfRule>
  </conditionalFormatting>
  <conditionalFormatting sqref="X195">
    <cfRule type="expression" dxfId="10367" priority="14157">
      <formula>X195="X"</formula>
    </cfRule>
    <cfRule type="expression" dxfId="10366" priority="14158">
      <formula>X195="A"</formula>
    </cfRule>
    <cfRule type="expression" dxfId="10365" priority="14159">
      <formula>X195="T"</formula>
    </cfRule>
  </conditionalFormatting>
  <conditionalFormatting sqref="X203">
    <cfRule type="expression" dxfId="10364" priority="14154">
      <formula>X203="X"</formula>
    </cfRule>
    <cfRule type="expression" dxfId="10363" priority="14155">
      <formula>X203="A"</formula>
    </cfRule>
    <cfRule type="expression" dxfId="10362" priority="14156">
      <formula>X203="T"</formula>
    </cfRule>
  </conditionalFormatting>
  <conditionalFormatting sqref="X205">
    <cfRule type="expression" dxfId="10361" priority="14151">
      <formula>X205="X"</formula>
    </cfRule>
    <cfRule type="expression" dxfId="10360" priority="14152">
      <formula>X205="A"</formula>
    </cfRule>
    <cfRule type="expression" dxfId="10359" priority="14153">
      <formula>X205="T"</formula>
    </cfRule>
  </conditionalFormatting>
  <conditionalFormatting sqref="X207">
    <cfRule type="expression" dxfId="10358" priority="14148">
      <formula>X207="X"</formula>
    </cfRule>
    <cfRule type="expression" dxfId="10357" priority="14149">
      <formula>X207="A"</formula>
    </cfRule>
    <cfRule type="expression" dxfId="10356" priority="14150">
      <formula>X207="T"</formula>
    </cfRule>
  </conditionalFormatting>
  <conditionalFormatting sqref="X204">
    <cfRule type="expression" dxfId="10355" priority="14145">
      <formula>X203="X"</formula>
    </cfRule>
    <cfRule type="expression" dxfId="10354" priority="14146">
      <formula>X203="A"</formula>
    </cfRule>
    <cfRule type="expression" dxfId="10353" priority="14147">
      <formula>X203="T"</formula>
    </cfRule>
  </conditionalFormatting>
  <conditionalFormatting sqref="X206">
    <cfRule type="expression" dxfId="10352" priority="14142">
      <formula>X205="X"</formula>
    </cfRule>
    <cfRule type="expression" dxfId="10351" priority="14143">
      <formula>X205="A"</formula>
    </cfRule>
    <cfRule type="expression" dxfId="10350" priority="14144">
      <formula>X205="T"</formula>
    </cfRule>
  </conditionalFormatting>
  <conditionalFormatting sqref="X196">
    <cfRule type="expression" dxfId="10349" priority="14139">
      <formula>X195="X"</formula>
    </cfRule>
    <cfRule type="expression" dxfId="10348" priority="14140">
      <formula>X195="A"</formula>
    </cfRule>
    <cfRule type="expression" dxfId="10347" priority="14141">
      <formula>X195="T"</formula>
    </cfRule>
  </conditionalFormatting>
  <conditionalFormatting sqref="X197">
    <cfRule type="expression" dxfId="10346" priority="14136">
      <formula>X197="X"</formula>
    </cfRule>
    <cfRule type="expression" dxfId="10345" priority="14137">
      <formula>X197="A"</formula>
    </cfRule>
    <cfRule type="expression" dxfId="10344" priority="14138">
      <formula>X197="T"</formula>
    </cfRule>
  </conditionalFormatting>
  <conditionalFormatting sqref="X198">
    <cfRule type="expression" dxfId="10343" priority="14133">
      <formula>X197="X"</formula>
    </cfRule>
    <cfRule type="expression" dxfId="10342" priority="14134">
      <formula>X197="A"</formula>
    </cfRule>
    <cfRule type="expression" dxfId="10341" priority="14135">
      <formula>X197="T"</formula>
    </cfRule>
  </conditionalFormatting>
  <conditionalFormatting sqref="X199">
    <cfRule type="expression" dxfId="10340" priority="14130">
      <formula>X199="X"</formula>
    </cfRule>
    <cfRule type="expression" dxfId="10339" priority="14131">
      <formula>X199="A"</formula>
    </cfRule>
    <cfRule type="expression" dxfId="10338" priority="14132">
      <formula>X199="T"</formula>
    </cfRule>
  </conditionalFormatting>
  <conditionalFormatting sqref="X200">
    <cfRule type="expression" dxfId="10337" priority="14127">
      <formula>X199="X"</formula>
    </cfRule>
    <cfRule type="expression" dxfId="10336" priority="14128">
      <formula>X199="A"</formula>
    </cfRule>
    <cfRule type="expression" dxfId="10335" priority="14129">
      <formula>X199="T"</formula>
    </cfRule>
  </conditionalFormatting>
  <conditionalFormatting sqref="X201">
    <cfRule type="expression" dxfId="10334" priority="14124">
      <formula>X201="X"</formula>
    </cfRule>
    <cfRule type="expression" dxfId="10333" priority="14125">
      <formula>X201="A"</formula>
    </cfRule>
    <cfRule type="expression" dxfId="10332" priority="14126">
      <formula>X201="T"</formula>
    </cfRule>
  </conditionalFormatting>
  <conditionalFormatting sqref="X202">
    <cfRule type="expression" dxfId="10331" priority="14121">
      <formula>X201="X"</formula>
    </cfRule>
    <cfRule type="expression" dxfId="10330" priority="14122">
      <formula>X201="A"</formula>
    </cfRule>
    <cfRule type="expression" dxfId="10329" priority="14123">
      <formula>X201="T"</formula>
    </cfRule>
  </conditionalFormatting>
  <conditionalFormatting sqref="G10:L10 P10">
    <cfRule type="expression" dxfId="10328" priority="14078" stopIfTrue="1">
      <formula>G4=""</formula>
    </cfRule>
  </conditionalFormatting>
  <conditionalFormatting sqref="G10:L10 P10">
    <cfRule type="expression" dxfId="10327" priority="14079" stopIfTrue="1">
      <formula>G10=1</formula>
    </cfRule>
    <cfRule type="colorScale" priority="14080">
      <colorScale>
        <cfvo type="num" val="0"/>
        <cfvo type="num" val="0.5"/>
        <cfvo type="num" val="1"/>
        <color rgb="FFF8696B"/>
        <color theme="4" tint="0.79998168889431442"/>
        <color rgb="FF5A8AC6"/>
      </colorScale>
    </cfRule>
  </conditionalFormatting>
  <conditionalFormatting sqref="H15:L15 P15">
    <cfRule type="expression" dxfId="10326" priority="14075" stopIfTrue="1">
      <formula>H11=""</formula>
    </cfRule>
  </conditionalFormatting>
  <conditionalFormatting sqref="H15:L15 P15">
    <cfRule type="expression" dxfId="10325" priority="14076" stopIfTrue="1">
      <formula>H15=1</formula>
    </cfRule>
    <cfRule type="colorScale" priority="14077">
      <colorScale>
        <cfvo type="num" val="0"/>
        <cfvo type="num" val="0.5"/>
        <cfvo type="num" val="1"/>
        <color rgb="FFF8696B"/>
        <color theme="4" tint="0.79998168889431442"/>
        <color rgb="FF5A8AC6"/>
      </colorScale>
    </cfRule>
  </conditionalFormatting>
  <conditionalFormatting sqref="H38:L38">
    <cfRule type="expression" dxfId="10324" priority="14072" stopIfTrue="1">
      <formula>H16=""</formula>
    </cfRule>
  </conditionalFormatting>
  <conditionalFormatting sqref="H38:L38 P38">
    <cfRule type="expression" dxfId="10323" priority="14073" stopIfTrue="1">
      <formula>H38=1</formula>
    </cfRule>
    <cfRule type="colorScale" priority="14074">
      <colorScale>
        <cfvo type="num" val="0"/>
        <cfvo type="num" val="0.5"/>
        <cfvo type="num" val="1"/>
        <color rgb="FFF8696B"/>
        <color theme="4" tint="0.79998168889431442"/>
        <color rgb="FF5A8AC6"/>
      </colorScale>
    </cfRule>
  </conditionalFormatting>
  <conditionalFormatting sqref="G15:L15 P15">
    <cfRule type="expression" dxfId="10322" priority="14069" stopIfTrue="1">
      <formula>G11=""</formula>
    </cfRule>
  </conditionalFormatting>
  <conditionalFormatting sqref="G15:L15 P15">
    <cfRule type="expression" dxfId="10321" priority="14070" stopIfTrue="1">
      <formula>G15=1</formula>
    </cfRule>
    <cfRule type="colorScale" priority="14071">
      <colorScale>
        <cfvo type="num" val="0"/>
        <cfvo type="num" val="0.5"/>
        <cfvo type="num" val="1"/>
        <color rgb="FFF8696B"/>
        <color theme="4" tint="0.79998168889431442"/>
        <color rgb="FF5A8AC6"/>
      </colorScale>
    </cfRule>
  </conditionalFormatting>
  <conditionalFormatting sqref="G38:L38">
    <cfRule type="expression" dxfId="10320" priority="14066" stopIfTrue="1">
      <formula>G16=""</formula>
    </cfRule>
  </conditionalFormatting>
  <conditionalFormatting sqref="G38:L38 P38">
    <cfRule type="expression" dxfId="10319" priority="14067" stopIfTrue="1">
      <formula>G38=1</formula>
    </cfRule>
    <cfRule type="colorScale" priority="14068">
      <colorScale>
        <cfvo type="num" val="0"/>
        <cfvo type="num" val="0.5"/>
        <cfvo type="num" val="1"/>
        <color rgb="FFF8696B"/>
        <color theme="4" tint="0.79998168889431442"/>
        <color rgb="FF5A8AC6"/>
      </colorScale>
    </cfRule>
  </conditionalFormatting>
  <conditionalFormatting sqref="G47:L47 P47">
    <cfRule type="expression" dxfId="10318" priority="14060" stopIfTrue="1">
      <formula>G39=""</formula>
    </cfRule>
  </conditionalFormatting>
  <conditionalFormatting sqref="G47:L47 P47">
    <cfRule type="expression" dxfId="10317" priority="14061" stopIfTrue="1">
      <formula>G47=1</formula>
    </cfRule>
    <cfRule type="colorScale" priority="14062">
      <colorScale>
        <cfvo type="num" val="0"/>
        <cfvo type="num" val="0.5"/>
        <cfvo type="num" val="1"/>
        <color rgb="FFF8696B"/>
        <color theme="4" tint="0.79998168889431442"/>
        <color rgb="FF5A8AC6"/>
      </colorScale>
    </cfRule>
  </conditionalFormatting>
  <conditionalFormatting sqref="G62:N62">
    <cfRule type="expression" dxfId="10316" priority="14057" stopIfTrue="1">
      <formula>G48=""</formula>
    </cfRule>
  </conditionalFormatting>
  <conditionalFormatting sqref="G62:N62">
    <cfRule type="expression" dxfId="10315" priority="14058" stopIfTrue="1">
      <formula>G62=1</formula>
    </cfRule>
    <cfRule type="colorScale" priority="14059">
      <colorScale>
        <cfvo type="num" val="0"/>
        <cfvo type="num" val="0.5"/>
        <cfvo type="num" val="1"/>
        <color rgb="FFF8696B"/>
        <color theme="4" tint="0.79998168889431442"/>
        <color rgb="FF5A8AC6"/>
      </colorScale>
    </cfRule>
  </conditionalFormatting>
  <conditionalFormatting sqref="G69:L69 P69">
    <cfRule type="expression" dxfId="10314" priority="14054" stopIfTrue="1">
      <formula>G63=""</formula>
    </cfRule>
  </conditionalFormatting>
  <conditionalFormatting sqref="G69:L69 P69">
    <cfRule type="expression" dxfId="10313" priority="14055" stopIfTrue="1">
      <formula>G69=1</formula>
    </cfRule>
    <cfRule type="colorScale" priority="14056">
      <colorScale>
        <cfvo type="num" val="0"/>
        <cfvo type="num" val="0.5"/>
        <cfvo type="num" val="1"/>
        <color rgb="FFF8696B"/>
        <color theme="4" tint="0.79998168889431442"/>
        <color rgb="FF5A8AC6"/>
      </colorScale>
    </cfRule>
  </conditionalFormatting>
  <conditionalFormatting sqref="G72:L72 W72:X72 P72 AF72 AM72:AO72 AC72">
    <cfRule type="expression" dxfId="10312" priority="14051" stopIfTrue="1">
      <formula>G4=""</formula>
    </cfRule>
  </conditionalFormatting>
  <conditionalFormatting sqref="G72:L72 P72">
    <cfRule type="expression" dxfId="10311" priority="14052" stopIfTrue="1">
      <formula>G72=1</formula>
    </cfRule>
    <cfRule type="colorScale" priority="14053">
      <colorScale>
        <cfvo type="num" val="0"/>
        <cfvo type="num" val="0.5"/>
        <cfvo type="num" val="1"/>
        <color rgb="FFF8696B"/>
        <color theme="4" tint="0.79998168889431442"/>
        <color rgb="FF5A8AC6"/>
      </colorScale>
    </cfRule>
  </conditionalFormatting>
  <conditionalFormatting sqref="G187">
    <cfRule type="expression" dxfId="10310" priority="13971" stopIfTrue="1">
      <formula>G187=1</formula>
    </cfRule>
    <cfRule type="colorScale" priority="13972">
      <colorScale>
        <cfvo type="num" val="0"/>
        <cfvo type="num" val="0.5"/>
        <cfvo type="num" val="1"/>
        <color rgb="FFF8696B"/>
        <color theme="4" tint="0.79998168889431442"/>
        <color rgb="FF5A8AC6"/>
      </colorScale>
    </cfRule>
  </conditionalFormatting>
  <conditionalFormatting sqref="G129">
    <cfRule type="expression" dxfId="10309" priority="13983" stopIfTrue="1">
      <formula>G129=1</formula>
    </cfRule>
    <cfRule type="colorScale" priority="13984">
      <colorScale>
        <cfvo type="num" val="0"/>
        <cfvo type="num" val="0.5"/>
        <cfvo type="num" val="1"/>
        <color rgb="FFF8696B"/>
        <color theme="4" tint="0.79998168889431442"/>
        <color rgb="FF5A8AC6"/>
      </colorScale>
    </cfRule>
  </conditionalFormatting>
  <conditionalFormatting sqref="G145">
    <cfRule type="expression" dxfId="10308" priority="13980" stopIfTrue="1">
      <formula>G145=1</formula>
    </cfRule>
    <cfRule type="colorScale" priority="13981">
      <colorScale>
        <cfvo type="num" val="0"/>
        <cfvo type="num" val="0.5"/>
        <cfvo type="num" val="1"/>
        <color rgb="FFF8696B"/>
        <color theme="4" tint="0.79998168889431442"/>
        <color rgb="FF5A8AC6"/>
      </colorScale>
    </cfRule>
  </conditionalFormatting>
  <conditionalFormatting sqref="G153">
    <cfRule type="expression" dxfId="10307" priority="13977" stopIfTrue="1">
      <formula>G153=1</formula>
    </cfRule>
    <cfRule type="colorScale" priority="13978">
      <colorScale>
        <cfvo type="num" val="0"/>
        <cfvo type="num" val="0.5"/>
        <cfvo type="num" val="1"/>
        <color rgb="FFF8696B"/>
        <color theme="4" tint="0.79998168889431442"/>
        <color rgb="FF5A8AC6"/>
      </colorScale>
    </cfRule>
  </conditionalFormatting>
  <conditionalFormatting sqref="G193">
    <cfRule type="expression" dxfId="10306" priority="13968" stopIfTrue="1">
      <formula>G193=1</formula>
    </cfRule>
    <cfRule type="colorScale" priority="13969">
      <colorScale>
        <cfvo type="num" val="0"/>
        <cfvo type="num" val="0.5"/>
        <cfvo type="num" val="1"/>
        <color rgb="FFF8696B"/>
        <color theme="4" tint="0.79998168889431442"/>
        <color rgb="FF5A8AC6"/>
      </colorScale>
    </cfRule>
  </conditionalFormatting>
  <conditionalFormatting sqref="G181">
    <cfRule type="expression" dxfId="10305" priority="13965" stopIfTrue="1">
      <formula>G181=1</formula>
    </cfRule>
    <cfRule type="colorScale" priority="13966">
      <colorScale>
        <cfvo type="num" val="0"/>
        <cfvo type="num" val="0.5"/>
        <cfvo type="num" val="1"/>
        <color rgb="FFF8696B"/>
        <color theme="4" tint="0.79998168889431442"/>
        <color rgb="FF5A8AC6"/>
      </colorScale>
    </cfRule>
  </conditionalFormatting>
  <conditionalFormatting sqref="G209">
    <cfRule type="expression" dxfId="10304" priority="13962" stopIfTrue="1">
      <formula>G209=1</formula>
    </cfRule>
    <cfRule type="colorScale" priority="13963">
      <colorScale>
        <cfvo type="num" val="0"/>
        <cfvo type="num" val="0.5"/>
        <cfvo type="num" val="1"/>
        <color rgb="FFF8696B"/>
        <color theme="4" tint="0.79998168889431442"/>
        <color rgb="FF5A8AC6"/>
      </colorScale>
    </cfRule>
  </conditionalFormatting>
  <conditionalFormatting sqref="G225">
    <cfRule type="expression" dxfId="10303" priority="13959" stopIfTrue="1">
      <formula>G225=1</formula>
    </cfRule>
    <cfRule type="colorScale" priority="13960">
      <colorScale>
        <cfvo type="num" val="0"/>
        <cfvo type="num" val="0.5"/>
        <cfvo type="num" val="1"/>
        <color rgb="FFF8696B"/>
        <color theme="4" tint="0.79998168889431442"/>
        <color rgb="FF5A8AC6"/>
      </colorScale>
    </cfRule>
  </conditionalFormatting>
  <conditionalFormatting sqref="G80">
    <cfRule type="expression" dxfId="10302" priority="14021" stopIfTrue="1">
      <formula>G74=""</formula>
    </cfRule>
  </conditionalFormatting>
  <conditionalFormatting sqref="G80">
    <cfRule type="expression" dxfId="10301" priority="14022" stopIfTrue="1">
      <formula>G80=1</formula>
    </cfRule>
    <cfRule type="colorScale" priority="14023">
      <colorScale>
        <cfvo type="num" val="0"/>
        <cfvo type="num" val="0.5"/>
        <cfvo type="num" val="1"/>
        <color rgb="FFF8696B"/>
        <color theme="4" tint="0.79998168889431442"/>
        <color rgb="FF5A8AC6"/>
      </colorScale>
    </cfRule>
  </conditionalFormatting>
  <conditionalFormatting sqref="G87">
    <cfRule type="expression" dxfId="10300" priority="14018" stopIfTrue="1">
      <formula>G81=""</formula>
    </cfRule>
  </conditionalFormatting>
  <conditionalFormatting sqref="G87">
    <cfRule type="expression" dxfId="10299" priority="14019" stopIfTrue="1">
      <formula>G87=1</formula>
    </cfRule>
    <cfRule type="colorScale" priority="14020">
      <colorScale>
        <cfvo type="num" val="0"/>
        <cfvo type="num" val="0.5"/>
        <cfvo type="num" val="1"/>
        <color rgb="FFF8696B"/>
        <color theme="4" tint="0.79998168889431442"/>
        <color rgb="FF5A8AC6"/>
      </colorScale>
    </cfRule>
  </conditionalFormatting>
  <conditionalFormatting sqref="G140">
    <cfRule type="expression" dxfId="10298" priority="14015" stopIfTrue="1">
      <formula>G134=""</formula>
    </cfRule>
  </conditionalFormatting>
  <conditionalFormatting sqref="G140">
    <cfRule type="expression" dxfId="10297" priority="14016" stopIfTrue="1">
      <formula>G140=1</formula>
    </cfRule>
    <cfRule type="colorScale" priority="14017">
      <colorScale>
        <cfvo type="num" val="0"/>
        <cfvo type="num" val="0.5"/>
        <cfvo type="num" val="1"/>
        <color rgb="FFF8696B"/>
        <color theme="4" tint="0.79998168889431442"/>
        <color rgb="FF5A8AC6"/>
      </colorScale>
    </cfRule>
  </conditionalFormatting>
  <conditionalFormatting sqref="G129">
    <cfRule type="expression" dxfId="10296" priority="13982" stopIfTrue="1">
      <formula>G125=""</formula>
    </cfRule>
  </conditionalFormatting>
  <conditionalFormatting sqref="G104">
    <cfRule type="expression" dxfId="10295" priority="13997" stopIfTrue="1">
      <formula>G88=""</formula>
    </cfRule>
  </conditionalFormatting>
  <conditionalFormatting sqref="G104">
    <cfRule type="expression" dxfId="10294" priority="13998" stopIfTrue="1">
      <formula>G104=1</formula>
    </cfRule>
    <cfRule type="colorScale" priority="13999">
      <colorScale>
        <cfvo type="num" val="0"/>
        <cfvo type="num" val="0.5"/>
        <cfvo type="num" val="1"/>
        <color rgb="FFF8696B"/>
        <color theme="4" tint="0.79998168889431442"/>
        <color rgb="FF5A8AC6"/>
      </colorScale>
    </cfRule>
  </conditionalFormatting>
  <conditionalFormatting sqref="G115">
    <cfRule type="expression" dxfId="10293" priority="13994" stopIfTrue="1">
      <formula>G105=""</formula>
    </cfRule>
  </conditionalFormatting>
  <conditionalFormatting sqref="G115">
    <cfRule type="expression" dxfId="10292" priority="13995" stopIfTrue="1">
      <formula>G115=1</formula>
    </cfRule>
    <cfRule type="colorScale" priority="13996">
      <colorScale>
        <cfvo type="num" val="0"/>
        <cfvo type="num" val="0.5"/>
        <cfvo type="num" val="1"/>
        <color rgb="FFF8696B"/>
        <color theme="4" tint="0.79998168889431442"/>
        <color rgb="FF5A8AC6"/>
      </colorScale>
    </cfRule>
  </conditionalFormatting>
  <conditionalFormatting sqref="G124">
    <cfRule type="expression" dxfId="10291" priority="13991" stopIfTrue="1">
      <formula>G116=""</formula>
    </cfRule>
  </conditionalFormatting>
  <conditionalFormatting sqref="G124">
    <cfRule type="expression" dxfId="10290" priority="13992" stopIfTrue="1">
      <formula>G124=1</formula>
    </cfRule>
    <cfRule type="colorScale" priority="13993">
      <colorScale>
        <cfvo type="num" val="0"/>
        <cfvo type="num" val="0.5"/>
        <cfvo type="num" val="1"/>
        <color rgb="FFF8696B"/>
        <color theme="4" tint="0.79998168889431442"/>
        <color rgb="FF5A8AC6"/>
      </colorScale>
    </cfRule>
  </conditionalFormatting>
  <conditionalFormatting sqref="G132">
    <cfRule type="expression" dxfId="10289" priority="13956" stopIfTrue="1">
      <formula>G132=1</formula>
    </cfRule>
    <cfRule type="colorScale" priority="13957">
      <colorScale>
        <cfvo type="num" val="0"/>
        <cfvo type="num" val="0.5"/>
        <cfvo type="num" val="1"/>
        <color rgb="FFF8696B"/>
        <color theme="4" tint="0.79998168889431442"/>
        <color rgb="FF5A8AC6"/>
      </colorScale>
    </cfRule>
  </conditionalFormatting>
  <conditionalFormatting sqref="G145">
    <cfRule type="expression" dxfId="10288" priority="13979" stopIfTrue="1">
      <formula>G141=""</formula>
    </cfRule>
  </conditionalFormatting>
  <conditionalFormatting sqref="G153">
    <cfRule type="expression" dxfId="10287" priority="13976" stopIfTrue="1">
      <formula>G149=""</formula>
    </cfRule>
  </conditionalFormatting>
  <conditionalFormatting sqref="G187">
    <cfRule type="expression" dxfId="10286" priority="13970" stopIfTrue="1">
      <formula>G183=""</formula>
    </cfRule>
  </conditionalFormatting>
  <conditionalFormatting sqref="G193">
    <cfRule type="expression" dxfId="10285" priority="13967" stopIfTrue="1">
      <formula>G189=""</formula>
    </cfRule>
  </conditionalFormatting>
  <conditionalFormatting sqref="G181">
    <cfRule type="expression" dxfId="10284" priority="13964" stopIfTrue="1">
      <formula>G167=""</formula>
    </cfRule>
  </conditionalFormatting>
  <conditionalFormatting sqref="G209">
    <cfRule type="expression" dxfId="10283" priority="13961" stopIfTrue="1">
      <formula>G195=""</formula>
    </cfRule>
  </conditionalFormatting>
  <conditionalFormatting sqref="G225">
    <cfRule type="expression" dxfId="10282" priority="13958" stopIfTrue="1">
      <formula>G211=""</formula>
    </cfRule>
  </conditionalFormatting>
  <conditionalFormatting sqref="G132 W132:X132 AF132 AM132:AO132">
    <cfRule type="expression" dxfId="10281" priority="13955" stopIfTrue="1">
      <formula>G74=""</formula>
    </cfRule>
  </conditionalFormatting>
  <conditionalFormatting sqref="H80:L80 P80">
    <cfRule type="expression" dxfId="10280" priority="13952" stopIfTrue="1">
      <formula>H74=""</formula>
    </cfRule>
  </conditionalFormatting>
  <conditionalFormatting sqref="H80:L80 P80">
    <cfRule type="expression" dxfId="10279" priority="13953" stopIfTrue="1">
      <formula>H80=1</formula>
    </cfRule>
    <cfRule type="colorScale" priority="13954">
      <colorScale>
        <cfvo type="num" val="0"/>
        <cfvo type="num" val="0.5"/>
        <cfvo type="num" val="1"/>
        <color rgb="FFF8696B"/>
        <color theme="4" tint="0.79998168889431442"/>
        <color rgb="FF5A8AC6"/>
      </colorScale>
    </cfRule>
  </conditionalFormatting>
  <conditionalFormatting sqref="H87:L87 P87">
    <cfRule type="expression" dxfId="10278" priority="13949" stopIfTrue="1">
      <formula>H81=""</formula>
    </cfRule>
  </conditionalFormatting>
  <conditionalFormatting sqref="H87:L87 P87">
    <cfRule type="expression" dxfId="10277" priority="13950" stopIfTrue="1">
      <formula>H87=1</formula>
    </cfRule>
    <cfRule type="colorScale" priority="13951">
      <colorScale>
        <cfvo type="num" val="0"/>
        <cfvo type="num" val="0.5"/>
        <cfvo type="num" val="1"/>
        <color rgb="FFF8696B"/>
        <color theme="4" tint="0.79998168889431442"/>
        <color rgb="FF5A8AC6"/>
      </colorScale>
    </cfRule>
  </conditionalFormatting>
  <conditionalFormatting sqref="H104:L104 P104">
    <cfRule type="expression" dxfId="10276" priority="13946" stopIfTrue="1">
      <formula>H88=""</formula>
    </cfRule>
  </conditionalFormatting>
  <conditionalFormatting sqref="H104:L104 P104">
    <cfRule type="expression" dxfId="10275" priority="13947" stopIfTrue="1">
      <formula>H104=1</formula>
    </cfRule>
    <cfRule type="colorScale" priority="13948">
      <colorScale>
        <cfvo type="num" val="0"/>
        <cfvo type="num" val="0.5"/>
        <cfvo type="num" val="1"/>
        <color rgb="FFF8696B"/>
        <color theme="4" tint="0.79998168889431442"/>
        <color rgb="FF5A8AC6"/>
      </colorScale>
    </cfRule>
  </conditionalFormatting>
  <conditionalFormatting sqref="H115:L115 P115">
    <cfRule type="expression" dxfId="10274" priority="13943" stopIfTrue="1">
      <formula>H105=""</formula>
    </cfRule>
  </conditionalFormatting>
  <conditionalFormatting sqref="H115:L115 P115">
    <cfRule type="expression" dxfId="10273" priority="13944" stopIfTrue="1">
      <formula>H115=1</formula>
    </cfRule>
    <cfRule type="colorScale" priority="13945">
      <colorScale>
        <cfvo type="num" val="0"/>
        <cfvo type="num" val="0.5"/>
        <cfvo type="num" val="1"/>
        <color rgb="FFF8696B"/>
        <color theme="4" tint="0.79998168889431442"/>
        <color rgb="FF5A8AC6"/>
      </colorScale>
    </cfRule>
  </conditionalFormatting>
  <conditionalFormatting sqref="H124:L124 P124">
    <cfRule type="expression" dxfId="10272" priority="13940" stopIfTrue="1">
      <formula>H116=""</formula>
    </cfRule>
  </conditionalFormatting>
  <conditionalFormatting sqref="H124:L124 P124">
    <cfRule type="expression" dxfId="10271" priority="13941" stopIfTrue="1">
      <formula>H124=1</formula>
    </cfRule>
    <cfRule type="colorScale" priority="13942">
      <colorScale>
        <cfvo type="num" val="0"/>
        <cfvo type="num" val="0.5"/>
        <cfvo type="num" val="1"/>
        <color rgb="FFF8696B"/>
        <color theme="4" tint="0.79998168889431442"/>
        <color rgb="FF5A8AC6"/>
      </colorScale>
    </cfRule>
  </conditionalFormatting>
  <conditionalFormatting sqref="H129:L129 P129">
    <cfRule type="expression" dxfId="10270" priority="13938" stopIfTrue="1">
      <formula>H129=1</formula>
    </cfRule>
    <cfRule type="colorScale" priority="13939">
      <colorScale>
        <cfvo type="num" val="0"/>
        <cfvo type="num" val="0.5"/>
        <cfvo type="num" val="1"/>
        <color rgb="FFF8696B"/>
        <color theme="4" tint="0.79998168889431442"/>
        <color rgb="FF5A8AC6"/>
      </colorScale>
    </cfRule>
  </conditionalFormatting>
  <conditionalFormatting sqref="H129:L129 P129">
    <cfRule type="expression" dxfId="10269" priority="13937" stopIfTrue="1">
      <formula>H125=""</formula>
    </cfRule>
  </conditionalFormatting>
  <conditionalFormatting sqref="H131:L131 P131">
    <cfRule type="expression" dxfId="10268" priority="13935" stopIfTrue="1">
      <formula>H131=1</formula>
    </cfRule>
    <cfRule type="colorScale" priority="13936">
      <colorScale>
        <cfvo type="num" val="0"/>
        <cfvo type="num" val="0.5"/>
        <cfvo type="num" val="1"/>
        <color rgb="FFF8696B"/>
        <color theme="4" tint="0.79998168889431442"/>
        <color rgb="FF5A8AC6"/>
      </colorScale>
    </cfRule>
  </conditionalFormatting>
  <conditionalFormatting sqref="H131:L131 P131">
    <cfRule type="expression" dxfId="10267" priority="13934" stopIfTrue="1">
      <formula>H74=""</formula>
    </cfRule>
  </conditionalFormatting>
  <conditionalFormatting sqref="H132:L132 P132">
    <cfRule type="expression" dxfId="10266" priority="13932" stopIfTrue="1">
      <formula>H132=1</formula>
    </cfRule>
    <cfRule type="colorScale" priority="13933">
      <colorScale>
        <cfvo type="num" val="0"/>
        <cfvo type="num" val="0.5"/>
        <cfvo type="num" val="1"/>
        <color rgb="FFF8696B"/>
        <color theme="4" tint="0.79998168889431442"/>
        <color rgb="FF5A8AC6"/>
      </colorScale>
    </cfRule>
  </conditionalFormatting>
  <conditionalFormatting sqref="H132:L132 P132">
    <cfRule type="expression" dxfId="10265" priority="13931" stopIfTrue="1">
      <formula>H74=""</formula>
    </cfRule>
  </conditionalFormatting>
  <conditionalFormatting sqref="H140:L140 P140">
    <cfRule type="expression" dxfId="10264" priority="13928" stopIfTrue="1">
      <formula>H134=""</formula>
    </cfRule>
  </conditionalFormatting>
  <conditionalFormatting sqref="H140:L140 P140">
    <cfRule type="expression" dxfId="10263" priority="13929" stopIfTrue="1">
      <formula>H140=1</formula>
    </cfRule>
    <cfRule type="colorScale" priority="13930">
      <colorScale>
        <cfvo type="num" val="0"/>
        <cfvo type="num" val="0.5"/>
        <cfvo type="num" val="1"/>
        <color rgb="FFF8696B"/>
        <color theme="4" tint="0.79998168889431442"/>
        <color rgb="FF5A8AC6"/>
      </colorScale>
    </cfRule>
  </conditionalFormatting>
  <conditionalFormatting sqref="H145:L145 P145">
    <cfRule type="expression" dxfId="10262" priority="13926" stopIfTrue="1">
      <formula>H145=1</formula>
    </cfRule>
    <cfRule type="colorScale" priority="13927">
      <colorScale>
        <cfvo type="num" val="0"/>
        <cfvo type="num" val="0.5"/>
        <cfvo type="num" val="1"/>
        <color rgb="FFF8696B"/>
        <color theme="4" tint="0.79998168889431442"/>
        <color rgb="FF5A8AC6"/>
      </colorScale>
    </cfRule>
  </conditionalFormatting>
  <conditionalFormatting sqref="H145:L145 P145">
    <cfRule type="expression" dxfId="10261" priority="13925" stopIfTrue="1">
      <formula>H141=""</formula>
    </cfRule>
  </conditionalFormatting>
  <conditionalFormatting sqref="H147:L147 P147">
    <cfRule type="expression" dxfId="10260" priority="13922" stopIfTrue="1">
      <formula>H134=""</formula>
    </cfRule>
  </conditionalFormatting>
  <conditionalFormatting sqref="H147:L147 P147">
    <cfRule type="expression" dxfId="10259" priority="13923" stopIfTrue="1">
      <formula>H147=1</formula>
    </cfRule>
    <cfRule type="colorScale" priority="13924">
      <colorScale>
        <cfvo type="num" val="0"/>
        <cfvo type="num" val="0.5"/>
        <cfvo type="num" val="1"/>
        <color rgb="FFF8696B"/>
        <color theme="4" tint="0.79998168889431442"/>
        <color rgb="FF5A8AC6"/>
      </colorScale>
    </cfRule>
  </conditionalFormatting>
  <conditionalFormatting sqref="H153:L153 P153">
    <cfRule type="expression" dxfId="10258" priority="13920" stopIfTrue="1">
      <formula>H153=1</formula>
    </cfRule>
    <cfRule type="colorScale" priority="13921">
      <colorScale>
        <cfvo type="num" val="0"/>
        <cfvo type="num" val="0.5"/>
        <cfvo type="num" val="1"/>
        <color rgb="FFF8696B"/>
        <color theme="4" tint="0.79998168889431442"/>
        <color rgb="FF5A8AC6"/>
      </colorScale>
    </cfRule>
  </conditionalFormatting>
  <conditionalFormatting sqref="H153:L153 P153">
    <cfRule type="expression" dxfId="10257" priority="13919" stopIfTrue="1">
      <formula>H149=""</formula>
    </cfRule>
  </conditionalFormatting>
  <conditionalFormatting sqref="P165">
    <cfRule type="expression" dxfId="10256" priority="13917" stopIfTrue="1">
      <formula>P165=1</formula>
    </cfRule>
    <cfRule type="colorScale" priority="13918">
      <colorScale>
        <cfvo type="num" val="0"/>
        <cfvo type="num" val="0.5"/>
        <cfvo type="num" val="1"/>
        <color rgb="FFF8696B"/>
        <color theme="4" tint="0.79998168889431442"/>
        <color rgb="FF5A8AC6"/>
      </colorScale>
    </cfRule>
  </conditionalFormatting>
  <conditionalFormatting sqref="H181:L181 P181">
    <cfRule type="expression" dxfId="10255" priority="13914" stopIfTrue="1">
      <formula>H181=1</formula>
    </cfRule>
    <cfRule type="colorScale" priority="13915">
      <colorScale>
        <cfvo type="num" val="0"/>
        <cfvo type="num" val="0.5"/>
        <cfvo type="num" val="1"/>
        <color rgb="FFF8696B"/>
        <color theme="4" tint="0.79998168889431442"/>
        <color rgb="FF5A8AC6"/>
      </colorScale>
    </cfRule>
  </conditionalFormatting>
  <conditionalFormatting sqref="H181:L181 P181">
    <cfRule type="expression" dxfId="10254" priority="13913" stopIfTrue="1">
      <formula>H167=""</formula>
    </cfRule>
  </conditionalFormatting>
  <conditionalFormatting sqref="H187:L187 P187">
    <cfRule type="expression" dxfId="10253" priority="13911" stopIfTrue="1">
      <formula>H187=1</formula>
    </cfRule>
    <cfRule type="colorScale" priority="13912">
      <colorScale>
        <cfvo type="num" val="0"/>
        <cfvo type="num" val="0.5"/>
        <cfvo type="num" val="1"/>
        <color rgb="FFF8696B"/>
        <color theme="4" tint="0.79998168889431442"/>
        <color rgb="FF5A8AC6"/>
      </colorScale>
    </cfRule>
  </conditionalFormatting>
  <conditionalFormatting sqref="H187:L187 P187">
    <cfRule type="expression" dxfId="10252" priority="13910" stopIfTrue="1">
      <formula>H183=""</formula>
    </cfRule>
  </conditionalFormatting>
  <conditionalFormatting sqref="H193:L193 P193">
    <cfRule type="expression" dxfId="10251" priority="13905" stopIfTrue="1">
      <formula>H193=1</formula>
    </cfRule>
    <cfRule type="colorScale" priority="13906">
      <colorScale>
        <cfvo type="num" val="0"/>
        <cfvo type="num" val="0.5"/>
        <cfvo type="num" val="1"/>
        <color rgb="FFF8696B"/>
        <color theme="4" tint="0.79998168889431442"/>
        <color rgb="FF5A8AC6"/>
      </colorScale>
    </cfRule>
  </conditionalFormatting>
  <conditionalFormatting sqref="H193:L193 P193">
    <cfRule type="expression" dxfId="10250" priority="13904" stopIfTrue="1">
      <formula>H189=""</formula>
    </cfRule>
  </conditionalFormatting>
  <conditionalFormatting sqref="H209:L209 P209">
    <cfRule type="expression" dxfId="10249" priority="13902" stopIfTrue="1">
      <formula>H209=1</formula>
    </cfRule>
    <cfRule type="colorScale" priority="13903">
      <colorScale>
        <cfvo type="num" val="0"/>
        <cfvo type="num" val="0.5"/>
        <cfvo type="num" val="1"/>
        <color rgb="FFF8696B"/>
        <color theme="4" tint="0.79998168889431442"/>
        <color rgb="FF5A8AC6"/>
      </colorScale>
    </cfRule>
  </conditionalFormatting>
  <conditionalFormatting sqref="H209:L209 P209">
    <cfRule type="expression" dxfId="10248" priority="13901" stopIfTrue="1">
      <formula>H195=""</formula>
    </cfRule>
  </conditionalFormatting>
  <conditionalFormatting sqref="H225:L225 P225">
    <cfRule type="expression" dxfId="10247" priority="13899" stopIfTrue="1">
      <formula>H225=1</formula>
    </cfRule>
    <cfRule type="colorScale" priority="13900">
      <colorScale>
        <cfvo type="num" val="0"/>
        <cfvo type="num" val="0.5"/>
        <cfvo type="num" val="1"/>
        <color rgb="FFF8696B"/>
        <color theme="4" tint="0.79998168889431442"/>
        <color rgb="FF5A8AC6"/>
      </colorScale>
    </cfRule>
  </conditionalFormatting>
  <conditionalFormatting sqref="H225:L225 P225">
    <cfRule type="expression" dxfId="10246" priority="13898" stopIfTrue="1">
      <formula>H211=""</formula>
    </cfRule>
  </conditionalFormatting>
  <conditionalFormatting sqref="G228:L228 W228:X228 P228 AF228 AM228:AO228">
    <cfRule type="expression" dxfId="10245" priority="13897" stopIfTrue="1">
      <formula>G228=UNICAHR(10003)</formula>
    </cfRule>
    <cfRule type="expression" dxfId="10244" priority="22473" stopIfTrue="1">
      <formula>G228=CONCATENATE(_xlfn.UNICHAR(10003),_xlfn.UNICHAR(10003))</formula>
    </cfRule>
    <cfRule type="colorScale" priority="22474">
      <colorScale>
        <cfvo type="num" val="0"/>
        <cfvo type="num" val="0.5"/>
        <cfvo type="num" val="1"/>
        <color rgb="FFF8696B"/>
        <color theme="4" tint="0.79998168889431442"/>
        <color rgb="FF5A8AC6"/>
      </colorScale>
    </cfRule>
  </conditionalFormatting>
  <conditionalFormatting sqref="G229:G239 H229:L229 W238:X238 W229:X229 P229 P238 AF229 AF238 AM238:AO238 AM229:AO229 G238:L238">
    <cfRule type="expression" dxfId="10243" priority="13894" stopIfTrue="1">
      <formula>G229=_xlfn.UNICHAR(10003)</formula>
    </cfRule>
    <cfRule type="expression" dxfId="10242" priority="13895" stopIfTrue="1">
      <formula>G229=CONCATENATE(_xlfn.UNICHAR(10003),_xlfn.UNICHAR(10003))</formula>
    </cfRule>
    <cfRule type="colorScale" priority="13896">
      <colorScale>
        <cfvo type="num" val="0"/>
        <cfvo type="num" val="0.5"/>
        <cfvo type="num" val="1"/>
        <color rgb="FFF8696B"/>
        <color theme="4" tint="0.79998168889431442"/>
        <color rgb="FF5A8AC6"/>
      </colorScale>
    </cfRule>
  </conditionalFormatting>
  <conditionalFormatting sqref="H238">
    <cfRule type="expression" dxfId="10241" priority="13891" stopIfTrue="1">
      <formula>H238=_xlfn.UNICHAR(10003)</formula>
    </cfRule>
    <cfRule type="expression" dxfId="10240" priority="13892" stopIfTrue="1">
      <formula>H238=CONCATENATE(_xlfn.UNICHAR(10003),_xlfn.UNICHAR(10003))</formula>
    </cfRule>
    <cfRule type="colorScale" priority="13893">
      <colorScale>
        <cfvo type="num" val="0"/>
        <cfvo type="num" val="0.5"/>
        <cfvo type="num" val="1"/>
        <color rgb="FFF8696B"/>
        <color theme="4" tint="0.79998168889431442"/>
        <color rgb="FF5A8AC6"/>
      </colorScale>
    </cfRule>
  </conditionalFormatting>
  <conditionalFormatting sqref="U229 U238">
    <cfRule type="expression" dxfId="10239" priority="12655" stopIfTrue="1">
      <formula>U229=_xlfn.UNICHAR(10003)</formula>
    </cfRule>
    <cfRule type="expression" dxfId="10238" priority="12656" stopIfTrue="1">
      <formula>U229=CONCATENATE(_xlfn.UNICHAR(10003),_xlfn.UNICHAR(10003))</formula>
    </cfRule>
    <cfRule type="colorScale" priority="12657">
      <colorScale>
        <cfvo type="num" val="0"/>
        <cfvo type="num" val="0.5"/>
        <cfvo type="num" val="1"/>
        <color rgb="FFF8696B"/>
        <color theme="4" tint="0.79998168889431442"/>
        <color rgb="FF5A8AC6"/>
      </colorScale>
    </cfRule>
  </conditionalFormatting>
  <conditionalFormatting sqref="AP72:AU72">
    <cfRule type="expression" dxfId="10237" priority="13798" stopIfTrue="1">
      <formula>AP4=""</formula>
    </cfRule>
  </conditionalFormatting>
  <conditionalFormatting sqref="AP72:AU72">
    <cfRule type="expression" dxfId="10236" priority="13799" stopIfTrue="1">
      <formula>AP72=1</formula>
    </cfRule>
    <cfRule type="colorScale" priority="13800">
      <colorScale>
        <cfvo type="num" val="0"/>
        <cfvo type="num" val="0.5"/>
        <cfvo type="num" val="1"/>
        <color rgb="FFF8696B"/>
        <color theme="4" tint="0.79998168889431442"/>
        <color rgb="FF5A8AC6"/>
      </colorScale>
    </cfRule>
  </conditionalFormatting>
  <conditionalFormatting sqref="AP132">
    <cfRule type="expression" dxfId="10235" priority="13796" stopIfTrue="1">
      <formula>AP132=1</formula>
    </cfRule>
    <cfRule type="colorScale" priority="13797">
      <colorScale>
        <cfvo type="num" val="0"/>
        <cfvo type="num" val="0.5"/>
        <cfvo type="num" val="1"/>
        <color rgb="FFF8696B"/>
        <color theme="4" tint="0.79998168889431442"/>
        <color rgb="FF5A8AC6"/>
      </colorScale>
    </cfRule>
  </conditionalFormatting>
  <conditionalFormatting sqref="AP132">
    <cfRule type="expression" dxfId="10234" priority="13795" stopIfTrue="1">
      <formula>AP74=""</formula>
    </cfRule>
  </conditionalFormatting>
  <conditionalFormatting sqref="AQ132:AU132">
    <cfRule type="expression" dxfId="10233" priority="13793" stopIfTrue="1">
      <formula>AQ132=1</formula>
    </cfRule>
    <cfRule type="colorScale" priority="13794">
      <colorScale>
        <cfvo type="num" val="0"/>
        <cfvo type="num" val="0.5"/>
        <cfvo type="num" val="1"/>
        <color rgb="FFF8696B"/>
        <color theme="4" tint="0.79998168889431442"/>
        <color rgb="FF5A8AC6"/>
      </colorScale>
    </cfRule>
  </conditionalFormatting>
  <conditionalFormatting sqref="AQ132:AU132">
    <cfRule type="expression" dxfId="10232" priority="13792" stopIfTrue="1">
      <formula>AQ74=""</formula>
    </cfRule>
  </conditionalFormatting>
  <conditionalFormatting sqref="AR237:AU238 AQ230:AQ237">
    <cfRule type="expression" dxfId="10231" priority="13788" stopIfTrue="1">
      <formula>AQ230=_xlfn.UNICHAR(10003)</formula>
    </cfRule>
    <cfRule type="colorScale" priority="13789">
      <colorScale>
        <cfvo type="num" val="0"/>
        <cfvo type="num" val="0.5"/>
        <cfvo type="num" val="1"/>
        <color rgb="FFF8696B"/>
        <color theme="4" tint="0.79998168889431442"/>
        <color rgb="FF5A8AC6"/>
      </colorScale>
    </cfRule>
  </conditionalFormatting>
  <conditionalFormatting sqref="AQ239:AQ241">
    <cfRule type="expression" dxfId="10230" priority="13786" stopIfTrue="1">
      <formula>AQ239=_xlfn.UNICHAR(10003)</formula>
    </cfRule>
    <cfRule type="colorScale" priority="13787">
      <colorScale>
        <cfvo type="num" val="0"/>
        <cfvo type="num" val="0.5"/>
        <cfvo type="num" val="1"/>
        <color rgb="FFF8696B"/>
        <color theme="4" tint="0.79998168889431442"/>
        <color rgb="FF5A8AC6"/>
      </colorScale>
    </cfRule>
  </conditionalFormatting>
  <conditionalFormatting sqref="AQ239:AQ241">
    <cfRule type="expression" dxfId="10229" priority="13784" stopIfTrue="1">
      <formula>AQ239=1</formula>
    </cfRule>
    <cfRule type="colorScale" priority="13785">
      <colorScale>
        <cfvo type="num" val="0"/>
        <cfvo type="num" val="0.5"/>
        <cfvo type="num" val="1"/>
        <color rgb="FFF8696B"/>
        <color theme="4" tint="0.79998168889431442"/>
        <color rgb="FF5A8AC6"/>
      </colorScale>
    </cfRule>
  </conditionalFormatting>
  <conditionalFormatting sqref="AR230:AR236">
    <cfRule type="expression" dxfId="10228" priority="13782" stopIfTrue="1">
      <formula>AR230=_xlfn.UNICHAR(10003)</formula>
    </cfRule>
    <cfRule type="colorScale" priority="13783">
      <colorScale>
        <cfvo type="num" val="0"/>
        <cfvo type="num" val="0.5"/>
        <cfvo type="num" val="1"/>
        <color rgb="FFF8696B"/>
        <color theme="4" tint="0.79998168889431442"/>
        <color rgb="FF5A8AC6"/>
      </colorScale>
    </cfRule>
  </conditionalFormatting>
  <conditionalFormatting sqref="AR239:AR241">
    <cfRule type="expression" dxfId="10227" priority="13780" stopIfTrue="1">
      <formula>AR239=_xlfn.UNICHAR(10003)</formula>
    </cfRule>
    <cfRule type="colorScale" priority="13781">
      <colorScale>
        <cfvo type="num" val="0"/>
        <cfvo type="num" val="0.5"/>
        <cfvo type="num" val="1"/>
        <color rgb="FFF8696B"/>
        <color theme="4" tint="0.79998168889431442"/>
        <color rgb="FF5A8AC6"/>
      </colorScale>
    </cfRule>
  </conditionalFormatting>
  <conditionalFormatting sqref="AR239:AR241">
    <cfRule type="expression" dxfId="10226" priority="13778" stopIfTrue="1">
      <formula>AR239=1</formula>
    </cfRule>
    <cfRule type="colorScale" priority="13779">
      <colorScale>
        <cfvo type="num" val="0"/>
        <cfvo type="num" val="0.5"/>
        <cfvo type="num" val="1"/>
        <color rgb="FFF8696B"/>
        <color theme="4" tint="0.79998168889431442"/>
        <color rgb="FF5A8AC6"/>
      </colorScale>
    </cfRule>
  </conditionalFormatting>
  <conditionalFormatting sqref="AS234:AS236 AS230:AS232">
    <cfRule type="expression" dxfId="10225" priority="13776" stopIfTrue="1">
      <formula>AS230=_xlfn.UNICHAR(10003)</formula>
    </cfRule>
    <cfRule type="colorScale" priority="13777">
      <colorScale>
        <cfvo type="num" val="0"/>
        <cfvo type="num" val="0.5"/>
        <cfvo type="num" val="1"/>
        <color rgb="FFF8696B"/>
        <color theme="4" tint="0.79998168889431442"/>
        <color rgb="FF5A8AC6"/>
      </colorScale>
    </cfRule>
  </conditionalFormatting>
  <conditionalFormatting sqref="AS239:AS241">
    <cfRule type="expression" dxfId="10224" priority="13774" stopIfTrue="1">
      <formula>AS239=_xlfn.UNICHAR(10003)</formula>
    </cfRule>
    <cfRule type="colorScale" priority="13775">
      <colorScale>
        <cfvo type="num" val="0"/>
        <cfvo type="num" val="0.5"/>
        <cfvo type="num" val="1"/>
        <color rgb="FFF8696B"/>
        <color theme="4" tint="0.79998168889431442"/>
        <color rgb="FF5A8AC6"/>
      </colorScale>
    </cfRule>
  </conditionalFormatting>
  <conditionalFormatting sqref="AS239:AS241">
    <cfRule type="expression" dxfId="10223" priority="13772" stopIfTrue="1">
      <formula>AS239=1</formula>
    </cfRule>
    <cfRule type="colorScale" priority="13773">
      <colorScale>
        <cfvo type="num" val="0"/>
        <cfvo type="num" val="0.5"/>
        <cfvo type="num" val="1"/>
        <color rgb="FFF8696B"/>
        <color theme="4" tint="0.79998168889431442"/>
        <color rgb="FF5A8AC6"/>
      </colorScale>
    </cfRule>
  </conditionalFormatting>
  <conditionalFormatting sqref="AT230:AT236">
    <cfRule type="expression" dxfId="10222" priority="13770" stopIfTrue="1">
      <formula>AT230=_xlfn.UNICHAR(10003)</formula>
    </cfRule>
    <cfRule type="colorScale" priority="13771">
      <colorScale>
        <cfvo type="num" val="0"/>
        <cfvo type="num" val="0.5"/>
        <cfvo type="num" val="1"/>
        <color rgb="FFF8696B"/>
        <color theme="4" tint="0.79998168889431442"/>
        <color rgb="FF5A8AC6"/>
      </colorScale>
    </cfRule>
  </conditionalFormatting>
  <conditionalFormatting sqref="AT239:AT241">
    <cfRule type="expression" dxfId="10221" priority="13768" stopIfTrue="1">
      <formula>AT239=_xlfn.UNICHAR(10003)</formula>
    </cfRule>
    <cfRule type="colorScale" priority="13769">
      <colorScale>
        <cfvo type="num" val="0"/>
        <cfvo type="num" val="0.5"/>
        <cfvo type="num" val="1"/>
        <color rgb="FFF8696B"/>
        <color theme="4" tint="0.79998168889431442"/>
        <color rgb="FF5A8AC6"/>
      </colorScale>
    </cfRule>
  </conditionalFormatting>
  <conditionalFormatting sqref="AT239:AT241">
    <cfRule type="expression" dxfId="10220" priority="13766" stopIfTrue="1">
      <formula>AT239=1</formula>
    </cfRule>
    <cfRule type="colorScale" priority="13767">
      <colorScale>
        <cfvo type="num" val="0"/>
        <cfvo type="num" val="0.5"/>
        <cfvo type="num" val="1"/>
        <color rgb="FFF8696B"/>
        <color theme="4" tint="0.79998168889431442"/>
        <color rgb="FF5A8AC6"/>
      </colorScale>
    </cfRule>
  </conditionalFormatting>
  <conditionalFormatting sqref="AU230:AU236">
    <cfRule type="expression" dxfId="10219" priority="13764" stopIfTrue="1">
      <formula>AU230=_xlfn.UNICHAR(10003)</formula>
    </cfRule>
    <cfRule type="colorScale" priority="13765">
      <colorScale>
        <cfvo type="num" val="0"/>
        <cfvo type="num" val="0.5"/>
        <cfvo type="num" val="1"/>
        <color rgb="FFF8696B"/>
        <color theme="4" tint="0.79998168889431442"/>
        <color rgb="FF5A8AC6"/>
      </colorScale>
    </cfRule>
  </conditionalFormatting>
  <conditionalFormatting sqref="AU239:AU241">
    <cfRule type="expression" dxfId="10218" priority="13762" stopIfTrue="1">
      <formula>AU239=_xlfn.UNICHAR(10003)</formula>
    </cfRule>
    <cfRule type="colorScale" priority="13763">
      <colorScale>
        <cfvo type="num" val="0"/>
        <cfvo type="num" val="0.5"/>
        <cfvo type="num" val="1"/>
        <color rgb="FFF8696B"/>
        <color theme="4" tint="0.79998168889431442"/>
        <color rgb="FF5A8AC6"/>
      </colorScale>
    </cfRule>
  </conditionalFormatting>
  <conditionalFormatting sqref="AU239:AU241">
    <cfRule type="expression" dxfId="10217" priority="13760" stopIfTrue="1">
      <formula>AU239=1</formula>
    </cfRule>
    <cfRule type="colorScale" priority="13761">
      <colorScale>
        <cfvo type="num" val="0"/>
        <cfvo type="num" val="0.5"/>
        <cfvo type="num" val="1"/>
        <color rgb="FFF8696B"/>
        <color theme="4" tint="0.79998168889431442"/>
        <color rgb="FF5A8AC6"/>
      </colorScale>
    </cfRule>
  </conditionalFormatting>
  <conditionalFormatting sqref="AS233">
    <cfRule type="expression" dxfId="10216" priority="13758" stopIfTrue="1">
      <formula>AS233=_xlfn.UNICHAR(10003)</formula>
    </cfRule>
    <cfRule type="colorScale" priority="13759">
      <colorScale>
        <cfvo type="num" val="0"/>
        <cfvo type="num" val="0.5"/>
        <cfvo type="num" val="1"/>
        <color rgb="FFF8696B"/>
        <color theme="4" tint="0.79998168889431442"/>
        <color rgb="FF5A8AC6"/>
      </colorScale>
    </cfRule>
  </conditionalFormatting>
  <conditionalFormatting sqref="AP228:AU228">
    <cfRule type="expression" dxfId="10215" priority="13757" stopIfTrue="1">
      <formula>AP228=UNICAHR(10003)</formula>
    </cfRule>
    <cfRule type="expression" dxfId="10214" priority="13790" stopIfTrue="1">
      <formula>AP228=CONCATENATE(_xlfn.UNICHAR(10003),_xlfn.UNICHAR(10003))</formula>
    </cfRule>
    <cfRule type="colorScale" priority="13791">
      <colorScale>
        <cfvo type="num" val="0"/>
        <cfvo type="num" val="0.5"/>
        <cfvo type="num" val="1"/>
        <color rgb="FFF8696B"/>
        <color theme="4" tint="0.79998168889431442"/>
        <color rgb="FF5A8AC6"/>
      </colorScale>
    </cfRule>
  </conditionalFormatting>
  <conditionalFormatting sqref="AP229:AP241 AQ238:AU238 AQ229:AU229">
    <cfRule type="expression" dxfId="10213" priority="13754" stopIfTrue="1">
      <formula>AP229=_xlfn.UNICHAR(10003)</formula>
    </cfRule>
    <cfRule type="expression" dxfId="10212" priority="13755" stopIfTrue="1">
      <formula>AP229=CONCATENATE(_xlfn.UNICHAR(10003),_xlfn.UNICHAR(10003))</formula>
    </cfRule>
    <cfRule type="colorScale" priority="13756">
      <colorScale>
        <cfvo type="num" val="0"/>
        <cfvo type="num" val="0.5"/>
        <cfvo type="num" val="1"/>
        <color rgb="FFF8696B"/>
        <color theme="4" tint="0.79998168889431442"/>
        <color rgb="FF5A8AC6"/>
      </colorScale>
    </cfRule>
  </conditionalFormatting>
  <conditionalFormatting sqref="AQ238">
    <cfRule type="expression" dxfId="10211" priority="13751" stopIfTrue="1">
      <formula>AQ238=_xlfn.UNICHAR(10003)</formula>
    </cfRule>
    <cfRule type="expression" dxfId="10210" priority="13752" stopIfTrue="1">
      <formula>AQ238=CONCATENATE(_xlfn.UNICHAR(10003),_xlfn.UNICHAR(10003))</formula>
    </cfRule>
    <cfRule type="colorScale" priority="13753">
      <colorScale>
        <cfvo type="num" val="0"/>
        <cfvo type="num" val="0.5"/>
        <cfvo type="num" val="1"/>
        <color rgb="FFF8696B"/>
        <color theme="4" tint="0.79998168889431442"/>
        <color rgb="FF5A8AC6"/>
      </colorScale>
    </cfRule>
  </conditionalFormatting>
  <conditionalFormatting sqref="U132">
    <cfRule type="expression" dxfId="10209" priority="12670" stopIfTrue="1">
      <formula>U132=1</formula>
    </cfRule>
    <cfRule type="colorScale" priority="12671">
      <colorScale>
        <cfvo type="num" val="0"/>
        <cfvo type="num" val="0.5"/>
        <cfvo type="num" val="1"/>
        <color rgb="FFF8696B"/>
        <color theme="4" tint="0.79998168889431442"/>
        <color rgb="FF5A8AC6"/>
      </colorScale>
    </cfRule>
  </conditionalFormatting>
  <conditionalFormatting sqref="U16 U18 U20 U22 U24 U26 U28 U39 U41 U43 U45 U48 U81 U88 U90 U92 U94 U96 U98 U100 U102 U105 U107 U109 U111 U116">
    <cfRule type="expression" dxfId="10208" priority="13200">
      <formula>U16="X"</formula>
    </cfRule>
    <cfRule type="expression" dxfId="10207" priority="13201">
      <formula>U16="A"</formula>
    </cfRule>
    <cfRule type="expression" dxfId="10206" priority="13202">
      <formula>U16="T"</formula>
    </cfRule>
  </conditionalFormatting>
  <conditionalFormatting sqref="U36">
    <cfRule type="expression" dxfId="10205" priority="13197">
      <formula>U36="X"</formula>
    </cfRule>
    <cfRule type="expression" dxfId="10204" priority="13198">
      <formula>U36="A"</formula>
    </cfRule>
    <cfRule type="expression" dxfId="10203" priority="13199">
      <formula>U36="T"</formula>
    </cfRule>
  </conditionalFormatting>
  <conditionalFormatting sqref="U34">
    <cfRule type="expression" dxfId="10202" priority="13194">
      <formula>U34="X"</formula>
    </cfRule>
    <cfRule type="expression" dxfId="10201" priority="13195">
      <formula>U34="A"</formula>
    </cfRule>
    <cfRule type="expression" dxfId="10200" priority="13196">
      <formula>U34="T"</formula>
    </cfRule>
  </conditionalFormatting>
  <conditionalFormatting sqref="U32">
    <cfRule type="expression" dxfId="10199" priority="13191">
      <formula>U32="X"</formula>
    </cfRule>
    <cfRule type="expression" dxfId="10198" priority="13192">
      <formula>U32="A"</formula>
    </cfRule>
    <cfRule type="expression" dxfId="10197" priority="13193">
      <formula>U32="T"</formula>
    </cfRule>
  </conditionalFormatting>
  <conditionalFormatting sqref="U30">
    <cfRule type="expression" dxfId="10196" priority="13188">
      <formula>U30="X"</formula>
    </cfRule>
    <cfRule type="expression" dxfId="10195" priority="13189">
      <formula>U30="A"</formula>
    </cfRule>
    <cfRule type="expression" dxfId="10194" priority="13190">
      <formula>U30="T"</formula>
    </cfRule>
  </conditionalFormatting>
  <conditionalFormatting sqref="U52">
    <cfRule type="expression" dxfId="10193" priority="13185">
      <formula>U52="X"</formula>
    </cfRule>
    <cfRule type="expression" dxfId="10192" priority="13186">
      <formula>U52="A"</formula>
    </cfRule>
    <cfRule type="expression" dxfId="10191" priority="13187">
      <formula>U52="T"</formula>
    </cfRule>
  </conditionalFormatting>
  <conditionalFormatting sqref="U50">
    <cfRule type="expression" dxfId="10190" priority="13182">
      <formula>U50="X"</formula>
    </cfRule>
    <cfRule type="expression" dxfId="10189" priority="13183">
      <formula>U50="A"</formula>
    </cfRule>
    <cfRule type="expression" dxfId="10188" priority="13184">
      <formula>U50="T"</formula>
    </cfRule>
  </conditionalFormatting>
  <conditionalFormatting sqref="U54">
    <cfRule type="expression" dxfId="10187" priority="13179">
      <formula>U54="X"</formula>
    </cfRule>
    <cfRule type="expression" dxfId="10186" priority="13180">
      <formula>U54="A"</formula>
    </cfRule>
    <cfRule type="expression" dxfId="10185" priority="13181">
      <formula>U54="T"</formula>
    </cfRule>
  </conditionalFormatting>
  <conditionalFormatting sqref="U56">
    <cfRule type="expression" dxfId="10184" priority="13176">
      <formula>U56="X"</formula>
    </cfRule>
    <cfRule type="expression" dxfId="10183" priority="13177">
      <formula>U56="A"</formula>
    </cfRule>
    <cfRule type="expression" dxfId="10182" priority="13178">
      <formula>U56="T"</formula>
    </cfRule>
  </conditionalFormatting>
  <conditionalFormatting sqref="U58">
    <cfRule type="expression" dxfId="10181" priority="13173">
      <formula>U58="X"</formula>
    </cfRule>
    <cfRule type="expression" dxfId="10180" priority="13174">
      <formula>U58="A"</formula>
    </cfRule>
    <cfRule type="expression" dxfId="10179" priority="13175">
      <formula>U58="T"</formula>
    </cfRule>
  </conditionalFormatting>
  <conditionalFormatting sqref="U63">
    <cfRule type="expression" dxfId="10178" priority="13170">
      <formula>U63="X"</formula>
    </cfRule>
    <cfRule type="expression" dxfId="10177" priority="13171">
      <formula>U63="A"</formula>
    </cfRule>
    <cfRule type="expression" dxfId="10176" priority="13172">
      <formula>U63="T"</formula>
    </cfRule>
  </conditionalFormatting>
  <conditionalFormatting sqref="U65">
    <cfRule type="expression" dxfId="10175" priority="13167">
      <formula>U65="X"</formula>
    </cfRule>
    <cfRule type="expression" dxfId="10174" priority="13168">
      <formula>U65="A"</formula>
    </cfRule>
    <cfRule type="expression" dxfId="10173" priority="13169">
      <formula>U65="T"</formula>
    </cfRule>
  </conditionalFormatting>
  <conditionalFormatting sqref="U83">
    <cfRule type="expression" dxfId="10172" priority="13164">
      <formula>U83="X"</formula>
    </cfRule>
    <cfRule type="expression" dxfId="10171" priority="13165">
      <formula>U83="A"</formula>
    </cfRule>
    <cfRule type="expression" dxfId="10170" priority="13166">
      <formula>U83="T"</formula>
    </cfRule>
  </conditionalFormatting>
  <conditionalFormatting sqref="U85">
    <cfRule type="expression" dxfId="10169" priority="13161">
      <formula>U85="X"</formula>
    </cfRule>
    <cfRule type="expression" dxfId="10168" priority="13162">
      <formula>U85="A"</formula>
    </cfRule>
    <cfRule type="expression" dxfId="10167" priority="13163">
      <formula>U85="T"</formula>
    </cfRule>
  </conditionalFormatting>
  <conditionalFormatting sqref="U67">
    <cfRule type="expression" dxfId="10166" priority="13158">
      <formula>U67="X"</formula>
    </cfRule>
    <cfRule type="expression" dxfId="10165" priority="13159">
      <formula>U67="A"</formula>
    </cfRule>
    <cfRule type="expression" dxfId="10164" priority="13160">
      <formula>U67="T"</formula>
    </cfRule>
  </conditionalFormatting>
  <conditionalFormatting sqref="U113">
    <cfRule type="expression" dxfId="10163" priority="13155">
      <formula>U113="X"</formula>
    </cfRule>
    <cfRule type="expression" dxfId="10162" priority="13156">
      <formula>U113="A"</formula>
    </cfRule>
    <cfRule type="expression" dxfId="10161" priority="13157">
      <formula>U113="T"</formula>
    </cfRule>
  </conditionalFormatting>
  <conditionalFormatting sqref="U118">
    <cfRule type="expression" dxfId="10160" priority="13152">
      <formula>U118="X"</formula>
    </cfRule>
    <cfRule type="expression" dxfId="10159" priority="13153">
      <formula>U118="A"</formula>
    </cfRule>
    <cfRule type="expression" dxfId="10158" priority="13154">
      <formula>U118="T"</formula>
    </cfRule>
  </conditionalFormatting>
  <conditionalFormatting sqref="U120">
    <cfRule type="expression" dxfId="10157" priority="13149">
      <formula>U120="X"</formula>
    </cfRule>
    <cfRule type="expression" dxfId="10156" priority="13150">
      <formula>U120="A"</formula>
    </cfRule>
    <cfRule type="expression" dxfId="10155" priority="13151">
      <formula>U120="T"</formula>
    </cfRule>
  </conditionalFormatting>
  <conditionalFormatting sqref="U122">
    <cfRule type="expression" dxfId="10154" priority="13146">
      <formula>U122="X"</formula>
    </cfRule>
    <cfRule type="expression" dxfId="10153" priority="13147">
      <formula>U122="A"</formula>
    </cfRule>
    <cfRule type="expression" dxfId="10152" priority="13148">
      <formula>U122="T"</formula>
    </cfRule>
  </conditionalFormatting>
  <conditionalFormatting sqref="U125">
    <cfRule type="expression" dxfId="10151" priority="13143">
      <formula>U125="X"</formula>
    </cfRule>
    <cfRule type="expression" dxfId="10150" priority="13144">
      <formula>U125="A"</formula>
    </cfRule>
    <cfRule type="expression" dxfId="10149" priority="13145">
      <formula>U125="T"</formula>
    </cfRule>
  </conditionalFormatting>
  <conditionalFormatting sqref="U127">
    <cfRule type="expression" dxfId="10148" priority="13140">
      <formula>U127="X"</formula>
    </cfRule>
    <cfRule type="expression" dxfId="10147" priority="13141">
      <formula>U127="A"</formula>
    </cfRule>
    <cfRule type="expression" dxfId="10146" priority="13142">
      <formula>U127="T"</formula>
    </cfRule>
  </conditionalFormatting>
  <conditionalFormatting sqref="U141">
    <cfRule type="expression" dxfId="10145" priority="13137">
      <formula>U141="X"</formula>
    </cfRule>
    <cfRule type="expression" dxfId="10144" priority="13138">
      <formula>U141="A"</formula>
    </cfRule>
    <cfRule type="expression" dxfId="10143" priority="13139">
      <formula>U141="T"</formula>
    </cfRule>
  </conditionalFormatting>
  <conditionalFormatting sqref="U143">
    <cfRule type="expression" dxfId="10142" priority="13134">
      <formula>U143="X"</formula>
    </cfRule>
    <cfRule type="expression" dxfId="10141" priority="13135">
      <formula>U143="A"</formula>
    </cfRule>
    <cfRule type="expression" dxfId="10140" priority="13136">
      <formula>U143="T"</formula>
    </cfRule>
  </conditionalFormatting>
  <conditionalFormatting sqref="U149">
    <cfRule type="expression" dxfId="10139" priority="13131">
      <formula>U149="X"</formula>
    </cfRule>
    <cfRule type="expression" dxfId="10138" priority="13132">
      <formula>U149="A"</formula>
    </cfRule>
    <cfRule type="expression" dxfId="10137" priority="13133">
      <formula>U149="T"</formula>
    </cfRule>
  </conditionalFormatting>
  <conditionalFormatting sqref="U151">
    <cfRule type="expression" dxfId="10136" priority="13128">
      <formula>U151="X"</formula>
    </cfRule>
    <cfRule type="expression" dxfId="10135" priority="13129">
      <formula>U151="A"</formula>
    </cfRule>
    <cfRule type="expression" dxfId="10134" priority="13130">
      <formula>U151="T"</formula>
    </cfRule>
  </conditionalFormatting>
  <conditionalFormatting sqref="U155">
    <cfRule type="expression" dxfId="10133" priority="13125">
      <formula>U155="X"</formula>
    </cfRule>
    <cfRule type="expression" dxfId="10132" priority="13126">
      <formula>U155="A"</formula>
    </cfRule>
    <cfRule type="expression" dxfId="10131" priority="13127">
      <formula>U155="T"</formula>
    </cfRule>
  </conditionalFormatting>
  <conditionalFormatting sqref="U157">
    <cfRule type="expression" dxfId="10130" priority="13122">
      <formula>U157="X"</formula>
    </cfRule>
    <cfRule type="expression" dxfId="10129" priority="13123">
      <formula>U157="A"</formula>
    </cfRule>
    <cfRule type="expression" dxfId="10128" priority="13124">
      <formula>U157="T"</formula>
    </cfRule>
  </conditionalFormatting>
  <conditionalFormatting sqref="U167">
    <cfRule type="expression" dxfId="10127" priority="13119">
      <formula>U167="X"</formula>
    </cfRule>
    <cfRule type="expression" dxfId="10126" priority="13120">
      <formula>U167="A"</formula>
    </cfRule>
    <cfRule type="expression" dxfId="10125" priority="13121">
      <formula>U167="T"</formula>
    </cfRule>
  </conditionalFormatting>
  <conditionalFormatting sqref="U173">
    <cfRule type="expression" dxfId="10124" priority="13116">
      <formula>U173="X"</formula>
    </cfRule>
    <cfRule type="expression" dxfId="10123" priority="13117">
      <formula>U173="A"</formula>
    </cfRule>
    <cfRule type="expression" dxfId="10122" priority="13118">
      <formula>U173="T"</formula>
    </cfRule>
  </conditionalFormatting>
  <conditionalFormatting sqref="U175">
    <cfRule type="expression" dxfId="10121" priority="13113">
      <formula>U175="X"</formula>
    </cfRule>
    <cfRule type="expression" dxfId="10120" priority="13114">
      <formula>U175="A"</formula>
    </cfRule>
    <cfRule type="expression" dxfId="10119" priority="13115">
      <formula>U175="T"</formula>
    </cfRule>
  </conditionalFormatting>
  <conditionalFormatting sqref="U177">
    <cfRule type="expression" dxfId="10118" priority="13110">
      <formula>U177="X"</formula>
    </cfRule>
    <cfRule type="expression" dxfId="10117" priority="13111">
      <formula>U177="A"</formula>
    </cfRule>
    <cfRule type="expression" dxfId="10116" priority="13112">
      <formula>U177="T"</formula>
    </cfRule>
  </conditionalFormatting>
  <conditionalFormatting sqref="U179">
    <cfRule type="expression" dxfId="10115" priority="13107">
      <formula>U179="X"</formula>
    </cfRule>
    <cfRule type="expression" dxfId="10114" priority="13108">
      <formula>U179="A"</formula>
    </cfRule>
    <cfRule type="expression" dxfId="10113" priority="13109">
      <formula>U179="T"</formula>
    </cfRule>
  </conditionalFormatting>
  <conditionalFormatting sqref="U169">
    <cfRule type="expression" dxfId="10112" priority="13104">
      <formula>U169="X"</formula>
    </cfRule>
    <cfRule type="expression" dxfId="10111" priority="13105">
      <formula>U169="A"</formula>
    </cfRule>
    <cfRule type="expression" dxfId="10110" priority="13106">
      <formula>U169="T"</formula>
    </cfRule>
  </conditionalFormatting>
  <conditionalFormatting sqref="U171">
    <cfRule type="expression" dxfId="10109" priority="13101">
      <formula>U171="X"</formula>
    </cfRule>
    <cfRule type="expression" dxfId="10108" priority="13102">
      <formula>U171="A"</formula>
    </cfRule>
    <cfRule type="expression" dxfId="10107" priority="13103">
      <formula>U171="T"</formula>
    </cfRule>
  </conditionalFormatting>
  <conditionalFormatting sqref="U183">
    <cfRule type="expression" dxfId="10106" priority="13098">
      <formula>U183="X"</formula>
    </cfRule>
    <cfRule type="expression" dxfId="10105" priority="13099">
      <formula>U183="A"</formula>
    </cfRule>
    <cfRule type="expression" dxfId="10104" priority="13100">
      <formula>U183="T"</formula>
    </cfRule>
  </conditionalFormatting>
  <conditionalFormatting sqref="U185">
    <cfRule type="expression" dxfId="10103" priority="13095">
      <formula>U185="X"</formula>
    </cfRule>
    <cfRule type="expression" dxfId="10102" priority="13096">
      <formula>U185="A"</formula>
    </cfRule>
    <cfRule type="expression" dxfId="10101" priority="13097">
      <formula>U185="T"</formula>
    </cfRule>
  </conditionalFormatting>
  <conditionalFormatting sqref="U189">
    <cfRule type="expression" dxfId="10100" priority="13092">
      <formula>U189="X"</formula>
    </cfRule>
    <cfRule type="expression" dxfId="10099" priority="13093">
      <formula>U189="A"</formula>
    </cfRule>
    <cfRule type="expression" dxfId="10098" priority="13094">
      <formula>U189="T"</formula>
    </cfRule>
  </conditionalFormatting>
  <conditionalFormatting sqref="U191">
    <cfRule type="expression" dxfId="10097" priority="13089">
      <formula>U191="X"</formula>
    </cfRule>
    <cfRule type="expression" dxfId="10096" priority="13090">
      <formula>U191="A"</formula>
    </cfRule>
    <cfRule type="expression" dxfId="10095" priority="13091">
      <formula>U191="T"</formula>
    </cfRule>
  </conditionalFormatting>
  <conditionalFormatting sqref="U11">
    <cfRule type="expression" dxfId="10094" priority="13086">
      <formula>U11="X"</formula>
    </cfRule>
    <cfRule type="expression" dxfId="10093" priority="13087">
      <formula>U11="A"</formula>
    </cfRule>
    <cfRule type="expression" dxfId="10092" priority="13088">
      <formula>U11="T"</formula>
    </cfRule>
  </conditionalFormatting>
  <conditionalFormatting sqref="U12">
    <cfRule type="expression" dxfId="10091" priority="13083">
      <formula>U11="X"</formula>
    </cfRule>
    <cfRule type="expression" dxfId="10090" priority="13084">
      <formula>U11="A"</formula>
    </cfRule>
    <cfRule type="expression" dxfId="10089" priority="13085">
      <formula>U11="T"</formula>
    </cfRule>
  </conditionalFormatting>
  <conditionalFormatting sqref="U13">
    <cfRule type="expression" dxfId="10088" priority="13080">
      <formula>U13="X"</formula>
    </cfRule>
    <cfRule type="expression" dxfId="10087" priority="13081">
      <formula>U13="A"</formula>
    </cfRule>
    <cfRule type="expression" dxfId="10086" priority="13082">
      <formula>U13="T"</formula>
    </cfRule>
  </conditionalFormatting>
  <conditionalFormatting sqref="U14">
    <cfRule type="expression" dxfId="10085" priority="13077">
      <formula>U13="X"</formula>
    </cfRule>
    <cfRule type="expression" dxfId="10084" priority="13078">
      <formula>U13="A"</formula>
    </cfRule>
    <cfRule type="expression" dxfId="10083" priority="13079">
      <formula>U13="T"</formula>
    </cfRule>
  </conditionalFormatting>
  <conditionalFormatting sqref="U17">
    <cfRule type="expression" dxfId="10082" priority="13074">
      <formula>U16="X"</formula>
    </cfRule>
    <cfRule type="expression" dxfId="10081" priority="13075">
      <formula>U16="A"</formula>
    </cfRule>
    <cfRule type="expression" dxfId="10080" priority="13076">
      <formula>U16="T"</formula>
    </cfRule>
  </conditionalFormatting>
  <conditionalFormatting sqref="U19">
    <cfRule type="expression" dxfId="10079" priority="13068">
      <formula>U18="X"</formula>
    </cfRule>
    <cfRule type="expression" dxfId="10078" priority="13069">
      <formula>U18="A"</formula>
    </cfRule>
    <cfRule type="expression" dxfId="10077" priority="13070">
      <formula>U18="T"</formula>
    </cfRule>
  </conditionalFormatting>
  <conditionalFormatting sqref="U21">
    <cfRule type="expression" dxfId="10076" priority="13065">
      <formula>U20="X"</formula>
    </cfRule>
    <cfRule type="expression" dxfId="10075" priority="13066">
      <formula>U20="A"</formula>
    </cfRule>
    <cfRule type="expression" dxfId="10074" priority="13067">
      <formula>U20="T"</formula>
    </cfRule>
  </conditionalFormatting>
  <conditionalFormatting sqref="U23">
    <cfRule type="expression" dxfId="10073" priority="13062">
      <formula>U22="X"</formula>
    </cfRule>
    <cfRule type="expression" dxfId="10072" priority="13063">
      <formula>U22="A"</formula>
    </cfRule>
    <cfRule type="expression" dxfId="10071" priority="13064">
      <formula>U22="T"</formula>
    </cfRule>
  </conditionalFormatting>
  <conditionalFormatting sqref="U25">
    <cfRule type="expression" dxfId="10070" priority="13059">
      <formula>U24="X"</formula>
    </cfRule>
    <cfRule type="expression" dxfId="10069" priority="13060">
      <formula>U24="A"</formula>
    </cfRule>
    <cfRule type="expression" dxfId="10068" priority="13061">
      <formula>U24="T"</formula>
    </cfRule>
  </conditionalFormatting>
  <conditionalFormatting sqref="U27">
    <cfRule type="expression" dxfId="10067" priority="13056">
      <formula>U26="X"</formula>
    </cfRule>
    <cfRule type="expression" dxfId="10066" priority="13057">
      <formula>U26="A"</formula>
    </cfRule>
    <cfRule type="expression" dxfId="10065" priority="13058">
      <formula>U26="T"</formula>
    </cfRule>
  </conditionalFormatting>
  <conditionalFormatting sqref="U29">
    <cfRule type="expression" dxfId="10064" priority="13053">
      <formula>U28="X"</formula>
    </cfRule>
    <cfRule type="expression" dxfId="10063" priority="13054">
      <formula>U28="A"</formula>
    </cfRule>
    <cfRule type="expression" dxfId="10062" priority="13055">
      <formula>U28="T"</formula>
    </cfRule>
  </conditionalFormatting>
  <conditionalFormatting sqref="U31">
    <cfRule type="expression" dxfId="10061" priority="13050">
      <formula>U30="X"</formula>
    </cfRule>
    <cfRule type="expression" dxfId="10060" priority="13051">
      <formula>U30="A"</formula>
    </cfRule>
    <cfRule type="expression" dxfId="10059" priority="13052">
      <formula>U30="T"</formula>
    </cfRule>
  </conditionalFormatting>
  <conditionalFormatting sqref="U33">
    <cfRule type="expression" dxfId="10058" priority="13047">
      <formula>U32="X"</formula>
    </cfRule>
    <cfRule type="expression" dxfId="10057" priority="13048">
      <formula>U32="A"</formula>
    </cfRule>
    <cfRule type="expression" dxfId="10056" priority="13049">
      <formula>U32="T"</formula>
    </cfRule>
  </conditionalFormatting>
  <conditionalFormatting sqref="U35">
    <cfRule type="expression" dxfId="10055" priority="13044">
      <formula>U34="X"</formula>
    </cfRule>
    <cfRule type="expression" dxfId="10054" priority="13045">
      <formula>U34="A"</formula>
    </cfRule>
    <cfRule type="expression" dxfId="10053" priority="13046">
      <formula>U34="T"</formula>
    </cfRule>
  </conditionalFormatting>
  <conditionalFormatting sqref="U37">
    <cfRule type="expression" dxfId="10052" priority="13041">
      <formula>U36="X"</formula>
    </cfRule>
    <cfRule type="expression" dxfId="10051" priority="13042">
      <formula>U36="A"</formula>
    </cfRule>
    <cfRule type="expression" dxfId="10050" priority="13043">
      <formula>U36="T"</formula>
    </cfRule>
  </conditionalFormatting>
  <conditionalFormatting sqref="U40">
    <cfRule type="expression" dxfId="10049" priority="13038">
      <formula>U39="X"</formula>
    </cfRule>
    <cfRule type="expression" dxfId="10048" priority="13039">
      <formula>U39="A"</formula>
    </cfRule>
    <cfRule type="expression" dxfId="10047" priority="13040">
      <formula>U39="T"</formula>
    </cfRule>
  </conditionalFormatting>
  <conditionalFormatting sqref="U42">
    <cfRule type="expression" dxfId="10046" priority="13035">
      <formula>U41="X"</formula>
    </cfRule>
    <cfRule type="expression" dxfId="10045" priority="13036">
      <formula>U41="A"</formula>
    </cfRule>
    <cfRule type="expression" dxfId="10044" priority="13037">
      <formula>U41="T"</formula>
    </cfRule>
  </conditionalFormatting>
  <conditionalFormatting sqref="U44">
    <cfRule type="expression" dxfId="10043" priority="13032">
      <formula>U43="X"</formula>
    </cfRule>
    <cfRule type="expression" dxfId="10042" priority="13033">
      <formula>U43="A"</formula>
    </cfRule>
    <cfRule type="expression" dxfId="10041" priority="13034">
      <formula>U43="T"</formula>
    </cfRule>
  </conditionalFormatting>
  <conditionalFormatting sqref="U46">
    <cfRule type="expression" dxfId="10040" priority="13029">
      <formula>U45="X"</formula>
    </cfRule>
    <cfRule type="expression" dxfId="10039" priority="13030">
      <formula>U45="A"</formula>
    </cfRule>
    <cfRule type="expression" dxfId="10038" priority="13031">
      <formula>U45="T"</formula>
    </cfRule>
  </conditionalFormatting>
  <conditionalFormatting sqref="U49">
    <cfRule type="expression" dxfId="10037" priority="13026">
      <formula>U48="X"</formula>
    </cfRule>
    <cfRule type="expression" dxfId="10036" priority="13027">
      <formula>U48="A"</formula>
    </cfRule>
    <cfRule type="expression" dxfId="10035" priority="13028">
      <formula>U48="T"</formula>
    </cfRule>
  </conditionalFormatting>
  <conditionalFormatting sqref="U51">
    <cfRule type="expression" dxfId="10034" priority="13023">
      <formula>U50="X"</formula>
    </cfRule>
    <cfRule type="expression" dxfId="10033" priority="13024">
      <formula>U50="A"</formula>
    </cfRule>
    <cfRule type="expression" dxfId="10032" priority="13025">
      <formula>U50="T"</formula>
    </cfRule>
  </conditionalFormatting>
  <conditionalFormatting sqref="U53">
    <cfRule type="expression" dxfId="10031" priority="13020">
      <formula>U52="X"</formula>
    </cfRule>
    <cfRule type="expression" dxfId="10030" priority="13021">
      <formula>U52="A"</formula>
    </cfRule>
    <cfRule type="expression" dxfId="10029" priority="13022">
      <formula>U52="T"</formula>
    </cfRule>
  </conditionalFormatting>
  <conditionalFormatting sqref="U55">
    <cfRule type="expression" dxfId="10028" priority="13017">
      <formula>U54="X"</formula>
    </cfRule>
    <cfRule type="expression" dxfId="10027" priority="13018">
      <formula>U54="A"</formula>
    </cfRule>
    <cfRule type="expression" dxfId="10026" priority="13019">
      <formula>U54="T"</formula>
    </cfRule>
  </conditionalFormatting>
  <conditionalFormatting sqref="U57">
    <cfRule type="expression" dxfId="10025" priority="13014">
      <formula>U56="X"</formula>
    </cfRule>
    <cfRule type="expression" dxfId="10024" priority="13015">
      <formula>U56="A"</formula>
    </cfRule>
    <cfRule type="expression" dxfId="10023" priority="13016">
      <formula>U56="T"</formula>
    </cfRule>
  </conditionalFormatting>
  <conditionalFormatting sqref="U59">
    <cfRule type="expression" dxfId="10022" priority="13011">
      <formula>U58="X"</formula>
    </cfRule>
    <cfRule type="expression" dxfId="10021" priority="13012">
      <formula>U58="A"</formula>
    </cfRule>
    <cfRule type="expression" dxfId="10020" priority="13013">
      <formula>U58="T"</formula>
    </cfRule>
  </conditionalFormatting>
  <conditionalFormatting sqref="U64">
    <cfRule type="expression" dxfId="10019" priority="13008">
      <formula>U63="X"</formula>
    </cfRule>
    <cfRule type="expression" dxfId="10018" priority="13009">
      <formula>U63="A"</formula>
    </cfRule>
    <cfRule type="expression" dxfId="10017" priority="13010">
      <formula>U63="T"</formula>
    </cfRule>
  </conditionalFormatting>
  <conditionalFormatting sqref="U66">
    <cfRule type="expression" dxfId="10016" priority="13005">
      <formula>U65="X"</formula>
    </cfRule>
    <cfRule type="expression" dxfId="10015" priority="13006">
      <formula>U65="A"</formula>
    </cfRule>
    <cfRule type="expression" dxfId="10014" priority="13007">
      <formula>U65="T"</formula>
    </cfRule>
  </conditionalFormatting>
  <conditionalFormatting sqref="U68">
    <cfRule type="expression" dxfId="10013" priority="13002">
      <formula>U67="X"</formula>
    </cfRule>
    <cfRule type="expression" dxfId="10012" priority="13003">
      <formula>U67="A"</formula>
    </cfRule>
    <cfRule type="expression" dxfId="10011" priority="13004">
      <formula>U67="T"</formula>
    </cfRule>
  </conditionalFormatting>
  <conditionalFormatting sqref="U82">
    <cfRule type="expression" dxfId="10010" priority="12999">
      <formula>U81="X"</formula>
    </cfRule>
    <cfRule type="expression" dxfId="10009" priority="13000">
      <formula>U81="A"</formula>
    </cfRule>
    <cfRule type="expression" dxfId="10008" priority="13001">
      <formula>U81="T"</formula>
    </cfRule>
  </conditionalFormatting>
  <conditionalFormatting sqref="U84">
    <cfRule type="expression" dxfId="10007" priority="12996">
      <formula>U83="X"</formula>
    </cfRule>
    <cfRule type="expression" dxfId="10006" priority="12997">
      <formula>U83="A"</formula>
    </cfRule>
    <cfRule type="expression" dxfId="10005" priority="12998">
      <formula>U83="T"</formula>
    </cfRule>
  </conditionalFormatting>
  <conditionalFormatting sqref="U86">
    <cfRule type="expression" dxfId="10004" priority="12993">
      <formula>U85="X"</formula>
    </cfRule>
    <cfRule type="expression" dxfId="10003" priority="12994">
      <formula>U85="A"</formula>
    </cfRule>
    <cfRule type="expression" dxfId="10002" priority="12995">
      <formula>U85="T"</formula>
    </cfRule>
  </conditionalFormatting>
  <conditionalFormatting sqref="U89">
    <cfRule type="expression" dxfId="10001" priority="12990">
      <formula>U88="X"</formula>
    </cfRule>
    <cfRule type="expression" dxfId="10000" priority="12991">
      <formula>U88="A"</formula>
    </cfRule>
    <cfRule type="expression" dxfId="9999" priority="12992">
      <formula>U88="T"</formula>
    </cfRule>
  </conditionalFormatting>
  <conditionalFormatting sqref="U91">
    <cfRule type="expression" dxfId="9998" priority="12987">
      <formula>U90="X"</formula>
    </cfRule>
    <cfRule type="expression" dxfId="9997" priority="12988">
      <formula>U90="A"</formula>
    </cfRule>
    <cfRule type="expression" dxfId="9996" priority="12989">
      <formula>U90="T"</formula>
    </cfRule>
  </conditionalFormatting>
  <conditionalFormatting sqref="U93">
    <cfRule type="expression" dxfId="9995" priority="12984">
      <formula>U92="X"</formula>
    </cfRule>
    <cfRule type="expression" dxfId="9994" priority="12985">
      <formula>U92="A"</formula>
    </cfRule>
    <cfRule type="expression" dxfId="9993" priority="12986">
      <formula>U92="T"</formula>
    </cfRule>
  </conditionalFormatting>
  <conditionalFormatting sqref="U95">
    <cfRule type="expression" dxfId="9992" priority="12981">
      <formula>U94="X"</formula>
    </cfRule>
    <cfRule type="expression" dxfId="9991" priority="12982">
      <formula>U94="A"</formula>
    </cfRule>
    <cfRule type="expression" dxfId="9990" priority="12983">
      <formula>U94="T"</formula>
    </cfRule>
  </conditionalFormatting>
  <conditionalFormatting sqref="U97">
    <cfRule type="expression" dxfId="9989" priority="12978">
      <formula>U96="X"</formula>
    </cfRule>
    <cfRule type="expression" dxfId="9988" priority="12979">
      <formula>U96="A"</formula>
    </cfRule>
    <cfRule type="expression" dxfId="9987" priority="12980">
      <formula>U96="T"</formula>
    </cfRule>
  </conditionalFormatting>
  <conditionalFormatting sqref="U99">
    <cfRule type="expression" dxfId="9986" priority="12975">
      <formula>U98="X"</formula>
    </cfRule>
    <cfRule type="expression" dxfId="9985" priority="12976">
      <formula>U98="A"</formula>
    </cfRule>
    <cfRule type="expression" dxfId="9984" priority="12977">
      <formula>U98="T"</formula>
    </cfRule>
  </conditionalFormatting>
  <conditionalFormatting sqref="U101">
    <cfRule type="expression" dxfId="9983" priority="12972">
      <formula>U100="X"</formula>
    </cfRule>
    <cfRule type="expression" dxfId="9982" priority="12973">
      <formula>U100="A"</formula>
    </cfRule>
    <cfRule type="expression" dxfId="9981" priority="12974">
      <formula>U100="T"</formula>
    </cfRule>
  </conditionalFormatting>
  <conditionalFormatting sqref="U103">
    <cfRule type="expression" dxfId="9980" priority="12969">
      <formula>U102="X"</formula>
    </cfRule>
    <cfRule type="expression" dxfId="9979" priority="12970">
      <formula>U102="A"</formula>
    </cfRule>
    <cfRule type="expression" dxfId="9978" priority="12971">
      <formula>U102="T"</formula>
    </cfRule>
  </conditionalFormatting>
  <conditionalFormatting sqref="U106">
    <cfRule type="expression" dxfId="9977" priority="12966">
      <formula>U105="X"</formula>
    </cfRule>
    <cfRule type="expression" dxfId="9976" priority="12967">
      <formula>U105="A"</formula>
    </cfRule>
    <cfRule type="expression" dxfId="9975" priority="12968">
      <formula>U105="T"</formula>
    </cfRule>
  </conditionalFormatting>
  <conditionalFormatting sqref="U108">
    <cfRule type="expression" dxfId="9974" priority="12963">
      <formula>U107="X"</formula>
    </cfRule>
    <cfRule type="expression" dxfId="9973" priority="12964">
      <formula>U107="A"</formula>
    </cfRule>
    <cfRule type="expression" dxfId="9972" priority="12965">
      <formula>U107="T"</formula>
    </cfRule>
  </conditionalFormatting>
  <conditionalFormatting sqref="U110">
    <cfRule type="expression" dxfId="9971" priority="12960">
      <formula>U109="X"</formula>
    </cfRule>
    <cfRule type="expression" dxfId="9970" priority="12961">
      <formula>U109="A"</formula>
    </cfRule>
    <cfRule type="expression" dxfId="9969" priority="12962">
      <formula>U109="T"</formula>
    </cfRule>
  </conditionalFormatting>
  <conditionalFormatting sqref="U112">
    <cfRule type="expression" dxfId="9968" priority="12957">
      <formula>U111="X"</formula>
    </cfRule>
    <cfRule type="expression" dxfId="9967" priority="12958">
      <formula>U111="A"</formula>
    </cfRule>
    <cfRule type="expression" dxfId="9966" priority="12959">
      <formula>U111="T"</formula>
    </cfRule>
  </conditionalFormatting>
  <conditionalFormatting sqref="U114">
    <cfRule type="expression" dxfId="9965" priority="12954">
      <formula>U113="X"</formula>
    </cfRule>
    <cfRule type="expression" dxfId="9964" priority="12955">
      <formula>U113="A"</formula>
    </cfRule>
    <cfRule type="expression" dxfId="9963" priority="12956">
      <formula>U113="T"</formula>
    </cfRule>
  </conditionalFormatting>
  <conditionalFormatting sqref="U117">
    <cfRule type="expression" dxfId="9962" priority="12951">
      <formula>U116="X"</formula>
    </cfRule>
    <cfRule type="expression" dxfId="9961" priority="12952">
      <formula>U116="A"</formula>
    </cfRule>
    <cfRule type="expression" dxfId="9960" priority="12953">
      <formula>U116="T"</formula>
    </cfRule>
  </conditionalFormatting>
  <conditionalFormatting sqref="U119">
    <cfRule type="expression" dxfId="9959" priority="12948">
      <formula>U118="X"</formula>
    </cfRule>
    <cfRule type="expression" dxfId="9958" priority="12949">
      <formula>U118="A"</formula>
    </cfRule>
    <cfRule type="expression" dxfId="9957" priority="12950">
      <formula>U118="T"</formula>
    </cfRule>
  </conditionalFormatting>
  <conditionalFormatting sqref="U121">
    <cfRule type="expression" dxfId="9956" priority="12945">
      <formula>U120="X"</formula>
    </cfRule>
    <cfRule type="expression" dxfId="9955" priority="12946">
      <formula>U120="A"</formula>
    </cfRule>
    <cfRule type="expression" dxfId="9954" priority="12947">
      <formula>U120="T"</formula>
    </cfRule>
  </conditionalFormatting>
  <conditionalFormatting sqref="U123">
    <cfRule type="expression" dxfId="9953" priority="12942">
      <formula>U122="X"</formula>
    </cfRule>
    <cfRule type="expression" dxfId="9952" priority="12943">
      <formula>U122="A"</formula>
    </cfRule>
    <cfRule type="expression" dxfId="9951" priority="12944">
      <formula>U122="T"</formula>
    </cfRule>
  </conditionalFormatting>
  <conditionalFormatting sqref="U126">
    <cfRule type="expression" dxfId="9950" priority="12939">
      <formula>U125="X"</formula>
    </cfRule>
    <cfRule type="expression" dxfId="9949" priority="12940">
      <formula>U125="A"</formula>
    </cfRule>
    <cfRule type="expression" dxfId="9948" priority="12941">
      <formula>U125="T"</formula>
    </cfRule>
  </conditionalFormatting>
  <conditionalFormatting sqref="U128">
    <cfRule type="expression" dxfId="9947" priority="12936">
      <formula>U127="X"</formula>
    </cfRule>
    <cfRule type="expression" dxfId="9946" priority="12937">
      <formula>U127="A"</formula>
    </cfRule>
    <cfRule type="expression" dxfId="9945" priority="12938">
      <formula>U127="T"</formula>
    </cfRule>
  </conditionalFormatting>
  <conditionalFormatting sqref="U142">
    <cfRule type="expression" dxfId="9944" priority="12933">
      <formula>U141="X"</formula>
    </cfRule>
    <cfRule type="expression" dxfId="9943" priority="12934">
      <formula>U141="A"</formula>
    </cfRule>
    <cfRule type="expression" dxfId="9942" priority="12935">
      <formula>U141="T"</formula>
    </cfRule>
  </conditionalFormatting>
  <conditionalFormatting sqref="U144">
    <cfRule type="expression" dxfId="9941" priority="12930">
      <formula>U143="X"</formula>
    </cfRule>
    <cfRule type="expression" dxfId="9940" priority="12931">
      <formula>U143="A"</formula>
    </cfRule>
    <cfRule type="expression" dxfId="9939" priority="12932">
      <formula>U143="T"</formula>
    </cfRule>
  </conditionalFormatting>
  <conditionalFormatting sqref="U150">
    <cfRule type="expression" dxfId="9938" priority="12927">
      <formula>U149="X"</formula>
    </cfRule>
    <cfRule type="expression" dxfId="9937" priority="12928">
      <formula>U149="A"</formula>
    </cfRule>
    <cfRule type="expression" dxfId="9936" priority="12929">
      <formula>U149="T"</formula>
    </cfRule>
  </conditionalFormatting>
  <conditionalFormatting sqref="U152">
    <cfRule type="expression" dxfId="9935" priority="12924">
      <formula>U151="X"</formula>
    </cfRule>
    <cfRule type="expression" dxfId="9934" priority="12925">
      <formula>U151="A"</formula>
    </cfRule>
    <cfRule type="expression" dxfId="9933" priority="12926">
      <formula>U151="T"</formula>
    </cfRule>
  </conditionalFormatting>
  <conditionalFormatting sqref="U156">
    <cfRule type="expression" dxfId="9932" priority="12921">
      <formula>U155="X"</formula>
    </cfRule>
    <cfRule type="expression" dxfId="9931" priority="12922">
      <formula>U155="A"</formula>
    </cfRule>
    <cfRule type="expression" dxfId="9930" priority="12923">
      <formula>U155="T"</formula>
    </cfRule>
  </conditionalFormatting>
  <conditionalFormatting sqref="U168">
    <cfRule type="expression" dxfId="9929" priority="12915">
      <formula>U167="X"</formula>
    </cfRule>
    <cfRule type="expression" dxfId="9928" priority="12916">
      <formula>U167="A"</formula>
    </cfRule>
    <cfRule type="expression" dxfId="9927" priority="12917">
      <formula>U167="T"</formula>
    </cfRule>
  </conditionalFormatting>
  <conditionalFormatting sqref="U170">
    <cfRule type="expression" dxfId="9926" priority="12912">
      <formula>U169="X"</formula>
    </cfRule>
    <cfRule type="expression" dxfId="9925" priority="12913">
      <formula>U169="A"</formula>
    </cfRule>
    <cfRule type="expression" dxfId="9924" priority="12914">
      <formula>U169="T"</formula>
    </cfRule>
  </conditionalFormatting>
  <conditionalFormatting sqref="U172">
    <cfRule type="expression" dxfId="9923" priority="12909">
      <formula>U171="X"</formula>
    </cfRule>
    <cfRule type="expression" dxfId="9922" priority="12910">
      <formula>U171="A"</formula>
    </cfRule>
    <cfRule type="expression" dxfId="9921" priority="12911">
      <formula>U171="T"</formula>
    </cfRule>
  </conditionalFormatting>
  <conditionalFormatting sqref="U174">
    <cfRule type="expression" dxfId="9920" priority="12906">
      <formula>U173="X"</formula>
    </cfRule>
    <cfRule type="expression" dxfId="9919" priority="12907">
      <formula>U173="A"</formula>
    </cfRule>
    <cfRule type="expression" dxfId="9918" priority="12908">
      <formula>U173="T"</formula>
    </cfRule>
  </conditionalFormatting>
  <conditionalFormatting sqref="U176">
    <cfRule type="expression" dxfId="9917" priority="12903">
      <formula>U175="X"</formula>
    </cfRule>
    <cfRule type="expression" dxfId="9916" priority="12904">
      <formula>U175="A"</formula>
    </cfRule>
    <cfRule type="expression" dxfId="9915" priority="12905">
      <formula>U175="T"</formula>
    </cfRule>
  </conditionalFormatting>
  <conditionalFormatting sqref="U178">
    <cfRule type="expression" dxfId="9914" priority="12900">
      <formula>U177="X"</formula>
    </cfRule>
    <cfRule type="expression" dxfId="9913" priority="12901">
      <formula>U177="A"</formula>
    </cfRule>
    <cfRule type="expression" dxfId="9912" priority="12902">
      <formula>U177="T"</formula>
    </cfRule>
  </conditionalFormatting>
  <conditionalFormatting sqref="U180">
    <cfRule type="expression" dxfId="9911" priority="12897">
      <formula>U179="X"</formula>
    </cfRule>
    <cfRule type="expression" dxfId="9910" priority="12898">
      <formula>U179="A"</formula>
    </cfRule>
    <cfRule type="expression" dxfId="9909" priority="12899">
      <formula>U179="T"</formula>
    </cfRule>
  </conditionalFormatting>
  <conditionalFormatting sqref="U184">
    <cfRule type="expression" dxfId="9908" priority="12894">
      <formula>U183="X"</formula>
    </cfRule>
    <cfRule type="expression" dxfId="9907" priority="12895">
      <formula>U183="A"</formula>
    </cfRule>
    <cfRule type="expression" dxfId="9906" priority="12896">
      <formula>U183="T"</formula>
    </cfRule>
  </conditionalFormatting>
  <conditionalFormatting sqref="U186">
    <cfRule type="expression" dxfId="9905" priority="12891">
      <formula>U185="X"</formula>
    </cfRule>
    <cfRule type="expression" dxfId="9904" priority="12892">
      <formula>U185="A"</formula>
    </cfRule>
    <cfRule type="expression" dxfId="9903" priority="12893">
      <formula>U185="T"</formula>
    </cfRule>
  </conditionalFormatting>
  <conditionalFormatting sqref="U190">
    <cfRule type="expression" dxfId="9902" priority="12888">
      <formula>U189="X"</formula>
    </cfRule>
    <cfRule type="expression" dxfId="9901" priority="12889">
      <formula>U189="A"</formula>
    </cfRule>
    <cfRule type="expression" dxfId="9900" priority="12890">
      <formula>U189="T"</formula>
    </cfRule>
  </conditionalFormatting>
  <conditionalFormatting sqref="U192">
    <cfRule type="expression" dxfId="9899" priority="12885">
      <formula>U191="X"</formula>
    </cfRule>
    <cfRule type="expression" dxfId="9898" priority="12886">
      <formula>U191="A"</formula>
    </cfRule>
    <cfRule type="expression" dxfId="9897" priority="12887">
      <formula>U191="T"</formula>
    </cfRule>
  </conditionalFormatting>
  <conditionalFormatting sqref="U208">
    <cfRule type="expression" dxfId="9896" priority="12882">
      <formula>U207="X"</formula>
    </cfRule>
    <cfRule type="expression" dxfId="9895" priority="12883">
      <formula>U207="A"</formula>
    </cfRule>
    <cfRule type="expression" dxfId="9894" priority="12884">
      <formula>U207="T"</formula>
    </cfRule>
  </conditionalFormatting>
  <conditionalFormatting sqref="U211">
    <cfRule type="expression" dxfId="9893" priority="12879">
      <formula>U211="X"</formula>
    </cfRule>
    <cfRule type="expression" dxfId="9892" priority="12880">
      <formula>U211="A"</formula>
    </cfRule>
    <cfRule type="expression" dxfId="9891" priority="12881">
      <formula>U211="T"</formula>
    </cfRule>
  </conditionalFormatting>
  <conditionalFormatting sqref="U212">
    <cfRule type="expression" dxfId="9890" priority="12876">
      <formula>U211="X"</formula>
    </cfRule>
    <cfRule type="expression" dxfId="9889" priority="12877">
      <formula>U211="A"</formula>
    </cfRule>
    <cfRule type="expression" dxfId="9888" priority="12878">
      <formula>U211="T"</formula>
    </cfRule>
  </conditionalFormatting>
  <conditionalFormatting sqref="U213">
    <cfRule type="expression" dxfId="9887" priority="12873">
      <formula>U213="X"</formula>
    </cfRule>
    <cfRule type="expression" dxfId="9886" priority="12874">
      <formula>U213="A"</formula>
    </cfRule>
    <cfRule type="expression" dxfId="9885" priority="12875">
      <formula>U213="T"</formula>
    </cfRule>
  </conditionalFormatting>
  <conditionalFormatting sqref="U214">
    <cfRule type="expression" dxfId="9884" priority="12870">
      <formula>U213="X"</formula>
    </cfRule>
    <cfRule type="expression" dxfId="9883" priority="12871">
      <formula>U213="A"</formula>
    </cfRule>
    <cfRule type="expression" dxfId="9882" priority="12872">
      <formula>U213="T"</formula>
    </cfRule>
  </conditionalFormatting>
  <conditionalFormatting sqref="U215">
    <cfRule type="expression" dxfId="9881" priority="12867">
      <formula>U215="X"</formula>
    </cfRule>
    <cfRule type="expression" dxfId="9880" priority="12868">
      <formula>U215="A"</formula>
    </cfRule>
    <cfRule type="expression" dxfId="9879" priority="12869">
      <formula>U215="T"</formula>
    </cfRule>
  </conditionalFormatting>
  <conditionalFormatting sqref="U216">
    <cfRule type="expression" dxfId="9878" priority="12864">
      <formula>U215="X"</formula>
    </cfRule>
    <cfRule type="expression" dxfId="9877" priority="12865">
      <formula>U215="A"</formula>
    </cfRule>
    <cfRule type="expression" dxfId="9876" priority="12866">
      <formula>U215="T"</formula>
    </cfRule>
  </conditionalFormatting>
  <conditionalFormatting sqref="U217">
    <cfRule type="expression" dxfId="9875" priority="12861">
      <formula>U217="X"</formula>
    </cfRule>
    <cfRule type="expression" dxfId="9874" priority="12862">
      <formula>U217="A"</formula>
    </cfRule>
    <cfRule type="expression" dxfId="9873" priority="12863">
      <formula>U217="T"</formula>
    </cfRule>
  </conditionalFormatting>
  <conditionalFormatting sqref="U218">
    <cfRule type="expression" dxfId="9872" priority="12858">
      <formula>U217="X"</formula>
    </cfRule>
    <cfRule type="expression" dxfId="9871" priority="12859">
      <formula>U217="A"</formula>
    </cfRule>
    <cfRule type="expression" dxfId="9870" priority="12860">
      <formula>U217="T"</formula>
    </cfRule>
  </conditionalFormatting>
  <conditionalFormatting sqref="U219">
    <cfRule type="expression" dxfId="9869" priority="12855">
      <formula>U219="X"</formula>
    </cfRule>
    <cfRule type="expression" dxfId="9868" priority="12856">
      <formula>U219="A"</formula>
    </cfRule>
    <cfRule type="expression" dxfId="9867" priority="12857">
      <formula>U219="T"</formula>
    </cfRule>
  </conditionalFormatting>
  <conditionalFormatting sqref="U220">
    <cfRule type="expression" dxfId="9866" priority="12852">
      <formula>U219="X"</formula>
    </cfRule>
    <cfRule type="expression" dxfId="9865" priority="12853">
      <formula>U219="A"</formula>
    </cfRule>
    <cfRule type="expression" dxfId="9864" priority="12854">
      <formula>U219="T"</formula>
    </cfRule>
  </conditionalFormatting>
  <conditionalFormatting sqref="U221">
    <cfRule type="expression" dxfId="9863" priority="12849">
      <formula>U221="X"</formula>
    </cfRule>
    <cfRule type="expression" dxfId="9862" priority="12850">
      <formula>U221="A"</formula>
    </cfRule>
    <cfRule type="expression" dxfId="9861" priority="12851">
      <formula>U221="T"</formula>
    </cfRule>
  </conditionalFormatting>
  <conditionalFormatting sqref="U222">
    <cfRule type="expression" dxfId="9860" priority="12846">
      <formula>U221="X"</formula>
    </cfRule>
    <cfRule type="expression" dxfId="9859" priority="12847">
      <formula>U221="A"</formula>
    </cfRule>
    <cfRule type="expression" dxfId="9858" priority="12848">
      <formula>U221="T"</formula>
    </cfRule>
  </conditionalFormatting>
  <conditionalFormatting sqref="U223">
    <cfRule type="expression" dxfId="9857" priority="12843">
      <formula>U223="X"</formula>
    </cfRule>
    <cfRule type="expression" dxfId="9856" priority="12844">
      <formula>U223="A"</formula>
    </cfRule>
    <cfRule type="expression" dxfId="9855" priority="12845">
      <formula>U223="T"</formula>
    </cfRule>
  </conditionalFormatting>
  <conditionalFormatting sqref="U224">
    <cfRule type="expression" dxfId="9854" priority="12840">
      <formula>U223="X"</formula>
    </cfRule>
    <cfRule type="expression" dxfId="9853" priority="12841">
      <formula>U223="A"</formula>
    </cfRule>
    <cfRule type="expression" dxfId="9852" priority="12842">
      <formula>U223="T"</formula>
    </cfRule>
  </conditionalFormatting>
  <conditionalFormatting sqref="U4">
    <cfRule type="expression" dxfId="9851" priority="12837">
      <formula>U4="X"</formula>
    </cfRule>
    <cfRule type="expression" dxfId="9850" priority="12838">
      <formula>U4="A"</formula>
    </cfRule>
    <cfRule type="expression" dxfId="9849" priority="12839">
      <formula>U4="T"</formula>
    </cfRule>
  </conditionalFormatting>
  <conditionalFormatting sqref="U5">
    <cfRule type="expression" dxfId="9848" priority="12834">
      <formula>U4="X"</formula>
    </cfRule>
    <cfRule type="expression" dxfId="9847" priority="12835">
      <formula>U4="A"</formula>
    </cfRule>
    <cfRule type="expression" dxfId="9846" priority="12836">
      <formula>U4="T"</formula>
    </cfRule>
  </conditionalFormatting>
  <conditionalFormatting sqref="U6">
    <cfRule type="expression" dxfId="9845" priority="12831">
      <formula>U6="X"</formula>
    </cfRule>
    <cfRule type="expression" dxfId="9844" priority="12832">
      <formula>U6="A"</formula>
    </cfRule>
    <cfRule type="expression" dxfId="9843" priority="12833">
      <formula>U6="T"</formula>
    </cfRule>
  </conditionalFormatting>
  <conditionalFormatting sqref="U7">
    <cfRule type="expression" dxfId="9842" priority="12828">
      <formula>U6="X"</formula>
    </cfRule>
    <cfRule type="expression" dxfId="9841" priority="12829">
      <formula>U6="A"</formula>
    </cfRule>
    <cfRule type="expression" dxfId="9840" priority="12830">
      <formula>U6="T"</formula>
    </cfRule>
  </conditionalFormatting>
  <conditionalFormatting sqref="U8">
    <cfRule type="expression" dxfId="9839" priority="12825">
      <formula>U8="X"</formula>
    </cfRule>
    <cfRule type="expression" dxfId="9838" priority="12826">
      <formula>U8="A"</formula>
    </cfRule>
    <cfRule type="expression" dxfId="9837" priority="12827">
      <formula>U8="T"</formula>
    </cfRule>
  </conditionalFormatting>
  <conditionalFormatting sqref="U9">
    <cfRule type="expression" dxfId="9836" priority="12822">
      <formula>U8="X"</formula>
    </cfRule>
    <cfRule type="expression" dxfId="9835" priority="12823">
      <formula>U8="A"</formula>
    </cfRule>
    <cfRule type="expression" dxfId="9834" priority="12824">
      <formula>U8="T"</formula>
    </cfRule>
  </conditionalFormatting>
  <conditionalFormatting sqref="U74">
    <cfRule type="expression" dxfId="9833" priority="12819">
      <formula>U74="X"</formula>
    </cfRule>
    <cfRule type="expression" dxfId="9832" priority="12820">
      <formula>U74="A"</formula>
    </cfRule>
    <cfRule type="expression" dxfId="9831" priority="12821">
      <formula>U74="T"</formula>
    </cfRule>
  </conditionalFormatting>
  <conditionalFormatting sqref="U75">
    <cfRule type="expression" dxfId="9830" priority="12816">
      <formula>U74="X"</formula>
    </cfRule>
    <cfRule type="expression" dxfId="9829" priority="12817">
      <formula>U74="A"</formula>
    </cfRule>
    <cfRule type="expression" dxfId="9828" priority="12818">
      <formula>U74="T"</formula>
    </cfRule>
  </conditionalFormatting>
  <conditionalFormatting sqref="U76">
    <cfRule type="expression" dxfId="9827" priority="12813">
      <formula>U76="X"</formula>
    </cfRule>
    <cfRule type="expression" dxfId="9826" priority="12814">
      <formula>U76="A"</formula>
    </cfRule>
    <cfRule type="expression" dxfId="9825" priority="12815">
      <formula>U76="T"</formula>
    </cfRule>
  </conditionalFormatting>
  <conditionalFormatting sqref="U77">
    <cfRule type="expression" dxfId="9824" priority="12810">
      <formula>U76="X"</formula>
    </cfRule>
    <cfRule type="expression" dxfId="9823" priority="12811">
      <formula>U76="A"</formula>
    </cfRule>
    <cfRule type="expression" dxfId="9822" priority="12812">
      <formula>U76="T"</formula>
    </cfRule>
  </conditionalFormatting>
  <conditionalFormatting sqref="U78">
    <cfRule type="expression" dxfId="9821" priority="12807">
      <formula>U78="X"</formula>
    </cfRule>
    <cfRule type="expression" dxfId="9820" priority="12808">
      <formula>U78="A"</formula>
    </cfRule>
    <cfRule type="expression" dxfId="9819" priority="12809">
      <formula>U78="T"</formula>
    </cfRule>
  </conditionalFormatting>
  <conditionalFormatting sqref="U79">
    <cfRule type="expression" dxfId="9818" priority="12804">
      <formula>U78="X"</formula>
    </cfRule>
    <cfRule type="expression" dxfId="9817" priority="12805">
      <formula>U78="A"</formula>
    </cfRule>
    <cfRule type="expression" dxfId="9816" priority="12806">
      <formula>U78="T"</formula>
    </cfRule>
  </conditionalFormatting>
  <conditionalFormatting sqref="U134">
    <cfRule type="expression" dxfId="9815" priority="12801">
      <formula>U134="X"</formula>
    </cfRule>
    <cfRule type="expression" dxfId="9814" priority="12802">
      <formula>U134="A"</formula>
    </cfRule>
    <cfRule type="expression" dxfId="9813" priority="12803">
      <formula>U134="T"</formula>
    </cfRule>
  </conditionalFormatting>
  <conditionalFormatting sqref="U135">
    <cfRule type="expression" dxfId="9812" priority="12798">
      <formula>U134="X"</formula>
    </cfRule>
    <cfRule type="expression" dxfId="9811" priority="12799">
      <formula>U134="A"</formula>
    </cfRule>
    <cfRule type="expression" dxfId="9810" priority="12800">
      <formula>U134="T"</formula>
    </cfRule>
  </conditionalFormatting>
  <conditionalFormatting sqref="U136">
    <cfRule type="expression" dxfId="9809" priority="12795">
      <formula>U136="X"</formula>
    </cfRule>
    <cfRule type="expression" dxfId="9808" priority="12796">
      <formula>U136="A"</formula>
    </cfRule>
    <cfRule type="expression" dxfId="9807" priority="12797">
      <formula>U136="T"</formula>
    </cfRule>
  </conditionalFormatting>
  <conditionalFormatting sqref="U137">
    <cfRule type="expression" dxfId="9806" priority="12792">
      <formula>U136="X"</formula>
    </cfRule>
    <cfRule type="expression" dxfId="9805" priority="12793">
      <formula>U136="A"</formula>
    </cfRule>
    <cfRule type="expression" dxfId="9804" priority="12794">
      <formula>U136="T"</formula>
    </cfRule>
  </conditionalFormatting>
  <conditionalFormatting sqref="U138">
    <cfRule type="expression" dxfId="9803" priority="12789">
      <formula>U138="X"</formula>
    </cfRule>
    <cfRule type="expression" dxfId="9802" priority="12790">
      <formula>U138="A"</formula>
    </cfRule>
    <cfRule type="expression" dxfId="9801" priority="12791">
      <formula>U138="T"</formula>
    </cfRule>
  </conditionalFormatting>
  <conditionalFormatting sqref="U139">
    <cfRule type="expression" dxfId="9800" priority="12786">
      <formula>U138="X"</formula>
    </cfRule>
    <cfRule type="expression" dxfId="9799" priority="12787">
      <formula>U138="A"</formula>
    </cfRule>
    <cfRule type="expression" dxfId="9798" priority="12788">
      <formula>U138="T"</formula>
    </cfRule>
  </conditionalFormatting>
  <conditionalFormatting sqref="U10">
    <cfRule type="expression" dxfId="9797" priority="12783" stopIfTrue="1">
      <formula>U4=""</formula>
    </cfRule>
  </conditionalFormatting>
  <conditionalFormatting sqref="U10">
    <cfRule type="expression" dxfId="9796" priority="12784" stopIfTrue="1">
      <formula>U10=1</formula>
    </cfRule>
    <cfRule type="colorScale" priority="12785">
      <colorScale>
        <cfvo type="num" val="0"/>
        <cfvo type="num" val="0.5"/>
        <cfvo type="num" val="1"/>
        <color rgb="FFF8696B"/>
        <color theme="4" tint="0.79998168889431442"/>
        <color rgb="FF5A8AC6"/>
      </colorScale>
    </cfRule>
  </conditionalFormatting>
  <conditionalFormatting sqref="U15">
    <cfRule type="expression" dxfId="9795" priority="12780" stopIfTrue="1">
      <formula>U11=""</formula>
    </cfRule>
  </conditionalFormatting>
  <conditionalFormatting sqref="U15">
    <cfRule type="expression" dxfId="9794" priority="12781" stopIfTrue="1">
      <formula>U15=1</formula>
    </cfRule>
    <cfRule type="colorScale" priority="12782">
      <colorScale>
        <cfvo type="num" val="0"/>
        <cfvo type="num" val="0.5"/>
        <cfvo type="num" val="1"/>
        <color rgb="FFF8696B"/>
        <color theme="4" tint="0.79998168889431442"/>
        <color rgb="FF5A8AC6"/>
      </colorScale>
    </cfRule>
  </conditionalFormatting>
  <conditionalFormatting sqref="U38">
    <cfRule type="expression" dxfId="9793" priority="12777" stopIfTrue="1">
      <formula>U16=""</formula>
    </cfRule>
  </conditionalFormatting>
  <conditionalFormatting sqref="U38">
    <cfRule type="expression" dxfId="9792" priority="12778" stopIfTrue="1">
      <formula>U38=1</formula>
    </cfRule>
    <cfRule type="colorScale" priority="12779">
      <colorScale>
        <cfvo type="num" val="0"/>
        <cfvo type="num" val="0.5"/>
        <cfvo type="num" val="1"/>
        <color rgb="FFF8696B"/>
        <color theme="4" tint="0.79998168889431442"/>
        <color rgb="FF5A8AC6"/>
      </colorScale>
    </cfRule>
  </conditionalFormatting>
  <conditionalFormatting sqref="U47">
    <cfRule type="expression" dxfId="9791" priority="12774" stopIfTrue="1">
      <formula>U39=""</formula>
    </cfRule>
  </conditionalFormatting>
  <conditionalFormatting sqref="U47">
    <cfRule type="expression" dxfId="9790" priority="12775" stopIfTrue="1">
      <formula>U47=1</formula>
    </cfRule>
    <cfRule type="colorScale" priority="12776">
      <colorScale>
        <cfvo type="num" val="0"/>
        <cfvo type="num" val="0.5"/>
        <cfvo type="num" val="1"/>
        <color rgb="FFF8696B"/>
        <color theme="4" tint="0.79998168889431442"/>
        <color rgb="FF5A8AC6"/>
      </colorScale>
    </cfRule>
  </conditionalFormatting>
  <conditionalFormatting sqref="U62:AB62">
    <cfRule type="expression" dxfId="9789" priority="12771" stopIfTrue="1">
      <formula>U48=""</formula>
    </cfRule>
  </conditionalFormatting>
  <conditionalFormatting sqref="U62:AB62">
    <cfRule type="expression" dxfId="9788" priority="12772" stopIfTrue="1">
      <formula>U62=1</formula>
    </cfRule>
    <cfRule type="colorScale" priority="12773">
      <colorScale>
        <cfvo type="num" val="0"/>
        <cfvo type="num" val="0.5"/>
        <cfvo type="num" val="1"/>
        <color rgb="FFF8696B"/>
        <color theme="4" tint="0.79998168889431442"/>
        <color rgb="FF5A8AC6"/>
      </colorScale>
    </cfRule>
  </conditionalFormatting>
  <conditionalFormatting sqref="U69">
    <cfRule type="expression" dxfId="9787" priority="12768" stopIfTrue="1">
      <formula>U63=""</formula>
    </cfRule>
  </conditionalFormatting>
  <conditionalFormatting sqref="U69">
    <cfRule type="expression" dxfId="9786" priority="12769" stopIfTrue="1">
      <formula>U69=1</formula>
    </cfRule>
    <cfRule type="colorScale" priority="12770">
      <colorScale>
        <cfvo type="num" val="0"/>
        <cfvo type="num" val="0.5"/>
        <cfvo type="num" val="1"/>
        <color rgb="FFF8696B"/>
        <color theme="4" tint="0.79998168889431442"/>
        <color rgb="FF5A8AC6"/>
      </colorScale>
    </cfRule>
  </conditionalFormatting>
  <conditionalFormatting sqref="U80">
    <cfRule type="expression" dxfId="9785" priority="12765" stopIfTrue="1">
      <formula>U74=""</formula>
    </cfRule>
  </conditionalFormatting>
  <conditionalFormatting sqref="U80">
    <cfRule type="expression" dxfId="9784" priority="12766" stopIfTrue="1">
      <formula>U80=1</formula>
    </cfRule>
    <cfRule type="colorScale" priority="12767">
      <colorScale>
        <cfvo type="num" val="0"/>
        <cfvo type="num" val="0.5"/>
        <cfvo type="num" val="1"/>
        <color rgb="FFF8696B"/>
        <color theme="4" tint="0.79998168889431442"/>
        <color rgb="FF5A8AC6"/>
      </colorScale>
    </cfRule>
  </conditionalFormatting>
  <conditionalFormatting sqref="U87">
    <cfRule type="expression" dxfId="9783" priority="12762" stopIfTrue="1">
      <formula>U81=""</formula>
    </cfRule>
  </conditionalFormatting>
  <conditionalFormatting sqref="U87">
    <cfRule type="expression" dxfId="9782" priority="12763" stopIfTrue="1">
      <formula>U87=1</formula>
    </cfRule>
    <cfRule type="colorScale" priority="12764">
      <colorScale>
        <cfvo type="num" val="0"/>
        <cfvo type="num" val="0.5"/>
        <cfvo type="num" val="1"/>
        <color rgb="FFF8696B"/>
        <color theme="4" tint="0.79998168889431442"/>
        <color rgb="FF5A8AC6"/>
      </colorScale>
    </cfRule>
  </conditionalFormatting>
  <conditionalFormatting sqref="U104">
    <cfRule type="expression" dxfId="9781" priority="12759" stopIfTrue="1">
      <formula>U88=""</formula>
    </cfRule>
  </conditionalFormatting>
  <conditionalFormatting sqref="U104">
    <cfRule type="expression" dxfId="9780" priority="12760" stopIfTrue="1">
      <formula>U104=1</formula>
    </cfRule>
    <cfRule type="colorScale" priority="12761">
      <colorScale>
        <cfvo type="num" val="0"/>
        <cfvo type="num" val="0.5"/>
        <cfvo type="num" val="1"/>
        <color rgb="FFF8696B"/>
        <color theme="4" tint="0.79998168889431442"/>
        <color rgb="FF5A8AC6"/>
      </colorScale>
    </cfRule>
  </conditionalFormatting>
  <conditionalFormatting sqref="U115">
    <cfRule type="expression" dxfId="9779" priority="12756" stopIfTrue="1">
      <formula>U105=""</formula>
    </cfRule>
  </conditionalFormatting>
  <conditionalFormatting sqref="U115">
    <cfRule type="expression" dxfId="9778" priority="12757" stopIfTrue="1">
      <formula>U115=1</formula>
    </cfRule>
    <cfRule type="colorScale" priority="12758">
      <colorScale>
        <cfvo type="num" val="0"/>
        <cfvo type="num" val="0.5"/>
        <cfvo type="num" val="1"/>
        <color rgb="FFF8696B"/>
        <color theme="4" tint="0.79998168889431442"/>
        <color rgb="FF5A8AC6"/>
      </colorScale>
    </cfRule>
  </conditionalFormatting>
  <conditionalFormatting sqref="U124">
    <cfRule type="expression" dxfId="9777" priority="12753" stopIfTrue="1">
      <formula>U116=""</formula>
    </cfRule>
  </conditionalFormatting>
  <conditionalFormatting sqref="U124">
    <cfRule type="expression" dxfId="9776" priority="12754" stopIfTrue="1">
      <formula>U124=1</formula>
    </cfRule>
    <cfRule type="colorScale" priority="12755">
      <colorScale>
        <cfvo type="num" val="0"/>
        <cfvo type="num" val="0.5"/>
        <cfvo type="num" val="1"/>
        <color rgb="FFF8696B"/>
        <color theme="4" tint="0.79998168889431442"/>
        <color rgb="FF5A8AC6"/>
      </colorScale>
    </cfRule>
  </conditionalFormatting>
  <conditionalFormatting sqref="U129">
    <cfRule type="expression" dxfId="9775" priority="12750" stopIfTrue="1">
      <formula>U125=""</formula>
    </cfRule>
  </conditionalFormatting>
  <conditionalFormatting sqref="U129">
    <cfRule type="expression" dxfId="9774" priority="12751" stopIfTrue="1">
      <formula>U129=1</formula>
    </cfRule>
    <cfRule type="colorScale" priority="12752">
      <colorScale>
        <cfvo type="num" val="0"/>
        <cfvo type="num" val="0.5"/>
        <cfvo type="num" val="1"/>
        <color rgb="FFF8696B"/>
        <color theme="4" tint="0.79998168889431442"/>
        <color rgb="FF5A8AC6"/>
      </colorScale>
    </cfRule>
  </conditionalFormatting>
  <conditionalFormatting sqref="U140">
    <cfRule type="expression" dxfId="9773" priority="12747" stopIfTrue="1">
      <formula>U134=""</formula>
    </cfRule>
  </conditionalFormatting>
  <conditionalFormatting sqref="U140">
    <cfRule type="expression" dxfId="9772" priority="12748" stopIfTrue="1">
      <formula>U140=1</formula>
    </cfRule>
    <cfRule type="colorScale" priority="12749">
      <colorScale>
        <cfvo type="num" val="0"/>
        <cfvo type="num" val="0.5"/>
        <cfvo type="num" val="1"/>
        <color rgb="FFF8696B"/>
        <color theme="4" tint="0.79998168889431442"/>
        <color rgb="FF5A8AC6"/>
      </colorScale>
    </cfRule>
  </conditionalFormatting>
  <conditionalFormatting sqref="U145">
    <cfRule type="expression" dxfId="9771" priority="12744" stopIfTrue="1">
      <formula>U141=""</formula>
    </cfRule>
  </conditionalFormatting>
  <conditionalFormatting sqref="U145">
    <cfRule type="expression" dxfId="9770" priority="12745" stopIfTrue="1">
      <formula>U145=1</formula>
    </cfRule>
    <cfRule type="colorScale" priority="12746">
      <colorScale>
        <cfvo type="num" val="0"/>
        <cfvo type="num" val="0.5"/>
        <cfvo type="num" val="1"/>
        <color rgb="FFF8696B"/>
        <color theme="4" tint="0.79998168889431442"/>
        <color rgb="FF5A8AC6"/>
      </colorScale>
    </cfRule>
  </conditionalFormatting>
  <conditionalFormatting sqref="U153">
    <cfRule type="expression" dxfId="9769" priority="12741" stopIfTrue="1">
      <formula>U149=""</formula>
    </cfRule>
  </conditionalFormatting>
  <conditionalFormatting sqref="U153">
    <cfRule type="expression" dxfId="9768" priority="12742" stopIfTrue="1">
      <formula>U153=1</formula>
    </cfRule>
    <cfRule type="colorScale" priority="12743">
      <colorScale>
        <cfvo type="num" val="0"/>
        <cfvo type="num" val="0.5"/>
        <cfvo type="num" val="1"/>
        <color rgb="FFF8696B"/>
        <color theme="4" tint="0.79998168889431442"/>
        <color rgb="FF5A8AC6"/>
      </colorScale>
    </cfRule>
  </conditionalFormatting>
  <conditionalFormatting sqref="U187">
    <cfRule type="expression" dxfId="9767" priority="12735" stopIfTrue="1">
      <formula>U183=""</formula>
    </cfRule>
  </conditionalFormatting>
  <conditionalFormatting sqref="U187">
    <cfRule type="expression" dxfId="9766" priority="12736" stopIfTrue="1">
      <formula>U187=1</formula>
    </cfRule>
    <cfRule type="colorScale" priority="12737">
      <colorScale>
        <cfvo type="num" val="0"/>
        <cfvo type="num" val="0.5"/>
        <cfvo type="num" val="1"/>
        <color rgb="FFF8696B"/>
        <color theme="4" tint="0.79998168889431442"/>
        <color rgb="FF5A8AC6"/>
      </colorScale>
    </cfRule>
  </conditionalFormatting>
  <conditionalFormatting sqref="U193">
    <cfRule type="expression" dxfId="9765" priority="12732" stopIfTrue="1">
      <formula>U189=""</formula>
    </cfRule>
  </conditionalFormatting>
  <conditionalFormatting sqref="U193">
    <cfRule type="expression" dxfId="9764" priority="12733" stopIfTrue="1">
      <formula>U193=1</formula>
    </cfRule>
    <cfRule type="colorScale" priority="12734">
      <colorScale>
        <cfvo type="num" val="0"/>
        <cfvo type="num" val="0.5"/>
        <cfvo type="num" val="1"/>
        <color rgb="FFF8696B"/>
        <color theme="4" tint="0.79998168889431442"/>
        <color rgb="FF5A8AC6"/>
      </colorScale>
    </cfRule>
  </conditionalFormatting>
  <conditionalFormatting sqref="U181">
    <cfRule type="expression" dxfId="9763" priority="12729" stopIfTrue="1">
      <formula>U167=""</formula>
    </cfRule>
  </conditionalFormatting>
  <conditionalFormatting sqref="U181">
    <cfRule type="expression" dxfId="9762" priority="12730" stopIfTrue="1">
      <formula>U181=1</formula>
    </cfRule>
    <cfRule type="colorScale" priority="12731">
      <colorScale>
        <cfvo type="num" val="0"/>
        <cfvo type="num" val="0.5"/>
        <cfvo type="num" val="1"/>
        <color rgb="FFF8696B"/>
        <color theme="4" tint="0.79998168889431442"/>
        <color rgb="FF5A8AC6"/>
      </colorScale>
    </cfRule>
  </conditionalFormatting>
  <conditionalFormatting sqref="U209">
    <cfRule type="expression" dxfId="9761" priority="12726" stopIfTrue="1">
      <formula>U195=""</formula>
    </cfRule>
  </conditionalFormatting>
  <conditionalFormatting sqref="U209">
    <cfRule type="expression" dxfId="9760" priority="12727" stopIfTrue="1">
      <formula>U209=1</formula>
    </cfRule>
    <cfRule type="colorScale" priority="12728">
      <colorScale>
        <cfvo type="num" val="0"/>
        <cfvo type="num" val="0.5"/>
        <cfvo type="num" val="1"/>
        <color rgb="FFF8696B"/>
        <color theme="4" tint="0.79998168889431442"/>
        <color rgb="FF5A8AC6"/>
      </colorScale>
    </cfRule>
  </conditionalFormatting>
  <conditionalFormatting sqref="U225">
    <cfRule type="expression" dxfId="9759" priority="12723" stopIfTrue="1">
      <formula>U211=""</formula>
    </cfRule>
  </conditionalFormatting>
  <conditionalFormatting sqref="U225">
    <cfRule type="expression" dxfId="9758" priority="12724" stopIfTrue="1">
      <formula>U225=1</formula>
    </cfRule>
    <cfRule type="colorScale" priority="12725">
      <colorScale>
        <cfvo type="num" val="0"/>
        <cfvo type="num" val="0.5"/>
        <cfvo type="num" val="1"/>
        <color rgb="FFF8696B"/>
        <color theme="4" tint="0.79998168889431442"/>
        <color rgb="FF5A8AC6"/>
      </colorScale>
    </cfRule>
  </conditionalFormatting>
  <conditionalFormatting sqref="U71">
    <cfRule type="expression" dxfId="9757" priority="12715" stopIfTrue="1">
      <formula>U71=1</formula>
    </cfRule>
    <cfRule type="colorScale" priority="12716">
      <colorScale>
        <cfvo type="num" val="0"/>
        <cfvo type="num" val="0.5"/>
        <cfvo type="num" val="1"/>
        <color rgb="FFF8696B"/>
        <color theme="4" tint="0.79998168889431442"/>
        <color rgb="FF5A8AC6"/>
      </colorScale>
    </cfRule>
  </conditionalFormatting>
  <conditionalFormatting sqref="U147">
    <cfRule type="expression" dxfId="9756" priority="12720" stopIfTrue="1">
      <formula>U134=""</formula>
    </cfRule>
  </conditionalFormatting>
  <conditionalFormatting sqref="U147">
    <cfRule type="expression" dxfId="9755" priority="12721" stopIfTrue="1">
      <formula>U147=1</formula>
    </cfRule>
    <cfRule type="colorScale" priority="12722">
      <colorScale>
        <cfvo type="num" val="0"/>
        <cfvo type="num" val="0.5"/>
        <cfvo type="num" val="1"/>
        <color rgb="FFF8696B"/>
        <color theme="4" tint="0.79998168889431442"/>
        <color rgb="FF5A8AC6"/>
      </colorScale>
    </cfRule>
  </conditionalFormatting>
  <conditionalFormatting sqref="U131">
    <cfRule type="expression" dxfId="9754" priority="12717" stopIfTrue="1">
      <formula>U74=""</formula>
    </cfRule>
  </conditionalFormatting>
  <conditionalFormatting sqref="U131">
    <cfRule type="expression" dxfId="9753" priority="12718" stopIfTrue="1">
      <formula>U131=1</formula>
    </cfRule>
    <cfRule type="colorScale" priority="12719">
      <colorScale>
        <cfvo type="num" val="0"/>
        <cfvo type="num" val="0.5"/>
        <cfvo type="num" val="1"/>
        <color rgb="FFF8696B"/>
        <color theme="4" tint="0.79998168889431442"/>
        <color rgb="FF5A8AC6"/>
      </colorScale>
    </cfRule>
  </conditionalFormatting>
  <conditionalFormatting sqref="U71">
    <cfRule type="expression" dxfId="9752" priority="12714" stopIfTrue="1">
      <formula>U65=""</formula>
    </cfRule>
  </conditionalFormatting>
  <conditionalFormatting sqref="U195">
    <cfRule type="expression" dxfId="9751" priority="12711">
      <formula>U195="X"</formula>
    </cfRule>
    <cfRule type="expression" dxfId="9750" priority="12712">
      <formula>U195="A"</formula>
    </cfRule>
    <cfRule type="expression" dxfId="9749" priority="12713">
      <formula>U195="T"</formula>
    </cfRule>
  </conditionalFormatting>
  <conditionalFormatting sqref="U203">
    <cfRule type="expression" dxfId="9748" priority="12708">
      <formula>U203="X"</formula>
    </cfRule>
    <cfRule type="expression" dxfId="9747" priority="12709">
      <formula>U203="A"</formula>
    </cfRule>
    <cfRule type="expression" dxfId="9746" priority="12710">
      <formula>U203="T"</formula>
    </cfRule>
  </conditionalFormatting>
  <conditionalFormatting sqref="U205">
    <cfRule type="expression" dxfId="9745" priority="12705">
      <formula>U205="X"</formula>
    </cfRule>
    <cfRule type="expression" dxfId="9744" priority="12706">
      <formula>U205="A"</formula>
    </cfRule>
    <cfRule type="expression" dxfId="9743" priority="12707">
      <formula>U205="T"</formula>
    </cfRule>
  </conditionalFormatting>
  <conditionalFormatting sqref="U207">
    <cfRule type="expression" dxfId="9742" priority="12702">
      <formula>U207="X"</formula>
    </cfRule>
    <cfRule type="expression" dxfId="9741" priority="12703">
      <formula>U207="A"</formula>
    </cfRule>
    <cfRule type="expression" dxfId="9740" priority="12704">
      <formula>U207="T"</formula>
    </cfRule>
  </conditionalFormatting>
  <conditionalFormatting sqref="U204">
    <cfRule type="expression" dxfId="9739" priority="12699">
      <formula>U203="X"</formula>
    </cfRule>
    <cfRule type="expression" dxfId="9738" priority="12700">
      <formula>U203="A"</formula>
    </cfRule>
    <cfRule type="expression" dxfId="9737" priority="12701">
      <formula>U203="T"</formula>
    </cfRule>
  </conditionalFormatting>
  <conditionalFormatting sqref="U206">
    <cfRule type="expression" dxfId="9736" priority="12696">
      <formula>U205="X"</formula>
    </cfRule>
    <cfRule type="expression" dxfId="9735" priority="12697">
      <formula>U205="A"</formula>
    </cfRule>
    <cfRule type="expression" dxfId="9734" priority="12698">
      <formula>U205="T"</formula>
    </cfRule>
  </conditionalFormatting>
  <conditionalFormatting sqref="U196">
    <cfRule type="expression" dxfId="9733" priority="12693">
      <formula>U195="X"</formula>
    </cfRule>
    <cfRule type="expression" dxfId="9732" priority="12694">
      <formula>U195="A"</formula>
    </cfRule>
    <cfRule type="expression" dxfId="9731" priority="12695">
      <formula>U195="T"</formula>
    </cfRule>
  </conditionalFormatting>
  <conditionalFormatting sqref="U197">
    <cfRule type="expression" dxfId="9730" priority="12690">
      <formula>U197="X"</formula>
    </cfRule>
    <cfRule type="expression" dxfId="9729" priority="12691">
      <formula>U197="A"</formula>
    </cfRule>
    <cfRule type="expression" dxfId="9728" priority="12692">
      <formula>U197="T"</formula>
    </cfRule>
  </conditionalFormatting>
  <conditionalFormatting sqref="U198">
    <cfRule type="expression" dxfId="9727" priority="12687">
      <formula>U197="X"</formula>
    </cfRule>
    <cfRule type="expression" dxfId="9726" priority="12688">
      <formula>U197="A"</formula>
    </cfRule>
    <cfRule type="expression" dxfId="9725" priority="12689">
      <formula>U197="T"</formula>
    </cfRule>
  </conditionalFormatting>
  <conditionalFormatting sqref="U199">
    <cfRule type="expression" dxfId="9724" priority="12684">
      <formula>U199="X"</formula>
    </cfRule>
    <cfRule type="expression" dxfId="9723" priority="12685">
      <formula>U199="A"</formula>
    </cfRule>
    <cfRule type="expression" dxfId="9722" priority="12686">
      <formula>U199="T"</formula>
    </cfRule>
  </conditionalFormatting>
  <conditionalFormatting sqref="U200">
    <cfRule type="expression" dxfId="9721" priority="12681">
      <formula>U199="X"</formula>
    </cfRule>
    <cfRule type="expression" dxfId="9720" priority="12682">
      <formula>U199="A"</formula>
    </cfRule>
    <cfRule type="expression" dxfId="9719" priority="12683">
      <formula>U199="T"</formula>
    </cfRule>
  </conditionalFormatting>
  <conditionalFormatting sqref="U201">
    <cfRule type="expression" dxfId="9718" priority="12678">
      <formula>U201="X"</formula>
    </cfRule>
    <cfRule type="expression" dxfId="9717" priority="12679">
      <formula>U201="A"</formula>
    </cfRule>
    <cfRule type="expression" dxfId="9716" priority="12680">
      <formula>U201="T"</formula>
    </cfRule>
  </conditionalFormatting>
  <conditionalFormatting sqref="U202">
    <cfRule type="expression" dxfId="9715" priority="12675">
      <formula>U201="X"</formula>
    </cfRule>
    <cfRule type="expression" dxfId="9714" priority="12676">
      <formula>U201="A"</formula>
    </cfRule>
    <cfRule type="expression" dxfId="9713" priority="12677">
      <formula>U201="T"</formula>
    </cfRule>
  </conditionalFormatting>
  <conditionalFormatting sqref="U72">
    <cfRule type="expression" dxfId="9712" priority="12672" stopIfTrue="1">
      <formula>U4=""</formula>
    </cfRule>
  </conditionalFormatting>
  <conditionalFormatting sqref="U72">
    <cfRule type="expression" dxfId="9711" priority="12673" stopIfTrue="1">
      <formula>U72=1</formula>
    </cfRule>
    <cfRule type="colorScale" priority="12674">
      <colorScale>
        <cfvo type="num" val="0"/>
        <cfvo type="num" val="0.5"/>
        <cfvo type="num" val="1"/>
        <color rgb="FFF8696B"/>
        <color theme="4" tint="0.79998168889431442"/>
        <color rgb="FF5A8AC6"/>
      </colorScale>
    </cfRule>
  </conditionalFormatting>
  <conditionalFormatting sqref="U132">
    <cfRule type="expression" dxfId="9710" priority="12669" stopIfTrue="1">
      <formula>U74=""</formula>
    </cfRule>
  </conditionalFormatting>
  <conditionalFormatting sqref="U237:U238">
    <cfRule type="expression" dxfId="9709" priority="12665" stopIfTrue="1">
      <formula>U237=_xlfn.UNICHAR(10003)</formula>
    </cfRule>
    <cfRule type="colorScale" priority="12666">
      <colorScale>
        <cfvo type="num" val="0"/>
        <cfvo type="num" val="0.5"/>
        <cfvo type="num" val="1"/>
        <color rgb="FFF8696B"/>
        <color theme="4" tint="0.79998168889431442"/>
        <color rgb="FF5A8AC6"/>
      </colorScale>
    </cfRule>
  </conditionalFormatting>
  <conditionalFormatting sqref="U230:U236">
    <cfRule type="expression" dxfId="9708" priority="12663" stopIfTrue="1">
      <formula>U230=_xlfn.UNICHAR(10003)</formula>
    </cfRule>
    <cfRule type="colorScale" priority="12664">
      <colorScale>
        <cfvo type="num" val="0"/>
        <cfvo type="num" val="0.5"/>
        <cfvo type="num" val="1"/>
        <color rgb="FFF8696B"/>
        <color theme="4" tint="0.79998168889431442"/>
        <color rgb="FF5A8AC6"/>
      </colorScale>
    </cfRule>
  </conditionalFormatting>
  <conditionalFormatting sqref="U239">
    <cfRule type="expression" dxfId="9707" priority="12661" stopIfTrue="1">
      <formula>U239=_xlfn.UNICHAR(10003)</formula>
    </cfRule>
    <cfRule type="colorScale" priority="12662">
      <colorScale>
        <cfvo type="num" val="0"/>
        <cfvo type="num" val="0.5"/>
        <cfvo type="num" val="1"/>
        <color rgb="FFF8696B"/>
        <color theme="4" tint="0.79998168889431442"/>
        <color rgb="FF5A8AC6"/>
      </colorScale>
    </cfRule>
  </conditionalFormatting>
  <conditionalFormatting sqref="U239">
    <cfRule type="expression" dxfId="9706" priority="12659" stopIfTrue="1">
      <formula>U239=1</formula>
    </cfRule>
    <cfRule type="colorScale" priority="12660">
      <colorScale>
        <cfvo type="num" val="0"/>
        <cfvo type="num" val="0.5"/>
        <cfvo type="num" val="1"/>
        <color rgb="FFF8696B"/>
        <color theme="4" tint="0.79998168889431442"/>
        <color rgb="FF5A8AC6"/>
      </colorScale>
    </cfRule>
  </conditionalFormatting>
  <conditionalFormatting sqref="U228">
    <cfRule type="expression" dxfId="9705" priority="12658" stopIfTrue="1">
      <formula>U228=UNICAHR(10003)</formula>
    </cfRule>
    <cfRule type="expression" dxfId="9704" priority="12667" stopIfTrue="1">
      <formula>U228=CONCATENATE(_xlfn.UNICHAR(10003),_xlfn.UNICHAR(10003))</formula>
    </cfRule>
    <cfRule type="colorScale" priority="12668">
      <colorScale>
        <cfvo type="num" val="0"/>
        <cfvo type="num" val="0.5"/>
        <cfvo type="num" val="1"/>
        <color rgb="FFF8696B"/>
        <color theme="4" tint="0.79998168889431442"/>
        <color rgb="FF5A8AC6"/>
      </colorScale>
    </cfRule>
  </conditionalFormatting>
  <conditionalFormatting sqref="AG16 AG18 AG20 AG22 AG24 AG26 AG28 AG39 AG41 AG43 AG45 AG48 AG81 AG88 AG90 AG92 AG94 AG96 AG98 AG100 AG102 AG105 AG107 AG109 AG111 AG116">
    <cfRule type="expression" dxfId="9703" priority="12104">
      <formula>AG16="X"</formula>
    </cfRule>
    <cfRule type="expression" dxfId="9702" priority="12105">
      <formula>AG16="A"</formula>
    </cfRule>
    <cfRule type="expression" dxfId="9701" priority="12106">
      <formula>AG16="T"</formula>
    </cfRule>
  </conditionalFormatting>
  <conditionalFormatting sqref="AG36">
    <cfRule type="expression" dxfId="9700" priority="12101">
      <formula>AG36="X"</formula>
    </cfRule>
    <cfRule type="expression" dxfId="9699" priority="12102">
      <formula>AG36="A"</formula>
    </cfRule>
    <cfRule type="expression" dxfId="9698" priority="12103">
      <formula>AG36="T"</formula>
    </cfRule>
  </conditionalFormatting>
  <conditionalFormatting sqref="AG34">
    <cfRule type="expression" dxfId="9697" priority="12098">
      <formula>AG34="X"</formula>
    </cfRule>
    <cfRule type="expression" dxfId="9696" priority="12099">
      <formula>AG34="A"</formula>
    </cfRule>
    <cfRule type="expression" dxfId="9695" priority="12100">
      <formula>AG34="T"</formula>
    </cfRule>
  </conditionalFormatting>
  <conditionalFormatting sqref="AG32">
    <cfRule type="expression" dxfId="9694" priority="12095">
      <formula>AG32="X"</formula>
    </cfRule>
    <cfRule type="expression" dxfId="9693" priority="12096">
      <formula>AG32="A"</formula>
    </cfRule>
    <cfRule type="expression" dxfId="9692" priority="12097">
      <formula>AG32="T"</formula>
    </cfRule>
  </conditionalFormatting>
  <conditionalFormatting sqref="AG30">
    <cfRule type="expression" dxfId="9691" priority="12092">
      <formula>AG30="X"</formula>
    </cfRule>
    <cfRule type="expression" dxfId="9690" priority="12093">
      <formula>AG30="A"</formula>
    </cfRule>
    <cfRule type="expression" dxfId="9689" priority="12094">
      <formula>AG30="T"</formula>
    </cfRule>
  </conditionalFormatting>
  <conditionalFormatting sqref="AG52">
    <cfRule type="expression" dxfId="9688" priority="12089">
      <formula>AG52="X"</formula>
    </cfRule>
    <cfRule type="expression" dxfId="9687" priority="12090">
      <formula>AG52="A"</formula>
    </cfRule>
    <cfRule type="expression" dxfId="9686" priority="12091">
      <formula>AG52="T"</formula>
    </cfRule>
  </conditionalFormatting>
  <conditionalFormatting sqref="AG50">
    <cfRule type="expression" dxfId="9685" priority="12086">
      <formula>AG50="X"</formula>
    </cfRule>
    <cfRule type="expression" dxfId="9684" priority="12087">
      <formula>AG50="A"</formula>
    </cfRule>
    <cfRule type="expression" dxfId="9683" priority="12088">
      <formula>AG50="T"</formula>
    </cfRule>
  </conditionalFormatting>
  <conditionalFormatting sqref="AG54">
    <cfRule type="expression" dxfId="9682" priority="12083">
      <formula>AG54="X"</formula>
    </cfRule>
    <cfRule type="expression" dxfId="9681" priority="12084">
      <formula>AG54="A"</formula>
    </cfRule>
    <cfRule type="expression" dxfId="9680" priority="12085">
      <formula>AG54="T"</formula>
    </cfRule>
  </conditionalFormatting>
  <conditionalFormatting sqref="AG56">
    <cfRule type="expression" dxfId="9679" priority="12080">
      <formula>AG56="X"</formula>
    </cfRule>
    <cfRule type="expression" dxfId="9678" priority="12081">
      <formula>AG56="A"</formula>
    </cfRule>
    <cfRule type="expression" dxfId="9677" priority="12082">
      <formula>AG56="T"</formula>
    </cfRule>
  </conditionalFormatting>
  <conditionalFormatting sqref="AG58">
    <cfRule type="expression" dxfId="9676" priority="12077">
      <formula>AG58="X"</formula>
    </cfRule>
    <cfRule type="expression" dxfId="9675" priority="12078">
      <formula>AG58="A"</formula>
    </cfRule>
    <cfRule type="expression" dxfId="9674" priority="12079">
      <formula>AG58="T"</formula>
    </cfRule>
  </conditionalFormatting>
  <conditionalFormatting sqref="AG63">
    <cfRule type="expression" dxfId="9673" priority="12074">
      <formula>AG63="X"</formula>
    </cfRule>
    <cfRule type="expression" dxfId="9672" priority="12075">
      <formula>AG63="A"</formula>
    </cfRule>
    <cfRule type="expression" dxfId="9671" priority="12076">
      <formula>AG63="T"</formula>
    </cfRule>
  </conditionalFormatting>
  <conditionalFormatting sqref="AG65">
    <cfRule type="expression" dxfId="9670" priority="12071">
      <formula>AG65="X"</formula>
    </cfRule>
    <cfRule type="expression" dxfId="9669" priority="12072">
      <formula>AG65="A"</formula>
    </cfRule>
    <cfRule type="expression" dxfId="9668" priority="12073">
      <formula>AG65="T"</formula>
    </cfRule>
  </conditionalFormatting>
  <conditionalFormatting sqref="AG83">
    <cfRule type="expression" dxfId="9667" priority="12068">
      <formula>AG83="X"</formula>
    </cfRule>
    <cfRule type="expression" dxfId="9666" priority="12069">
      <formula>AG83="A"</formula>
    </cfRule>
    <cfRule type="expression" dxfId="9665" priority="12070">
      <formula>AG83="T"</formula>
    </cfRule>
  </conditionalFormatting>
  <conditionalFormatting sqref="AG85">
    <cfRule type="expression" dxfId="9664" priority="12065">
      <formula>AG85="X"</formula>
    </cfRule>
    <cfRule type="expression" dxfId="9663" priority="12066">
      <formula>AG85="A"</formula>
    </cfRule>
    <cfRule type="expression" dxfId="9662" priority="12067">
      <formula>AG85="T"</formula>
    </cfRule>
  </conditionalFormatting>
  <conditionalFormatting sqref="AG67">
    <cfRule type="expression" dxfId="9661" priority="12062">
      <formula>AG67="X"</formula>
    </cfRule>
    <cfRule type="expression" dxfId="9660" priority="12063">
      <formula>AG67="A"</formula>
    </cfRule>
    <cfRule type="expression" dxfId="9659" priority="12064">
      <formula>AG67="T"</formula>
    </cfRule>
  </conditionalFormatting>
  <conditionalFormatting sqref="AG113">
    <cfRule type="expression" dxfId="9658" priority="12059">
      <formula>AG113="X"</formula>
    </cfRule>
    <cfRule type="expression" dxfId="9657" priority="12060">
      <formula>AG113="A"</formula>
    </cfRule>
    <cfRule type="expression" dxfId="9656" priority="12061">
      <formula>AG113="T"</formula>
    </cfRule>
  </conditionalFormatting>
  <conditionalFormatting sqref="AG118">
    <cfRule type="expression" dxfId="9655" priority="12056">
      <formula>AG118="X"</formula>
    </cfRule>
    <cfRule type="expression" dxfId="9654" priority="12057">
      <formula>AG118="A"</formula>
    </cfRule>
    <cfRule type="expression" dxfId="9653" priority="12058">
      <formula>AG118="T"</formula>
    </cfRule>
  </conditionalFormatting>
  <conditionalFormatting sqref="AG120">
    <cfRule type="expression" dxfId="9652" priority="12053">
      <formula>AG120="X"</formula>
    </cfRule>
    <cfRule type="expression" dxfId="9651" priority="12054">
      <formula>AG120="A"</formula>
    </cfRule>
    <cfRule type="expression" dxfId="9650" priority="12055">
      <formula>AG120="T"</formula>
    </cfRule>
  </conditionalFormatting>
  <conditionalFormatting sqref="AG122">
    <cfRule type="expression" dxfId="9649" priority="12050">
      <formula>AG122="X"</formula>
    </cfRule>
    <cfRule type="expression" dxfId="9648" priority="12051">
      <formula>AG122="A"</formula>
    </cfRule>
    <cfRule type="expression" dxfId="9647" priority="12052">
      <formula>AG122="T"</formula>
    </cfRule>
  </conditionalFormatting>
  <conditionalFormatting sqref="AG125">
    <cfRule type="expression" dxfId="9646" priority="12047">
      <formula>AG125="X"</formula>
    </cfRule>
    <cfRule type="expression" dxfId="9645" priority="12048">
      <formula>AG125="A"</formula>
    </cfRule>
    <cfRule type="expression" dxfId="9644" priority="12049">
      <formula>AG125="T"</formula>
    </cfRule>
  </conditionalFormatting>
  <conditionalFormatting sqref="AG127">
    <cfRule type="expression" dxfId="9643" priority="12044">
      <formula>AG127="X"</formula>
    </cfRule>
    <cfRule type="expression" dxfId="9642" priority="12045">
      <formula>AG127="A"</formula>
    </cfRule>
    <cfRule type="expression" dxfId="9641" priority="12046">
      <formula>AG127="T"</formula>
    </cfRule>
  </conditionalFormatting>
  <conditionalFormatting sqref="AG141">
    <cfRule type="expression" dxfId="9640" priority="12041">
      <formula>AG141="X"</formula>
    </cfRule>
    <cfRule type="expression" dxfId="9639" priority="12042">
      <formula>AG141="A"</formula>
    </cfRule>
    <cfRule type="expression" dxfId="9638" priority="12043">
      <formula>AG141="T"</formula>
    </cfRule>
  </conditionalFormatting>
  <conditionalFormatting sqref="AG143">
    <cfRule type="expression" dxfId="9637" priority="12038">
      <formula>AG143="X"</formula>
    </cfRule>
    <cfRule type="expression" dxfId="9636" priority="12039">
      <formula>AG143="A"</formula>
    </cfRule>
    <cfRule type="expression" dxfId="9635" priority="12040">
      <formula>AG143="T"</formula>
    </cfRule>
  </conditionalFormatting>
  <conditionalFormatting sqref="AG149">
    <cfRule type="expression" dxfId="9634" priority="12035">
      <formula>AG149="X"</formula>
    </cfRule>
    <cfRule type="expression" dxfId="9633" priority="12036">
      <formula>AG149="A"</formula>
    </cfRule>
    <cfRule type="expression" dxfId="9632" priority="12037">
      <formula>AG149="T"</formula>
    </cfRule>
  </conditionalFormatting>
  <conditionalFormatting sqref="AG151">
    <cfRule type="expression" dxfId="9631" priority="12032">
      <formula>AG151="X"</formula>
    </cfRule>
    <cfRule type="expression" dxfId="9630" priority="12033">
      <formula>AG151="A"</formula>
    </cfRule>
    <cfRule type="expression" dxfId="9629" priority="12034">
      <formula>AG151="T"</formula>
    </cfRule>
  </conditionalFormatting>
  <conditionalFormatting sqref="AG155">
    <cfRule type="expression" dxfId="9628" priority="12029">
      <formula>AG155="X"</formula>
    </cfRule>
    <cfRule type="expression" dxfId="9627" priority="12030">
      <formula>AG155="A"</formula>
    </cfRule>
    <cfRule type="expression" dxfId="9626" priority="12031">
      <formula>AG155="T"</formula>
    </cfRule>
  </conditionalFormatting>
  <conditionalFormatting sqref="AG157">
    <cfRule type="expression" dxfId="9625" priority="12026">
      <formula>AG157="X"</formula>
    </cfRule>
    <cfRule type="expression" dxfId="9624" priority="12027">
      <formula>AG157="A"</formula>
    </cfRule>
    <cfRule type="expression" dxfId="9623" priority="12028">
      <formula>AG157="T"</formula>
    </cfRule>
  </conditionalFormatting>
  <conditionalFormatting sqref="AG167">
    <cfRule type="expression" dxfId="9622" priority="12023">
      <formula>AG167="X"</formula>
    </cfRule>
    <cfRule type="expression" dxfId="9621" priority="12024">
      <formula>AG167="A"</formula>
    </cfRule>
    <cfRule type="expression" dxfId="9620" priority="12025">
      <formula>AG167="T"</formula>
    </cfRule>
  </conditionalFormatting>
  <conditionalFormatting sqref="AG173">
    <cfRule type="expression" dxfId="9619" priority="12020">
      <formula>AG173="X"</formula>
    </cfRule>
    <cfRule type="expression" dxfId="9618" priority="12021">
      <formula>AG173="A"</formula>
    </cfRule>
    <cfRule type="expression" dxfId="9617" priority="12022">
      <formula>AG173="T"</formula>
    </cfRule>
  </conditionalFormatting>
  <conditionalFormatting sqref="AG175">
    <cfRule type="expression" dxfId="9616" priority="12017">
      <formula>AG175="X"</formula>
    </cfRule>
    <cfRule type="expression" dxfId="9615" priority="12018">
      <formula>AG175="A"</formula>
    </cfRule>
    <cfRule type="expression" dxfId="9614" priority="12019">
      <formula>AG175="T"</formula>
    </cfRule>
  </conditionalFormatting>
  <conditionalFormatting sqref="AG177">
    <cfRule type="expression" dxfId="9613" priority="12014">
      <formula>AG177="X"</formula>
    </cfRule>
    <cfRule type="expression" dxfId="9612" priority="12015">
      <formula>AG177="A"</formula>
    </cfRule>
    <cfRule type="expression" dxfId="9611" priority="12016">
      <formula>AG177="T"</formula>
    </cfRule>
  </conditionalFormatting>
  <conditionalFormatting sqref="AG179">
    <cfRule type="expression" dxfId="9610" priority="12011">
      <formula>AG179="X"</formula>
    </cfRule>
    <cfRule type="expression" dxfId="9609" priority="12012">
      <formula>AG179="A"</formula>
    </cfRule>
    <cfRule type="expression" dxfId="9608" priority="12013">
      <formula>AG179="T"</formula>
    </cfRule>
  </conditionalFormatting>
  <conditionalFormatting sqref="AG169">
    <cfRule type="expression" dxfId="9607" priority="12008">
      <formula>AG169="X"</formula>
    </cfRule>
    <cfRule type="expression" dxfId="9606" priority="12009">
      <formula>AG169="A"</formula>
    </cfRule>
    <cfRule type="expression" dxfId="9605" priority="12010">
      <formula>AG169="T"</formula>
    </cfRule>
  </conditionalFormatting>
  <conditionalFormatting sqref="AG171">
    <cfRule type="expression" dxfId="9604" priority="12005">
      <formula>AG171="X"</formula>
    </cfRule>
    <cfRule type="expression" dxfId="9603" priority="12006">
      <formula>AG171="A"</formula>
    </cfRule>
    <cfRule type="expression" dxfId="9602" priority="12007">
      <formula>AG171="T"</formula>
    </cfRule>
  </conditionalFormatting>
  <conditionalFormatting sqref="AG183">
    <cfRule type="expression" dxfId="9601" priority="12002">
      <formula>AG183="X"</formula>
    </cfRule>
    <cfRule type="expression" dxfId="9600" priority="12003">
      <formula>AG183="A"</formula>
    </cfRule>
    <cfRule type="expression" dxfId="9599" priority="12004">
      <formula>AG183="T"</formula>
    </cfRule>
  </conditionalFormatting>
  <conditionalFormatting sqref="AG185">
    <cfRule type="expression" dxfId="9598" priority="11999">
      <formula>AG185="X"</formula>
    </cfRule>
    <cfRule type="expression" dxfId="9597" priority="12000">
      <formula>AG185="A"</formula>
    </cfRule>
    <cfRule type="expression" dxfId="9596" priority="12001">
      <formula>AG185="T"</formula>
    </cfRule>
  </conditionalFormatting>
  <conditionalFormatting sqref="AG189">
    <cfRule type="expression" dxfId="9595" priority="11996">
      <formula>AG189="X"</formula>
    </cfRule>
    <cfRule type="expression" dxfId="9594" priority="11997">
      <formula>AG189="A"</formula>
    </cfRule>
    <cfRule type="expression" dxfId="9593" priority="11998">
      <formula>AG189="T"</formula>
    </cfRule>
  </conditionalFormatting>
  <conditionalFormatting sqref="AG191">
    <cfRule type="expression" dxfId="9592" priority="11993">
      <formula>AG191="X"</formula>
    </cfRule>
    <cfRule type="expression" dxfId="9591" priority="11994">
      <formula>AG191="A"</formula>
    </cfRule>
    <cfRule type="expression" dxfId="9590" priority="11995">
      <formula>AG191="T"</formula>
    </cfRule>
  </conditionalFormatting>
  <conditionalFormatting sqref="AG11">
    <cfRule type="expression" dxfId="9589" priority="11990">
      <formula>AG11="X"</formula>
    </cfRule>
    <cfRule type="expression" dxfId="9588" priority="11991">
      <formula>AG11="A"</formula>
    </cfRule>
    <cfRule type="expression" dxfId="9587" priority="11992">
      <formula>AG11="T"</formula>
    </cfRule>
  </conditionalFormatting>
  <conditionalFormatting sqref="AG12">
    <cfRule type="expression" dxfId="9586" priority="11987">
      <formula>AG11="X"</formula>
    </cfRule>
    <cfRule type="expression" dxfId="9585" priority="11988">
      <formula>AG11="A"</formula>
    </cfRule>
    <cfRule type="expression" dxfId="9584" priority="11989">
      <formula>AG11="T"</formula>
    </cfRule>
  </conditionalFormatting>
  <conditionalFormatting sqref="AG13">
    <cfRule type="expression" dxfId="9583" priority="11984">
      <formula>AG13="X"</formula>
    </cfRule>
    <cfRule type="expression" dxfId="9582" priority="11985">
      <formula>AG13="A"</formula>
    </cfRule>
    <cfRule type="expression" dxfId="9581" priority="11986">
      <formula>AG13="T"</formula>
    </cfRule>
  </conditionalFormatting>
  <conditionalFormatting sqref="AG14">
    <cfRule type="expression" dxfId="9580" priority="11981">
      <formula>AG13="X"</formula>
    </cfRule>
    <cfRule type="expression" dxfId="9579" priority="11982">
      <formula>AG13="A"</formula>
    </cfRule>
    <cfRule type="expression" dxfId="9578" priority="11983">
      <formula>AG13="T"</formula>
    </cfRule>
  </conditionalFormatting>
  <conditionalFormatting sqref="AG17">
    <cfRule type="expression" dxfId="9577" priority="11978">
      <formula>AG16="X"</formula>
    </cfRule>
    <cfRule type="expression" dxfId="9576" priority="11979">
      <formula>AG16="A"</formula>
    </cfRule>
    <cfRule type="expression" dxfId="9575" priority="11980">
      <formula>AG16="T"</formula>
    </cfRule>
  </conditionalFormatting>
  <conditionalFormatting sqref="AG19">
    <cfRule type="expression" dxfId="9574" priority="11972">
      <formula>AG18="X"</formula>
    </cfRule>
    <cfRule type="expression" dxfId="9573" priority="11973">
      <formula>AG18="A"</formula>
    </cfRule>
    <cfRule type="expression" dxfId="9572" priority="11974">
      <formula>AG18="T"</formula>
    </cfRule>
  </conditionalFormatting>
  <conditionalFormatting sqref="AG21">
    <cfRule type="expression" dxfId="9571" priority="11969">
      <formula>AG20="X"</formula>
    </cfRule>
    <cfRule type="expression" dxfId="9570" priority="11970">
      <formula>AG20="A"</formula>
    </cfRule>
    <cfRule type="expression" dxfId="9569" priority="11971">
      <formula>AG20="T"</formula>
    </cfRule>
  </conditionalFormatting>
  <conditionalFormatting sqref="AG23">
    <cfRule type="expression" dxfId="9568" priority="11966">
      <formula>AG22="X"</formula>
    </cfRule>
    <cfRule type="expression" dxfId="9567" priority="11967">
      <formula>AG22="A"</formula>
    </cfRule>
    <cfRule type="expression" dxfId="9566" priority="11968">
      <formula>AG22="T"</formula>
    </cfRule>
  </conditionalFormatting>
  <conditionalFormatting sqref="AG25">
    <cfRule type="expression" dxfId="9565" priority="11963">
      <formula>AG24="X"</formula>
    </cfRule>
    <cfRule type="expression" dxfId="9564" priority="11964">
      <formula>AG24="A"</formula>
    </cfRule>
    <cfRule type="expression" dxfId="9563" priority="11965">
      <formula>AG24="T"</formula>
    </cfRule>
  </conditionalFormatting>
  <conditionalFormatting sqref="AG27">
    <cfRule type="expression" dxfId="9562" priority="11960">
      <formula>AG26="X"</formula>
    </cfRule>
    <cfRule type="expression" dxfId="9561" priority="11961">
      <formula>AG26="A"</formula>
    </cfRule>
    <cfRule type="expression" dxfId="9560" priority="11962">
      <formula>AG26="T"</formula>
    </cfRule>
  </conditionalFormatting>
  <conditionalFormatting sqref="AG29">
    <cfRule type="expression" dxfId="9559" priority="11957">
      <formula>AG28="X"</formula>
    </cfRule>
    <cfRule type="expression" dxfId="9558" priority="11958">
      <formula>AG28="A"</formula>
    </cfRule>
    <cfRule type="expression" dxfId="9557" priority="11959">
      <formula>AG28="T"</formula>
    </cfRule>
  </conditionalFormatting>
  <conditionalFormatting sqref="AG31">
    <cfRule type="expression" dxfId="9556" priority="11954">
      <formula>AG30="X"</formula>
    </cfRule>
    <cfRule type="expression" dxfId="9555" priority="11955">
      <formula>AG30="A"</formula>
    </cfRule>
    <cfRule type="expression" dxfId="9554" priority="11956">
      <formula>AG30="T"</formula>
    </cfRule>
  </conditionalFormatting>
  <conditionalFormatting sqref="AG33">
    <cfRule type="expression" dxfId="9553" priority="11951">
      <formula>AG32="X"</formula>
    </cfRule>
    <cfRule type="expression" dxfId="9552" priority="11952">
      <formula>AG32="A"</formula>
    </cfRule>
    <cfRule type="expression" dxfId="9551" priority="11953">
      <formula>AG32="T"</formula>
    </cfRule>
  </conditionalFormatting>
  <conditionalFormatting sqref="AG35">
    <cfRule type="expression" dxfId="9550" priority="11948">
      <formula>AG34="X"</formula>
    </cfRule>
    <cfRule type="expression" dxfId="9549" priority="11949">
      <formula>AG34="A"</formula>
    </cfRule>
    <cfRule type="expression" dxfId="9548" priority="11950">
      <formula>AG34="T"</formula>
    </cfRule>
  </conditionalFormatting>
  <conditionalFormatting sqref="AG37">
    <cfRule type="expression" dxfId="9547" priority="11945">
      <formula>AG36="X"</formula>
    </cfRule>
    <cfRule type="expression" dxfId="9546" priority="11946">
      <formula>AG36="A"</formula>
    </cfRule>
    <cfRule type="expression" dxfId="9545" priority="11947">
      <formula>AG36="T"</formula>
    </cfRule>
  </conditionalFormatting>
  <conditionalFormatting sqref="AG40">
    <cfRule type="expression" dxfId="9544" priority="11942">
      <formula>AG39="X"</formula>
    </cfRule>
    <cfRule type="expression" dxfId="9543" priority="11943">
      <formula>AG39="A"</formula>
    </cfRule>
    <cfRule type="expression" dxfId="9542" priority="11944">
      <formula>AG39="T"</formula>
    </cfRule>
  </conditionalFormatting>
  <conditionalFormatting sqref="AG42">
    <cfRule type="expression" dxfId="9541" priority="11939">
      <formula>AG41="X"</formula>
    </cfRule>
    <cfRule type="expression" dxfId="9540" priority="11940">
      <formula>AG41="A"</formula>
    </cfRule>
    <cfRule type="expression" dxfId="9539" priority="11941">
      <formula>AG41="T"</formula>
    </cfRule>
  </conditionalFormatting>
  <conditionalFormatting sqref="AG44">
    <cfRule type="expression" dxfId="9538" priority="11936">
      <formula>AG43="X"</formula>
    </cfRule>
    <cfRule type="expression" dxfId="9537" priority="11937">
      <formula>AG43="A"</formula>
    </cfRule>
    <cfRule type="expression" dxfId="9536" priority="11938">
      <formula>AG43="T"</formula>
    </cfRule>
  </conditionalFormatting>
  <conditionalFormatting sqref="AG46">
    <cfRule type="expression" dxfId="9535" priority="11933">
      <formula>AG45="X"</formula>
    </cfRule>
    <cfRule type="expression" dxfId="9534" priority="11934">
      <formula>AG45="A"</formula>
    </cfRule>
    <cfRule type="expression" dxfId="9533" priority="11935">
      <formula>AG45="T"</formula>
    </cfRule>
  </conditionalFormatting>
  <conditionalFormatting sqref="AG49">
    <cfRule type="expression" dxfId="9532" priority="11930">
      <formula>AG48="X"</formula>
    </cfRule>
    <cfRule type="expression" dxfId="9531" priority="11931">
      <formula>AG48="A"</formula>
    </cfRule>
    <cfRule type="expression" dxfId="9530" priority="11932">
      <formula>AG48="T"</formula>
    </cfRule>
  </conditionalFormatting>
  <conditionalFormatting sqref="AG51">
    <cfRule type="expression" dxfId="9529" priority="11927">
      <formula>AG50="X"</formula>
    </cfRule>
    <cfRule type="expression" dxfId="9528" priority="11928">
      <formula>AG50="A"</formula>
    </cfRule>
    <cfRule type="expression" dxfId="9527" priority="11929">
      <formula>AG50="T"</formula>
    </cfRule>
  </conditionalFormatting>
  <conditionalFormatting sqref="AG53">
    <cfRule type="expression" dxfId="9526" priority="11924">
      <formula>AG52="X"</formula>
    </cfRule>
    <cfRule type="expression" dxfId="9525" priority="11925">
      <formula>AG52="A"</formula>
    </cfRule>
    <cfRule type="expression" dxfId="9524" priority="11926">
      <formula>AG52="T"</formula>
    </cfRule>
  </conditionalFormatting>
  <conditionalFormatting sqref="AG55">
    <cfRule type="expression" dxfId="9523" priority="11921">
      <formula>AG54="X"</formula>
    </cfRule>
    <cfRule type="expression" dxfId="9522" priority="11922">
      <formula>AG54="A"</formula>
    </cfRule>
    <cfRule type="expression" dxfId="9521" priority="11923">
      <formula>AG54="T"</formula>
    </cfRule>
  </conditionalFormatting>
  <conditionalFormatting sqref="AG57">
    <cfRule type="expression" dxfId="9520" priority="11918">
      <formula>AG56="X"</formula>
    </cfRule>
    <cfRule type="expression" dxfId="9519" priority="11919">
      <formula>AG56="A"</formula>
    </cfRule>
    <cfRule type="expression" dxfId="9518" priority="11920">
      <formula>AG56="T"</formula>
    </cfRule>
  </conditionalFormatting>
  <conditionalFormatting sqref="AG59">
    <cfRule type="expression" dxfId="9517" priority="11915">
      <formula>AG58="X"</formula>
    </cfRule>
    <cfRule type="expression" dxfId="9516" priority="11916">
      <formula>AG58="A"</formula>
    </cfRule>
    <cfRule type="expression" dxfId="9515" priority="11917">
      <formula>AG58="T"</formula>
    </cfRule>
  </conditionalFormatting>
  <conditionalFormatting sqref="AG64">
    <cfRule type="expression" dxfId="9514" priority="11912">
      <formula>AG63="X"</formula>
    </cfRule>
    <cfRule type="expression" dxfId="9513" priority="11913">
      <formula>AG63="A"</formula>
    </cfRule>
    <cfRule type="expression" dxfId="9512" priority="11914">
      <formula>AG63="T"</formula>
    </cfRule>
  </conditionalFormatting>
  <conditionalFormatting sqref="AG66">
    <cfRule type="expression" dxfId="9511" priority="11909">
      <formula>AG65="X"</formula>
    </cfRule>
    <cfRule type="expression" dxfId="9510" priority="11910">
      <formula>AG65="A"</formula>
    </cfRule>
    <cfRule type="expression" dxfId="9509" priority="11911">
      <formula>AG65="T"</formula>
    </cfRule>
  </conditionalFormatting>
  <conditionalFormatting sqref="AG68">
    <cfRule type="expression" dxfId="9508" priority="11906">
      <formula>AG67="X"</formula>
    </cfRule>
    <cfRule type="expression" dxfId="9507" priority="11907">
      <formula>AG67="A"</formula>
    </cfRule>
    <cfRule type="expression" dxfId="9506" priority="11908">
      <formula>AG67="T"</formula>
    </cfRule>
  </conditionalFormatting>
  <conditionalFormatting sqref="AG82">
    <cfRule type="expression" dxfId="9505" priority="11903">
      <formula>AG81="X"</formula>
    </cfRule>
    <cfRule type="expression" dxfId="9504" priority="11904">
      <formula>AG81="A"</formula>
    </cfRule>
    <cfRule type="expression" dxfId="9503" priority="11905">
      <formula>AG81="T"</formula>
    </cfRule>
  </conditionalFormatting>
  <conditionalFormatting sqref="AG84">
    <cfRule type="expression" dxfId="9502" priority="11900">
      <formula>AG83="X"</formula>
    </cfRule>
    <cfRule type="expression" dxfId="9501" priority="11901">
      <formula>AG83="A"</formula>
    </cfRule>
    <cfRule type="expression" dxfId="9500" priority="11902">
      <formula>AG83="T"</formula>
    </cfRule>
  </conditionalFormatting>
  <conditionalFormatting sqref="AG86">
    <cfRule type="expression" dxfId="9499" priority="11897">
      <formula>AG85="X"</formula>
    </cfRule>
    <cfRule type="expression" dxfId="9498" priority="11898">
      <formula>AG85="A"</formula>
    </cfRule>
    <cfRule type="expression" dxfId="9497" priority="11899">
      <formula>AG85="T"</formula>
    </cfRule>
  </conditionalFormatting>
  <conditionalFormatting sqref="AG89">
    <cfRule type="expression" dxfId="9496" priority="11894">
      <formula>AG88="X"</formula>
    </cfRule>
    <cfRule type="expression" dxfId="9495" priority="11895">
      <formula>AG88="A"</formula>
    </cfRule>
    <cfRule type="expression" dxfId="9494" priority="11896">
      <formula>AG88="T"</formula>
    </cfRule>
  </conditionalFormatting>
  <conditionalFormatting sqref="AG91">
    <cfRule type="expression" dxfId="9493" priority="11891">
      <formula>AG90="X"</formula>
    </cfRule>
    <cfRule type="expression" dxfId="9492" priority="11892">
      <formula>AG90="A"</formula>
    </cfRule>
    <cfRule type="expression" dxfId="9491" priority="11893">
      <formula>AG90="T"</formula>
    </cfRule>
  </conditionalFormatting>
  <conditionalFormatting sqref="AG93">
    <cfRule type="expression" dxfId="9490" priority="11888">
      <formula>AG92="X"</formula>
    </cfRule>
    <cfRule type="expression" dxfId="9489" priority="11889">
      <formula>AG92="A"</formula>
    </cfRule>
    <cfRule type="expression" dxfId="9488" priority="11890">
      <formula>AG92="T"</formula>
    </cfRule>
  </conditionalFormatting>
  <conditionalFormatting sqref="AG95">
    <cfRule type="expression" dxfId="9487" priority="11885">
      <formula>AG94="X"</formula>
    </cfRule>
    <cfRule type="expression" dxfId="9486" priority="11886">
      <formula>AG94="A"</formula>
    </cfRule>
    <cfRule type="expression" dxfId="9485" priority="11887">
      <formula>AG94="T"</formula>
    </cfRule>
  </conditionalFormatting>
  <conditionalFormatting sqref="AG97">
    <cfRule type="expression" dxfId="9484" priority="11882">
      <formula>AG96="X"</formula>
    </cfRule>
    <cfRule type="expression" dxfId="9483" priority="11883">
      <formula>AG96="A"</formula>
    </cfRule>
    <cfRule type="expression" dxfId="9482" priority="11884">
      <formula>AG96="T"</formula>
    </cfRule>
  </conditionalFormatting>
  <conditionalFormatting sqref="AG99">
    <cfRule type="expression" dxfId="9481" priority="11879">
      <formula>AG98="X"</formula>
    </cfRule>
    <cfRule type="expression" dxfId="9480" priority="11880">
      <formula>AG98="A"</formula>
    </cfRule>
    <cfRule type="expression" dxfId="9479" priority="11881">
      <formula>AG98="T"</formula>
    </cfRule>
  </conditionalFormatting>
  <conditionalFormatting sqref="AG101">
    <cfRule type="expression" dxfId="9478" priority="11876">
      <formula>AG100="X"</formula>
    </cfRule>
    <cfRule type="expression" dxfId="9477" priority="11877">
      <formula>AG100="A"</formula>
    </cfRule>
    <cfRule type="expression" dxfId="9476" priority="11878">
      <formula>AG100="T"</formula>
    </cfRule>
  </conditionalFormatting>
  <conditionalFormatting sqref="AG103">
    <cfRule type="expression" dxfId="9475" priority="11873">
      <formula>AG102="X"</formula>
    </cfRule>
    <cfRule type="expression" dxfId="9474" priority="11874">
      <formula>AG102="A"</formula>
    </cfRule>
    <cfRule type="expression" dxfId="9473" priority="11875">
      <formula>AG102="T"</formula>
    </cfRule>
  </conditionalFormatting>
  <conditionalFormatting sqref="AG106">
    <cfRule type="expression" dxfId="9472" priority="11870">
      <formula>AG105="X"</formula>
    </cfRule>
    <cfRule type="expression" dxfId="9471" priority="11871">
      <formula>AG105="A"</formula>
    </cfRule>
    <cfRule type="expression" dxfId="9470" priority="11872">
      <formula>AG105="T"</formula>
    </cfRule>
  </conditionalFormatting>
  <conditionalFormatting sqref="AG108">
    <cfRule type="expression" dxfId="9469" priority="11867">
      <formula>AG107="X"</formula>
    </cfRule>
    <cfRule type="expression" dxfId="9468" priority="11868">
      <formula>AG107="A"</formula>
    </cfRule>
    <cfRule type="expression" dxfId="9467" priority="11869">
      <formula>AG107="T"</formula>
    </cfRule>
  </conditionalFormatting>
  <conditionalFormatting sqref="AG110">
    <cfRule type="expression" dxfId="9466" priority="11864">
      <formula>AG109="X"</formula>
    </cfRule>
    <cfRule type="expression" dxfId="9465" priority="11865">
      <formula>AG109="A"</formula>
    </cfRule>
    <cfRule type="expression" dxfId="9464" priority="11866">
      <formula>AG109="T"</formula>
    </cfRule>
  </conditionalFormatting>
  <conditionalFormatting sqref="AG112">
    <cfRule type="expression" dxfId="9463" priority="11861">
      <formula>AG111="X"</formula>
    </cfRule>
    <cfRule type="expression" dxfId="9462" priority="11862">
      <formula>AG111="A"</formula>
    </cfRule>
    <cfRule type="expression" dxfId="9461" priority="11863">
      <formula>AG111="T"</formula>
    </cfRule>
  </conditionalFormatting>
  <conditionalFormatting sqref="AG114">
    <cfRule type="expression" dxfId="9460" priority="11858">
      <formula>AG113="X"</formula>
    </cfRule>
    <cfRule type="expression" dxfId="9459" priority="11859">
      <formula>AG113="A"</formula>
    </cfRule>
    <cfRule type="expression" dxfId="9458" priority="11860">
      <formula>AG113="T"</formula>
    </cfRule>
  </conditionalFormatting>
  <conditionalFormatting sqref="AG117">
    <cfRule type="expression" dxfId="9457" priority="11855">
      <formula>AG116="X"</formula>
    </cfRule>
    <cfRule type="expression" dxfId="9456" priority="11856">
      <formula>AG116="A"</formula>
    </cfRule>
    <cfRule type="expression" dxfId="9455" priority="11857">
      <formula>AG116="T"</formula>
    </cfRule>
  </conditionalFormatting>
  <conditionalFormatting sqref="AG119">
    <cfRule type="expression" dxfId="9454" priority="11852">
      <formula>AG118="X"</formula>
    </cfRule>
    <cfRule type="expression" dxfId="9453" priority="11853">
      <formula>AG118="A"</formula>
    </cfRule>
    <cfRule type="expression" dxfId="9452" priority="11854">
      <formula>AG118="T"</formula>
    </cfRule>
  </conditionalFormatting>
  <conditionalFormatting sqref="AG121">
    <cfRule type="expression" dxfId="9451" priority="11849">
      <formula>AG120="X"</formula>
    </cfRule>
    <cfRule type="expression" dxfId="9450" priority="11850">
      <formula>AG120="A"</formula>
    </cfRule>
    <cfRule type="expression" dxfId="9449" priority="11851">
      <formula>AG120="T"</formula>
    </cfRule>
  </conditionalFormatting>
  <conditionalFormatting sqref="AG123">
    <cfRule type="expression" dxfId="9448" priority="11846">
      <formula>AG122="X"</formula>
    </cfRule>
    <cfRule type="expression" dxfId="9447" priority="11847">
      <formula>AG122="A"</formula>
    </cfRule>
    <cfRule type="expression" dxfId="9446" priority="11848">
      <formula>AG122="T"</formula>
    </cfRule>
  </conditionalFormatting>
  <conditionalFormatting sqref="AG126">
    <cfRule type="expression" dxfId="9445" priority="11843">
      <formula>AG125="X"</formula>
    </cfRule>
    <cfRule type="expression" dxfId="9444" priority="11844">
      <formula>AG125="A"</formula>
    </cfRule>
    <cfRule type="expression" dxfId="9443" priority="11845">
      <formula>AG125="T"</formula>
    </cfRule>
  </conditionalFormatting>
  <conditionalFormatting sqref="AG128">
    <cfRule type="expression" dxfId="9442" priority="11840">
      <formula>AG127="X"</formula>
    </cfRule>
    <cfRule type="expression" dxfId="9441" priority="11841">
      <formula>AG127="A"</formula>
    </cfRule>
    <cfRule type="expression" dxfId="9440" priority="11842">
      <formula>AG127="T"</formula>
    </cfRule>
  </conditionalFormatting>
  <conditionalFormatting sqref="AG142">
    <cfRule type="expression" dxfId="9439" priority="11837">
      <formula>AG141="X"</formula>
    </cfRule>
    <cfRule type="expression" dxfId="9438" priority="11838">
      <formula>AG141="A"</formula>
    </cfRule>
    <cfRule type="expression" dxfId="9437" priority="11839">
      <formula>AG141="T"</formula>
    </cfRule>
  </conditionalFormatting>
  <conditionalFormatting sqref="AG144">
    <cfRule type="expression" dxfId="9436" priority="11834">
      <formula>AG143="X"</formula>
    </cfRule>
    <cfRule type="expression" dxfId="9435" priority="11835">
      <formula>AG143="A"</formula>
    </cfRule>
    <cfRule type="expression" dxfId="9434" priority="11836">
      <formula>AG143="T"</formula>
    </cfRule>
  </conditionalFormatting>
  <conditionalFormatting sqref="AG150">
    <cfRule type="expression" dxfId="9433" priority="11831">
      <formula>AG149="X"</formula>
    </cfRule>
    <cfRule type="expression" dxfId="9432" priority="11832">
      <formula>AG149="A"</formula>
    </cfRule>
    <cfRule type="expression" dxfId="9431" priority="11833">
      <formula>AG149="T"</formula>
    </cfRule>
  </conditionalFormatting>
  <conditionalFormatting sqref="AG152">
    <cfRule type="expression" dxfId="9430" priority="11828">
      <formula>AG151="X"</formula>
    </cfRule>
    <cfRule type="expression" dxfId="9429" priority="11829">
      <formula>AG151="A"</formula>
    </cfRule>
    <cfRule type="expression" dxfId="9428" priority="11830">
      <formula>AG151="T"</formula>
    </cfRule>
  </conditionalFormatting>
  <conditionalFormatting sqref="AG156">
    <cfRule type="expression" dxfId="9427" priority="11825">
      <formula>AG155="X"</formula>
    </cfRule>
    <cfRule type="expression" dxfId="9426" priority="11826">
      <formula>AG155="A"</formula>
    </cfRule>
    <cfRule type="expression" dxfId="9425" priority="11827">
      <formula>AG155="T"</formula>
    </cfRule>
  </conditionalFormatting>
  <conditionalFormatting sqref="AG168">
    <cfRule type="expression" dxfId="9424" priority="11819">
      <formula>AG167="X"</formula>
    </cfRule>
    <cfRule type="expression" dxfId="9423" priority="11820">
      <formula>AG167="A"</formula>
    </cfRule>
    <cfRule type="expression" dxfId="9422" priority="11821">
      <formula>AG167="T"</formula>
    </cfRule>
  </conditionalFormatting>
  <conditionalFormatting sqref="AG170">
    <cfRule type="expression" dxfId="9421" priority="11816">
      <formula>AG169="X"</formula>
    </cfRule>
    <cfRule type="expression" dxfId="9420" priority="11817">
      <formula>AG169="A"</formula>
    </cfRule>
    <cfRule type="expression" dxfId="9419" priority="11818">
      <formula>AG169="T"</formula>
    </cfRule>
  </conditionalFormatting>
  <conditionalFormatting sqref="AG172">
    <cfRule type="expression" dxfId="9418" priority="11813">
      <formula>AG171="X"</formula>
    </cfRule>
    <cfRule type="expression" dxfId="9417" priority="11814">
      <formula>AG171="A"</formula>
    </cfRule>
    <cfRule type="expression" dxfId="9416" priority="11815">
      <formula>AG171="T"</formula>
    </cfRule>
  </conditionalFormatting>
  <conditionalFormatting sqref="AG174">
    <cfRule type="expression" dxfId="9415" priority="11810">
      <formula>AG173="X"</formula>
    </cfRule>
    <cfRule type="expression" dxfId="9414" priority="11811">
      <formula>AG173="A"</formula>
    </cfRule>
    <cfRule type="expression" dxfId="9413" priority="11812">
      <formula>AG173="T"</formula>
    </cfRule>
  </conditionalFormatting>
  <conditionalFormatting sqref="AG176">
    <cfRule type="expression" dxfId="9412" priority="11807">
      <formula>AG175="X"</formula>
    </cfRule>
    <cfRule type="expression" dxfId="9411" priority="11808">
      <formula>AG175="A"</formula>
    </cfRule>
    <cfRule type="expression" dxfId="9410" priority="11809">
      <formula>AG175="T"</formula>
    </cfRule>
  </conditionalFormatting>
  <conditionalFormatting sqref="AG178">
    <cfRule type="expression" dxfId="9409" priority="11804">
      <formula>AG177="X"</formula>
    </cfRule>
    <cfRule type="expression" dxfId="9408" priority="11805">
      <formula>AG177="A"</formula>
    </cfRule>
    <cfRule type="expression" dxfId="9407" priority="11806">
      <formula>AG177="T"</formula>
    </cfRule>
  </conditionalFormatting>
  <conditionalFormatting sqref="AG180">
    <cfRule type="expression" dxfId="9406" priority="11801">
      <formula>AG179="X"</formula>
    </cfRule>
    <cfRule type="expression" dxfId="9405" priority="11802">
      <formula>AG179="A"</formula>
    </cfRule>
    <cfRule type="expression" dxfId="9404" priority="11803">
      <formula>AG179="T"</formula>
    </cfRule>
  </conditionalFormatting>
  <conditionalFormatting sqref="AG184">
    <cfRule type="expression" dxfId="9403" priority="11798">
      <formula>AG183="X"</formula>
    </cfRule>
    <cfRule type="expression" dxfId="9402" priority="11799">
      <formula>AG183="A"</formula>
    </cfRule>
    <cfRule type="expression" dxfId="9401" priority="11800">
      <formula>AG183="T"</formula>
    </cfRule>
  </conditionalFormatting>
  <conditionalFormatting sqref="AG186">
    <cfRule type="expression" dxfId="9400" priority="11795">
      <formula>AG185="X"</formula>
    </cfRule>
    <cfRule type="expression" dxfId="9399" priority="11796">
      <formula>AG185="A"</formula>
    </cfRule>
    <cfRule type="expression" dxfId="9398" priority="11797">
      <formula>AG185="T"</formula>
    </cfRule>
  </conditionalFormatting>
  <conditionalFormatting sqref="AG190">
    <cfRule type="expression" dxfId="9397" priority="11792">
      <formula>AG189="X"</formula>
    </cfRule>
    <cfRule type="expression" dxfId="9396" priority="11793">
      <formula>AG189="A"</formula>
    </cfRule>
    <cfRule type="expression" dxfId="9395" priority="11794">
      <formula>AG189="T"</formula>
    </cfRule>
  </conditionalFormatting>
  <conditionalFormatting sqref="AG192">
    <cfRule type="expression" dxfId="9394" priority="11789">
      <formula>AG191="X"</formula>
    </cfRule>
    <cfRule type="expression" dxfId="9393" priority="11790">
      <formula>AG191="A"</formula>
    </cfRule>
    <cfRule type="expression" dxfId="9392" priority="11791">
      <formula>AG191="T"</formula>
    </cfRule>
  </conditionalFormatting>
  <conditionalFormatting sqref="AG208">
    <cfRule type="expression" dxfId="9391" priority="11786">
      <formula>AG207="X"</formula>
    </cfRule>
    <cfRule type="expression" dxfId="9390" priority="11787">
      <formula>AG207="A"</formula>
    </cfRule>
    <cfRule type="expression" dxfId="9389" priority="11788">
      <formula>AG207="T"</formula>
    </cfRule>
  </conditionalFormatting>
  <conditionalFormatting sqref="AG211">
    <cfRule type="expression" dxfId="9388" priority="11783">
      <formula>AG211="X"</formula>
    </cfRule>
    <cfRule type="expression" dxfId="9387" priority="11784">
      <formula>AG211="A"</formula>
    </cfRule>
    <cfRule type="expression" dxfId="9386" priority="11785">
      <formula>AG211="T"</formula>
    </cfRule>
  </conditionalFormatting>
  <conditionalFormatting sqref="AG212">
    <cfRule type="expression" dxfId="9385" priority="11780">
      <formula>AG211="X"</formula>
    </cfRule>
    <cfRule type="expression" dxfId="9384" priority="11781">
      <formula>AG211="A"</formula>
    </cfRule>
    <cfRule type="expression" dxfId="9383" priority="11782">
      <formula>AG211="T"</formula>
    </cfRule>
  </conditionalFormatting>
  <conditionalFormatting sqref="AG213">
    <cfRule type="expression" dxfId="9382" priority="11777">
      <formula>AG213="X"</formula>
    </cfRule>
    <cfRule type="expression" dxfId="9381" priority="11778">
      <formula>AG213="A"</formula>
    </cfRule>
    <cfRule type="expression" dxfId="9380" priority="11779">
      <formula>AG213="T"</formula>
    </cfRule>
  </conditionalFormatting>
  <conditionalFormatting sqref="AG214">
    <cfRule type="expression" dxfId="9379" priority="11774">
      <formula>AG213="X"</formula>
    </cfRule>
    <cfRule type="expression" dxfId="9378" priority="11775">
      <formula>AG213="A"</formula>
    </cfRule>
    <cfRule type="expression" dxfId="9377" priority="11776">
      <formula>AG213="T"</formula>
    </cfRule>
  </conditionalFormatting>
  <conditionalFormatting sqref="AG215">
    <cfRule type="expression" dxfId="9376" priority="11771">
      <formula>AG215="X"</formula>
    </cfRule>
    <cfRule type="expression" dxfId="9375" priority="11772">
      <formula>AG215="A"</formula>
    </cfRule>
    <cfRule type="expression" dxfId="9374" priority="11773">
      <formula>AG215="T"</formula>
    </cfRule>
  </conditionalFormatting>
  <conditionalFormatting sqref="AG216">
    <cfRule type="expression" dxfId="9373" priority="11768">
      <formula>AG215="X"</formula>
    </cfRule>
    <cfRule type="expression" dxfId="9372" priority="11769">
      <formula>AG215="A"</formula>
    </cfRule>
    <cfRule type="expression" dxfId="9371" priority="11770">
      <formula>AG215="T"</formula>
    </cfRule>
  </conditionalFormatting>
  <conditionalFormatting sqref="AG217">
    <cfRule type="expression" dxfId="9370" priority="11765">
      <formula>AG217="X"</formula>
    </cfRule>
    <cfRule type="expression" dxfId="9369" priority="11766">
      <formula>AG217="A"</formula>
    </cfRule>
    <cfRule type="expression" dxfId="9368" priority="11767">
      <formula>AG217="T"</formula>
    </cfRule>
  </conditionalFormatting>
  <conditionalFormatting sqref="AG218">
    <cfRule type="expression" dxfId="9367" priority="11762">
      <formula>AG217="X"</formula>
    </cfRule>
    <cfRule type="expression" dxfId="9366" priority="11763">
      <formula>AG217="A"</formula>
    </cfRule>
    <cfRule type="expression" dxfId="9365" priority="11764">
      <formula>AG217="T"</formula>
    </cfRule>
  </conditionalFormatting>
  <conditionalFormatting sqref="AG219">
    <cfRule type="expression" dxfId="9364" priority="11759">
      <formula>AG219="X"</formula>
    </cfRule>
    <cfRule type="expression" dxfId="9363" priority="11760">
      <formula>AG219="A"</formula>
    </cfRule>
    <cfRule type="expression" dxfId="9362" priority="11761">
      <formula>AG219="T"</formula>
    </cfRule>
  </conditionalFormatting>
  <conditionalFormatting sqref="AG220">
    <cfRule type="expression" dxfId="9361" priority="11756">
      <formula>AG219="X"</formula>
    </cfRule>
    <cfRule type="expression" dxfId="9360" priority="11757">
      <formula>AG219="A"</formula>
    </cfRule>
    <cfRule type="expression" dxfId="9359" priority="11758">
      <formula>AG219="T"</formula>
    </cfRule>
  </conditionalFormatting>
  <conditionalFormatting sqref="AG221">
    <cfRule type="expression" dxfId="9358" priority="11753">
      <formula>AG221="X"</formula>
    </cfRule>
    <cfRule type="expression" dxfId="9357" priority="11754">
      <formula>AG221="A"</formula>
    </cfRule>
    <cfRule type="expression" dxfId="9356" priority="11755">
      <formula>AG221="T"</formula>
    </cfRule>
  </conditionalFormatting>
  <conditionalFormatting sqref="AG222">
    <cfRule type="expression" dxfId="9355" priority="11750">
      <formula>AG221="X"</formula>
    </cfRule>
    <cfRule type="expression" dxfId="9354" priority="11751">
      <formula>AG221="A"</formula>
    </cfRule>
    <cfRule type="expression" dxfId="9353" priority="11752">
      <formula>AG221="T"</formula>
    </cfRule>
  </conditionalFormatting>
  <conditionalFormatting sqref="AG223">
    <cfRule type="expression" dxfId="9352" priority="11747">
      <formula>AG223="X"</formula>
    </cfRule>
    <cfRule type="expression" dxfId="9351" priority="11748">
      <formula>AG223="A"</formula>
    </cfRule>
    <cfRule type="expression" dxfId="9350" priority="11749">
      <formula>AG223="T"</formula>
    </cfRule>
  </conditionalFormatting>
  <conditionalFormatting sqref="AG224">
    <cfRule type="expression" dxfId="9349" priority="11744">
      <formula>AG223="X"</formula>
    </cfRule>
    <cfRule type="expression" dxfId="9348" priority="11745">
      <formula>AG223="A"</formula>
    </cfRule>
    <cfRule type="expression" dxfId="9347" priority="11746">
      <formula>AG223="T"</formula>
    </cfRule>
  </conditionalFormatting>
  <conditionalFormatting sqref="AG4">
    <cfRule type="expression" dxfId="9346" priority="11741">
      <formula>AG4="X"</formula>
    </cfRule>
    <cfRule type="expression" dxfId="9345" priority="11742">
      <formula>AG4="A"</formula>
    </cfRule>
    <cfRule type="expression" dxfId="9344" priority="11743">
      <formula>AG4="T"</formula>
    </cfRule>
  </conditionalFormatting>
  <conditionalFormatting sqref="AG5">
    <cfRule type="expression" dxfId="9343" priority="11738">
      <formula>AG4="X"</formula>
    </cfRule>
    <cfRule type="expression" dxfId="9342" priority="11739">
      <formula>AG4="A"</formula>
    </cfRule>
    <cfRule type="expression" dxfId="9341" priority="11740">
      <formula>AG4="T"</formula>
    </cfRule>
  </conditionalFormatting>
  <conditionalFormatting sqref="AG6">
    <cfRule type="expression" dxfId="9340" priority="11735">
      <formula>AG6="X"</formula>
    </cfRule>
    <cfRule type="expression" dxfId="9339" priority="11736">
      <formula>AG6="A"</formula>
    </cfRule>
    <cfRule type="expression" dxfId="9338" priority="11737">
      <formula>AG6="T"</formula>
    </cfRule>
  </conditionalFormatting>
  <conditionalFormatting sqref="AG7">
    <cfRule type="expression" dxfId="9337" priority="11732">
      <formula>AG6="X"</formula>
    </cfRule>
    <cfRule type="expression" dxfId="9336" priority="11733">
      <formula>AG6="A"</formula>
    </cfRule>
    <cfRule type="expression" dxfId="9335" priority="11734">
      <formula>AG6="T"</formula>
    </cfRule>
  </conditionalFormatting>
  <conditionalFormatting sqref="AG8">
    <cfRule type="expression" dxfId="9334" priority="11729">
      <formula>AG8="X"</formula>
    </cfRule>
    <cfRule type="expression" dxfId="9333" priority="11730">
      <formula>AG8="A"</formula>
    </cfRule>
    <cfRule type="expression" dxfId="9332" priority="11731">
      <formula>AG8="T"</formula>
    </cfRule>
  </conditionalFormatting>
  <conditionalFormatting sqref="AG9">
    <cfRule type="expression" dxfId="9331" priority="11726">
      <formula>AG8="X"</formula>
    </cfRule>
    <cfRule type="expression" dxfId="9330" priority="11727">
      <formula>AG8="A"</formula>
    </cfRule>
    <cfRule type="expression" dxfId="9329" priority="11728">
      <formula>AG8="T"</formula>
    </cfRule>
  </conditionalFormatting>
  <conditionalFormatting sqref="AG74">
    <cfRule type="expression" dxfId="9328" priority="11723">
      <formula>AG74="X"</formula>
    </cfRule>
    <cfRule type="expression" dxfId="9327" priority="11724">
      <formula>AG74="A"</formula>
    </cfRule>
    <cfRule type="expression" dxfId="9326" priority="11725">
      <formula>AG74="T"</formula>
    </cfRule>
  </conditionalFormatting>
  <conditionalFormatting sqref="AG75">
    <cfRule type="expression" dxfId="9325" priority="11720">
      <formula>AG74="X"</formula>
    </cfRule>
    <cfRule type="expression" dxfId="9324" priority="11721">
      <formula>AG74="A"</formula>
    </cfRule>
    <cfRule type="expression" dxfId="9323" priority="11722">
      <formula>AG74="T"</formula>
    </cfRule>
  </conditionalFormatting>
  <conditionalFormatting sqref="AG76">
    <cfRule type="expression" dxfId="9322" priority="11717">
      <formula>AG76="X"</formula>
    </cfRule>
    <cfRule type="expression" dxfId="9321" priority="11718">
      <formula>AG76="A"</formula>
    </cfRule>
    <cfRule type="expression" dxfId="9320" priority="11719">
      <formula>AG76="T"</formula>
    </cfRule>
  </conditionalFormatting>
  <conditionalFormatting sqref="AG77">
    <cfRule type="expression" dxfId="9319" priority="11714">
      <formula>AG76="X"</formula>
    </cfRule>
    <cfRule type="expression" dxfId="9318" priority="11715">
      <formula>AG76="A"</formula>
    </cfRule>
    <cfRule type="expression" dxfId="9317" priority="11716">
      <formula>AG76="T"</formula>
    </cfRule>
  </conditionalFormatting>
  <conditionalFormatting sqref="AG78">
    <cfRule type="expression" dxfId="9316" priority="11711">
      <formula>AG78="X"</formula>
    </cfRule>
    <cfRule type="expression" dxfId="9315" priority="11712">
      <formula>AG78="A"</formula>
    </cfRule>
    <cfRule type="expression" dxfId="9314" priority="11713">
      <formula>AG78="T"</formula>
    </cfRule>
  </conditionalFormatting>
  <conditionalFormatting sqref="AG79">
    <cfRule type="expression" dxfId="9313" priority="11708">
      <formula>AG78="X"</formula>
    </cfRule>
    <cfRule type="expression" dxfId="9312" priority="11709">
      <formula>AG78="A"</formula>
    </cfRule>
    <cfRule type="expression" dxfId="9311" priority="11710">
      <formula>AG78="T"</formula>
    </cfRule>
  </conditionalFormatting>
  <conditionalFormatting sqref="AG134">
    <cfRule type="expression" dxfId="9310" priority="11705">
      <formula>AG134="X"</formula>
    </cfRule>
    <cfRule type="expression" dxfId="9309" priority="11706">
      <formula>AG134="A"</formula>
    </cfRule>
    <cfRule type="expression" dxfId="9308" priority="11707">
      <formula>AG134="T"</formula>
    </cfRule>
  </conditionalFormatting>
  <conditionalFormatting sqref="AG135">
    <cfRule type="expression" dxfId="9307" priority="11702">
      <formula>AG134="X"</formula>
    </cfRule>
    <cfRule type="expression" dxfId="9306" priority="11703">
      <formula>AG134="A"</formula>
    </cfRule>
    <cfRule type="expression" dxfId="9305" priority="11704">
      <formula>AG134="T"</formula>
    </cfRule>
  </conditionalFormatting>
  <conditionalFormatting sqref="AG137">
    <cfRule type="expression" dxfId="9304" priority="11696">
      <formula>AG136="X"</formula>
    </cfRule>
    <cfRule type="expression" dxfId="9303" priority="11697">
      <formula>AG136="A"</formula>
    </cfRule>
    <cfRule type="expression" dxfId="9302" priority="11698">
      <formula>AG136="T"</formula>
    </cfRule>
  </conditionalFormatting>
  <conditionalFormatting sqref="AG139">
    <cfRule type="expression" dxfId="9301" priority="11690">
      <formula>AG138="X"</formula>
    </cfRule>
    <cfRule type="expression" dxfId="9300" priority="11691">
      <formula>AG138="A"</formula>
    </cfRule>
    <cfRule type="expression" dxfId="9299" priority="11692">
      <formula>AG138="T"</formula>
    </cfRule>
  </conditionalFormatting>
  <conditionalFormatting sqref="AG10">
    <cfRule type="expression" dxfId="9298" priority="11687" stopIfTrue="1">
      <formula>AG4=""</formula>
    </cfRule>
  </conditionalFormatting>
  <conditionalFormatting sqref="AG10">
    <cfRule type="expression" dxfId="9297" priority="11688" stopIfTrue="1">
      <formula>AG10=1</formula>
    </cfRule>
    <cfRule type="colorScale" priority="11689">
      <colorScale>
        <cfvo type="num" val="0"/>
        <cfvo type="num" val="0.5"/>
        <cfvo type="num" val="1"/>
        <color rgb="FFF8696B"/>
        <color theme="4" tint="0.79998168889431442"/>
        <color rgb="FF5A8AC6"/>
      </colorScale>
    </cfRule>
  </conditionalFormatting>
  <conditionalFormatting sqref="AG15">
    <cfRule type="expression" dxfId="9296" priority="11684" stopIfTrue="1">
      <formula>AG11=""</formula>
    </cfRule>
  </conditionalFormatting>
  <conditionalFormatting sqref="AG15">
    <cfRule type="expression" dxfId="9295" priority="11685" stopIfTrue="1">
      <formula>AG15=1</formula>
    </cfRule>
    <cfRule type="colorScale" priority="11686">
      <colorScale>
        <cfvo type="num" val="0"/>
        <cfvo type="num" val="0.5"/>
        <cfvo type="num" val="1"/>
        <color rgb="FFF8696B"/>
        <color theme="4" tint="0.79998168889431442"/>
        <color rgb="FF5A8AC6"/>
      </colorScale>
    </cfRule>
  </conditionalFormatting>
  <conditionalFormatting sqref="AG38">
    <cfRule type="expression" dxfId="9294" priority="11681" stopIfTrue="1">
      <formula>AG16=""</formula>
    </cfRule>
  </conditionalFormatting>
  <conditionalFormatting sqref="AG38">
    <cfRule type="expression" dxfId="9293" priority="11682" stopIfTrue="1">
      <formula>AG38=1</formula>
    </cfRule>
    <cfRule type="colorScale" priority="11683">
      <colorScale>
        <cfvo type="num" val="0"/>
        <cfvo type="num" val="0.5"/>
        <cfvo type="num" val="1"/>
        <color rgb="FFF8696B"/>
        <color theme="4" tint="0.79998168889431442"/>
        <color rgb="FF5A8AC6"/>
      </colorScale>
    </cfRule>
  </conditionalFormatting>
  <conditionalFormatting sqref="AG47">
    <cfRule type="expression" dxfId="9292" priority="11678" stopIfTrue="1">
      <formula>AG39=""</formula>
    </cfRule>
  </conditionalFormatting>
  <conditionalFormatting sqref="AG47">
    <cfRule type="expression" dxfId="9291" priority="11679" stopIfTrue="1">
      <formula>AG47=1</formula>
    </cfRule>
    <cfRule type="colorScale" priority="11680">
      <colorScale>
        <cfvo type="num" val="0"/>
        <cfvo type="num" val="0.5"/>
        <cfvo type="num" val="1"/>
        <color rgb="FFF8696B"/>
        <color theme="4" tint="0.79998168889431442"/>
        <color rgb="FF5A8AC6"/>
      </colorScale>
    </cfRule>
  </conditionalFormatting>
  <conditionalFormatting sqref="AG69">
    <cfRule type="expression" dxfId="9290" priority="11673" stopIfTrue="1">
      <formula>AG69=1</formula>
    </cfRule>
    <cfRule type="colorScale" priority="11674">
      <colorScale>
        <cfvo type="num" val="0"/>
        <cfvo type="num" val="0.5"/>
        <cfvo type="num" val="1"/>
        <color rgb="FFF8696B"/>
        <color theme="4" tint="0.79998168889431442"/>
        <color rgb="FF5A8AC6"/>
      </colorScale>
    </cfRule>
  </conditionalFormatting>
  <conditionalFormatting sqref="AG69">
    <cfRule type="expression" dxfId="9289" priority="11672" stopIfTrue="1">
      <formula>AG63=""</formula>
    </cfRule>
  </conditionalFormatting>
  <conditionalFormatting sqref="AG80">
    <cfRule type="expression" dxfId="9288" priority="11669" stopIfTrue="1">
      <formula>AG74=""</formula>
    </cfRule>
  </conditionalFormatting>
  <conditionalFormatting sqref="AG80">
    <cfRule type="expression" dxfId="9287" priority="11670" stopIfTrue="1">
      <formula>AG80=1</formula>
    </cfRule>
    <cfRule type="colorScale" priority="11671">
      <colorScale>
        <cfvo type="num" val="0"/>
        <cfvo type="num" val="0.5"/>
        <cfvo type="num" val="1"/>
        <color rgb="FFF8696B"/>
        <color theme="4" tint="0.79998168889431442"/>
        <color rgb="FF5A8AC6"/>
      </colorScale>
    </cfRule>
  </conditionalFormatting>
  <conditionalFormatting sqref="AG87">
    <cfRule type="expression" dxfId="9286" priority="11666" stopIfTrue="1">
      <formula>AG81=""</formula>
    </cfRule>
  </conditionalFormatting>
  <conditionalFormatting sqref="AG87">
    <cfRule type="expression" dxfId="9285" priority="11667" stopIfTrue="1">
      <formula>AG87=1</formula>
    </cfRule>
    <cfRule type="colorScale" priority="11668">
      <colorScale>
        <cfvo type="num" val="0"/>
        <cfvo type="num" val="0.5"/>
        <cfvo type="num" val="1"/>
        <color rgb="FFF8696B"/>
        <color theme="4" tint="0.79998168889431442"/>
        <color rgb="FF5A8AC6"/>
      </colorScale>
    </cfRule>
  </conditionalFormatting>
  <conditionalFormatting sqref="AG104">
    <cfRule type="expression" dxfId="9284" priority="11663" stopIfTrue="1">
      <formula>AG88=""</formula>
    </cfRule>
  </conditionalFormatting>
  <conditionalFormatting sqref="AG104">
    <cfRule type="expression" dxfId="9283" priority="11664" stopIfTrue="1">
      <formula>AG104=1</formula>
    </cfRule>
    <cfRule type="colorScale" priority="11665">
      <colorScale>
        <cfvo type="num" val="0"/>
        <cfvo type="num" val="0.5"/>
        <cfvo type="num" val="1"/>
        <color rgb="FFF8696B"/>
        <color theme="4" tint="0.79998168889431442"/>
        <color rgb="FF5A8AC6"/>
      </colorScale>
    </cfRule>
  </conditionalFormatting>
  <conditionalFormatting sqref="AG115">
    <cfRule type="expression" dxfId="9282" priority="11660" stopIfTrue="1">
      <formula>AG105=""</formula>
    </cfRule>
  </conditionalFormatting>
  <conditionalFormatting sqref="AG115">
    <cfRule type="expression" dxfId="9281" priority="11661" stopIfTrue="1">
      <formula>AG115=1</formula>
    </cfRule>
    <cfRule type="colorScale" priority="11662">
      <colorScale>
        <cfvo type="num" val="0"/>
        <cfvo type="num" val="0.5"/>
        <cfvo type="num" val="1"/>
        <color rgb="FFF8696B"/>
        <color theme="4" tint="0.79998168889431442"/>
        <color rgb="FF5A8AC6"/>
      </colorScale>
    </cfRule>
  </conditionalFormatting>
  <conditionalFormatting sqref="AG124">
    <cfRule type="expression" dxfId="9280" priority="11657" stopIfTrue="1">
      <formula>AG116=""</formula>
    </cfRule>
  </conditionalFormatting>
  <conditionalFormatting sqref="AG124">
    <cfRule type="expression" dxfId="9279" priority="11658" stopIfTrue="1">
      <formula>AG124=1</formula>
    </cfRule>
    <cfRule type="colorScale" priority="11659">
      <colorScale>
        <cfvo type="num" val="0"/>
        <cfvo type="num" val="0.5"/>
        <cfvo type="num" val="1"/>
        <color rgb="FFF8696B"/>
        <color theme="4" tint="0.79998168889431442"/>
        <color rgb="FF5A8AC6"/>
      </colorScale>
    </cfRule>
  </conditionalFormatting>
  <conditionalFormatting sqref="AG129">
    <cfRule type="expression" dxfId="9278" priority="11654" stopIfTrue="1">
      <formula>AG125=""</formula>
    </cfRule>
  </conditionalFormatting>
  <conditionalFormatting sqref="AG129">
    <cfRule type="expression" dxfId="9277" priority="11655" stopIfTrue="1">
      <formula>AG129=1</formula>
    </cfRule>
    <cfRule type="colorScale" priority="11656">
      <colorScale>
        <cfvo type="num" val="0"/>
        <cfvo type="num" val="0.5"/>
        <cfvo type="num" val="1"/>
        <color rgb="FFF8696B"/>
        <color theme="4" tint="0.79998168889431442"/>
        <color rgb="FF5A8AC6"/>
      </colorScale>
    </cfRule>
  </conditionalFormatting>
  <conditionalFormatting sqref="AG140">
    <cfRule type="expression" dxfId="9276" priority="11651" stopIfTrue="1">
      <formula>AG134=""</formula>
    </cfRule>
  </conditionalFormatting>
  <conditionalFormatting sqref="AG140">
    <cfRule type="expression" dxfId="9275" priority="11652" stopIfTrue="1">
      <formula>AG140=1</formula>
    </cfRule>
    <cfRule type="colorScale" priority="11653">
      <colorScale>
        <cfvo type="num" val="0"/>
        <cfvo type="num" val="0.5"/>
        <cfvo type="num" val="1"/>
        <color rgb="FFF8696B"/>
        <color theme="4" tint="0.79998168889431442"/>
        <color rgb="FF5A8AC6"/>
      </colorScale>
    </cfRule>
  </conditionalFormatting>
  <conditionalFormatting sqref="AG145">
    <cfRule type="expression" dxfId="9274" priority="11648" stopIfTrue="1">
      <formula>AG141=""</formula>
    </cfRule>
  </conditionalFormatting>
  <conditionalFormatting sqref="AG145">
    <cfRule type="expression" dxfId="9273" priority="11649" stopIfTrue="1">
      <formula>AG145=1</formula>
    </cfRule>
    <cfRule type="colorScale" priority="11650">
      <colorScale>
        <cfvo type="num" val="0"/>
        <cfvo type="num" val="0.5"/>
        <cfvo type="num" val="1"/>
        <color rgb="FFF8696B"/>
        <color theme="4" tint="0.79998168889431442"/>
        <color rgb="FF5A8AC6"/>
      </colorScale>
    </cfRule>
  </conditionalFormatting>
  <conditionalFormatting sqref="AG153">
    <cfRule type="expression" dxfId="9272" priority="11645" stopIfTrue="1">
      <formula>AG149=""</formula>
    </cfRule>
  </conditionalFormatting>
  <conditionalFormatting sqref="AG153">
    <cfRule type="expression" dxfId="9271" priority="11646" stopIfTrue="1">
      <formula>AG153=1</formula>
    </cfRule>
    <cfRule type="colorScale" priority="11647">
      <colorScale>
        <cfvo type="num" val="0"/>
        <cfvo type="num" val="0.5"/>
        <cfvo type="num" val="1"/>
        <color rgb="FFF8696B"/>
        <color theme="4" tint="0.79998168889431442"/>
        <color rgb="FF5A8AC6"/>
      </colorScale>
    </cfRule>
  </conditionalFormatting>
  <conditionalFormatting sqref="AG187">
    <cfRule type="expression" dxfId="9270" priority="11639" stopIfTrue="1">
      <formula>AG183=""</formula>
    </cfRule>
  </conditionalFormatting>
  <conditionalFormatting sqref="AG187">
    <cfRule type="expression" dxfId="9269" priority="11640" stopIfTrue="1">
      <formula>AG187=1</formula>
    </cfRule>
    <cfRule type="colorScale" priority="11641">
      <colorScale>
        <cfvo type="num" val="0"/>
        <cfvo type="num" val="0.5"/>
        <cfvo type="num" val="1"/>
        <color rgb="FFF8696B"/>
        <color theme="4" tint="0.79998168889431442"/>
        <color rgb="FF5A8AC6"/>
      </colorScale>
    </cfRule>
  </conditionalFormatting>
  <conditionalFormatting sqref="AG193">
    <cfRule type="expression" dxfId="9268" priority="11636" stopIfTrue="1">
      <formula>AG189=""</formula>
    </cfRule>
  </conditionalFormatting>
  <conditionalFormatting sqref="AG193">
    <cfRule type="expression" dxfId="9267" priority="11637" stopIfTrue="1">
      <formula>AG193=1</formula>
    </cfRule>
    <cfRule type="colorScale" priority="11638">
      <colorScale>
        <cfvo type="num" val="0"/>
        <cfvo type="num" val="0.5"/>
        <cfvo type="num" val="1"/>
        <color rgb="FFF8696B"/>
        <color theme="4" tint="0.79998168889431442"/>
        <color rgb="FF5A8AC6"/>
      </colorScale>
    </cfRule>
  </conditionalFormatting>
  <conditionalFormatting sqref="AG181">
    <cfRule type="expression" dxfId="9266" priority="11633" stopIfTrue="1">
      <formula>AG167=""</formula>
    </cfRule>
  </conditionalFormatting>
  <conditionalFormatting sqref="AG181">
    <cfRule type="expression" dxfId="9265" priority="11634" stopIfTrue="1">
      <formula>AG181=1</formula>
    </cfRule>
    <cfRule type="colorScale" priority="11635">
      <colorScale>
        <cfvo type="num" val="0"/>
        <cfvo type="num" val="0.5"/>
        <cfvo type="num" val="1"/>
        <color rgb="FFF8696B"/>
        <color theme="4" tint="0.79998168889431442"/>
        <color rgb="FF5A8AC6"/>
      </colorScale>
    </cfRule>
  </conditionalFormatting>
  <conditionalFormatting sqref="AG209">
    <cfRule type="expression" dxfId="9264" priority="11630" stopIfTrue="1">
      <formula>AG195=""</formula>
    </cfRule>
  </conditionalFormatting>
  <conditionalFormatting sqref="AG209">
    <cfRule type="expression" dxfId="9263" priority="11631" stopIfTrue="1">
      <formula>AG209=1</formula>
    </cfRule>
    <cfRule type="colorScale" priority="11632">
      <colorScale>
        <cfvo type="num" val="0"/>
        <cfvo type="num" val="0.5"/>
        <cfvo type="num" val="1"/>
        <color rgb="FFF8696B"/>
        <color theme="4" tint="0.79998168889431442"/>
        <color rgb="FF5A8AC6"/>
      </colorScale>
    </cfRule>
  </conditionalFormatting>
  <conditionalFormatting sqref="AG225">
    <cfRule type="expression" dxfId="9262" priority="11627" stopIfTrue="1">
      <formula>AG211=""</formula>
    </cfRule>
  </conditionalFormatting>
  <conditionalFormatting sqref="AG225">
    <cfRule type="expression" dxfId="9261" priority="11628" stopIfTrue="1">
      <formula>AG225=1</formula>
    </cfRule>
    <cfRule type="colorScale" priority="11629">
      <colorScale>
        <cfvo type="num" val="0"/>
        <cfvo type="num" val="0.5"/>
        <cfvo type="num" val="1"/>
        <color rgb="FFF8696B"/>
        <color theme="4" tint="0.79998168889431442"/>
        <color rgb="FF5A8AC6"/>
      </colorScale>
    </cfRule>
  </conditionalFormatting>
  <conditionalFormatting sqref="AG71">
    <cfRule type="expression" dxfId="9260" priority="11619" stopIfTrue="1">
      <formula>AG71=1</formula>
    </cfRule>
    <cfRule type="colorScale" priority="11620">
      <colorScale>
        <cfvo type="num" val="0"/>
        <cfvo type="num" val="0.5"/>
        <cfvo type="num" val="1"/>
        <color rgb="FFF8696B"/>
        <color theme="4" tint="0.79998168889431442"/>
        <color rgb="FF5A8AC6"/>
      </colorScale>
    </cfRule>
  </conditionalFormatting>
  <conditionalFormatting sqref="AG147">
    <cfRule type="expression" dxfId="9259" priority="11624" stopIfTrue="1">
      <formula>AG134=""</formula>
    </cfRule>
  </conditionalFormatting>
  <conditionalFormatting sqref="AG147">
    <cfRule type="expression" dxfId="9258" priority="11625" stopIfTrue="1">
      <formula>AG147=1</formula>
    </cfRule>
    <cfRule type="colorScale" priority="11626">
      <colorScale>
        <cfvo type="num" val="0"/>
        <cfvo type="num" val="0.5"/>
        <cfvo type="num" val="1"/>
        <color rgb="FFF8696B"/>
        <color theme="4" tint="0.79998168889431442"/>
        <color rgb="FF5A8AC6"/>
      </colorScale>
    </cfRule>
  </conditionalFormatting>
  <conditionalFormatting sqref="AG131">
    <cfRule type="expression" dxfId="9257" priority="11621" stopIfTrue="1">
      <formula>AG74=""</formula>
    </cfRule>
  </conditionalFormatting>
  <conditionalFormatting sqref="AG131">
    <cfRule type="expression" dxfId="9256" priority="11622" stopIfTrue="1">
      <formula>AG131=1</formula>
    </cfRule>
    <cfRule type="colorScale" priority="11623">
      <colorScale>
        <cfvo type="num" val="0"/>
        <cfvo type="num" val="0.5"/>
        <cfvo type="num" val="1"/>
        <color rgb="FFF8696B"/>
        <color theme="4" tint="0.79998168889431442"/>
        <color rgb="FF5A8AC6"/>
      </colorScale>
    </cfRule>
  </conditionalFormatting>
  <conditionalFormatting sqref="AG71">
    <cfRule type="expression" dxfId="9255" priority="11618" stopIfTrue="1">
      <formula>AG65=""</formula>
    </cfRule>
  </conditionalFormatting>
  <conditionalFormatting sqref="AG195">
    <cfRule type="expression" dxfId="9254" priority="11615">
      <formula>AG195="X"</formula>
    </cfRule>
    <cfRule type="expression" dxfId="9253" priority="11616">
      <formula>AG195="A"</formula>
    </cfRule>
    <cfRule type="expression" dxfId="9252" priority="11617">
      <formula>AG195="T"</formula>
    </cfRule>
  </conditionalFormatting>
  <conditionalFormatting sqref="AG203">
    <cfRule type="expression" dxfId="9251" priority="11612">
      <formula>AG203="X"</formula>
    </cfRule>
    <cfRule type="expression" dxfId="9250" priority="11613">
      <formula>AG203="A"</formula>
    </cfRule>
    <cfRule type="expression" dxfId="9249" priority="11614">
      <formula>AG203="T"</formula>
    </cfRule>
  </conditionalFormatting>
  <conditionalFormatting sqref="AG205">
    <cfRule type="expression" dxfId="9248" priority="11609">
      <formula>AG205="X"</formula>
    </cfRule>
    <cfRule type="expression" dxfId="9247" priority="11610">
      <formula>AG205="A"</formula>
    </cfRule>
    <cfRule type="expression" dxfId="9246" priority="11611">
      <formula>AG205="T"</formula>
    </cfRule>
  </conditionalFormatting>
  <conditionalFormatting sqref="AG207">
    <cfRule type="expression" dxfId="9245" priority="11606">
      <formula>AG207="X"</formula>
    </cfRule>
    <cfRule type="expression" dxfId="9244" priority="11607">
      <formula>AG207="A"</formula>
    </cfRule>
    <cfRule type="expression" dxfId="9243" priority="11608">
      <formula>AG207="T"</formula>
    </cfRule>
  </conditionalFormatting>
  <conditionalFormatting sqref="AG204">
    <cfRule type="expression" dxfId="9242" priority="11603">
      <formula>AG203="X"</formula>
    </cfRule>
    <cfRule type="expression" dxfId="9241" priority="11604">
      <formula>AG203="A"</formula>
    </cfRule>
    <cfRule type="expression" dxfId="9240" priority="11605">
      <formula>AG203="T"</formula>
    </cfRule>
  </conditionalFormatting>
  <conditionalFormatting sqref="AG206">
    <cfRule type="expression" dxfId="9239" priority="11600">
      <formula>AG205="X"</formula>
    </cfRule>
    <cfRule type="expression" dxfId="9238" priority="11601">
      <formula>AG205="A"</formula>
    </cfRule>
    <cfRule type="expression" dxfId="9237" priority="11602">
      <formula>AG205="T"</formula>
    </cfRule>
  </conditionalFormatting>
  <conditionalFormatting sqref="AG196">
    <cfRule type="expression" dxfId="9236" priority="11597">
      <formula>AG195="X"</formula>
    </cfRule>
    <cfRule type="expression" dxfId="9235" priority="11598">
      <formula>AG195="A"</formula>
    </cfRule>
    <cfRule type="expression" dxfId="9234" priority="11599">
      <formula>AG195="T"</formula>
    </cfRule>
  </conditionalFormatting>
  <conditionalFormatting sqref="AG197">
    <cfRule type="expression" dxfId="9233" priority="11594">
      <formula>AG197="X"</formula>
    </cfRule>
    <cfRule type="expression" dxfId="9232" priority="11595">
      <formula>AG197="A"</formula>
    </cfRule>
    <cfRule type="expression" dxfId="9231" priority="11596">
      <formula>AG197="T"</formula>
    </cfRule>
  </conditionalFormatting>
  <conditionalFormatting sqref="AG198">
    <cfRule type="expression" dxfId="9230" priority="11591">
      <formula>AG197="X"</formula>
    </cfRule>
    <cfRule type="expression" dxfId="9229" priority="11592">
      <formula>AG197="A"</formula>
    </cfRule>
    <cfRule type="expression" dxfId="9228" priority="11593">
      <formula>AG197="T"</formula>
    </cfRule>
  </conditionalFormatting>
  <conditionalFormatting sqref="AG199">
    <cfRule type="expression" dxfId="9227" priority="11588">
      <formula>AG199="X"</formula>
    </cfRule>
    <cfRule type="expression" dxfId="9226" priority="11589">
      <formula>AG199="A"</formula>
    </cfRule>
    <cfRule type="expression" dxfId="9225" priority="11590">
      <formula>AG199="T"</formula>
    </cfRule>
  </conditionalFormatting>
  <conditionalFormatting sqref="AG200">
    <cfRule type="expression" dxfId="9224" priority="11585">
      <formula>AG199="X"</formula>
    </cfRule>
    <cfRule type="expression" dxfId="9223" priority="11586">
      <formula>AG199="A"</formula>
    </cfRule>
    <cfRule type="expression" dxfId="9222" priority="11587">
      <formula>AG199="T"</formula>
    </cfRule>
  </conditionalFormatting>
  <conditionalFormatting sqref="AG201">
    <cfRule type="expression" dxfId="9221" priority="11582">
      <formula>AG201="X"</formula>
    </cfRule>
    <cfRule type="expression" dxfId="9220" priority="11583">
      <formula>AG201="A"</formula>
    </cfRule>
    <cfRule type="expression" dxfId="9219" priority="11584">
      <formula>AG201="T"</formula>
    </cfRule>
  </conditionalFormatting>
  <conditionalFormatting sqref="AG202">
    <cfRule type="expression" dxfId="9218" priority="11579">
      <formula>AG201="X"</formula>
    </cfRule>
    <cfRule type="expression" dxfId="9217" priority="11580">
      <formula>AG201="A"</formula>
    </cfRule>
    <cfRule type="expression" dxfId="9216" priority="11581">
      <formula>AG201="T"</formula>
    </cfRule>
  </conditionalFormatting>
  <conditionalFormatting sqref="AG72">
    <cfRule type="expression" dxfId="9215" priority="11576" stopIfTrue="1">
      <formula>AG4=""</formula>
    </cfRule>
  </conditionalFormatting>
  <conditionalFormatting sqref="AG72">
    <cfRule type="expression" dxfId="9214" priority="11577" stopIfTrue="1">
      <formula>AG72=1</formula>
    </cfRule>
    <cfRule type="colorScale" priority="11578">
      <colorScale>
        <cfvo type="num" val="0"/>
        <cfvo type="num" val="0.5"/>
        <cfvo type="num" val="1"/>
        <color rgb="FFF8696B"/>
        <color theme="4" tint="0.79998168889431442"/>
        <color rgb="FF5A8AC6"/>
      </colorScale>
    </cfRule>
  </conditionalFormatting>
  <conditionalFormatting sqref="AG132">
    <cfRule type="expression" dxfId="9213" priority="11574" stopIfTrue="1">
      <formula>AG132=1</formula>
    </cfRule>
    <cfRule type="colorScale" priority="11575">
      <colorScale>
        <cfvo type="num" val="0"/>
        <cfvo type="num" val="0.5"/>
        <cfvo type="num" val="1"/>
        <color rgb="FFF8696B"/>
        <color theme="4" tint="0.79998168889431442"/>
        <color rgb="FF5A8AC6"/>
      </colorScale>
    </cfRule>
  </conditionalFormatting>
  <conditionalFormatting sqref="AG132">
    <cfRule type="expression" dxfId="9212" priority="11573" stopIfTrue="1">
      <formula>AG74=""</formula>
    </cfRule>
  </conditionalFormatting>
  <conditionalFormatting sqref="AG237:AG238">
    <cfRule type="expression" dxfId="9211" priority="11569" stopIfTrue="1">
      <formula>AG237=_xlfn.UNICHAR(10003)</formula>
    </cfRule>
    <cfRule type="colorScale" priority="11570">
      <colorScale>
        <cfvo type="num" val="0"/>
        <cfvo type="num" val="0.5"/>
        <cfvo type="num" val="1"/>
        <color rgb="FFF8696B"/>
        <color theme="4" tint="0.79998168889431442"/>
        <color rgb="FF5A8AC6"/>
      </colorScale>
    </cfRule>
  </conditionalFormatting>
  <conditionalFormatting sqref="AG230:AG236">
    <cfRule type="expression" dxfId="9210" priority="11567" stopIfTrue="1">
      <formula>AG230=_xlfn.UNICHAR(10003)</formula>
    </cfRule>
    <cfRule type="colorScale" priority="11568">
      <colorScale>
        <cfvo type="num" val="0"/>
        <cfvo type="num" val="0.5"/>
        <cfvo type="num" val="1"/>
        <color rgb="FFF8696B"/>
        <color theme="4" tint="0.79998168889431442"/>
        <color rgb="FF5A8AC6"/>
      </colorScale>
    </cfRule>
  </conditionalFormatting>
  <conditionalFormatting sqref="AG239">
    <cfRule type="expression" dxfId="9209" priority="11565" stopIfTrue="1">
      <formula>AG239=_xlfn.UNICHAR(10003)</formula>
    </cfRule>
    <cfRule type="colorScale" priority="11566">
      <colorScale>
        <cfvo type="num" val="0"/>
        <cfvo type="num" val="0.5"/>
        <cfvo type="num" val="1"/>
        <color rgb="FFF8696B"/>
        <color theme="4" tint="0.79998168889431442"/>
        <color rgb="FF5A8AC6"/>
      </colorScale>
    </cfRule>
  </conditionalFormatting>
  <conditionalFormatting sqref="AG239">
    <cfRule type="expression" dxfId="9208" priority="11563" stopIfTrue="1">
      <formula>AG239=1</formula>
    </cfRule>
    <cfRule type="colorScale" priority="11564">
      <colorScale>
        <cfvo type="num" val="0"/>
        <cfvo type="num" val="0.5"/>
        <cfvo type="num" val="1"/>
        <color rgb="FFF8696B"/>
        <color theme="4" tint="0.79998168889431442"/>
        <color rgb="FF5A8AC6"/>
      </colorScale>
    </cfRule>
  </conditionalFormatting>
  <conditionalFormatting sqref="AG228">
    <cfRule type="expression" dxfId="9207" priority="11562" stopIfTrue="1">
      <formula>AG228=UNICAHR(10003)</formula>
    </cfRule>
    <cfRule type="expression" dxfId="9206" priority="11571" stopIfTrue="1">
      <formula>AG228=CONCATENATE(_xlfn.UNICHAR(10003),_xlfn.UNICHAR(10003))</formula>
    </cfRule>
    <cfRule type="colorScale" priority="11572">
      <colorScale>
        <cfvo type="num" val="0"/>
        <cfvo type="num" val="0.5"/>
        <cfvo type="num" val="1"/>
        <color rgb="FFF8696B"/>
        <color theme="4" tint="0.79998168889431442"/>
        <color rgb="FF5A8AC6"/>
      </colorScale>
    </cfRule>
  </conditionalFormatting>
  <conditionalFormatting sqref="AG229 AG238">
    <cfRule type="expression" dxfId="9205" priority="11559" stopIfTrue="1">
      <formula>AG229=_xlfn.UNICHAR(10003)</formula>
    </cfRule>
    <cfRule type="expression" dxfId="9204" priority="11560" stopIfTrue="1">
      <formula>AG229=CONCATENATE(_xlfn.UNICHAR(10003),_xlfn.UNICHAR(10003))</formula>
    </cfRule>
    <cfRule type="colorScale" priority="11561">
      <colorScale>
        <cfvo type="num" val="0"/>
        <cfvo type="num" val="0.5"/>
        <cfvo type="num" val="1"/>
        <color rgb="FFF8696B"/>
        <color theme="4" tint="0.79998168889431442"/>
        <color rgb="FF5A8AC6"/>
      </colorScale>
    </cfRule>
  </conditionalFormatting>
  <conditionalFormatting sqref="AH140">
    <cfRule type="expression" dxfId="9203" priority="11556" stopIfTrue="1">
      <formula>AH134=""</formula>
    </cfRule>
  </conditionalFormatting>
  <conditionalFormatting sqref="AH140">
    <cfRule type="expression" dxfId="9202" priority="11557" stopIfTrue="1">
      <formula>AH140=1</formula>
    </cfRule>
    <cfRule type="colorScale" priority="11558">
      <colorScale>
        <cfvo type="num" val="0"/>
        <cfvo type="num" val="0.5"/>
        <cfvo type="num" val="1"/>
        <color rgb="FFF8696B"/>
        <color theme="4" tint="0.79998168889431442"/>
        <color rgb="FF5A8AC6"/>
      </colorScale>
    </cfRule>
  </conditionalFormatting>
  <conditionalFormatting sqref="AH16 AH18 AH20 AH22 AH24 AH26 AH28 AH39 AH41 AH43 AH45 AH48 AH81 AH88 AH90 AH92 AH94 AH96 AH98 AH100 AH102 AH105 AH107 AH109 AH111 AH116">
    <cfRule type="expression" dxfId="9201" priority="11553">
      <formula>AH16="X"</formula>
    </cfRule>
    <cfRule type="expression" dxfId="9200" priority="11554">
      <formula>AH16="A"</formula>
    </cfRule>
    <cfRule type="expression" dxfId="9199" priority="11555">
      <formula>AH16="T"</formula>
    </cfRule>
  </conditionalFormatting>
  <conditionalFormatting sqref="AH36">
    <cfRule type="expression" dxfId="9198" priority="11550">
      <formula>AH36="X"</formula>
    </cfRule>
    <cfRule type="expression" dxfId="9197" priority="11551">
      <formula>AH36="A"</formula>
    </cfRule>
    <cfRule type="expression" dxfId="9196" priority="11552">
      <formula>AH36="T"</formula>
    </cfRule>
  </conditionalFormatting>
  <conditionalFormatting sqref="AH34">
    <cfRule type="expression" dxfId="9195" priority="11547">
      <formula>AH34="X"</formula>
    </cfRule>
    <cfRule type="expression" dxfId="9194" priority="11548">
      <formula>AH34="A"</formula>
    </cfRule>
    <cfRule type="expression" dxfId="9193" priority="11549">
      <formula>AH34="T"</formula>
    </cfRule>
  </conditionalFormatting>
  <conditionalFormatting sqref="AH32">
    <cfRule type="expression" dxfId="9192" priority="11544">
      <formula>AH32="X"</formula>
    </cfRule>
    <cfRule type="expression" dxfId="9191" priority="11545">
      <formula>AH32="A"</formula>
    </cfRule>
    <cfRule type="expression" dxfId="9190" priority="11546">
      <formula>AH32="T"</formula>
    </cfRule>
  </conditionalFormatting>
  <conditionalFormatting sqref="AH30">
    <cfRule type="expression" dxfId="9189" priority="11541">
      <formula>AH30="X"</formula>
    </cfRule>
    <cfRule type="expression" dxfId="9188" priority="11542">
      <formula>AH30="A"</formula>
    </cfRule>
    <cfRule type="expression" dxfId="9187" priority="11543">
      <formula>AH30="T"</formula>
    </cfRule>
  </conditionalFormatting>
  <conditionalFormatting sqref="AH52">
    <cfRule type="expression" dxfId="9186" priority="11538">
      <formula>AH52="X"</formula>
    </cfRule>
    <cfRule type="expression" dxfId="9185" priority="11539">
      <formula>AH52="A"</formula>
    </cfRule>
    <cfRule type="expression" dxfId="9184" priority="11540">
      <formula>AH52="T"</formula>
    </cfRule>
  </conditionalFormatting>
  <conditionalFormatting sqref="AH50">
    <cfRule type="expression" dxfId="9183" priority="11535">
      <formula>AH50="X"</formula>
    </cfRule>
    <cfRule type="expression" dxfId="9182" priority="11536">
      <formula>AH50="A"</formula>
    </cfRule>
    <cfRule type="expression" dxfId="9181" priority="11537">
      <formula>AH50="T"</formula>
    </cfRule>
  </conditionalFormatting>
  <conditionalFormatting sqref="AH54">
    <cfRule type="expression" dxfId="9180" priority="11532">
      <formula>AH54="X"</formula>
    </cfRule>
    <cfRule type="expression" dxfId="9179" priority="11533">
      <formula>AH54="A"</formula>
    </cfRule>
    <cfRule type="expression" dxfId="9178" priority="11534">
      <formula>AH54="T"</formula>
    </cfRule>
  </conditionalFormatting>
  <conditionalFormatting sqref="AH56">
    <cfRule type="expression" dxfId="9177" priority="11529">
      <formula>AH56="X"</formula>
    </cfRule>
    <cfRule type="expression" dxfId="9176" priority="11530">
      <formula>AH56="A"</formula>
    </cfRule>
    <cfRule type="expression" dxfId="9175" priority="11531">
      <formula>AH56="T"</formula>
    </cfRule>
  </conditionalFormatting>
  <conditionalFormatting sqref="AH58">
    <cfRule type="expression" dxfId="9174" priority="11526">
      <formula>AH58="X"</formula>
    </cfRule>
    <cfRule type="expression" dxfId="9173" priority="11527">
      <formula>AH58="A"</formula>
    </cfRule>
    <cfRule type="expression" dxfId="9172" priority="11528">
      <formula>AH58="T"</formula>
    </cfRule>
  </conditionalFormatting>
  <conditionalFormatting sqref="AH63">
    <cfRule type="expression" dxfId="9171" priority="11523">
      <formula>AH63="X"</formula>
    </cfRule>
    <cfRule type="expression" dxfId="9170" priority="11524">
      <formula>AH63="A"</formula>
    </cfRule>
    <cfRule type="expression" dxfId="9169" priority="11525">
      <formula>AH63="T"</formula>
    </cfRule>
  </conditionalFormatting>
  <conditionalFormatting sqref="AH65">
    <cfRule type="expression" dxfId="9168" priority="11520">
      <formula>AH65="X"</formula>
    </cfRule>
    <cfRule type="expression" dxfId="9167" priority="11521">
      <formula>AH65="A"</formula>
    </cfRule>
    <cfRule type="expression" dxfId="9166" priority="11522">
      <formula>AH65="T"</formula>
    </cfRule>
  </conditionalFormatting>
  <conditionalFormatting sqref="AH83">
    <cfRule type="expression" dxfId="9165" priority="11517">
      <formula>AH83="X"</formula>
    </cfRule>
    <cfRule type="expression" dxfId="9164" priority="11518">
      <formula>AH83="A"</formula>
    </cfRule>
    <cfRule type="expression" dxfId="9163" priority="11519">
      <formula>AH83="T"</formula>
    </cfRule>
  </conditionalFormatting>
  <conditionalFormatting sqref="AH85">
    <cfRule type="expression" dxfId="9162" priority="11514">
      <formula>AH85="X"</formula>
    </cfRule>
    <cfRule type="expression" dxfId="9161" priority="11515">
      <formula>AH85="A"</formula>
    </cfRule>
    <cfRule type="expression" dxfId="9160" priority="11516">
      <formula>AH85="T"</formula>
    </cfRule>
  </conditionalFormatting>
  <conditionalFormatting sqref="AH67">
    <cfRule type="expression" dxfId="9159" priority="11511">
      <formula>AH67="X"</formula>
    </cfRule>
    <cfRule type="expression" dxfId="9158" priority="11512">
      <formula>AH67="A"</formula>
    </cfRule>
    <cfRule type="expression" dxfId="9157" priority="11513">
      <formula>AH67="T"</formula>
    </cfRule>
  </conditionalFormatting>
  <conditionalFormatting sqref="AH113">
    <cfRule type="expression" dxfId="9156" priority="11508">
      <formula>AH113="X"</formula>
    </cfRule>
    <cfRule type="expression" dxfId="9155" priority="11509">
      <formula>AH113="A"</formula>
    </cfRule>
    <cfRule type="expression" dxfId="9154" priority="11510">
      <formula>AH113="T"</formula>
    </cfRule>
  </conditionalFormatting>
  <conditionalFormatting sqref="AH118">
    <cfRule type="expression" dxfId="9153" priority="11505">
      <formula>AH118="X"</formula>
    </cfRule>
    <cfRule type="expression" dxfId="9152" priority="11506">
      <formula>AH118="A"</formula>
    </cfRule>
    <cfRule type="expression" dxfId="9151" priority="11507">
      <formula>AH118="T"</formula>
    </cfRule>
  </conditionalFormatting>
  <conditionalFormatting sqref="AH120">
    <cfRule type="expression" dxfId="9150" priority="11502">
      <formula>AH120="X"</formula>
    </cfRule>
    <cfRule type="expression" dxfId="9149" priority="11503">
      <formula>AH120="A"</formula>
    </cfRule>
    <cfRule type="expression" dxfId="9148" priority="11504">
      <formula>AH120="T"</formula>
    </cfRule>
  </conditionalFormatting>
  <conditionalFormatting sqref="AH122">
    <cfRule type="expression" dxfId="9147" priority="11499">
      <formula>AH122="X"</formula>
    </cfRule>
    <cfRule type="expression" dxfId="9146" priority="11500">
      <formula>AH122="A"</formula>
    </cfRule>
    <cfRule type="expression" dxfId="9145" priority="11501">
      <formula>AH122="T"</formula>
    </cfRule>
  </conditionalFormatting>
  <conditionalFormatting sqref="AH125">
    <cfRule type="expression" dxfId="9144" priority="11496">
      <formula>AH125="X"</formula>
    </cfRule>
    <cfRule type="expression" dxfId="9143" priority="11497">
      <formula>AH125="A"</formula>
    </cfRule>
    <cfRule type="expression" dxfId="9142" priority="11498">
      <formula>AH125="T"</formula>
    </cfRule>
  </conditionalFormatting>
  <conditionalFormatting sqref="AH127">
    <cfRule type="expression" dxfId="9141" priority="11493">
      <formula>AH127="X"</formula>
    </cfRule>
    <cfRule type="expression" dxfId="9140" priority="11494">
      <formula>AH127="A"</formula>
    </cfRule>
    <cfRule type="expression" dxfId="9139" priority="11495">
      <formula>AH127="T"</formula>
    </cfRule>
  </conditionalFormatting>
  <conditionalFormatting sqref="AH149">
    <cfRule type="expression" dxfId="9138" priority="11490">
      <formula>AH149="X"</formula>
    </cfRule>
    <cfRule type="expression" dxfId="9137" priority="11491">
      <formula>AH149="A"</formula>
    </cfRule>
    <cfRule type="expression" dxfId="9136" priority="11492">
      <formula>AH149="T"</formula>
    </cfRule>
  </conditionalFormatting>
  <conditionalFormatting sqref="AH151">
    <cfRule type="expression" dxfId="9135" priority="11487">
      <formula>AH151="X"</formula>
    </cfRule>
    <cfRule type="expression" dxfId="9134" priority="11488">
      <formula>AH151="A"</formula>
    </cfRule>
    <cfRule type="expression" dxfId="9133" priority="11489">
      <formula>AH151="T"</formula>
    </cfRule>
  </conditionalFormatting>
  <conditionalFormatting sqref="AH155">
    <cfRule type="expression" dxfId="9132" priority="11484">
      <formula>AH155="X"</formula>
    </cfRule>
    <cfRule type="expression" dxfId="9131" priority="11485">
      <formula>AH155="A"</formula>
    </cfRule>
    <cfRule type="expression" dxfId="9130" priority="11486">
      <formula>AH155="T"</formula>
    </cfRule>
  </conditionalFormatting>
  <conditionalFormatting sqref="AH157">
    <cfRule type="expression" dxfId="9129" priority="11481">
      <formula>AH157="X"</formula>
    </cfRule>
    <cfRule type="expression" dxfId="9128" priority="11482">
      <formula>AH157="A"</formula>
    </cfRule>
    <cfRule type="expression" dxfId="9127" priority="11483">
      <formula>AH157="T"</formula>
    </cfRule>
  </conditionalFormatting>
  <conditionalFormatting sqref="AH167">
    <cfRule type="expression" dxfId="9126" priority="11478">
      <formula>AH167="X"</formula>
    </cfRule>
    <cfRule type="expression" dxfId="9125" priority="11479">
      <formula>AH167="A"</formula>
    </cfRule>
    <cfRule type="expression" dxfId="9124" priority="11480">
      <formula>AH167="T"</formula>
    </cfRule>
  </conditionalFormatting>
  <conditionalFormatting sqref="AH173">
    <cfRule type="expression" dxfId="9123" priority="11475">
      <formula>AH173="X"</formula>
    </cfRule>
    <cfRule type="expression" dxfId="9122" priority="11476">
      <formula>AH173="A"</formula>
    </cfRule>
    <cfRule type="expression" dxfId="9121" priority="11477">
      <formula>AH173="T"</formula>
    </cfRule>
  </conditionalFormatting>
  <conditionalFormatting sqref="AH175">
    <cfRule type="expression" dxfId="9120" priority="11472">
      <formula>AH175="X"</formula>
    </cfRule>
    <cfRule type="expression" dxfId="9119" priority="11473">
      <formula>AH175="A"</formula>
    </cfRule>
    <cfRule type="expression" dxfId="9118" priority="11474">
      <formula>AH175="T"</formula>
    </cfRule>
  </conditionalFormatting>
  <conditionalFormatting sqref="AH177">
    <cfRule type="expression" dxfId="9117" priority="11469">
      <formula>AH177="X"</formula>
    </cfRule>
    <cfRule type="expression" dxfId="9116" priority="11470">
      <formula>AH177="A"</formula>
    </cfRule>
    <cfRule type="expression" dxfId="9115" priority="11471">
      <formula>AH177="T"</formula>
    </cfRule>
  </conditionalFormatting>
  <conditionalFormatting sqref="AH179">
    <cfRule type="expression" dxfId="9114" priority="11466">
      <formula>AH179="X"</formula>
    </cfRule>
    <cfRule type="expression" dxfId="9113" priority="11467">
      <formula>AH179="A"</formula>
    </cfRule>
    <cfRule type="expression" dxfId="9112" priority="11468">
      <formula>AH179="T"</formula>
    </cfRule>
  </conditionalFormatting>
  <conditionalFormatting sqref="AH169">
    <cfRule type="expression" dxfId="9111" priority="11463">
      <formula>AH169="X"</formula>
    </cfRule>
    <cfRule type="expression" dxfId="9110" priority="11464">
      <formula>AH169="A"</formula>
    </cfRule>
    <cfRule type="expression" dxfId="9109" priority="11465">
      <formula>AH169="T"</formula>
    </cfRule>
  </conditionalFormatting>
  <conditionalFormatting sqref="AH171">
    <cfRule type="expression" dxfId="9108" priority="11460">
      <formula>AH171="X"</formula>
    </cfRule>
    <cfRule type="expression" dxfId="9107" priority="11461">
      <formula>AH171="A"</formula>
    </cfRule>
    <cfRule type="expression" dxfId="9106" priority="11462">
      <formula>AH171="T"</formula>
    </cfRule>
  </conditionalFormatting>
  <conditionalFormatting sqref="AH189">
    <cfRule type="expression" dxfId="9105" priority="11457">
      <formula>AH189="X"</formula>
    </cfRule>
    <cfRule type="expression" dxfId="9104" priority="11458">
      <formula>AH189="A"</formula>
    </cfRule>
    <cfRule type="expression" dxfId="9103" priority="11459">
      <formula>AH189="T"</formula>
    </cfRule>
  </conditionalFormatting>
  <conditionalFormatting sqref="AH191">
    <cfRule type="expression" dxfId="9102" priority="11454">
      <formula>AH191="X"</formula>
    </cfRule>
    <cfRule type="expression" dxfId="9101" priority="11455">
      <formula>AH191="A"</formula>
    </cfRule>
    <cfRule type="expression" dxfId="9100" priority="11456">
      <formula>AH191="T"</formula>
    </cfRule>
  </conditionalFormatting>
  <conditionalFormatting sqref="AH11">
    <cfRule type="expression" dxfId="9099" priority="11451">
      <formula>AH11="X"</formula>
    </cfRule>
    <cfRule type="expression" dxfId="9098" priority="11452">
      <formula>AH11="A"</formula>
    </cfRule>
    <cfRule type="expression" dxfId="9097" priority="11453">
      <formula>AH11="T"</formula>
    </cfRule>
  </conditionalFormatting>
  <conditionalFormatting sqref="AH12">
    <cfRule type="expression" dxfId="9096" priority="11448">
      <formula>AH11="X"</formula>
    </cfRule>
    <cfRule type="expression" dxfId="9095" priority="11449">
      <formula>AH11="A"</formula>
    </cfRule>
    <cfRule type="expression" dxfId="9094" priority="11450">
      <formula>AH11="T"</formula>
    </cfRule>
  </conditionalFormatting>
  <conditionalFormatting sqref="AH13">
    <cfRule type="expression" dxfId="9093" priority="11445">
      <formula>AH13="X"</formula>
    </cfRule>
    <cfRule type="expression" dxfId="9092" priority="11446">
      <formula>AH13="A"</formula>
    </cfRule>
    <cfRule type="expression" dxfId="9091" priority="11447">
      <formula>AH13="T"</formula>
    </cfRule>
  </conditionalFormatting>
  <conditionalFormatting sqref="AH14">
    <cfRule type="expression" dxfId="9090" priority="11442">
      <formula>AH13="X"</formula>
    </cfRule>
    <cfRule type="expression" dxfId="9089" priority="11443">
      <formula>AH13="A"</formula>
    </cfRule>
    <cfRule type="expression" dxfId="9088" priority="11444">
      <formula>AH13="T"</formula>
    </cfRule>
  </conditionalFormatting>
  <conditionalFormatting sqref="AH17">
    <cfRule type="expression" dxfId="9087" priority="11439">
      <formula>AH16="X"</formula>
    </cfRule>
    <cfRule type="expression" dxfId="9086" priority="11440">
      <formula>AH16="A"</formula>
    </cfRule>
    <cfRule type="expression" dxfId="9085" priority="11441">
      <formula>AH16="T"</formula>
    </cfRule>
  </conditionalFormatting>
  <conditionalFormatting sqref="AH19">
    <cfRule type="expression" dxfId="9084" priority="11433">
      <formula>AH18="X"</formula>
    </cfRule>
    <cfRule type="expression" dxfId="9083" priority="11434">
      <formula>AH18="A"</formula>
    </cfRule>
    <cfRule type="expression" dxfId="9082" priority="11435">
      <formula>AH18="T"</formula>
    </cfRule>
  </conditionalFormatting>
  <conditionalFormatting sqref="AH21">
    <cfRule type="expression" dxfId="9081" priority="11430">
      <formula>AH20="X"</formula>
    </cfRule>
    <cfRule type="expression" dxfId="9080" priority="11431">
      <formula>AH20="A"</formula>
    </cfRule>
    <cfRule type="expression" dxfId="9079" priority="11432">
      <formula>AH20="T"</formula>
    </cfRule>
  </conditionalFormatting>
  <conditionalFormatting sqref="AH23">
    <cfRule type="expression" dxfId="9078" priority="11427">
      <formula>AH22="X"</formula>
    </cfRule>
    <cfRule type="expression" dxfId="9077" priority="11428">
      <formula>AH22="A"</formula>
    </cfRule>
    <cfRule type="expression" dxfId="9076" priority="11429">
      <formula>AH22="T"</formula>
    </cfRule>
  </conditionalFormatting>
  <conditionalFormatting sqref="AH25">
    <cfRule type="expression" dxfId="9075" priority="11424">
      <formula>AH24="X"</formula>
    </cfRule>
    <cfRule type="expression" dxfId="9074" priority="11425">
      <formula>AH24="A"</formula>
    </cfRule>
    <cfRule type="expression" dxfId="9073" priority="11426">
      <formula>AH24="T"</formula>
    </cfRule>
  </conditionalFormatting>
  <conditionalFormatting sqref="AH27">
    <cfRule type="expression" dxfId="9072" priority="11421">
      <formula>AH26="X"</formula>
    </cfRule>
    <cfRule type="expression" dxfId="9071" priority="11422">
      <formula>AH26="A"</formula>
    </cfRule>
    <cfRule type="expression" dxfId="9070" priority="11423">
      <formula>AH26="T"</formula>
    </cfRule>
  </conditionalFormatting>
  <conditionalFormatting sqref="AH29">
    <cfRule type="expression" dxfId="9069" priority="11418">
      <formula>AH28="X"</formula>
    </cfRule>
    <cfRule type="expression" dxfId="9068" priority="11419">
      <formula>AH28="A"</formula>
    </cfRule>
    <cfRule type="expression" dxfId="9067" priority="11420">
      <formula>AH28="T"</formula>
    </cfRule>
  </conditionalFormatting>
  <conditionalFormatting sqref="AH31">
    <cfRule type="expression" dxfId="9066" priority="11415">
      <formula>AH30="X"</formula>
    </cfRule>
    <cfRule type="expression" dxfId="9065" priority="11416">
      <formula>AH30="A"</formula>
    </cfRule>
    <cfRule type="expression" dxfId="9064" priority="11417">
      <formula>AH30="T"</formula>
    </cfRule>
  </conditionalFormatting>
  <conditionalFormatting sqref="AH33">
    <cfRule type="expression" dxfId="9063" priority="11412">
      <formula>AH32="X"</formula>
    </cfRule>
    <cfRule type="expression" dxfId="9062" priority="11413">
      <formula>AH32="A"</formula>
    </cfRule>
    <cfRule type="expression" dxfId="9061" priority="11414">
      <formula>AH32="T"</formula>
    </cfRule>
  </conditionalFormatting>
  <conditionalFormatting sqref="AH35">
    <cfRule type="expression" dxfId="9060" priority="11409">
      <formula>AH34="X"</formula>
    </cfRule>
    <cfRule type="expression" dxfId="9059" priority="11410">
      <formula>AH34="A"</formula>
    </cfRule>
    <cfRule type="expression" dxfId="9058" priority="11411">
      <formula>AH34="T"</formula>
    </cfRule>
  </conditionalFormatting>
  <conditionalFormatting sqref="AH37">
    <cfRule type="expression" dxfId="9057" priority="11406">
      <formula>AH36="X"</formula>
    </cfRule>
    <cfRule type="expression" dxfId="9056" priority="11407">
      <formula>AH36="A"</formula>
    </cfRule>
    <cfRule type="expression" dxfId="9055" priority="11408">
      <formula>AH36="T"</formula>
    </cfRule>
  </conditionalFormatting>
  <conditionalFormatting sqref="AH40">
    <cfRule type="expression" dxfId="9054" priority="11403">
      <formula>AH39="X"</formula>
    </cfRule>
    <cfRule type="expression" dxfId="9053" priority="11404">
      <formula>AH39="A"</formula>
    </cfRule>
    <cfRule type="expression" dxfId="9052" priority="11405">
      <formula>AH39="T"</formula>
    </cfRule>
  </conditionalFormatting>
  <conditionalFormatting sqref="AH42">
    <cfRule type="expression" dxfId="9051" priority="11400">
      <formula>AH41="X"</formula>
    </cfRule>
    <cfRule type="expression" dxfId="9050" priority="11401">
      <formula>AH41="A"</formula>
    </cfRule>
    <cfRule type="expression" dxfId="9049" priority="11402">
      <formula>AH41="T"</formula>
    </cfRule>
  </conditionalFormatting>
  <conditionalFormatting sqref="AH44">
    <cfRule type="expression" dxfId="9048" priority="11397">
      <formula>AH43="X"</formula>
    </cfRule>
    <cfRule type="expression" dxfId="9047" priority="11398">
      <formula>AH43="A"</formula>
    </cfRule>
    <cfRule type="expression" dxfId="9046" priority="11399">
      <formula>AH43="T"</formula>
    </cfRule>
  </conditionalFormatting>
  <conditionalFormatting sqref="AH46">
    <cfRule type="expression" dxfId="9045" priority="11394">
      <formula>AH45="X"</formula>
    </cfRule>
    <cfRule type="expression" dxfId="9044" priority="11395">
      <formula>AH45="A"</formula>
    </cfRule>
    <cfRule type="expression" dxfId="9043" priority="11396">
      <formula>AH45="T"</formula>
    </cfRule>
  </conditionalFormatting>
  <conditionalFormatting sqref="AH49">
    <cfRule type="expression" dxfId="9042" priority="11391">
      <formula>AH48="X"</formula>
    </cfRule>
    <cfRule type="expression" dxfId="9041" priority="11392">
      <formula>AH48="A"</formula>
    </cfRule>
    <cfRule type="expression" dxfId="9040" priority="11393">
      <formula>AH48="T"</formula>
    </cfRule>
  </conditionalFormatting>
  <conditionalFormatting sqref="AH51">
    <cfRule type="expression" dxfId="9039" priority="11388">
      <formula>AH50="X"</formula>
    </cfRule>
    <cfRule type="expression" dxfId="9038" priority="11389">
      <formula>AH50="A"</formula>
    </cfRule>
    <cfRule type="expression" dxfId="9037" priority="11390">
      <formula>AH50="T"</formula>
    </cfRule>
  </conditionalFormatting>
  <conditionalFormatting sqref="AH53">
    <cfRule type="expression" dxfId="9036" priority="11385">
      <formula>AH52="X"</formula>
    </cfRule>
    <cfRule type="expression" dxfId="9035" priority="11386">
      <formula>AH52="A"</formula>
    </cfRule>
    <cfRule type="expression" dxfId="9034" priority="11387">
      <formula>AH52="T"</formula>
    </cfRule>
  </conditionalFormatting>
  <conditionalFormatting sqref="AH55">
    <cfRule type="expression" dxfId="9033" priority="11382">
      <formula>AH54="X"</formula>
    </cfRule>
    <cfRule type="expression" dxfId="9032" priority="11383">
      <formula>AH54="A"</formula>
    </cfRule>
    <cfRule type="expression" dxfId="9031" priority="11384">
      <formula>AH54="T"</formula>
    </cfRule>
  </conditionalFormatting>
  <conditionalFormatting sqref="AH57">
    <cfRule type="expression" dxfId="9030" priority="11379">
      <formula>AH56="X"</formula>
    </cfRule>
    <cfRule type="expression" dxfId="9029" priority="11380">
      <formula>AH56="A"</formula>
    </cfRule>
    <cfRule type="expression" dxfId="9028" priority="11381">
      <formula>AH56="T"</formula>
    </cfRule>
  </conditionalFormatting>
  <conditionalFormatting sqref="AH59">
    <cfRule type="expression" dxfId="9027" priority="11376">
      <formula>AH58="X"</formula>
    </cfRule>
    <cfRule type="expression" dxfId="9026" priority="11377">
      <formula>AH58="A"</formula>
    </cfRule>
    <cfRule type="expression" dxfId="9025" priority="11378">
      <formula>AH58="T"</formula>
    </cfRule>
  </conditionalFormatting>
  <conditionalFormatting sqref="AH64">
    <cfRule type="expression" dxfId="9024" priority="11373">
      <formula>AH63="X"</formula>
    </cfRule>
    <cfRule type="expression" dxfId="9023" priority="11374">
      <formula>AH63="A"</formula>
    </cfRule>
    <cfRule type="expression" dxfId="9022" priority="11375">
      <formula>AH63="T"</formula>
    </cfRule>
  </conditionalFormatting>
  <conditionalFormatting sqref="AH66">
    <cfRule type="expression" dxfId="9021" priority="11370">
      <formula>AH65="X"</formula>
    </cfRule>
    <cfRule type="expression" dxfId="9020" priority="11371">
      <formula>AH65="A"</formula>
    </cfRule>
    <cfRule type="expression" dxfId="9019" priority="11372">
      <formula>AH65="T"</formula>
    </cfRule>
  </conditionalFormatting>
  <conditionalFormatting sqref="AH68">
    <cfRule type="expression" dxfId="9018" priority="11367">
      <formula>AH67="X"</formula>
    </cfRule>
    <cfRule type="expression" dxfId="9017" priority="11368">
      <formula>AH67="A"</formula>
    </cfRule>
    <cfRule type="expression" dxfId="9016" priority="11369">
      <formula>AH67="T"</formula>
    </cfRule>
  </conditionalFormatting>
  <conditionalFormatting sqref="AH82">
    <cfRule type="expression" dxfId="9015" priority="11364">
      <formula>AH81="X"</formula>
    </cfRule>
    <cfRule type="expression" dxfId="9014" priority="11365">
      <formula>AH81="A"</formula>
    </cfRule>
    <cfRule type="expression" dxfId="9013" priority="11366">
      <formula>AH81="T"</formula>
    </cfRule>
  </conditionalFormatting>
  <conditionalFormatting sqref="AH84">
    <cfRule type="expression" dxfId="9012" priority="11361">
      <formula>AH83="X"</formula>
    </cfRule>
    <cfRule type="expression" dxfId="9011" priority="11362">
      <formula>AH83="A"</formula>
    </cfRule>
    <cfRule type="expression" dxfId="9010" priority="11363">
      <formula>AH83="T"</formula>
    </cfRule>
  </conditionalFormatting>
  <conditionalFormatting sqref="AH86">
    <cfRule type="expression" dxfId="9009" priority="11358">
      <formula>AH85="X"</formula>
    </cfRule>
    <cfRule type="expression" dxfId="9008" priority="11359">
      <formula>AH85="A"</formula>
    </cfRule>
    <cfRule type="expression" dxfId="9007" priority="11360">
      <formula>AH85="T"</formula>
    </cfRule>
  </conditionalFormatting>
  <conditionalFormatting sqref="AH89">
    <cfRule type="expression" dxfId="9006" priority="11355">
      <formula>AH88="X"</formula>
    </cfRule>
    <cfRule type="expression" dxfId="9005" priority="11356">
      <formula>AH88="A"</formula>
    </cfRule>
    <cfRule type="expression" dxfId="9004" priority="11357">
      <formula>AH88="T"</formula>
    </cfRule>
  </conditionalFormatting>
  <conditionalFormatting sqref="AH91">
    <cfRule type="expression" dxfId="9003" priority="11352">
      <formula>AH90="X"</formula>
    </cfRule>
    <cfRule type="expression" dxfId="9002" priority="11353">
      <formula>AH90="A"</formula>
    </cfRule>
    <cfRule type="expression" dxfId="9001" priority="11354">
      <formula>AH90="T"</formula>
    </cfRule>
  </conditionalFormatting>
  <conditionalFormatting sqref="AH93">
    <cfRule type="expression" dxfId="9000" priority="11349">
      <formula>AH92="X"</formula>
    </cfRule>
    <cfRule type="expression" dxfId="8999" priority="11350">
      <formula>AH92="A"</formula>
    </cfRule>
    <cfRule type="expression" dxfId="8998" priority="11351">
      <formula>AH92="T"</formula>
    </cfRule>
  </conditionalFormatting>
  <conditionalFormatting sqref="AH95">
    <cfRule type="expression" dxfId="8997" priority="11346">
      <formula>AH94="X"</formula>
    </cfRule>
    <cfRule type="expression" dxfId="8996" priority="11347">
      <formula>AH94="A"</formula>
    </cfRule>
    <cfRule type="expression" dxfId="8995" priority="11348">
      <formula>AH94="T"</formula>
    </cfRule>
  </conditionalFormatting>
  <conditionalFormatting sqref="AH97">
    <cfRule type="expression" dxfId="8994" priority="11343">
      <formula>AH96="X"</formula>
    </cfRule>
    <cfRule type="expression" dxfId="8993" priority="11344">
      <formula>AH96="A"</formula>
    </cfRule>
    <cfRule type="expression" dxfId="8992" priority="11345">
      <formula>AH96="T"</formula>
    </cfRule>
  </conditionalFormatting>
  <conditionalFormatting sqref="AH99">
    <cfRule type="expression" dxfId="8991" priority="11340">
      <formula>AH98="X"</formula>
    </cfRule>
    <cfRule type="expression" dxfId="8990" priority="11341">
      <formula>AH98="A"</formula>
    </cfRule>
    <cfRule type="expression" dxfId="8989" priority="11342">
      <formula>AH98="T"</formula>
    </cfRule>
  </conditionalFormatting>
  <conditionalFormatting sqref="AH101">
    <cfRule type="expression" dxfId="8988" priority="11337">
      <formula>AH100="X"</formula>
    </cfRule>
    <cfRule type="expression" dxfId="8987" priority="11338">
      <formula>AH100="A"</formula>
    </cfRule>
    <cfRule type="expression" dxfId="8986" priority="11339">
      <formula>AH100="T"</formula>
    </cfRule>
  </conditionalFormatting>
  <conditionalFormatting sqref="AH103">
    <cfRule type="expression" dxfId="8985" priority="11334">
      <formula>AH102="X"</formula>
    </cfRule>
    <cfRule type="expression" dxfId="8984" priority="11335">
      <formula>AH102="A"</formula>
    </cfRule>
    <cfRule type="expression" dxfId="8983" priority="11336">
      <formula>AH102="T"</formula>
    </cfRule>
  </conditionalFormatting>
  <conditionalFormatting sqref="AH106">
    <cfRule type="expression" dxfId="8982" priority="11331">
      <formula>AH105="X"</formula>
    </cfRule>
    <cfRule type="expression" dxfId="8981" priority="11332">
      <formula>AH105="A"</formula>
    </cfRule>
    <cfRule type="expression" dxfId="8980" priority="11333">
      <formula>AH105="T"</formula>
    </cfRule>
  </conditionalFormatting>
  <conditionalFormatting sqref="AH108">
    <cfRule type="expression" dxfId="8979" priority="11328">
      <formula>AH107="X"</formula>
    </cfRule>
    <cfRule type="expression" dxfId="8978" priority="11329">
      <formula>AH107="A"</formula>
    </cfRule>
    <cfRule type="expression" dxfId="8977" priority="11330">
      <formula>AH107="T"</formula>
    </cfRule>
  </conditionalFormatting>
  <conditionalFormatting sqref="AH110">
    <cfRule type="expression" dxfId="8976" priority="11325">
      <formula>AH109="X"</formula>
    </cfRule>
    <cfRule type="expression" dxfId="8975" priority="11326">
      <formula>AH109="A"</formula>
    </cfRule>
    <cfRule type="expression" dxfId="8974" priority="11327">
      <formula>AH109="T"</formula>
    </cfRule>
  </conditionalFormatting>
  <conditionalFormatting sqref="AH112">
    <cfRule type="expression" dxfId="8973" priority="11322">
      <formula>AH111="X"</formula>
    </cfRule>
    <cfRule type="expression" dxfId="8972" priority="11323">
      <formula>AH111="A"</formula>
    </cfRule>
    <cfRule type="expression" dxfId="8971" priority="11324">
      <formula>AH111="T"</formula>
    </cfRule>
  </conditionalFormatting>
  <conditionalFormatting sqref="AH114">
    <cfRule type="expression" dxfId="8970" priority="11319">
      <formula>AH113="X"</formula>
    </cfRule>
    <cfRule type="expression" dxfId="8969" priority="11320">
      <formula>AH113="A"</formula>
    </cfRule>
    <cfRule type="expression" dxfId="8968" priority="11321">
      <formula>AH113="T"</formula>
    </cfRule>
  </conditionalFormatting>
  <conditionalFormatting sqref="AH117">
    <cfRule type="expression" dxfId="8967" priority="11316">
      <formula>AH116="X"</formula>
    </cfRule>
    <cfRule type="expression" dxfId="8966" priority="11317">
      <formula>AH116="A"</formula>
    </cfRule>
    <cfRule type="expression" dxfId="8965" priority="11318">
      <formula>AH116="T"</formula>
    </cfRule>
  </conditionalFormatting>
  <conditionalFormatting sqref="AH119">
    <cfRule type="expression" dxfId="8964" priority="11313">
      <formula>AH118="X"</formula>
    </cfRule>
    <cfRule type="expression" dxfId="8963" priority="11314">
      <formula>AH118="A"</formula>
    </cfRule>
    <cfRule type="expression" dxfId="8962" priority="11315">
      <formula>AH118="T"</formula>
    </cfRule>
  </conditionalFormatting>
  <conditionalFormatting sqref="AH121">
    <cfRule type="expression" dxfId="8961" priority="11310">
      <formula>AH120="X"</formula>
    </cfRule>
    <cfRule type="expression" dxfId="8960" priority="11311">
      <formula>AH120="A"</formula>
    </cfRule>
    <cfRule type="expression" dxfId="8959" priority="11312">
      <formula>AH120="T"</formula>
    </cfRule>
  </conditionalFormatting>
  <conditionalFormatting sqref="AH123">
    <cfRule type="expression" dxfId="8958" priority="11307">
      <formula>AH122="X"</formula>
    </cfRule>
    <cfRule type="expression" dxfId="8957" priority="11308">
      <formula>AH122="A"</formula>
    </cfRule>
    <cfRule type="expression" dxfId="8956" priority="11309">
      <formula>AH122="T"</formula>
    </cfRule>
  </conditionalFormatting>
  <conditionalFormatting sqref="AH126">
    <cfRule type="expression" dxfId="8955" priority="11304">
      <formula>AH125="X"</formula>
    </cfRule>
    <cfRule type="expression" dxfId="8954" priority="11305">
      <formula>AH125="A"</formula>
    </cfRule>
    <cfRule type="expression" dxfId="8953" priority="11306">
      <formula>AH125="T"</formula>
    </cfRule>
  </conditionalFormatting>
  <conditionalFormatting sqref="AH128">
    <cfRule type="expression" dxfId="8952" priority="11301">
      <formula>AH127="X"</formula>
    </cfRule>
    <cfRule type="expression" dxfId="8951" priority="11302">
      <formula>AH127="A"</formula>
    </cfRule>
    <cfRule type="expression" dxfId="8950" priority="11303">
      <formula>AH127="T"</formula>
    </cfRule>
  </conditionalFormatting>
  <conditionalFormatting sqref="AH144">
    <cfRule type="expression" dxfId="8949" priority="11298">
      <formula>AH143="X"</formula>
    </cfRule>
    <cfRule type="expression" dxfId="8948" priority="11299">
      <formula>AH143="A"</formula>
    </cfRule>
    <cfRule type="expression" dxfId="8947" priority="11300">
      <formula>AH143="T"</formula>
    </cfRule>
  </conditionalFormatting>
  <conditionalFormatting sqref="AH150">
    <cfRule type="expression" dxfId="8946" priority="11295">
      <formula>AH149="X"</formula>
    </cfRule>
    <cfRule type="expression" dxfId="8945" priority="11296">
      <formula>AH149="A"</formula>
    </cfRule>
    <cfRule type="expression" dxfId="8944" priority="11297">
      <formula>AH149="T"</formula>
    </cfRule>
  </conditionalFormatting>
  <conditionalFormatting sqref="AH152">
    <cfRule type="expression" dxfId="8943" priority="11292">
      <formula>AH151="X"</formula>
    </cfRule>
    <cfRule type="expression" dxfId="8942" priority="11293">
      <formula>AH151="A"</formula>
    </cfRule>
    <cfRule type="expression" dxfId="8941" priority="11294">
      <formula>AH151="T"</formula>
    </cfRule>
  </conditionalFormatting>
  <conditionalFormatting sqref="AH156">
    <cfRule type="expression" dxfId="8940" priority="11289">
      <formula>AH155="X"</formula>
    </cfRule>
    <cfRule type="expression" dxfId="8939" priority="11290">
      <formula>AH155="A"</formula>
    </cfRule>
    <cfRule type="expression" dxfId="8938" priority="11291">
      <formula>AH155="T"</formula>
    </cfRule>
  </conditionalFormatting>
  <conditionalFormatting sqref="AH168">
    <cfRule type="expression" dxfId="8937" priority="11283">
      <formula>AH167="X"</formula>
    </cfRule>
    <cfRule type="expression" dxfId="8936" priority="11284">
      <formula>AH167="A"</formula>
    </cfRule>
    <cfRule type="expression" dxfId="8935" priority="11285">
      <formula>AH167="T"</formula>
    </cfRule>
  </conditionalFormatting>
  <conditionalFormatting sqref="AH170">
    <cfRule type="expression" dxfId="8934" priority="11280">
      <formula>AH169="X"</formula>
    </cfRule>
    <cfRule type="expression" dxfId="8933" priority="11281">
      <formula>AH169="A"</formula>
    </cfRule>
    <cfRule type="expression" dxfId="8932" priority="11282">
      <formula>AH169="T"</formula>
    </cfRule>
  </conditionalFormatting>
  <conditionalFormatting sqref="AH172">
    <cfRule type="expression" dxfId="8931" priority="11277">
      <formula>AH171="X"</formula>
    </cfRule>
    <cfRule type="expression" dxfId="8930" priority="11278">
      <formula>AH171="A"</formula>
    </cfRule>
    <cfRule type="expression" dxfId="8929" priority="11279">
      <formula>AH171="T"</formula>
    </cfRule>
  </conditionalFormatting>
  <conditionalFormatting sqref="AH174">
    <cfRule type="expression" dxfId="8928" priority="11274">
      <formula>AH173="X"</formula>
    </cfRule>
    <cfRule type="expression" dxfId="8927" priority="11275">
      <formula>AH173="A"</formula>
    </cfRule>
    <cfRule type="expression" dxfId="8926" priority="11276">
      <formula>AH173="T"</formula>
    </cfRule>
  </conditionalFormatting>
  <conditionalFormatting sqref="AH176">
    <cfRule type="expression" dxfId="8925" priority="11271">
      <formula>AH175="X"</formula>
    </cfRule>
    <cfRule type="expression" dxfId="8924" priority="11272">
      <formula>AH175="A"</formula>
    </cfRule>
    <cfRule type="expression" dxfId="8923" priority="11273">
      <formula>AH175="T"</formula>
    </cfRule>
  </conditionalFormatting>
  <conditionalFormatting sqref="AH178">
    <cfRule type="expression" dxfId="8922" priority="11268">
      <formula>AH177="X"</formula>
    </cfRule>
    <cfRule type="expression" dxfId="8921" priority="11269">
      <formula>AH177="A"</formula>
    </cfRule>
    <cfRule type="expression" dxfId="8920" priority="11270">
      <formula>AH177="T"</formula>
    </cfRule>
  </conditionalFormatting>
  <conditionalFormatting sqref="AH180">
    <cfRule type="expression" dxfId="8919" priority="11265">
      <formula>AH179="X"</formula>
    </cfRule>
    <cfRule type="expression" dxfId="8918" priority="11266">
      <formula>AH179="A"</formula>
    </cfRule>
    <cfRule type="expression" dxfId="8917" priority="11267">
      <formula>AH179="T"</formula>
    </cfRule>
  </conditionalFormatting>
  <conditionalFormatting sqref="AH186">
    <cfRule type="expression" dxfId="8916" priority="11262">
      <formula>AH185="X"</formula>
    </cfRule>
    <cfRule type="expression" dxfId="8915" priority="11263">
      <formula>AH185="A"</formula>
    </cfRule>
    <cfRule type="expression" dxfId="8914" priority="11264">
      <formula>AH185="T"</formula>
    </cfRule>
  </conditionalFormatting>
  <conditionalFormatting sqref="AH190">
    <cfRule type="expression" dxfId="8913" priority="11259">
      <formula>AH189="X"</formula>
    </cfRule>
    <cfRule type="expression" dxfId="8912" priority="11260">
      <formula>AH189="A"</formula>
    </cfRule>
    <cfRule type="expression" dxfId="8911" priority="11261">
      <formula>AH189="T"</formula>
    </cfRule>
  </conditionalFormatting>
  <conditionalFormatting sqref="AH192">
    <cfRule type="expression" dxfId="8910" priority="11256">
      <formula>AH191="X"</formula>
    </cfRule>
    <cfRule type="expression" dxfId="8909" priority="11257">
      <formula>AH191="A"</formula>
    </cfRule>
    <cfRule type="expression" dxfId="8908" priority="11258">
      <formula>AH191="T"</formula>
    </cfRule>
  </conditionalFormatting>
  <conditionalFormatting sqref="AH208">
    <cfRule type="expression" dxfId="8907" priority="11253">
      <formula>AH207="X"</formula>
    </cfRule>
    <cfRule type="expression" dxfId="8906" priority="11254">
      <formula>AH207="A"</formula>
    </cfRule>
    <cfRule type="expression" dxfId="8905" priority="11255">
      <formula>AH207="T"</formula>
    </cfRule>
  </conditionalFormatting>
  <conditionalFormatting sqref="AH211">
    <cfRule type="expression" dxfId="8904" priority="11250">
      <formula>AH211="X"</formula>
    </cfRule>
    <cfRule type="expression" dxfId="8903" priority="11251">
      <formula>AH211="A"</formula>
    </cfRule>
    <cfRule type="expression" dxfId="8902" priority="11252">
      <formula>AH211="T"</formula>
    </cfRule>
  </conditionalFormatting>
  <conditionalFormatting sqref="AH212">
    <cfRule type="expression" dxfId="8901" priority="11247">
      <formula>AH211="X"</formula>
    </cfRule>
    <cfRule type="expression" dxfId="8900" priority="11248">
      <formula>AH211="A"</formula>
    </cfRule>
    <cfRule type="expression" dxfId="8899" priority="11249">
      <formula>AH211="T"</formula>
    </cfRule>
  </conditionalFormatting>
  <conditionalFormatting sqref="AH213">
    <cfRule type="expression" dxfId="8898" priority="11244">
      <formula>AH213="X"</formula>
    </cfRule>
    <cfRule type="expression" dxfId="8897" priority="11245">
      <formula>AH213="A"</formula>
    </cfRule>
    <cfRule type="expression" dxfId="8896" priority="11246">
      <formula>AH213="T"</formula>
    </cfRule>
  </conditionalFormatting>
  <conditionalFormatting sqref="AH214">
    <cfRule type="expression" dxfId="8895" priority="11241">
      <formula>AH213="X"</formula>
    </cfRule>
    <cfRule type="expression" dxfId="8894" priority="11242">
      <formula>AH213="A"</formula>
    </cfRule>
    <cfRule type="expression" dxfId="8893" priority="11243">
      <formula>AH213="T"</formula>
    </cfRule>
  </conditionalFormatting>
  <conditionalFormatting sqref="AH215">
    <cfRule type="expression" dxfId="8892" priority="11238">
      <formula>AH215="X"</formula>
    </cfRule>
    <cfRule type="expression" dxfId="8891" priority="11239">
      <formula>AH215="A"</formula>
    </cfRule>
    <cfRule type="expression" dxfId="8890" priority="11240">
      <formula>AH215="T"</formula>
    </cfRule>
  </conditionalFormatting>
  <conditionalFormatting sqref="AH216">
    <cfRule type="expression" dxfId="8889" priority="11235">
      <formula>AH215="X"</formula>
    </cfRule>
    <cfRule type="expression" dxfId="8888" priority="11236">
      <formula>AH215="A"</formula>
    </cfRule>
    <cfRule type="expression" dxfId="8887" priority="11237">
      <formula>AH215="T"</formula>
    </cfRule>
  </conditionalFormatting>
  <conditionalFormatting sqref="AH218">
    <cfRule type="expression" dxfId="8886" priority="11232">
      <formula>AH217="X"</formula>
    </cfRule>
    <cfRule type="expression" dxfId="8885" priority="11233">
      <formula>AH217="A"</formula>
    </cfRule>
    <cfRule type="expression" dxfId="8884" priority="11234">
      <formula>AH217="T"</formula>
    </cfRule>
  </conditionalFormatting>
  <conditionalFormatting sqref="AH219">
    <cfRule type="expression" dxfId="8883" priority="11229">
      <formula>AH219="X"</formula>
    </cfRule>
    <cfRule type="expression" dxfId="8882" priority="11230">
      <formula>AH219="A"</formula>
    </cfRule>
    <cfRule type="expression" dxfId="8881" priority="11231">
      <formula>AH219="T"</formula>
    </cfRule>
  </conditionalFormatting>
  <conditionalFormatting sqref="AH220">
    <cfRule type="expression" dxfId="8880" priority="11226">
      <formula>AH219="X"</formula>
    </cfRule>
    <cfRule type="expression" dxfId="8879" priority="11227">
      <formula>AH219="A"</formula>
    </cfRule>
    <cfRule type="expression" dxfId="8878" priority="11228">
      <formula>AH219="T"</formula>
    </cfRule>
  </conditionalFormatting>
  <conditionalFormatting sqref="AH221">
    <cfRule type="expression" dxfId="8877" priority="11223">
      <formula>AH221="X"</formula>
    </cfRule>
    <cfRule type="expression" dxfId="8876" priority="11224">
      <formula>AH221="A"</formula>
    </cfRule>
    <cfRule type="expression" dxfId="8875" priority="11225">
      <formula>AH221="T"</formula>
    </cfRule>
  </conditionalFormatting>
  <conditionalFormatting sqref="AH222">
    <cfRule type="expression" dxfId="8874" priority="11220">
      <formula>AH221="X"</formula>
    </cfRule>
    <cfRule type="expression" dxfId="8873" priority="11221">
      <formula>AH221="A"</formula>
    </cfRule>
    <cfRule type="expression" dxfId="8872" priority="11222">
      <formula>AH221="T"</formula>
    </cfRule>
  </conditionalFormatting>
  <conditionalFormatting sqref="AH223">
    <cfRule type="expression" dxfId="8871" priority="11217">
      <formula>AH223="X"</formula>
    </cfRule>
    <cfRule type="expression" dxfId="8870" priority="11218">
      <formula>AH223="A"</formula>
    </cfRule>
    <cfRule type="expression" dxfId="8869" priority="11219">
      <formula>AH223="T"</formula>
    </cfRule>
  </conditionalFormatting>
  <conditionalFormatting sqref="AH224">
    <cfRule type="expression" dxfId="8868" priority="11214">
      <formula>AH223="X"</formula>
    </cfRule>
    <cfRule type="expression" dxfId="8867" priority="11215">
      <formula>AH223="A"</formula>
    </cfRule>
    <cfRule type="expression" dxfId="8866" priority="11216">
      <formula>AH223="T"</formula>
    </cfRule>
  </conditionalFormatting>
  <conditionalFormatting sqref="AH4">
    <cfRule type="expression" dxfId="8865" priority="11211">
      <formula>AH4="X"</formula>
    </cfRule>
    <cfRule type="expression" dxfId="8864" priority="11212">
      <formula>AH4="A"</formula>
    </cfRule>
    <cfRule type="expression" dxfId="8863" priority="11213">
      <formula>AH4="T"</formula>
    </cfRule>
  </conditionalFormatting>
  <conditionalFormatting sqref="AH5">
    <cfRule type="expression" dxfId="8862" priority="11208">
      <formula>AH4="X"</formula>
    </cfRule>
    <cfRule type="expression" dxfId="8861" priority="11209">
      <formula>AH4="A"</formula>
    </cfRule>
    <cfRule type="expression" dxfId="8860" priority="11210">
      <formula>AH4="T"</formula>
    </cfRule>
  </conditionalFormatting>
  <conditionalFormatting sqref="AH6">
    <cfRule type="expression" dxfId="8859" priority="11205">
      <formula>AH6="X"</formula>
    </cfRule>
    <cfRule type="expression" dxfId="8858" priority="11206">
      <formula>AH6="A"</formula>
    </cfRule>
    <cfRule type="expression" dxfId="8857" priority="11207">
      <formula>AH6="T"</formula>
    </cfRule>
  </conditionalFormatting>
  <conditionalFormatting sqref="AH7">
    <cfRule type="expression" dxfId="8856" priority="11202">
      <formula>AH6="X"</formula>
    </cfRule>
    <cfRule type="expression" dxfId="8855" priority="11203">
      <formula>AH6="A"</formula>
    </cfRule>
    <cfRule type="expression" dxfId="8854" priority="11204">
      <formula>AH6="T"</formula>
    </cfRule>
  </conditionalFormatting>
  <conditionalFormatting sqref="AH8">
    <cfRule type="expression" dxfId="8853" priority="11199">
      <formula>AH8="X"</formula>
    </cfRule>
    <cfRule type="expression" dxfId="8852" priority="11200">
      <formula>AH8="A"</formula>
    </cfRule>
    <cfRule type="expression" dxfId="8851" priority="11201">
      <formula>AH8="T"</formula>
    </cfRule>
  </conditionalFormatting>
  <conditionalFormatting sqref="AH9">
    <cfRule type="expression" dxfId="8850" priority="11196">
      <formula>AH8="X"</formula>
    </cfRule>
    <cfRule type="expression" dxfId="8849" priority="11197">
      <formula>AH8="A"</formula>
    </cfRule>
    <cfRule type="expression" dxfId="8848" priority="11198">
      <formula>AH8="T"</formula>
    </cfRule>
  </conditionalFormatting>
  <conditionalFormatting sqref="AH74">
    <cfRule type="expression" dxfId="8847" priority="11193">
      <formula>AH74="X"</formula>
    </cfRule>
    <cfRule type="expression" dxfId="8846" priority="11194">
      <formula>AH74="A"</formula>
    </cfRule>
    <cfRule type="expression" dxfId="8845" priority="11195">
      <formula>AH74="T"</formula>
    </cfRule>
  </conditionalFormatting>
  <conditionalFormatting sqref="AH75">
    <cfRule type="expression" dxfId="8844" priority="11190">
      <formula>AH74="X"</formula>
    </cfRule>
    <cfRule type="expression" dxfId="8843" priority="11191">
      <formula>AH74="A"</formula>
    </cfRule>
    <cfRule type="expression" dxfId="8842" priority="11192">
      <formula>AH74="T"</formula>
    </cfRule>
  </conditionalFormatting>
  <conditionalFormatting sqref="AH76">
    <cfRule type="expression" dxfId="8841" priority="11187">
      <formula>AH76="X"</formula>
    </cfRule>
    <cfRule type="expression" dxfId="8840" priority="11188">
      <formula>AH76="A"</formula>
    </cfRule>
    <cfRule type="expression" dxfId="8839" priority="11189">
      <formula>AH76="T"</formula>
    </cfRule>
  </conditionalFormatting>
  <conditionalFormatting sqref="AH77">
    <cfRule type="expression" dxfId="8838" priority="11184">
      <formula>AH76="X"</formula>
    </cfRule>
    <cfRule type="expression" dxfId="8837" priority="11185">
      <formula>AH76="A"</formula>
    </cfRule>
    <cfRule type="expression" dxfId="8836" priority="11186">
      <formula>AH76="T"</formula>
    </cfRule>
  </conditionalFormatting>
  <conditionalFormatting sqref="AH78">
    <cfRule type="expression" dxfId="8835" priority="11181">
      <formula>AH78="X"</formula>
    </cfRule>
    <cfRule type="expression" dxfId="8834" priority="11182">
      <formula>AH78="A"</formula>
    </cfRule>
    <cfRule type="expression" dxfId="8833" priority="11183">
      <formula>AH78="T"</formula>
    </cfRule>
  </conditionalFormatting>
  <conditionalFormatting sqref="AH79">
    <cfRule type="expression" dxfId="8832" priority="11178">
      <formula>AH78="X"</formula>
    </cfRule>
    <cfRule type="expression" dxfId="8831" priority="11179">
      <formula>AH78="A"</formula>
    </cfRule>
    <cfRule type="expression" dxfId="8830" priority="11180">
      <formula>AH78="T"</formula>
    </cfRule>
  </conditionalFormatting>
  <conditionalFormatting sqref="AH135">
    <cfRule type="expression" dxfId="8829" priority="11175">
      <formula>AH134="X"</formula>
    </cfRule>
    <cfRule type="expression" dxfId="8828" priority="11176">
      <formula>AH134="A"</formula>
    </cfRule>
    <cfRule type="expression" dxfId="8827" priority="11177">
      <formula>AH134="T"</formula>
    </cfRule>
  </conditionalFormatting>
  <conditionalFormatting sqref="AH136">
    <cfRule type="expression" dxfId="8826" priority="11172">
      <formula>AH136="X"</formula>
    </cfRule>
    <cfRule type="expression" dxfId="8825" priority="11173">
      <formula>AH136="A"</formula>
    </cfRule>
    <cfRule type="expression" dxfId="8824" priority="11174">
      <formula>AH136="T"</formula>
    </cfRule>
  </conditionalFormatting>
  <conditionalFormatting sqref="AH137">
    <cfRule type="expression" dxfId="8823" priority="11169">
      <formula>AH136="X"</formula>
    </cfRule>
    <cfRule type="expression" dxfId="8822" priority="11170">
      <formula>AH136="A"</formula>
    </cfRule>
    <cfRule type="expression" dxfId="8821" priority="11171">
      <formula>AH136="T"</formula>
    </cfRule>
  </conditionalFormatting>
  <conditionalFormatting sqref="AH139">
    <cfRule type="expression" dxfId="8820" priority="11166">
      <formula>AH138="X"</formula>
    </cfRule>
    <cfRule type="expression" dxfId="8819" priority="11167">
      <formula>AH138="A"</formula>
    </cfRule>
    <cfRule type="expression" dxfId="8818" priority="11168">
      <formula>AH138="T"</formula>
    </cfRule>
  </conditionalFormatting>
  <conditionalFormatting sqref="AH10">
    <cfRule type="expression" dxfId="8817" priority="11163" stopIfTrue="1">
      <formula>AH4=""</formula>
    </cfRule>
  </conditionalFormatting>
  <conditionalFormatting sqref="AH10">
    <cfRule type="expression" dxfId="8816" priority="11164" stopIfTrue="1">
      <formula>AH10=1</formula>
    </cfRule>
    <cfRule type="colorScale" priority="11165">
      <colorScale>
        <cfvo type="num" val="0"/>
        <cfvo type="num" val="0.5"/>
        <cfvo type="num" val="1"/>
        <color rgb="FFF8696B"/>
        <color theme="4" tint="0.79998168889431442"/>
        <color rgb="FF5A8AC6"/>
      </colorScale>
    </cfRule>
  </conditionalFormatting>
  <conditionalFormatting sqref="AH15">
    <cfRule type="expression" dxfId="8815" priority="11160" stopIfTrue="1">
      <formula>AH11=""</formula>
    </cfRule>
  </conditionalFormatting>
  <conditionalFormatting sqref="AH15">
    <cfRule type="expression" dxfId="8814" priority="11161" stopIfTrue="1">
      <formula>AH15=1</formula>
    </cfRule>
    <cfRule type="colorScale" priority="11162">
      <colorScale>
        <cfvo type="num" val="0"/>
        <cfvo type="num" val="0.5"/>
        <cfvo type="num" val="1"/>
        <color rgb="FFF8696B"/>
        <color theme="4" tint="0.79998168889431442"/>
        <color rgb="FF5A8AC6"/>
      </colorScale>
    </cfRule>
  </conditionalFormatting>
  <conditionalFormatting sqref="AH38">
    <cfRule type="expression" dxfId="8813" priority="11157" stopIfTrue="1">
      <formula>AH16=""</formula>
    </cfRule>
  </conditionalFormatting>
  <conditionalFormatting sqref="AH38">
    <cfRule type="expression" dxfId="8812" priority="11158" stopIfTrue="1">
      <formula>AH38=1</formula>
    </cfRule>
    <cfRule type="colorScale" priority="11159">
      <colorScale>
        <cfvo type="num" val="0"/>
        <cfvo type="num" val="0.5"/>
        <cfvo type="num" val="1"/>
        <color rgb="FFF8696B"/>
        <color theme="4" tint="0.79998168889431442"/>
        <color rgb="FF5A8AC6"/>
      </colorScale>
    </cfRule>
  </conditionalFormatting>
  <conditionalFormatting sqref="AH69">
    <cfRule type="expression" dxfId="8811" priority="11149" stopIfTrue="1">
      <formula>AH69=1</formula>
    </cfRule>
    <cfRule type="colorScale" priority="11150">
      <colorScale>
        <cfvo type="num" val="0"/>
        <cfvo type="num" val="0.5"/>
        <cfvo type="num" val="1"/>
        <color rgb="FFF8696B"/>
        <color theme="4" tint="0.79998168889431442"/>
        <color rgb="FF5A8AC6"/>
      </colorScale>
    </cfRule>
  </conditionalFormatting>
  <conditionalFormatting sqref="AH69">
    <cfRule type="expression" dxfId="8810" priority="11148" stopIfTrue="1">
      <formula>AH63=""</formula>
    </cfRule>
  </conditionalFormatting>
  <conditionalFormatting sqref="AH80">
    <cfRule type="expression" dxfId="8809" priority="11145" stopIfTrue="1">
      <formula>AH74=""</formula>
    </cfRule>
  </conditionalFormatting>
  <conditionalFormatting sqref="AH80">
    <cfRule type="expression" dxfId="8808" priority="11146" stopIfTrue="1">
      <formula>AH80=1</formula>
    </cfRule>
    <cfRule type="colorScale" priority="11147">
      <colorScale>
        <cfvo type="num" val="0"/>
        <cfvo type="num" val="0.5"/>
        <cfvo type="num" val="1"/>
        <color rgb="FFF8696B"/>
        <color theme="4" tint="0.79998168889431442"/>
        <color rgb="FF5A8AC6"/>
      </colorScale>
    </cfRule>
  </conditionalFormatting>
  <conditionalFormatting sqref="AH87">
    <cfRule type="expression" dxfId="8807" priority="11142" stopIfTrue="1">
      <formula>AH81=""</formula>
    </cfRule>
  </conditionalFormatting>
  <conditionalFormatting sqref="AH87">
    <cfRule type="expression" dxfId="8806" priority="11143" stopIfTrue="1">
      <formula>AH87=1</formula>
    </cfRule>
    <cfRule type="colorScale" priority="11144">
      <colorScale>
        <cfvo type="num" val="0"/>
        <cfvo type="num" val="0.5"/>
        <cfvo type="num" val="1"/>
        <color rgb="FFF8696B"/>
        <color theme="4" tint="0.79998168889431442"/>
        <color rgb="FF5A8AC6"/>
      </colorScale>
    </cfRule>
  </conditionalFormatting>
  <conditionalFormatting sqref="AH104">
    <cfRule type="expression" dxfId="8805" priority="11139" stopIfTrue="1">
      <formula>AH88=""</formula>
    </cfRule>
  </conditionalFormatting>
  <conditionalFormatting sqref="AH104">
    <cfRule type="expression" dxfId="8804" priority="11140" stopIfTrue="1">
      <formula>AH104=1</formula>
    </cfRule>
    <cfRule type="colorScale" priority="11141">
      <colorScale>
        <cfvo type="num" val="0"/>
        <cfvo type="num" val="0.5"/>
        <cfvo type="num" val="1"/>
        <color rgb="FFF8696B"/>
        <color theme="4" tint="0.79998168889431442"/>
        <color rgb="FF5A8AC6"/>
      </colorScale>
    </cfRule>
  </conditionalFormatting>
  <conditionalFormatting sqref="AH115">
    <cfRule type="expression" dxfId="8803" priority="11136" stopIfTrue="1">
      <formula>AH105=""</formula>
    </cfRule>
  </conditionalFormatting>
  <conditionalFormatting sqref="AH115">
    <cfRule type="expression" dxfId="8802" priority="11137" stopIfTrue="1">
      <formula>AH115=1</formula>
    </cfRule>
    <cfRule type="colorScale" priority="11138">
      <colorScale>
        <cfvo type="num" val="0"/>
        <cfvo type="num" val="0.5"/>
        <cfvo type="num" val="1"/>
        <color rgb="FFF8696B"/>
        <color theme="4" tint="0.79998168889431442"/>
        <color rgb="FF5A8AC6"/>
      </colorScale>
    </cfRule>
  </conditionalFormatting>
  <conditionalFormatting sqref="AH124">
    <cfRule type="expression" dxfId="8801" priority="11133" stopIfTrue="1">
      <formula>AH116=""</formula>
    </cfRule>
  </conditionalFormatting>
  <conditionalFormatting sqref="AH124">
    <cfRule type="expression" dxfId="8800" priority="11134" stopIfTrue="1">
      <formula>AH124=1</formula>
    </cfRule>
    <cfRule type="colorScale" priority="11135">
      <colorScale>
        <cfvo type="num" val="0"/>
        <cfvo type="num" val="0.5"/>
        <cfvo type="num" val="1"/>
        <color rgb="FFF8696B"/>
        <color theme="4" tint="0.79998168889431442"/>
        <color rgb="FF5A8AC6"/>
      </colorScale>
    </cfRule>
  </conditionalFormatting>
  <conditionalFormatting sqref="AH129">
    <cfRule type="expression" dxfId="8799" priority="11130" stopIfTrue="1">
      <formula>AH125=""</formula>
    </cfRule>
  </conditionalFormatting>
  <conditionalFormatting sqref="AH129">
    <cfRule type="expression" dxfId="8798" priority="11131" stopIfTrue="1">
      <formula>AH129=1</formula>
    </cfRule>
    <cfRule type="colorScale" priority="11132">
      <colorScale>
        <cfvo type="num" val="0"/>
        <cfvo type="num" val="0.5"/>
        <cfvo type="num" val="1"/>
        <color rgb="FFF8696B"/>
        <color theme="4" tint="0.79998168889431442"/>
        <color rgb="FF5A8AC6"/>
      </colorScale>
    </cfRule>
  </conditionalFormatting>
  <conditionalFormatting sqref="AH145">
    <cfRule type="expression" dxfId="8797" priority="11127" stopIfTrue="1">
      <formula>AH141=""</formula>
    </cfRule>
  </conditionalFormatting>
  <conditionalFormatting sqref="AH145">
    <cfRule type="expression" dxfId="8796" priority="11128" stopIfTrue="1">
      <formula>AH145=1</formula>
    </cfRule>
    <cfRule type="colorScale" priority="11129">
      <colorScale>
        <cfvo type="num" val="0"/>
        <cfvo type="num" val="0.5"/>
        <cfvo type="num" val="1"/>
        <color rgb="FFF8696B"/>
        <color theme="4" tint="0.79998168889431442"/>
        <color rgb="FF5A8AC6"/>
      </colorScale>
    </cfRule>
  </conditionalFormatting>
  <conditionalFormatting sqref="AH153">
    <cfRule type="expression" dxfId="8795" priority="11124" stopIfTrue="1">
      <formula>AH149=""</formula>
    </cfRule>
  </conditionalFormatting>
  <conditionalFormatting sqref="AH153">
    <cfRule type="expression" dxfId="8794" priority="11125" stopIfTrue="1">
      <formula>AH153=1</formula>
    </cfRule>
    <cfRule type="colorScale" priority="11126">
      <colorScale>
        <cfvo type="num" val="0"/>
        <cfvo type="num" val="0.5"/>
        <cfvo type="num" val="1"/>
        <color rgb="FFF8696B"/>
        <color theme="4" tint="0.79998168889431442"/>
        <color rgb="FF5A8AC6"/>
      </colorScale>
    </cfRule>
  </conditionalFormatting>
  <conditionalFormatting sqref="AH165">
    <cfRule type="expression" dxfId="8793" priority="11121" stopIfTrue="1">
      <formula>AH155=""</formula>
    </cfRule>
  </conditionalFormatting>
  <conditionalFormatting sqref="AH165">
    <cfRule type="expression" dxfId="8792" priority="11122" stopIfTrue="1">
      <formula>AH165=1</formula>
    </cfRule>
    <cfRule type="colorScale" priority="11123">
      <colorScale>
        <cfvo type="num" val="0"/>
        <cfvo type="num" val="0.5"/>
        <cfvo type="num" val="1"/>
        <color rgb="FFF8696B"/>
        <color theme="4" tint="0.79998168889431442"/>
        <color rgb="FF5A8AC6"/>
      </colorScale>
    </cfRule>
  </conditionalFormatting>
  <conditionalFormatting sqref="AH187">
    <cfRule type="expression" dxfId="8791" priority="11118" stopIfTrue="1">
      <formula>AH183=""</formula>
    </cfRule>
  </conditionalFormatting>
  <conditionalFormatting sqref="AH187">
    <cfRule type="expression" dxfId="8790" priority="11119" stopIfTrue="1">
      <formula>AH187=1</formula>
    </cfRule>
    <cfRule type="colorScale" priority="11120">
      <colorScale>
        <cfvo type="num" val="0"/>
        <cfvo type="num" val="0.5"/>
        <cfvo type="num" val="1"/>
        <color rgb="FFF8696B"/>
        <color theme="4" tint="0.79998168889431442"/>
        <color rgb="FF5A8AC6"/>
      </colorScale>
    </cfRule>
  </conditionalFormatting>
  <conditionalFormatting sqref="AH193">
    <cfRule type="expression" dxfId="8789" priority="11115" stopIfTrue="1">
      <formula>AH189=""</formula>
    </cfRule>
  </conditionalFormatting>
  <conditionalFormatting sqref="AH193">
    <cfRule type="expression" dxfId="8788" priority="11116" stopIfTrue="1">
      <formula>AH193=1</formula>
    </cfRule>
    <cfRule type="colorScale" priority="11117">
      <colorScale>
        <cfvo type="num" val="0"/>
        <cfvo type="num" val="0.5"/>
        <cfvo type="num" val="1"/>
        <color rgb="FFF8696B"/>
        <color theme="4" tint="0.79998168889431442"/>
        <color rgb="FF5A8AC6"/>
      </colorScale>
    </cfRule>
  </conditionalFormatting>
  <conditionalFormatting sqref="AH181">
    <cfRule type="expression" dxfId="8787" priority="11112" stopIfTrue="1">
      <formula>AH167=""</formula>
    </cfRule>
  </conditionalFormatting>
  <conditionalFormatting sqref="AH181">
    <cfRule type="expression" dxfId="8786" priority="11113" stopIfTrue="1">
      <formula>AH181=1</formula>
    </cfRule>
    <cfRule type="colorScale" priority="11114">
      <colorScale>
        <cfvo type="num" val="0"/>
        <cfvo type="num" val="0.5"/>
        <cfvo type="num" val="1"/>
        <color rgb="FFF8696B"/>
        <color theme="4" tint="0.79998168889431442"/>
        <color rgb="FF5A8AC6"/>
      </colorScale>
    </cfRule>
  </conditionalFormatting>
  <conditionalFormatting sqref="AH209">
    <cfRule type="expression" dxfId="8785" priority="11109" stopIfTrue="1">
      <formula>AH195=""</formula>
    </cfRule>
  </conditionalFormatting>
  <conditionalFormatting sqref="AH209">
    <cfRule type="expression" dxfId="8784" priority="11110" stopIfTrue="1">
      <formula>AH209=1</formula>
    </cfRule>
    <cfRule type="colorScale" priority="11111">
      <colorScale>
        <cfvo type="num" val="0"/>
        <cfvo type="num" val="0.5"/>
        <cfvo type="num" val="1"/>
        <color rgb="FFF8696B"/>
        <color theme="4" tint="0.79998168889431442"/>
        <color rgb="FF5A8AC6"/>
      </colorScale>
    </cfRule>
  </conditionalFormatting>
  <conditionalFormatting sqref="AH225">
    <cfRule type="expression" dxfId="8783" priority="11106" stopIfTrue="1">
      <formula>AH211=""</formula>
    </cfRule>
  </conditionalFormatting>
  <conditionalFormatting sqref="AH225">
    <cfRule type="expression" dxfId="8782" priority="11107" stopIfTrue="1">
      <formula>AH225=1</formula>
    </cfRule>
    <cfRule type="colorScale" priority="11108">
      <colorScale>
        <cfvo type="num" val="0"/>
        <cfvo type="num" val="0.5"/>
        <cfvo type="num" val="1"/>
        <color rgb="FFF8696B"/>
        <color theme="4" tint="0.79998168889431442"/>
        <color rgb="FF5A8AC6"/>
      </colorScale>
    </cfRule>
  </conditionalFormatting>
  <conditionalFormatting sqref="AH71">
    <cfRule type="expression" dxfId="8781" priority="11098" stopIfTrue="1">
      <formula>AH71=1</formula>
    </cfRule>
    <cfRule type="colorScale" priority="11099">
      <colorScale>
        <cfvo type="num" val="0"/>
        <cfvo type="num" val="0.5"/>
        <cfvo type="num" val="1"/>
        <color rgb="FFF8696B"/>
        <color theme="4" tint="0.79998168889431442"/>
        <color rgb="FF5A8AC6"/>
      </colorScale>
    </cfRule>
  </conditionalFormatting>
  <conditionalFormatting sqref="AH147">
    <cfRule type="expression" dxfId="8780" priority="11103" stopIfTrue="1">
      <formula>AH134=""</formula>
    </cfRule>
  </conditionalFormatting>
  <conditionalFormatting sqref="AH147">
    <cfRule type="expression" dxfId="8779" priority="11104" stopIfTrue="1">
      <formula>AH147=1</formula>
    </cfRule>
    <cfRule type="colorScale" priority="11105">
      <colorScale>
        <cfvo type="num" val="0"/>
        <cfvo type="num" val="0.5"/>
        <cfvo type="num" val="1"/>
        <color rgb="FFF8696B"/>
        <color theme="4" tint="0.79998168889431442"/>
        <color rgb="FF5A8AC6"/>
      </colorScale>
    </cfRule>
  </conditionalFormatting>
  <conditionalFormatting sqref="AH131">
    <cfRule type="expression" dxfId="8778" priority="11100" stopIfTrue="1">
      <formula>AH74=""</formula>
    </cfRule>
  </conditionalFormatting>
  <conditionalFormatting sqref="AH131">
    <cfRule type="expression" dxfId="8777" priority="11101" stopIfTrue="1">
      <formula>AH131=1</formula>
    </cfRule>
    <cfRule type="colorScale" priority="11102">
      <colorScale>
        <cfvo type="num" val="0"/>
        <cfvo type="num" val="0.5"/>
        <cfvo type="num" val="1"/>
        <color rgb="FFF8696B"/>
        <color theme="4" tint="0.79998168889431442"/>
        <color rgb="FF5A8AC6"/>
      </colorScale>
    </cfRule>
  </conditionalFormatting>
  <conditionalFormatting sqref="AH71">
    <cfRule type="expression" dxfId="8776" priority="11097" stopIfTrue="1">
      <formula>AH65=""</formula>
    </cfRule>
  </conditionalFormatting>
  <conditionalFormatting sqref="AH195">
    <cfRule type="expression" dxfId="8775" priority="11094">
      <formula>AH195="X"</formula>
    </cfRule>
    <cfRule type="expression" dxfId="8774" priority="11095">
      <formula>AH195="A"</formula>
    </cfRule>
    <cfRule type="expression" dxfId="8773" priority="11096">
      <formula>AH195="T"</formula>
    </cfRule>
  </conditionalFormatting>
  <conditionalFormatting sqref="AH203">
    <cfRule type="expression" dxfId="8772" priority="11091">
      <formula>AH203="X"</formula>
    </cfRule>
    <cfRule type="expression" dxfId="8771" priority="11092">
      <formula>AH203="A"</formula>
    </cfRule>
    <cfRule type="expression" dxfId="8770" priority="11093">
      <formula>AH203="T"</formula>
    </cfRule>
  </conditionalFormatting>
  <conditionalFormatting sqref="AH205">
    <cfRule type="expression" dxfId="8769" priority="11088">
      <formula>AH205="X"</formula>
    </cfRule>
    <cfRule type="expression" dxfId="8768" priority="11089">
      <formula>AH205="A"</formula>
    </cfRule>
    <cfRule type="expression" dxfId="8767" priority="11090">
      <formula>AH205="T"</formula>
    </cfRule>
  </conditionalFormatting>
  <conditionalFormatting sqref="AH207">
    <cfRule type="expression" dxfId="8766" priority="11085">
      <formula>AH207="X"</formula>
    </cfRule>
    <cfRule type="expression" dxfId="8765" priority="11086">
      <formula>AH207="A"</formula>
    </cfRule>
    <cfRule type="expression" dxfId="8764" priority="11087">
      <formula>AH207="T"</formula>
    </cfRule>
  </conditionalFormatting>
  <conditionalFormatting sqref="AH204">
    <cfRule type="expression" dxfId="8763" priority="11082">
      <formula>AH203="X"</formula>
    </cfRule>
    <cfRule type="expression" dxfId="8762" priority="11083">
      <formula>AH203="A"</formula>
    </cfRule>
    <cfRule type="expression" dxfId="8761" priority="11084">
      <formula>AH203="T"</formula>
    </cfRule>
  </conditionalFormatting>
  <conditionalFormatting sqref="AH206">
    <cfRule type="expression" dxfId="8760" priority="11079">
      <formula>AH205="X"</formula>
    </cfRule>
    <cfRule type="expression" dxfId="8759" priority="11080">
      <formula>AH205="A"</formula>
    </cfRule>
    <cfRule type="expression" dxfId="8758" priority="11081">
      <formula>AH205="T"</formula>
    </cfRule>
  </conditionalFormatting>
  <conditionalFormatting sqref="AH196">
    <cfRule type="expression" dxfId="8757" priority="11076">
      <formula>AH195="X"</formula>
    </cfRule>
    <cfRule type="expression" dxfId="8756" priority="11077">
      <formula>AH195="A"</formula>
    </cfRule>
    <cfRule type="expression" dxfId="8755" priority="11078">
      <formula>AH195="T"</formula>
    </cfRule>
  </conditionalFormatting>
  <conditionalFormatting sqref="AH197">
    <cfRule type="expression" dxfId="8754" priority="11073">
      <formula>AH197="X"</formula>
    </cfRule>
    <cfRule type="expression" dxfId="8753" priority="11074">
      <formula>AH197="A"</formula>
    </cfRule>
    <cfRule type="expression" dxfId="8752" priority="11075">
      <formula>AH197="T"</formula>
    </cfRule>
  </conditionalFormatting>
  <conditionalFormatting sqref="AH198">
    <cfRule type="expression" dxfId="8751" priority="11070">
      <formula>AH197="X"</formula>
    </cfRule>
    <cfRule type="expression" dxfId="8750" priority="11071">
      <formula>AH197="A"</formula>
    </cfRule>
    <cfRule type="expression" dxfId="8749" priority="11072">
      <formula>AH197="T"</formula>
    </cfRule>
  </conditionalFormatting>
  <conditionalFormatting sqref="AH199">
    <cfRule type="expression" dxfId="8748" priority="11067">
      <formula>AH199="X"</formula>
    </cfRule>
    <cfRule type="expression" dxfId="8747" priority="11068">
      <formula>AH199="A"</formula>
    </cfRule>
    <cfRule type="expression" dxfId="8746" priority="11069">
      <formula>AH199="T"</formula>
    </cfRule>
  </conditionalFormatting>
  <conditionalFormatting sqref="AH200">
    <cfRule type="expression" dxfId="8745" priority="11064">
      <formula>AH199="X"</formula>
    </cfRule>
    <cfRule type="expression" dxfId="8744" priority="11065">
      <formula>AH199="A"</formula>
    </cfRule>
    <cfRule type="expression" dxfId="8743" priority="11066">
      <formula>AH199="T"</formula>
    </cfRule>
  </conditionalFormatting>
  <conditionalFormatting sqref="AH201">
    <cfRule type="expression" dxfId="8742" priority="11061">
      <formula>AH201="X"</formula>
    </cfRule>
    <cfRule type="expression" dxfId="8741" priority="11062">
      <formula>AH201="A"</formula>
    </cfRule>
    <cfRule type="expression" dxfId="8740" priority="11063">
      <formula>AH201="T"</formula>
    </cfRule>
  </conditionalFormatting>
  <conditionalFormatting sqref="AH202">
    <cfRule type="expression" dxfId="8739" priority="11058">
      <formula>AH201="X"</formula>
    </cfRule>
    <cfRule type="expression" dxfId="8738" priority="11059">
      <formula>AH201="A"</formula>
    </cfRule>
    <cfRule type="expression" dxfId="8737" priority="11060">
      <formula>AH201="T"</formula>
    </cfRule>
  </conditionalFormatting>
  <conditionalFormatting sqref="AH72">
    <cfRule type="expression" dxfId="8736" priority="11055" stopIfTrue="1">
      <formula>AH4=""</formula>
    </cfRule>
  </conditionalFormatting>
  <conditionalFormatting sqref="AH72">
    <cfRule type="expression" dxfId="8735" priority="11056" stopIfTrue="1">
      <formula>AH72=1</formula>
    </cfRule>
    <cfRule type="colorScale" priority="11057">
      <colorScale>
        <cfvo type="num" val="0"/>
        <cfvo type="num" val="0.5"/>
        <cfvo type="num" val="1"/>
        <color rgb="FFF8696B"/>
        <color theme="4" tint="0.79998168889431442"/>
        <color rgb="FF5A8AC6"/>
      </colorScale>
    </cfRule>
  </conditionalFormatting>
  <conditionalFormatting sqref="AH132">
    <cfRule type="expression" dxfId="8734" priority="11053" stopIfTrue="1">
      <formula>AH132=1</formula>
    </cfRule>
    <cfRule type="colorScale" priority="11054">
      <colorScale>
        <cfvo type="num" val="0"/>
        <cfvo type="num" val="0.5"/>
        <cfvo type="num" val="1"/>
        <color rgb="FFF8696B"/>
        <color theme="4" tint="0.79998168889431442"/>
        <color rgb="FF5A8AC6"/>
      </colorScale>
    </cfRule>
  </conditionalFormatting>
  <conditionalFormatting sqref="AH132">
    <cfRule type="expression" dxfId="8733" priority="11052" stopIfTrue="1">
      <formula>AH74=""</formula>
    </cfRule>
  </conditionalFormatting>
  <conditionalFormatting sqref="AH230:AH237">
    <cfRule type="expression" dxfId="8732" priority="11048" stopIfTrue="1">
      <formula>AH230=_xlfn.UNICHAR(10003)</formula>
    </cfRule>
    <cfRule type="colorScale" priority="11049">
      <colorScale>
        <cfvo type="num" val="0"/>
        <cfvo type="num" val="0.5"/>
        <cfvo type="num" val="1"/>
        <color rgb="FFF8696B"/>
        <color theme="4" tint="0.79998168889431442"/>
        <color rgb="FF5A8AC6"/>
      </colorScale>
    </cfRule>
  </conditionalFormatting>
  <conditionalFormatting sqref="AH239">
    <cfRule type="expression" dxfId="8731" priority="11046" stopIfTrue="1">
      <formula>AH239=_xlfn.UNICHAR(10003)</formula>
    </cfRule>
    <cfRule type="colorScale" priority="11047">
      <colorScale>
        <cfvo type="num" val="0"/>
        <cfvo type="num" val="0.5"/>
        <cfvo type="num" val="1"/>
        <color rgb="FFF8696B"/>
        <color theme="4" tint="0.79998168889431442"/>
        <color rgb="FF5A8AC6"/>
      </colorScale>
    </cfRule>
  </conditionalFormatting>
  <conditionalFormatting sqref="AH239">
    <cfRule type="expression" dxfId="8730" priority="11044" stopIfTrue="1">
      <formula>AH239=1</formula>
    </cfRule>
    <cfRule type="colorScale" priority="11045">
      <colorScale>
        <cfvo type="num" val="0"/>
        <cfvo type="num" val="0.5"/>
        <cfvo type="num" val="1"/>
        <color rgb="FFF8696B"/>
        <color theme="4" tint="0.79998168889431442"/>
        <color rgb="FF5A8AC6"/>
      </colorScale>
    </cfRule>
  </conditionalFormatting>
  <conditionalFormatting sqref="AH228">
    <cfRule type="expression" dxfId="8729" priority="11043" stopIfTrue="1">
      <formula>AH228=UNICAHR(10003)</formula>
    </cfRule>
    <cfRule type="expression" dxfId="8728" priority="11050" stopIfTrue="1">
      <formula>AH228=CONCATENATE(_xlfn.UNICHAR(10003),_xlfn.UNICHAR(10003))</formula>
    </cfRule>
    <cfRule type="colorScale" priority="11051">
      <colorScale>
        <cfvo type="num" val="0"/>
        <cfvo type="num" val="0.5"/>
        <cfvo type="num" val="1"/>
        <color rgb="FFF8696B"/>
        <color theme="4" tint="0.79998168889431442"/>
        <color rgb="FF5A8AC6"/>
      </colorScale>
    </cfRule>
  </conditionalFormatting>
  <conditionalFormatting sqref="AH238 AH229">
    <cfRule type="expression" dxfId="8727" priority="11040" stopIfTrue="1">
      <formula>AH229=_xlfn.UNICHAR(10003)</formula>
    </cfRule>
    <cfRule type="expression" dxfId="8726" priority="11041" stopIfTrue="1">
      <formula>AH229=CONCATENATE(_xlfn.UNICHAR(10003),_xlfn.UNICHAR(10003))</formula>
    </cfRule>
    <cfRule type="colorScale" priority="11042">
      <colorScale>
        <cfvo type="num" val="0"/>
        <cfvo type="num" val="0.5"/>
        <cfvo type="num" val="1"/>
        <color rgb="FFF8696B"/>
        <color theme="4" tint="0.79998168889431442"/>
        <color rgb="FF5A8AC6"/>
      </colorScale>
    </cfRule>
  </conditionalFormatting>
  <conditionalFormatting sqref="AH238">
    <cfRule type="expression" dxfId="8725" priority="11037" stopIfTrue="1">
      <formula>AH238=_xlfn.UNICHAR(10003)</formula>
    </cfRule>
    <cfRule type="expression" dxfId="8724" priority="11038" stopIfTrue="1">
      <formula>AH238=CONCATENATE(_xlfn.UNICHAR(10003),_xlfn.UNICHAR(10003))</formula>
    </cfRule>
    <cfRule type="colorScale" priority="11039">
      <colorScale>
        <cfvo type="num" val="0"/>
        <cfvo type="num" val="0.5"/>
        <cfvo type="num" val="1"/>
        <color rgb="FFF8696B"/>
        <color theme="4" tint="0.79998168889431442"/>
        <color rgb="FF5A8AC6"/>
      </colorScale>
    </cfRule>
  </conditionalFormatting>
  <conditionalFormatting sqref="AH134">
    <cfRule type="expression" dxfId="8723" priority="11034">
      <formula>AH134="X"</formula>
    </cfRule>
    <cfRule type="expression" dxfId="8722" priority="11035">
      <formula>AH134="A"</formula>
    </cfRule>
    <cfRule type="expression" dxfId="8721" priority="11036">
      <formula>AH134="T"</formula>
    </cfRule>
  </conditionalFormatting>
  <conditionalFormatting sqref="AH138">
    <cfRule type="expression" dxfId="8720" priority="11031">
      <formula>AH138="X"</formula>
    </cfRule>
    <cfRule type="expression" dxfId="8719" priority="11032">
      <formula>AH138="A"</formula>
    </cfRule>
    <cfRule type="expression" dxfId="8718" priority="11033">
      <formula>AH138="T"</formula>
    </cfRule>
  </conditionalFormatting>
  <conditionalFormatting sqref="AH142">
    <cfRule type="expression" dxfId="8717" priority="11028">
      <formula>AH141="X"</formula>
    </cfRule>
    <cfRule type="expression" dxfId="8716" priority="11029">
      <formula>AH141="A"</formula>
    </cfRule>
    <cfRule type="expression" dxfId="8715" priority="11030">
      <formula>AH141="T"</formula>
    </cfRule>
  </conditionalFormatting>
  <conditionalFormatting sqref="AH143">
    <cfRule type="expression" dxfId="8714" priority="11025">
      <formula>AH143="X"</formula>
    </cfRule>
    <cfRule type="expression" dxfId="8713" priority="11026">
      <formula>AH143="A"</formula>
    </cfRule>
    <cfRule type="expression" dxfId="8712" priority="11027">
      <formula>AH143="T"</formula>
    </cfRule>
  </conditionalFormatting>
  <conditionalFormatting sqref="AH141">
    <cfRule type="expression" dxfId="8711" priority="11022">
      <formula>AH141="X"</formula>
    </cfRule>
    <cfRule type="expression" dxfId="8710" priority="11023">
      <formula>AH141="A"</formula>
    </cfRule>
    <cfRule type="expression" dxfId="8709" priority="11024">
      <formula>AH141="T"</formula>
    </cfRule>
  </conditionalFormatting>
  <conditionalFormatting sqref="AH183">
    <cfRule type="expression" dxfId="8708" priority="11019">
      <formula>AH183="X"</formula>
    </cfRule>
    <cfRule type="expression" dxfId="8707" priority="11020">
      <formula>AH183="A"</formula>
    </cfRule>
    <cfRule type="expression" dxfId="8706" priority="11021">
      <formula>AH183="T"</formula>
    </cfRule>
  </conditionalFormatting>
  <conditionalFormatting sqref="AH185">
    <cfRule type="expression" dxfId="8705" priority="11016">
      <formula>AH185="X"</formula>
    </cfRule>
    <cfRule type="expression" dxfId="8704" priority="11017">
      <formula>AH185="A"</formula>
    </cfRule>
    <cfRule type="expression" dxfId="8703" priority="11018">
      <formula>AH185="T"</formula>
    </cfRule>
  </conditionalFormatting>
  <conditionalFormatting sqref="AH184">
    <cfRule type="expression" dxfId="8702" priority="11013">
      <formula>AH183="X"</formula>
    </cfRule>
    <cfRule type="expression" dxfId="8701" priority="11014">
      <formula>AH183="A"</formula>
    </cfRule>
    <cfRule type="expression" dxfId="8700" priority="11015">
      <formula>AH183="T"</formula>
    </cfRule>
  </conditionalFormatting>
  <conditionalFormatting sqref="AH217">
    <cfRule type="expression" dxfId="8699" priority="11010">
      <formula>AH217="X"</formula>
    </cfRule>
    <cfRule type="expression" dxfId="8698" priority="11011">
      <formula>AH217="A"</formula>
    </cfRule>
    <cfRule type="expression" dxfId="8697" priority="11012">
      <formula>AH217="T"</formula>
    </cfRule>
  </conditionalFormatting>
  <conditionalFormatting sqref="V16 V18 V20 V22 V24 V26 V28 V39 V41 V43 V45 V48 V81 V88 V90 V92 V94 V96 V98 V100 V102 V105 V107 V109 V111 V116">
    <cfRule type="expression" dxfId="8696" priority="11007">
      <formula>V16="X"</formula>
    </cfRule>
    <cfRule type="expression" dxfId="8695" priority="11008">
      <formula>V16="A"</formula>
    </cfRule>
    <cfRule type="expression" dxfId="8694" priority="11009">
      <formula>V16="T"</formula>
    </cfRule>
  </conditionalFormatting>
  <conditionalFormatting sqref="V36">
    <cfRule type="expression" dxfId="8693" priority="11004">
      <formula>V36="X"</formula>
    </cfRule>
    <cfRule type="expression" dxfId="8692" priority="11005">
      <formula>V36="A"</formula>
    </cfRule>
    <cfRule type="expression" dxfId="8691" priority="11006">
      <formula>V36="T"</formula>
    </cfRule>
  </conditionalFormatting>
  <conditionalFormatting sqref="V34">
    <cfRule type="expression" dxfId="8690" priority="11001">
      <formula>V34="X"</formula>
    </cfRule>
    <cfRule type="expression" dxfId="8689" priority="11002">
      <formula>V34="A"</formula>
    </cfRule>
    <cfRule type="expression" dxfId="8688" priority="11003">
      <formula>V34="T"</formula>
    </cfRule>
  </conditionalFormatting>
  <conditionalFormatting sqref="V32">
    <cfRule type="expression" dxfId="8687" priority="10998">
      <formula>V32="X"</formula>
    </cfRule>
    <cfRule type="expression" dxfId="8686" priority="10999">
      <formula>V32="A"</formula>
    </cfRule>
    <cfRule type="expression" dxfId="8685" priority="11000">
      <formula>V32="T"</formula>
    </cfRule>
  </conditionalFormatting>
  <conditionalFormatting sqref="V30">
    <cfRule type="expression" dxfId="8684" priority="10995">
      <formula>V30="X"</formula>
    </cfRule>
    <cfRule type="expression" dxfId="8683" priority="10996">
      <formula>V30="A"</formula>
    </cfRule>
    <cfRule type="expression" dxfId="8682" priority="10997">
      <formula>V30="T"</formula>
    </cfRule>
  </conditionalFormatting>
  <conditionalFormatting sqref="V52">
    <cfRule type="expression" dxfId="8681" priority="10992">
      <formula>V52="X"</formula>
    </cfRule>
    <cfRule type="expression" dxfId="8680" priority="10993">
      <formula>V52="A"</formula>
    </cfRule>
    <cfRule type="expression" dxfId="8679" priority="10994">
      <formula>V52="T"</formula>
    </cfRule>
  </conditionalFormatting>
  <conditionalFormatting sqref="V50">
    <cfRule type="expression" dxfId="8678" priority="10989">
      <formula>V50="X"</formula>
    </cfRule>
    <cfRule type="expression" dxfId="8677" priority="10990">
      <formula>V50="A"</formula>
    </cfRule>
    <cfRule type="expression" dxfId="8676" priority="10991">
      <formula>V50="T"</formula>
    </cfRule>
  </conditionalFormatting>
  <conditionalFormatting sqref="V54">
    <cfRule type="expression" dxfId="8675" priority="10986">
      <formula>V54="X"</formula>
    </cfRule>
    <cfRule type="expression" dxfId="8674" priority="10987">
      <formula>V54="A"</formula>
    </cfRule>
    <cfRule type="expression" dxfId="8673" priority="10988">
      <formula>V54="T"</formula>
    </cfRule>
  </conditionalFormatting>
  <conditionalFormatting sqref="V56">
    <cfRule type="expression" dxfId="8672" priority="10983">
      <formula>V56="X"</formula>
    </cfRule>
    <cfRule type="expression" dxfId="8671" priority="10984">
      <formula>V56="A"</formula>
    </cfRule>
    <cfRule type="expression" dxfId="8670" priority="10985">
      <formula>V56="T"</formula>
    </cfRule>
  </conditionalFormatting>
  <conditionalFormatting sqref="V58">
    <cfRule type="expression" dxfId="8669" priority="10980">
      <formula>V58="X"</formula>
    </cfRule>
    <cfRule type="expression" dxfId="8668" priority="10981">
      <formula>V58="A"</formula>
    </cfRule>
    <cfRule type="expression" dxfId="8667" priority="10982">
      <formula>V58="T"</formula>
    </cfRule>
  </conditionalFormatting>
  <conditionalFormatting sqref="V63">
    <cfRule type="expression" dxfId="8666" priority="10977">
      <formula>V63="X"</formula>
    </cfRule>
    <cfRule type="expression" dxfId="8665" priority="10978">
      <formula>V63="A"</formula>
    </cfRule>
    <cfRule type="expression" dxfId="8664" priority="10979">
      <formula>V63="T"</formula>
    </cfRule>
  </conditionalFormatting>
  <conditionalFormatting sqref="V65">
    <cfRule type="expression" dxfId="8663" priority="10974">
      <formula>V65="X"</formula>
    </cfRule>
    <cfRule type="expression" dxfId="8662" priority="10975">
      <formula>V65="A"</formula>
    </cfRule>
    <cfRule type="expression" dxfId="8661" priority="10976">
      <formula>V65="T"</formula>
    </cfRule>
  </conditionalFormatting>
  <conditionalFormatting sqref="V83">
    <cfRule type="expression" dxfId="8660" priority="10971">
      <formula>V83="X"</formula>
    </cfRule>
    <cfRule type="expression" dxfId="8659" priority="10972">
      <formula>V83="A"</formula>
    </cfRule>
    <cfRule type="expression" dxfId="8658" priority="10973">
      <formula>V83="T"</formula>
    </cfRule>
  </conditionalFormatting>
  <conditionalFormatting sqref="V85">
    <cfRule type="expression" dxfId="8657" priority="10968">
      <formula>V85="X"</formula>
    </cfRule>
    <cfRule type="expression" dxfId="8656" priority="10969">
      <formula>V85="A"</formula>
    </cfRule>
    <cfRule type="expression" dxfId="8655" priority="10970">
      <formula>V85="T"</formula>
    </cfRule>
  </conditionalFormatting>
  <conditionalFormatting sqref="V67">
    <cfRule type="expression" dxfId="8654" priority="10965">
      <formula>V67="X"</formula>
    </cfRule>
    <cfRule type="expression" dxfId="8653" priority="10966">
      <formula>V67="A"</formula>
    </cfRule>
    <cfRule type="expression" dxfId="8652" priority="10967">
      <formula>V67="T"</formula>
    </cfRule>
  </conditionalFormatting>
  <conditionalFormatting sqref="V113">
    <cfRule type="expression" dxfId="8651" priority="10962">
      <formula>V113="X"</formula>
    </cfRule>
    <cfRule type="expression" dxfId="8650" priority="10963">
      <formula>V113="A"</formula>
    </cfRule>
    <cfRule type="expression" dxfId="8649" priority="10964">
      <formula>V113="T"</formula>
    </cfRule>
  </conditionalFormatting>
  <conditionalFormatting sqref="V118">
    <cfRule type="expression" dxfId="8648" priority="10959">
      <formula>V118="X"</formula>
    </cfRule>
    <cfRule type="expression" dxfId="8647" priority="10960">
      <formula>V118="A"</formula>
    </cfRule>
    <cfRule type="expression" dxfId="8646" priority="10961">
      <formula>V118="T"</formula>
    </cfRule>
  </conditionalFormatting>
  <conditionalFormatting sqref="V120">
    <cfRule type="expression" dxfId="8645" priority="10956">
      <formula>V120="X"</formula>
    </cfRule>
    <cfRule type="expression" dxfId="8644" priority="10957">
      <formula>V120="A"</formula>
    </cfRule>
    <cfRule type="expression" dxfId="8643" priority="10958">
      <formula>V120="T"</formula>
    </cfRule>
  </conditionalFormatting>
  <conditionalFormatting sqref="V122">
    <cfRule type="expression" dxfId="8642" priority="10953">
      <formula>V122="X"</formula>
    </cfRule>
    <cfRule type="expression" dxfId="8641" priority="10954">
      <formula>V122="A"</formula>
    </cfRule>
    <cfRule type="expression" dxfId="8640" priority="10955">
      <formula>V122="T"</formula>
    </cfRule>
  </conditionalFormatting>
  <conditionalFormatting sqref="V125">
    <cfRule type="expression" dxfId="8639" priority="10950">
      <formula>V125="X"</formula>
    </cfRule>
    <cfRule type="expression" dxfId="8638" priority="10951">
      <formula>V125="A"</formula>
    </cfRule>
    <cfRule type="expression" dxfId="8637" priority="10952">
      <formula>V125="T"</formula>
    </cfRule>
  </conditionalFormatting>
  <conditionalFormatting sqref="V127">
    <cfRule type="expression" dxfId="8636" priority="10947">
      <formula>V127="X"</formula>
    </cfRule>
    <cfRule type="expression" dxfId="8635" priority="10948">
      <formula>V127="A"</formula>
    </cfRule>
    <cfRule type="expression" dxfId="8634" priority="10949">
      <formula>V127="T"</formula>
    </cfRule>
  </conditionalFormatting>
  <conditionalFormatting sqref="V141">
    <cfRule type="expression" dxfId="8633" priority="10944">
      <formula>V141="X"</formula>
    </cfRule>
    <cfRule type="expression" dxfId="8632" priority="10945">
      <formula>V141="A"</formula>
    </cfRule>
    <cfRule type="expression" dxfId="8631" priority="10946">
      <formula>V141="T"</formula>
    </cfRule>
  </conditionalFormatting>
  <conditionalFormatting sqref="V143">
    <cfRule type="expression" dxfId="8630" priority="10941">
      <formula>V143="X"</formula>
    </cfRule>
    <cfRule type="expression" dxfId="8629" priority="10942">
      <formula>V143="A"</formula>
    </cfRule>
    <cfRule type="expression" dxfId="8628" priority="10943">
      <formula>V143="T"</formula>
    </cfRule>
  </conditionalFormatting>
  <conditionalFormatting sqref="V149">
    <cfRule type="expression" dxfId="8627" priority="10938">
      <formula>V149="X"</formula>
    </cfRule>
    <cfRule type="expression" dxfId="8626" priority="10939">
      <formula>V149="A"</formula>
    </cfRule>
    <cfRule type="expression" dxfId="8625" priority="10940">
      <formula>V149="T"</formula>
    </cfRule>
  </conditionalFormatting>
  <conditionalFormatting sqref="V151">
    <cfRule type="expression" dxfId="8624" priority="10935">
      <formula>V151="X"</formula>
    </cfRule>
    <cfRule type="expression" dxfId="8623" priority="10936">
      <formula>V151="A"</formula>
    </cfRule>
    <cfRule type="expression" dxfId="8622" priority="10937">
      <formula>V151="T"</formula>
    </cfRule>
  </conditionalFormatting>
  <conditionalFormatting sqref="V155">
    <cfRule type="expression" dxfId="8621" priority="10932">
      <formula>V155="X"</formula>
    </cfRule>
    <cfRule type="expression" dxfId="8620" priority="10933">
      <formula>V155="A"</formula>
    </cfRule>
    <cfRule type="expression" dxfId="8619" priority="10934">
      <formula>V155="T"</formula>
    </cfRule>
  </conditionalFormatting>
  <conditionalFormatting sqref="V157">
    <cfRule type="expression" dxfId="8618" priority="10929">
      <formula>V157="X"</formula>
    </cfRule>
    <cfRule type="expression" dxfId="8617" priority="10930">
      <formula>V157="A"</formula>
    </cfRule>
    <cfRule type="expression" dxfId="8616" priority="10931">
      <formula>V157="T"</formula>
    </cfRule>
  </conditionalFormatting>
  <conditionalFormatting sqref="V167">
    <cfRule type="expression" dxfId="8615" priority="10926">
      <formula>V167="X"</formula>
    </cfRule>
    <cfRule type="expression" dxfId="8614" priority="10927">
      <formula>V167="A"</formula>
    </cfRule>
    <cfRule type="expression" dxfId="8613" priority="10928">
      <formula>V167="T"</formula>
    </cfRule>
  </conditionalFormatting>
  <conditionalFormatting sqref="V173">
    <cfRule type="expression" dxfId="8612" priority="10923">
      <formula>V173="X"</formula>
    </cfRule>
    <cfRule type="expression" dxfId="8611" priority="10924">
      <formula>V173="A"</formula>
    </cfRule>
    <cfRule type="expression" dxfId="8610" priority="10925">
      <formula>V173="T"</formula>
    </cfRule>
  </conditionalFormatting>
  <conditionalFormatting sqref="V175">
    <cfRule type="expression" dxfId="8609" priority="10920">
      <formula>V175="X"</formula>
    </cfRule>
    <cfRule type="expression" dxfId="8608" priority="10921">
      <formula>V175="A"</formula>
    </cfRule>
    <cfRule type="expression" dxfId="8607" priority="10922">
      <formula>V175="T"</formula>
    </cfRule>
  </conditionalFormatting>
  <conditionalFormatting sqref="V177">
    <cfRule type="expression" dxfId="8606" priority="10917">
      <formula>V177="X"</formula>
    </cfRule>
    <cfRule type="expression" dxfId="8605" priority="10918">
      <formula>V177="A"</formula>
    </cfRule>
    <cfRule type="expression" dxfId="8604" priority="10919">
      <formula>V177="T"</formula>
    </cfRule>
  </conditionalFormatting>
  <conditionalFormatting sqref="V179">
    <cfRule type="expression" dxfId="8603" priority="10914">
      <formula>V179="X"</formula>
    </cfRule>
    <cfRule type="expression" dxfId="8602" priority="10915">
      <formula>V179="A"</formula>
    </cfRule>
    <cfRule type="expression" dxfId="8601" priority="10916">
      <formula>V179="T"</formula>
    </cfRule>
  </conditionalFormatting>
  <conditionalFormatting sqref="V169">
    <cfRule type="expression" dxfId="8600" priority="10911">
      <formula>V169="X"</formula>
    </cfRule>
    <cfRule type="expression" dxfId="8599" priority="10912">
      <formula>V169="A"</formula>
    </cfRule>
    <cfRule type="expression" dxfId="8598" priority="10913">
      <formula>V169="T"</formula>
    </cfRule>
  </conditionalFormatting>
  <conditionalFormatting sqref="V171">
    <cfRule type="expression" dxfId="8597" priority="10908">
      <formula>V171="X"</formula>
    </cfRule>
    <cfRule type="expression" dxfId="8596" priority="10909">
      <formula>V171="A"</formula>
    </cfRule>
    <cfRule type="expression" dxfId="8595" priority="10910">
      <formula>V171="T"</formula>
    </cfRule>
  </conditionalFormatting>
  <conditionalFormatting sqref="V183">
    <cfRule type="expression" dxfId="8594" priority="10905">
      <formula>V183="X"</formula>
    </cfRule>
    <cfRule type="expression" dxfId="8593" priority="10906">
      <formula>V183="A"</formula>
    </cfRule>
    <cfRule type="expression" dxfId="8592" priority="10907">
      <formula>V183="T"</formula>
    </cfRule>
  </conditionalFormatting>
  <conditionalFormatting sqref="V185">
    <cfRule type="expression" dxfId="8591" priority="10902">
      <formula>V185="X"</formula>
    </cfRule>
    <cfRule type="expression" dxfId="8590" priority="10903">
      <formula>V185="A"</formula>
    </cfRule>
    <cfRule type="expression" dxfId="8589" priority="10904">
      <formula>V185="T"</formula>
    </cfRule>
  </conditionalFormatting>
  <conditionalFormatting sqref="V189">
    <cfRule type="expression" dxfId="8588" priority="10899">
      <formula>V189="X"</formula>
    </cfRule>
    <cfRule type="expression" dxfId="8587" priority="10900">
      <formula>V189="A"</formula>
    </cfRule>
    <cfRule type="expression" dxfId="8586" priority="10901">
      <formula>V189="T"</formula>
    </cfRule>
  </conditionalFormatting>
  <conditionalFormatting sqref="V191">
    <cfRule type="expression" dxfId="8585" priority="10896">
      <formula>V191="X"</formula>
    </cfRule>
    <cfRule type="expression" dxfId="8584" priority="10897">
      <formula>V191="A"</formula>
    </cfRule>
    <cfRule type="expression" dxfId="8583" priority="10898">
      <formula>V191="T"</formula>
    </cfRule>
  </conditionalFormatting>
  <conditionalFormatting sqref="V11">
    <cfRule type="expression" dxfId="8582" priority="10893">
      <formula>V11="X"</formula>
    </cfRule>
    <cfRule type="expression" dxfId="8581" priority="10894">
      <formula>V11="A"</formula>
    </cfRule>
    <cfRule type="expression" dxfId="8580" priority="10895">
      <formula>V11="T"</formula>
    </cfRule>
  </conditionalFormatting>
  <conditionalFormatting sqref="V12">
    <cfRule type="expression" dxfId="8579" priority="10890">
      <formula>V11="X"</formula>
    </cfRule>
    <cfRule type="expression" dxfId="8578" priority="10891">
      <formula>V11="A"</formula>
    </cfRule>
    <cfRule type="expression" dxfId="8577" priority="10892">
      <formula>V11="T"</formula>
    </cfRule>
  </conditionalFormatting>
  <conditionalFormatting sqref="V13">
    <cfRule type="expression" dxfId="8576" priority="10887">
      <formula>V13="X"</formula>
    </cfRule>
    <cfRule type="expression" dxfId="8575" priority="10888">
      <formula>V13="A"</formula>
    </cfRule>
    <cfRule type="expression" dxfId="8574" priority="10889">
      <formula>V13="T"</formula>
    </cfRule>
  </conditionalFormatting>
  <conditionalFormatting sqref="V14">
    <cfRule type="expression" dxfId="8573" priority="10884">
      <formula>V13="X"</formula>
    </cfRule>
    <cfRule type="expression" dxfId="8572" priority="10885">
      <formula>V13="A"</formula>
    </cfRule>
    <cfRule type="expression" dxfId="8571" priority="10886">
      <formula>V13="T"</formula>
    </cfRule>
  </conditionalFormatting>
  <conditionalFormatting sqref="V17">
    <cfRule type="expression" dxfId="8570" priority="10881">
      <formula>V16="X"</formula>
    </cfRule>
    <cfRule type="expression" dxfId="8569" priority="10882">
      <formula>V16="A"</formula>
    </cfRule>
    <cfRule type="expression" dxfId="8568" priority="10883">
      <formula>V16="T"</formula>
    </cfRule>
  </conditionalFormatting>
  <conditionalFormatting sqref="V19">
    <cfRule type="expression" dxfId="8567" priority="10875">
      <formula>V18="X"</formula>
    </cfRule>
    <cfRule type="expression" dxfId="8566" priority="10876">
      <formula>V18="A"</formula>
    </cfRule>
    <cfRule type="expression" dxfId="8565" priority="10877">
      <formula>V18="T"</formula>
    </cfRule>
  </conditionalFormatting>
  <conditionalFormatting sqref="V21">
    <cfRule type="expression" dxfId="8564" priority="10872">
      <formula>V20="X"</formula>
    </cfRule>
    <cfRule type="expression" dxfId="8563" priority="10873">
      <formula>V20="A"</formula>
    </cfRule>
    <cfRule type="expression" dxfId="8562" priority="10874">
      <formula>V20="T"</formula>
    </cfRule>
  </conditionalFormatting>
  <conditionalFormatting sqref="V23">
    <cfRule type="expression" dxfId="8561" priority="10869">
      <formula>V22="X"</formula>
    </cfRule>
    <cfRule type="expression" dxfId="8560" priority="10870">
      <formula>V22="A"</formula>
    </cfRule>
    <cfRule type="expression" dxfId="8559" priority="10871">
      <formula>V22="T"</formula>
    </cfRule>
  </conditionalFormatting>
  <conditionalFormatting sqref="V25">
    <cfRule type="expression" dxfId="8558" priority="10866">
      <formula>V24="X"</formula>
    </cfRule>
    <cfRule type="expression" dxfId="8557" priority="10867">
      <formula>V24="A"</formula>
    </cfRule>
    <cfRule type="expression" dxfId="8556" priority="10868">
      <formula>V24="T"</formula>
    </cfRule>
  </conditionalFormatting>
  <conditionalFormatting sqref="V27">
    <cfRule type="expression" dxfId="8555" priority="10863">
      <formula>V26="X"</formula>
    </cfRule>
    <cfRule type="expression" dxfId="8554" priority="10864">
      <formula>V26="A"</formula>
    </cfRule>
    <cfRule type="expression" dxfId="8553" priority="10865">
      <formula>V26="T"</formula>
    </cfRule>
  </conditionalFormatting>
  <conditionalFormatting sqref="V29">
    <cfRule type="expression" dxfId="8552" priority="10860">
      <formula>V28="X"</formula>
    </cfRule>
    <cfRule type="expression" dxfId="8551" priority="10861">
      <formula>V28="A"</formula>
    </cfRule>
    <cfRule type="expression" dxfId="8550" priority="10862">
      <formula>V28="T"</formula>
    </cfRule>
  </conditionalFormatting>
  <conditionalFormatting sqref="V31">
    <cfRule type="expression" dxfId="8549" priority="10857">
      <formula>V30="X"</formula>
    </cfRule>
    <cfRule type="expression" dxfId="8548" priority="10858">
      <formula>V30="A"</formula>
    </cfRule>
    <cfRule type="expression" dxfId="8547" priority="10859">
      <formula>V30="T"</formula>
    </cfRule>
  </conditionalFormatting>
  <conditionalFormatting sqref="V33">
    <cfRule type="expression" dxfId="8546" priority="10854">
      <formula>V32="X"</formula>
    </cfRule>
    <cfRule type="expression" dxfId="8545" priority="10855">
      <formula>V32="A"</formula>
    </cfRule>
    <cfRule type="expression" dxfId="8544" priority="10856">
      <formula>V32="T"</formula>
    </cfRule>
  </conditionalFormatting>
  <conditionalFormatting sqref="V35">
    <cfRule type="expression" dxfId="8543" priority="10851">
      <formula>V34="X"</formula>
    </cfRule>
    <cfRule type="expression" dxfId="8542" priority="10852">
      <formula>V34="A"</formula>
    </cfRule>
    <cfRule type="expression" dxfId="8541" priority="10853">
      <formula>V34="T"</formula>
    </cfRule>
  </conditionalFormatting>
  <conditionalFormatting sqref="V37">
    <cfRule type="expression" dxfId="8540" priority="10848">
      <formula>V36="X"</formula>
    </cfRule>
    <cfRule type="expression" dxfId="8539" priority="10849">
      <formula>V36="A"</formula>
    </cfRule>
    <cfRule type="expression" dxfId="8538" priority="10850">
      <formula>V36="T"</formula>
    </cfRule>
  </conditionalFormatting>
  <conditionalFormatting sqref="V40">
    <cfRule type="expression" dxfId="8537" priority="10845">
      <formula>V39="X"</formula>
    </cfRule>
    <cfRule type="expression" dxfId="8536" priority="10846">
      <formula>V39="A"</formula>
    </cfRule>
    <cfRule type="expression" dxfId="8535" priority="10847">
      <formula>V39="T"</formula>
    </cfRule>
  </conditionalFormatting>
  <conditionalFormatting sqref="V42">
    <cfRule type="expression" dxfId="8534" priority="10842">
      <formula>V41="X"</formula>
    </cfRule>
    <cfRule type="expression" dxfId="8533" priority="10843">
      <formula>V41="A"</formula>
    </cfRule>
    <cfRule type="expression" dxfId="8532" priority="10844">
      <formula>V41="T"</formula>
    </cfRule>
  </conditionalFormatting>
  <conditionalFormatting sqref="V44">
    <cfRule type="expression" dxfId="8531" priority="10839">
      <formula>V43="X"</formula>
    </cfRule>
    <cfRule type="expression" dxfId="8530" priority="10840">
      <formula>V43="A"</formula>
    </cfRule>
    <cfRule type="expression" dxfId="8529" priority="10841">
      <formula>V43="T"</formula>
    </cfRule>
  </conditionalFormatting>
  <conditionalFormatting sqref="V46">
    <cfRule type="expression" dxfId="8528" priority="10836">
      <formula>V45="X"</formula>
    </cfRule>
    <cfRule type="expression" dxfId="8527" priority="10837">
      <formula>V45="A"</formula>
    </cfRule>
    <cfRule type="expression" dxfId="8526" priority="10838">
      <formula>V45="T"</formula>
    </cfRule>
  </conditionalFormatting>
  <conditionalFormatting sqref="V49">
    <cfRule type="expression" dxfId="8525" priority="10833">
      <formula>V48="X"</formula>
    </cfRule>
    <cfRule type="expression" dxfId="8524" priority="10834">
      <formula>V48="A"</formula>
    </cfRule>
    <cfRule type="expression" dxfId="8523" priority="10835">
      <formula>V48="T"</formula>
    </cfRule>
  </conditionalFormatting>
  <conditionalFormatting sqref="V51">
    <cfRule type="expression" dxfId="8522" priority="10830">
      <formula>V50="X"</formula>
    </cfRule>
    <cfRule type="expression" dxfId="8521" priority="10831">
      <formula>V50="A"</formula>
    </cfRule>
    <cfRule type="expression" dxfId="8520" priority="10832">
      <formula>V50="T"</formula>
    </cfRule>
  </conditionalFormatting>
  <conditionalFormatting sqref="V53">
    <cfRule type="expression" dxfId="8519" priority="10827">
      <formula>V52="X"</formula>
    </cfRule>
    <cfRule type="expression" dxfId="8518" priority="10828">
      <formula>V52="A"</formula>
    </cfRule>
    <cfRule type="expression" dxfId="8517" priority="10829">
      <formula>V52="T"</formula>
    </cfRule>
  </conditionalFormatting>
  <conditionalFormatting sqref="V55">
    <cfRule type="expression" dxfId="8516" priority="10824">
      <formula>V54="X"</formula>
    </cfRule>
    <cfRule type="expression" dxfId="8515" priority="10825">
      <formula>V54="A"</formula>
    </cfRule>
    <cfRule type="expression" dxfId="8514" priority="10826">
      <formula>V54="T"</formula>
    </cfRule>
  </conditionalFormatting>
  <conditionalFormatting sqref="V57">
    <cfRule type="expression" dxfId="8513" priority="10821">
      <formula>V56="X"</formula>
    </cfRule>
    <cfRule type="expression" dxfId="8512" priority="10822">
      <formula>V56="A"</formula>
    </cfRule>
    <cfRule type="expression" dxfId="8511" priority="10823">
      <formula>V56="T"</formula>
    </cfRule>
  </conditionalFormatting>
  <conditionalFormatting sqref="V59">
    <cfRule type="expression" dxfId="8510" priority="10818">
      <formula>V58="X"</formula>
    </cfRule>
    <cfRule type="expression" dxfId="8509" priority="10819">
      <formula>V58="A"</formula>
    </cfRule>
    <cfRule type="expression" dxfId="8508" priority="10820">
      <formula>V58="T"</formula>
    </cfRule>
  </conditionalFormatting>
  <conditionalFormatting sqref="V64">
    <cfRule type="expression" dxfId="8507" priority="10815">
      <formula>V63="X"</formula>
    </cfRule>
    <cfRule type="expression" dxfId="8506" priority="10816">
      <formula>V63="A"</formula>
    </cfRule>
    <cfRule type="expression" dxfId="8505" priority="10817">
      <formula>V63="T"</formula>
    </cfRule>
  </conditionalFormatting>
  <conditionalFormatting sqref="V66">
    <cfRule type="expression" dxfId="8504" priority="10812">
      <formula>V65="X"</formula>
    </cfRule>
    <cfRule type="expression" dxfId="8503" priority="10813">
      <formula>V65="A"</formula>
    </cfRule>
    <cfRule type="expression" dxfId="8502" priority="10814">
      <formula>V65="T"</formula>
    </cfRule>
  </conditionalFormatting>
  <conditionalFormatting sqref="V68">
    <cfRule type="expression" dxfId="8501" priority="10809">
      <formula>V67="X"</formula>
    </cfRule>
    <cfRule type="expression" dxfId="8500" priority="10810">
      <formula>V67="A"</formula>
    </cfRule>
    <cfRule type="expression" dxfId="8499" priority="10811">
      <formula>V67="T"</formula>
    </cfRule>
  </conditionalFormatting>
  <conditionalFormatting sqref="V82">
    <cfRule type="expression" dxfId="8498" priority="10806">
      <formula>V81="X"</formula>
    </cfRule>
    <cfRule type="expression" dxfId="8497" priority="10807">
      <formula>V81="A"</formula>
    </cfRule>
    <cfRule type="expression" dxfId="8496" priority="10808">
      <formula>V81="T"</formula>
    </cfRule>
  </conditionalFormatting>
  <conditionalFormatting sqref="V84">
    <cfRule type="expression" dxfId="8495" priority="10803">
      <formula>V83="X"</formula>
    </cfRule>
    <cfRule type="expression" dxfId="8494" priority="10804">
      <formula>V83="A"</formula>
    </cfRule>
    <cfRule type="expression" dxfId="8493" priority="10805">
      <formula>V83="T"</formula>
    </cfRule>
  </conditionalFormatting>
  <conditionalFormatting sqref="V86">
    <cfRule type="expression" dxfId="8492" priority="10800">
      <formula>V85="X"</formula>
    </cfRule>
    <cfRule type="expression" dxfId="8491" priority="10801">
      <formula>V85="A"</formula>
    </cfRule>
    <cfRule type="expression" dxfId="8490" priority="10802">
      <formula>V85="T"</formula>
    </cfRule>
  </conditionalFormatting>
  <conditionalFormatting sqref="V89">
    <cfRule type="expression" dxfId="8489" priority="10797">
      <formula>V88="X"</formula>
    </cfRule>
    <cfRule type="expression" dxfId="8488" priority="10798">
      <formula>V88="A"</formula>
    </cfRule>
    <cfRule type="expression" dxfId="8487" priority="10799">
      <formula>V88="T"</formula>
    </cfRule>
  </conditionalFormatting>
  <conditionalFormatting sqref="V91">
    <cfRule type="expression" dxfId="8486" priority="10794">
      <formula>V90="X"</formula>
    </cfRule>
    <cfRule type="expression" dxfId="8485" priority="10795">
      <formula>V90="A"</formula>
    </cfRule>
    <cfRule type="expression" dxfId="8484" priority="10796">
      <formula>V90="T"</formula>
    </cfRule>
  </conditionalFormatting>
  <conditionalFormatting sqref="V93">
    <cfRule type="expression" dxfId="8483" priority="10791">
      <formula>V92="X"</formula>
    </cfRule>
    <cfRule type="expression" dxfId="8482" priority="10792">
      <formula>V92="A"</formula>
    </cfRule>
    <cfRule type="expression" dxfId="8481" priority="10793">
      <formula>V92="T"</formula>
    </cfRule>
  </conditionalFormatting>
  <conditionalFormatting sqref="V95">
    <cfRule type="expression" dxfId="8480" priority="10788">
      <formula>V94="X"</formula>
    </cfRule>
    <cfRule type="expression" dxfId="8479" priority="10789">
      <formula>V94="A"</formula>
    </cfRule>
    <cfRule type="expression" dxfId="8478" priority="10790">
      <formula>V94="T"</formula>
    </cfRule>
  </conditionalFormatting>
  <conditionalFormatting sqref="V97">
    <cfRule type="expression" dxfId="8477" priority="10785">
      <formula>V96="X"</formula>
    </cfRule>
    <cfRule type="expression" dxfId="8476" priority="10786">
      <formula>V96="A"</formula>
    </cfRule>
    <cfRule type="expression" dxfId="8475" priority="10787">
      <formula>V96="T"</formula>
    </cfRule>
  </conditionalFormatting>
  <conditionalFormatting sqref="V99">
    <cfRule type="expression" dxfId="8474" priority="10782">
      <formula>V98="X"</formula>
    </cfRule>
    <cfRule type="expression" dxfId="8473" priority="10783">
      <formula>V98="A"</formula>
    </cfRule>
    <cfRule type="expression" dxfId="8472" priority="10784">
      <formula>V98="T"</formula>
    </cfRule>
  </conditionalFormatting>
  <conditionalFormatting sqref="V101">
    <cfRule type="expression" dxfId="8471" priority="10779">
      <formula>V100="X"</formula>
    </cfRule>
    <cfRule type="expression" dxfId="8470" priority="10780">
      <formula>V100="A"</formula>
    </cfRule>
    <cfRule type="expression" dxfId="8469" priority="10781">
      <formula>V100="T"</formula>
    </cfRule>
  </conditionalFormatting>
  <conditionalFormatting sqref="V103">
    <cfRule type="expression" dxfId="8468" priority="10776">
      <formula>V102="X"</formula>
    </cfRule>
    <cfRule type="expression" dxfId="8467" priority="10777">
      <formula>V102="A"</formula>
    </cfRule>
    <cfRule type="expression" dxfId="8466" priority="10778">
      <formula>V102="T"</formula>
    </cfRule>
  </conditionalFormatting>
  <conditionalFormatting sqref="V106">
    <cfRule type="expression" dxfId="8465" priority="10773">
      <formula>V105="X"</formula>
    </cfRule>
    <cfRule type="expression" dxfId="8464" priority="10774">
      <formula>V105="A"</formula>
    </cfRule>
    <cfRule type="expression" dxfId="8463" priority="10775">
      <formula>V105="T"</formula>
    </cfRule>
  </conditionalFormatting>
  <conditionalFormatting sqref="V108">
    <cfRule type="expression" dxfId="8462" priority="10770">
      <formula>V107="X"</formula>
    </cfRule>
    <cfRule type="expression" dxfId="8461" priority="10771">
      <formula>V107="A"</formula>
    </cfRule>
    <cfRule type="expression" dxfId="8460" priority="10772">
      <formula>V107="T"</formula>
    </cfRule>
  </conditionalFormatting>
  <conditionalFormatting sqref="V110">
    <cfRule type="expression" dxfId="8459" priority="10767">
      <formula>V109="X"</formula>
    </cfRule>
    <cfRule type="expression" dxfId="8458" priority="10768">
      <formula>V109="A"</formula>
    </cfRule>
    <cfRule type="expression" dxfId="8457" priority="10769">
      <formula>V109="T"</formula>
    </cfRule>
  </conditionalFormatting>
  <conditionalFormatting sqref="V112">
    <cfRule type="expression" dxfId="8456" priority="10764">
      <formula>V111="X"</formula>
    </cfRule>
    <cfRule type="expression" dxfId="8455" priority="10765">
      <formula>V111="A"</formula>
    </cfRule>
    <cfRule type="expression" dxfId="8454" priority="10766">
      <formula>V111="T"</formula>
    </cfRule>
  </conditionalFormatting>
  <conditionalFormatting sqref="V114">
    <cfRule type="expression" dxfId="8453" priority="10761">
      <formula>V113="X"</formula>
    </cfRule>
    <cfRule type="expression" dxfId="8452" priority="10762">
      <formula>V113="A"</formula>
    </cfRule>
    <cfRule type="expression" dxfId="8451" priority="10763">
      <formula>V113="T"</formula>
    </cfRule>
  </conditionalFormatting>
  <conditionalFormatting sqref="V117">
    <cfRule type="expression" dxfId="8450" priority="10758">
      <formula>V116="X"</formula>
    </cfRule>
    <cfRule type="expression" dxfId="8449" priority="10759">
      <formula>V116="A"</formula>
    </cfRule>
    <cfRule type="expression" dxfId="8448" priority="10760">
      <formula>V116="T"</formula>
    </cfRule>
  </conditionalFormatting>
  <conditionalFormatting sqref="V119">
    <cfRule type="expression" dxfId="8447" priority="10755">
      <formula>V118="X"</formula>
    </cfRule>
    <cfRule type="expression" dxfId="8446" priority="10756">
      <formula>V118="A"</formula>
    </cfRule>
    <cfRule type="expression" dxfId="8445" priority="10757">
      <formula>V118="T"</formula>
    </cfRule>
  </conditionalFormatting>
  <conditionalFormatting sqref="V121">
    <cfRule type="expression" dxfId="8444" priority="10752">
      <formula>V120="X"</formula>
    </cfRule>
    <cfRule type="expression" dxfId="8443" priority="10753">
      <formula>V120="A"</formula>
    </cfRule>
    <cfRule type="expression" dxfId="8442" priority="10754">
      <formula>V120="T"</formula>
    </cfRule>
  </conditionalFormatting>
  <conditionalFormatting sqref="V123">
    <cfRule type="expression" dxfId="8441" priority="10749">
      <formula>V122="X"</formula>
    </cfRule>
    <cfRule type="expression" dxfId="8440" priority="10750">
      <formula>V122="A"</formula>
    </cfRule>
    <cfRule type="expression" dxfId="8439" priority="10751">
      <formula>V122="T"</formula>
    </cfRule>
  </conditionalFormatting>
  <conditionalFormatting sqref="V126">
    <cfRule type="expression" dxfId="8438" priority="10746">
      <formula>V125="X"</formula>
    </cfRule>
    <cfRule type="expression" dxfId="8437" priority="10747">
      <formula>V125="A"</formula>
    </cfRule>
    <cfRule type="expression" dxfId="8436" priority="10748">
      <formula>V125="T"</formula>
    </cfRule>
  </conditionalFormatting>
  <conditionalFormatting sqref="V128">
    <cfRule type="expression" dxfId="8435" priority="10743">
      <formula>V127="X"</formula>
    </cfRule>
    <cfRule type="expression" dxfId="8434" priority="10744">
      <formula>V127="A"</formula>
    </cfRule>
    <cfRule type="expression" dxfId="8433" priority="10745">
      <formula>V127="T"</formula>
    </cfRule>
  </conditionalFormatting>
  <conditionalFormatting sqref="V142">
    <cfRule type="expression" dxfId="8432" priority="10740">
      <formula>V141="X"</formula>
    </cfRule>
    <cfRule type="expression" dxfId="8431" priority="10741">
      <formula>V141="A"</formula>
    </cfRule>
    <cfRule type="expression" dxfId="8430" priority="10742">
      <formula>V141="T"</formula>
    </cfRule>
  </conditionalFormatting>
  <conditionalFormatting sqref="V144">
    <cfRule type="expression" dxfId="8429" priority="10737">
      <formula>V143="X"</formula>
    </cfRule>
    <cfRule type="expression" dxfId="8428" priority="10738">
      <formula>V143="A"</formula>
    </cfRule>
    <cfRule type="expression" dxfId="8427" priority="10739">
      <formula>V143="T"</formula>
    </cfRule>
  </conditionalFormatting>
  <conditionalFormatting sqref="V150">
    <cfRule type="expression" dxfId="8426" priority="10734">
      <formula>V149="X"</formula>
    </cfRule>
    <cfRule type="expression" dxfId="8425" priority="10735">
      <formula>V149="A"</formula>
    </cfRule>
    <cfRule type="expression" dxfId="8424" priority="10736">
      <formula>V149="T"</formula>
    </cfRule>
  </conditionalFormatting>
  <conditionalFormatting sqref="V152">
    <cfRule type="expression" dxfId="8423" priority="10731">
      <formula>V151="X"</formula>
    </cfRule>
    <cfRule type="expression" dxfId="8422" priority="10732">
      <formula>V151="A"</formula>
    </cfRule>
    <cfRule type="expression" dxfId="8421" priority="10733">
      <formula>V151="T"</formula>
    </cfRule>
  </conditionalFormatting>
  <conditionalFormatting sqref="V156">
    <cfRule type="expression" dxfId="8420" priority="10728">
      <formula>V155="X"</formula>
    </cfRule>
    <cfRule type="expression" dxfId="8419" priority="10729">
      <formula>V155="A"</formula>
    </cfRule>
    <cfRule type="expression" dxfId="8418" priority="10730">
      <formula>V155="T"</formula>
    </cfRule>
  </conditionalFormatting>
  <conditionalFormatting sqref="V168">
    <cfRule type="expression" dxfId="8417" priority="10722">
      <formula>V167="X"</formula>
    </cfRule>
    <cfRule type="expression" dxfId="8416" priority="10723">
      <formula>V167="A"</formula>
    </cfRule>
    <cfRule type="expression" dxfId="8415" priority="10724">
      <formula>V167="T"</formula>
    </cfRule>
  </conditionalFormatting>
  <conditionalFormatting sqref="V170">
    <cfRule type="expression" dxfId="8414" priority="10719">
      <formula>V169="X"</formula>
    </cfRule>
    <cfRule type="expression" dxfId="8413" priority="10720">
      <formula>V169="A"</formula>
    </cfRule>
    <cfRule type="expression" dxfId="8412" priority="10721">
      <formula>V169="T"</formula>
    </cfRule>
  </conditionalFormatting>
  <conditionalFormatting sqref="V172">
    <cfRule type="expression" dxfId="8411" priority="10716">
      <formula>V171="X"</formula>
    </cfRule>
    <cfRule type="expression" dxfId="8410" priority="10717">
      <formula>V171="A"</formula>
    </cfRule>
    <cfRule type="expression" dxfId="8409" priority="10718">
      <formula>V171="T"</formula>
    </cfRule>
  </conditionalFormatting>
  <conditionalFormatting sqref="V174">
    <cfRule type="expression" dxfId="8408" priority="10713">
      <formula>V173="X"</formula>
    </cfRule>
    <cfRule type="expression" dxfId="8407" priority="10714">
      <formula>V173="A"</formula>
    </cfRule>
    <cfRule type="expression" dxfId="8406" priority="10715">
      <formula>V173="T"</formula>
    </cfRule>
  </conditionalFormatting>
  <conditionalFormatting sqref="V176">
    <cfRule type="expression" dxfId="8405" priority="10710">
      <formula>V175="X"</formula>
    </cfRule>
    <cfRule type="expression" dxfId="8404" priority="10711">
      <formula>V175="A"</formula>
    </cfRule>
    <cfRule type="expression" dxfId="8403" priority="10712">
      <formula>V175="T"</formula>
    </cfRule>
  </conditionalFormatting>
  <conditionalFormatting sqref="V178">
    <cfRule type="expression" dxfId="8402" priority="10707">
      <formula>V177="X"</formula>
    </cfRule>
    <cfRule type="expression" dxfId="8401" priority="10708">
      <formula>V177="A"</formula>
    </cfRule>
    <cfRule type="expression" dxfId="8400" priority="10709">
      <formula>V177="T"</formula>
    </cfRule>
  </conditionalFormatting>
  <conditionalFormatting sqref="V180">
    <cfRule type="expression" dxfId="8399" priority="10704">
      <formula>V179="X"</formula>
    </cfRule>
    <cfRule type="expression" dxfId="8398" priority="10705">
      <formula>V179="A"</formula>
    </cfRule>
    <cfRule type="expression" dxfId="8397" priority="10706">
      <formula>V179="T"</formula>
    </cfRule>
  </conditionalFormatting>
  <conditionalFormatting sqref="V184">
    <cfRule type="expression" dxfId="8396" priority="10701">
      <formula>V183="X"</formula>
    </cfRule>
    <cfRule type="expression" dxfId="8395" priority="10702">
      <formula>V183="A"</formula>
    </cfRule>
    <cfRule type="expression" dxfId="8394" priority="10703">
      <formula>V183="T"</formula>
    </cfRule>
  </conditionalFormatting>
  <conditionalFormatting sqref="V186">
    <cfRule type="expression" dxfId="8393" priority="10698">
      <formula>V185="X"</formula>
    </cfRule>
    <cfRule type="expression" dxfId="8392" priority="10699">
      <formula>V185="A"</formula>
    </cfRule>
    <cfRule type="expression" dxfId="8391" priority="10700">
      <formula>V185="T"</formula>
    </cfRule>
  </conditionalFormatting>
  <conditionalFormatting sqref="V190">
    <cfRule type="expression" dxfId="8390" priority="10695">
      <formula>V189="X"</formula>
    </cfRule>
    <cfRule type="expression" dxfId="8389" priority="10696">
      <formula>V189="A"</formula>
    </cfRule>
    <cfRule type="expression" dxfId="8388" priority="10697">
      <formula>V189="T"</formula>
    </cfRule>
  </conditionalFormatting>
  <conditionalFormatting sqref="V192">
    <cfRule type="expression" dxfId="8387" priority="10692">
      <formula>V191="X"</formula>
    </cfRule>
    <cfRule type="expression" dxfId="8386" priority="10693">
      <formula>V191="A"</formula>
    </cfRule>
    <cfRule type="expression" dxfId="8385" priority="10694">
      <formula>V191="T"</formula>
    </cfRule>
  </conditionalFormatting>
  <conditionalFormatting sqref="V208">
    <cfRule type="expression" dxfId="8384" priority="10689">
      <formula>V207="X"</formula>
    </cfRule>
    <cfRule type="expression" dxfId="8383" priority="10690">
      <formula>V207="A"</formula>
    </cfRule>
    <cfRule type="expression" dxfId="8382" priority="10691">
      <formula>V207="T"</formula>
    </cfRule>
  </conditionalFormatting>
  <conditionalFormatting sqref="V211">
    <cfRule type="expression" dxfId="8381" priority="10686">
      <formula>V211="X"</formula>
    </cfRule>
    <cfRule type="expression" dxfId="8380" priority="10687">
      <formula>V211="A"</formula>
    </cfRule>
    <cfRule type="expression" dxfId="8379" priority="10688">
      <formula>V211="T"</formula>
    </cfRule>
  </conditionalFormatting>
  <conditionalFormatting sqref="V212">
    <cfRule type="expression" dxfId="8378" priority="10683">
      <formula>V211="X"</formula>
    </cfRule>
    <cfRule type="expression" dxfId="8377" priority="10684">
      <formula>V211="A"</formula>
    </cfRule>
    <cfRule type="expression" dxfId="8376" priority="10685">
      <formula>V211="T"</formula>
    </cfRule>
  </conditionalFormatting>
  <conditionalFormatting sqref="V213">
    <cfRule type="expression" dxfId="8375" priority="10680">
      <formula>V213="X"</formula>
    </cfRule>
    <cfRule type="expression" dxfId="8374" priority="10681">
      <formula>V213="A"</formula>
    </cfRule>
    <cfRule type="expression" dxfId="8373" priority="10682">
      <formula>V213="T"</formula>
    </cfRule>
  </conditionalFormatting>
  <conditionalFormatting sqref="V214">
    <cfRule type="expression" dxfId="8372" priority="10677">
      <formula>V213="X"</formula>
    </cfRule>
    <cfRule type="expression" dxfId="8371" priority="10678">
      <formula>V213="A"</formula>
    </cfRule>
    <cfRule type="expression" dxfId="8370" priority="10679">
      <formula>V213="T"</formula>
    </cfRule>
  </conditionalFormatting>
  <conditionalFormatting sqref="V215">
    <cfRule type="expression" dxfId="8369" priority="10674">
      <formula>V215="X"</formula>
    </cfRule>
    <cfRule type="expression" dxfId="8368" priority="10675">
      <formula>V215="A"</formula>
    </cfRule>
    <cfRule type="expression" dxfId="8367" priority="10676">
      <formula>V215="T"</formula>
    </cfRule>
  </conditionalFormatting>
  <conditionalFormatting sqref="V216">
    <cfRule type="expression" dxfId="8366" priority="10671">
      <formula>V215="X"</formula>
    </cfRule>
    <cfRule type="expression" dxfId="8365" priority="10672">
      <formula>V215="A"</formula>
    </cfRule>
    <cfRule type="expression" dxfId="8364" priority="10673">
      <formula>V215="T"</formula>
    </cfRule>
  </conditionalFormatting>
  <conditionalFormatting sqref="V217">
    <cfRule type="expression" dxfId="8363" priority="10668">
      <formula>V217="X"</formula>
    </cfRule>
    <cfRule type="expression" dxfId="8362" priority="10669">
      <formula>V217="A"</formula>
    </cfRule>
    <cfRule type="expression" dxfId="8361" priority="10670">
      <formula>V217="T"</formula>
    </cfRule>
  </conditionalFormatting>
  <conditionalFormatting sqref="V218">
    <cfRule type="expression" dxfId="8360" priority="10665">
      <formula>V217="X"</formula>
    </cfRule>
    <cfRule type="expression" dxfId="8359" priority="10666">
      <formula>V217="A"</formula>
    </cfRule>
    <cfRule type="expression" dxfId="8358" priority="10667">
      <formula>V217="T"</formula>
    </cfRule>
  </conditionalFormatting>
  <conditionalFormatting sqref="V219">
    <cfRule type="expression" dxfId="8357" priority="10662">
      <formula>V219="X"</formula>
    </cfRule>
    <cfRule type="expression" dxfId="8356" priority="10663">
      <formula>V219="A"</formula>
    </cfRule>
    <cfRule type="expression" dxfId="8355" priority="10664">
      <formula>V219="T"</formula>
    </cfRule>
  </conditionalFormatting>
  <conditionalFormatting sqref="V220">
    <cfRule type="expression" dxfId="8354" priority="10659">
      <formula>V219="X"</formula>
    </cfRule>
    <cfRule type="expression" dxfId="8353" priority="10660">
      <formula>V219="A"</formula>
    </cfRule>
    <cfRule type="expression" dxfId="8352" priority="10661">
      <formula>V219="T"</formula>
    </cfRule>
  </conditionalFormatting>
  <conditionalFormatting sqref="V221">
    <cfRule type="expression" dxfId="8351" priority="10656">
      <formula>V221="X"</formula>
    </cfRule>
    <cfRule type="expression" dxfId="8350" priority="10657">
      <formula>V221="A"</formula>
    </cfRule>
    <cfRule type="expression" dxfId="8349" priority="10658">
      <formula>V221="T"</formula>
    </cfRule>
  </conditionalFormatting>
  <conditionalFormatting sqref="V222">
    <cfRule type="expression" dxfId="8348" priority="10653">
      <formula>V221="X"</formula>
    </cfRule>
    <cfRule type="expression" dxfId="8347" priority="10654">
      <formula>V221="A"</formula>
    </cfRule>
    <cfRule type="expression" dxfId="8346" priority="10655">
      <formula>V221="T"</formula>
    </cfRule>
  </conditionalFormatting>
  <conditionalFormatting sqref="V223">
    <cfRule type="expression" dxfId="8345" priority="10650">
      <formula>V223="X"</formula>
    </cfRule>
    <cfRule type="expression" dxfId="8344" priority="10651">
      <formula>V223="A"</formula>
    </cfRule>
    <cfRule type="expression" dxfId="8343" priority="10652">
      <formula>V223="T"</formula>
    </cfRule>
  </conditionalFormatting>
  <conditionalFormatting sqref="V224">
    <cfRule type="expression" dxfId="8342" priority="10647">
      <formula>V223="X"</formula>
    </cfRule>
    <cfRule type="expression" dxfId="8341" priority="10648">
      <formula>V223="A"</formula>
    </cfRule>
    <cfRule type="expression" dxfId="8340" priority="10649">
      <formula>V223="T"</formula>
    </cfRule>
  </conditionalFormatting>
  <conditionalFormatting sqref="V4">
    <cfRule type="expression" dxfId="8339" priority="10644">
      <formula>V4="X"</formula>
    </cfRule>
    <cfRule type="expression" dxfId="8338" priority="10645">
      <formula>V4="A"</formula>
    </cfRule>
    <cfRule type="expression" dxfId="8337" priority="10646">
      <formula>V4="T"</formula>
    </cfRule>
  </conditionalFormatting>
  <conditionalFormatting sqref="V5">
    <cfRule type="expression" dxfId="8336" priority="10641">
      <formula>V4="X"</formula>
    </cfRule>
    <cfRule type="expression" dxfId="8335" priority="10642">
      <formula>V4="A"</formula>
    </cfRule>
    <cfRule type="expression" dxfId="8334" priority="10643">
      <formula>V4="T"</formula>
    </cfRule>
  </conditionalFormatting>
  <conditionalFormatting sqref="V6">
    <cfRule type="expression" dxfId="8333" priority="10638">
      <formula>V6="X"</formula>
    </cfRule>
    <cfRule type="expression" dxfId="8332" priority="10639">
      <formula>V6="A"</formula>
    </cfRule>
    <cfRule type="expression" dxfId="8331" priority="10640">
      <formula>V6="T"</formula>
    </cfRule>
  </conditionalFormatting>
  <conditionalFormatting sqref="V7">
    <cfRule type="expression" dxfId="8330" priority="10635">
      <formula>V6="X"</formula>
    </cfRule>
    <cfRule type="expression" dxfId="8329" priority="10636">
      <formula>V6="A"</formula>
    </cfRule>
    <cfRule type="expression" dxfId="8328" priority="10637">
      <formula>V6="T"</formula>
    </cfRule>
  </conditionalFormatting>
  <conditionalFormatting sqref="V8">
    <cfRule type="expression" dxfId="8327" priority="10632">
      <formula>V8="X"</formula>
    </cfRule>
    <cfRule type="expression" dxfId="8326" priority="10633">
      <formula>V8="A"</formula>
    </cfRule>
    <cfRule type="expression" dxfId="8325" priority="10634">
      <formula>V8="T"</formula>
    </cfRule>
  </conditionalFormatting>
  <conditionalFormatting sqref="V9">
    <cfRule type="expression" dxfId="8324" priority="10629">
      <formula>V8="X"</formula>
    </cfRule>
    <cfRule type="expression" dxfId="8323" priority="10630">
      <formula>V8="A"</formula>
    </cfRule>
    <cfRule type="expression" dxfId="8322" priority="10631">
      <formula>V8="T"</formula>
    </cfRule>
  </conditionalFormatting>
  <conditionalFormatting sqref="V74">
    <cfRule type="expression" dxfId="8321" priority="10626">
      <formula>V74="X"</formula>
    </cfRule>
    <cfRule type="expression" dxfId="8320" priority="10627">
      <formula>V74="A"</formula>
    </cfRule>
    <cfRule type="expression" dxfId="8319" priority="10628">
      <formula>V74="T"</formula>
    </cfRule>
  </conditionalFormatting>
  <conditionalFormatting sqref="V75">
    <cfRule type="expression" dxfId="8318" priority="10623">
      <formula>V74="X"</formula>
    </cfRule>
    <cfRule type="expression" dxfId="8317" priority="10624">
      <formula>V74="A"</formula>
    </cfRule>
    <cfRule type="expression" dxfId="8316" priority="10625">
      <formula>V74="T"</formula>
    </cfRule>
  </conditionalFormatting>
  <conditionalFormatting sqref="V76">
    <cfRule type="expression" dxfId="8315" priority="10620">
      <formula>V76="X"</formula>
    </cfRule>
    <cfRule type="expression" dxfId="8314" priority="10621">
      <formula>V76="A"</formula>
    </cfRule>
    <cfRule type="expression" dxfId="8313" priority="10622">
      <formula>V76="T"</formula>
    </cfRule>
  </conditionalFormatting>
  <conditionalFormatting sqref="V77">
    <cfRule type="expression" dxfId="8312" priority="10617">
      <formula>V76="X"</formula>
    </cfRule>
    <cfRule type="expression" dxfId="8311" priority="10618">
      <formula>V76="A"</formula>
    </cfRule>
    <cfRule type="expression" dxfId="8310" priority="10619">
      <formula>V76="T"</formula>
    </cfRule>
  </conditionalFormatting>
  <conditionalFormatting sqref="V78">
    <cfRule type="expression" dxfId="8309" priority="10614">
      <formula>V78="X"</formula>
    </cfRule>
    <cfRule type="expression" dxfId="8308" priority="10615">
      <formula>V78="A"</formula>
    </cfRule>
    <cfRule type="expression" dxfId="8307" priority="10616">
      <formula>V78="T"</formula>
    </cfRule>
  </conditionalFormatting>
  <conditionalFormatting sqref="V79">
    <cfRule type="expression" dxfId="8306" priority="10611">
      <formula>V78="X"</formula>
    </cfRule>
    <cfRule type="expression" dxfId="8305" priority="10612">
      <formula>V78="A"</formula>
    </cfRule>
    <cfRule type="expression" dxfId="8304" priority="10613">
      <formula>V78="T"</formula>
    </cfRule>
  </conditionalFormatting>
  <conditionalFormatting sqref="V134">
    <cfRule type="expression" dxfId="8303" priority="10608">
      <formula>V134="X"</formula>
    </cfRule>
    <cfRule type="expression" dxfId="8302" priority="10609">
      <formula>V134="A"</formula>
    </cfRule>
    <cfRule type="expression" dxfId="8301" priority="10610">
      <formula>V134="T"</formula>
    </cfRule>
  </conditionalFormatting>
  <conditionalFormatting sqref="V135">
    <cfRule type="expression" dxfId="8300" priority="10605">
      <formula>V134="X"</formula>
    </cfRule>
    <cfRule type="expression" dxfId="8299" priority="10606">
      <formula>V134="A"</formula>
    </cfRule>
    <cfRule type="expression" dxfId="8298" priority="10607">
      <formula>V134="T"</formula>
    </cfRule>
  </conditionalFormatting>
  <conditionalFormatting sqref="V136">
    <cfRule type="expression" dxfId="8297" priority="10602">
      <formula>V136="X"</formula>
    </cfRule>
    <cfRule type="expression" dxfId="8296" priority="10603">
      <formula>V136="A"</formula>
    </cfRule>
    <cfRule type="expression" dxfId="8295" priority="10604">
      <formula>V136="T"</formula>
    </cfRule>
  </conditionalFormatting>
  <conditionalFormatting sqref="V137">
    <cfRule type="expression" dxfId="8294" priority="10599">
      <formula>V136="X"</formula>
    </cfRule>
    <cfRule type="expression" dxfId="8293" priority="10600">
      <formula>V136="A"</formula>
    </cfRule>
    <cfRule type="expression" dxfId="8292" priority="10601">
      <formula>V136="T"</formula>
    </cfRule>
  </conditionalFormatting>
  <conditionalFormatting sqref="V138">
    <cfRule type="expression" dxfId="8291" priority="10596">
      <formula>V138="X"</formula>
    </cfRule>
    <cfRule type="expression" dxfId="8290" priority="10597">
      <formula>V138="A"</formula>
    </cfRule>
    <cfRule type="expression" dxfId="8289" priority="10598">
      <formula>V138="T"</formula>
    </cfRule>
  </conditionalFormatting>
  <conditionalFormatting sqref="V139">
    <cfRule type="expression" dxfId="8288" priority="10593">
      <formula>V138="X"</formula>
    </cfRule>
    <cfRule type="expression" dxfId="8287" priority="10594">
      <formula>V138="A"</formula>
    </cfRule>
    <cfRule type="expression" dxfId="8286" priority="10595">
      <formula>V138="T"</formula>
    </cfRule>
  </conditionalFormatting>
  <conditionalFormatting sqref="V10">
    <cfRule type="expression" dxfId="8285" priority="10590" stopIfTrue="1">
      <formula>V4=""</formula>
    </cfRule>
  </conditionalFormatting>
  <conditionalFormatting sqref="V10">
    <cfRule type="expression" dxfId="8284" priority="10591" stopIfTrue="1">
      <formula>V10=1</formula>
    </cfRule>
    <cfRule type="colorScale" priority="10592">
      <colorScale>
        <cfvo type="num" val="0"/>
        <cfvo type="num" val="0.5"/>
        <cfvo type="num" val="1"/>
        <color rgb="FFF8696B"/>
        <color theme="4" tint="0.79998168889431442"/>
        <color rgb="FF5A8AC6"/>
      </colorScale>
    </cfRule>
  </conditionalFormatting>
  <conditionalFormatting sqref="V15">
    <cfRule type="expression" dxfId="8283" priority="10587" stopIfTrue="1">
      <formula>V11=""</formula>
    </cfRule>
  </conditionalFormatting>
  <conditionalFormatting sqref="V15">
    <cfRule type="expression" dxfId="8282" priority="10588" stopIfTrue="1">
      <formula>V15=1</formula>
    </cfRule>
    <cfRule type="colorScale" priority="10589">
      <colorScale>
        <cfvo type="num" val="0"/>
        <cfvo type="num" val="0.5"/>
        <cfvo type="num" val="1"/>
        <color rgb="FFF8696B"/>
        <color theme="4" tint="0.79998168889431442"/>
        <color rgb="FF5A8AC6"/>
      </colorScale>
    </cfRule>
  </conditionalFormatting>
  <conditionalFormatting sqref="V38">
    <cfRule type="expression" dxfId="8281" priority="10584" stopIfTrue="1">
      <formula>V16=""</formula>
    </cfRule>
  </conditionalFormatting>
  <conditionalFormatting sqref="V38">
    <cfRule type="expression" dxfId="8280" priority="10585" stopIfTrue="1">
      <formula>V38=1</formula>
    </cfRule>
    <cfRule type="colorScale" priority="10586">
      <colorScale>
        <cfvo type="num" val="0"/>
        <cfvo type="num" val="0.5"/>
        <cfvo type="num" val="1"/>
        <color rgb="FFF8696B"/>
        <color theme="4" tint="0.79998168889431442"/>
        <color rgb="FF5A8AC6"/>
      </colorScale>
    </cfRule>
  </conditionalFormatting>
  <conditionalFormatting sqref="V47">
    <cfRule type="expression" dxfId="8279" priority="10581" stopIfTrue="1">
      <formula>V39=""</formula>
    </cfRule>
  </conditionalFormatting>
  <conditionalFormatting sqref="V47">
    <cfRule type="expression" dxfId="8278" priority="10582" stopIfTrue="1">
      <formula>V47=1</formula>
    </cfRule>
    <cfRule type="colorScale" priority="10583">
      <colorScale>
        <cfvo type="num" val="0"/>
        <cfvo type="num" val="0.5"/>
        <cfvo type="num" val="1"/>
        <color rgb="FFF8696B"/>
        <color theme="4" tint="0.79998168889431442"/>
        <color rgb="FF5A8AC6"/>
      </colorScale>
    </cfRule>
  </conditionalFormatting>
  <conditionalFormatting sqref="V69">
    <cfRule type="expression" dxfId="8277" priority="10576" stopIfTrue="1">
      <formula>V69=1</formula>
    </cfRule>
    <cfRule type="colorScale" priority="10577">
      <colorScale>
        <cfvo type="num" val="0"/>
        <cfvo type="num" val="0.5"/>
        <cfvo type="num" val="1"/>
        <color rgb="FFF8696B"/>
        <color theme="4" tint="0.79998168889431442"/>
        <color rgb="FF5A8AC6"/>
      </colorScale>
    </cfRule>
  </conditionalFormatting>
  <conditionalFormatting sqref="V69">
    <cfRule type="expression" dxfId="8276" priority="10575" stopIfTrue="1">
      <formula>V63=""</formula>
    </cfRule>
  </conditionalFormatting>
  <conditionalFormatting sqref="V80">
    <cfRule type="expression" dxfId="8275" priority="10572" stopIfTrue="1">
      <formula>V74=""</formula>
    </cfRule>
  </conditionalFormatting>
  <conditionalFormatting sqref="V80">
    <cfRule type="expression" dxfId="8274" priority="10573" stopIfTrue="1">
      <formula>V80=1</formula>
    </cfRule>
    <cfRule type="colorScale" priority="10574">
      <colorScale>
        <cfvo type="num" val="0"/>
        <cfvo type="num" val="0.5"/>
        <cfvo type="num" val="1"/>
        <color rgb="FFF8696B"/>
        <color theme="4" tint="0.79998168889431442"/>
        <color rgb="FF5A8AC6"/>
      </colorScale>
    </cfRule>
  </conditionalFormatting>
  <conditionalFormatting sqref="V87">
    <cfRule type="expression" dxfId="8273" priority="10569" stopIfTrue="1">
      <formula>V81=""</formula>
    </cfRule>
  </conditionalFormatting>
  <conditionalFormatting sqref="V87">
    <cfRule type="expression" dxfId="8272" priority="10570" stopIfTrue="1">
      <formula>V87=1</formula>
    </cfRule>
    <cfRule type="colorScale" priority="10571">
      <colorScale>
        <cfvo type="num" val="0"/>
        <cfvo type="num" val="0.5"/>
        <cfvo type="num" val="1"/>
        <color rgb="FFF8696B"/>
        <color theme="4" tint="0.79998168889431442"/>
        <color rgb="FF5A8AC6"/>
      </colorScale>
    </cfRule>
  </conditionalFormatting>
  <conditionalFormatting sqref="V104">
    <cfRule type="expression" dxfId="8271" priority="10566" stopIfTrue="1">
      <formula>V88=""</formula>
    </cfRule>
  </conditionalFormatting>
  <conditionalFormatting sqref="V104">
    <cfRule type="expression" dxfId="8270" priority="10567" stopIfTrue="1">
      <formula>V104=1</formula>
    </cfRule>
    <cfRule type="colorScale" priority="10568">
      <colorScale>
        <cfvo type="num" val="0"/>
        <cfvo type="num" val="0.5"/>
        <cfvo type="num" val="1"/>
        <color rgb="FFF8696B"/>
        <color theme="4" tint="0.79998168889431442"/>
        <color rgb="FF5A8AC6"/>
      </colorScale>
    </cfRule>
  </conditionalFormatting>
  <conditionalFormatting sqref="V115">
    <cfRule type="expression" dxfId="8269" priority="10563" stopIfTrue="1">
      <formula>V105=""</formula>
    </cfRule>
  </conditionalFormatting>
  <conditionalFormatting sqref="V115">
    <cfRule type="expression" dxfId="8268" priority="10564" stopIfTrue="1">
      <formula>V115=1</formula>
    </cfRule>
    <cfRule type="colorScale" priority="10565">
      <colorScale>
        <cfvo type="num" val="0"/>
        <cfvo type="num" val="0.5"/>
        <cfvo type="num" val="1"/>
        <color rgb="FFF8696B"/>
        <color theme="4" tint="0.79998168889431442"/>
        <color rgb="FF5A8AC6"/>
      </colorScale>
    </cfRule>
  </conditionalFormatting>
  <conditionalFormatting sqref="V124">
    <cfRule type="expression" dxfId="8267" priority="10560" stopIfTrue="1">
      <formula>V116=""</formula>
    </cfRule>
  </conditionalFormatting>
  <conditionalFormatting sqref="V124">
    <cfRule type="expression" dxfId="8266" priority="10561" stopIfTrue="1">
      <formula>V124=1</formula>
    </cfRule>
    <cfRule type="colorScale" priority="10562">
      <colorScale>
        <cfvo type="num" val="0"/>
        <cfvo type="num" val="0.5"/>
        <cfvo type="num" val="1"/>
        <color rgb="FFF8696B"/>
        <color theme="4" tint="0.79998168889431442"/>
        <color rgb="FF5A8AC6"/>
      </colorScale>
    </cfRule>
  </conditionalFormatting>
  <conditionalFormatting sqref="V129">
    <cfRule type="expression" dxfId="8265" priority="10557" stopIfTrue="1">
      <formula>V125=""</formula>
    </cfRule>
  </conditionalFormatting>
  <conditionalFormatting sqref="V129">
    <cfRule type="expression" dxfId="8264" priority="10558" stopIfTrue="1">
      <formula>V129=1</formula>
    </cfRule>
    <cfRule type="colorScale" priority="10559">
      <colorScale>
        <cfvo type="num" val="0"/>
        <cfvo type="num" val="0.5"/>
        <cfvo type="num" val="1"/>
        <color rgb="FFF8696B"/>
        <color theme="4" tint="0.79998168889431442"/>
        <color rgb="FF5A8AC6"/>
      </colorScale>
    </cfRule>
  </conditionalFormatting>
  <conditionalFormatting sqref="V140">
    <cfRule type="expression" dxfId="8263" priority="10554" stopIfTrue="1">
      <formula>V134=""</formula>
    </cfRule>
  </conditionalFormatting>
  <conditionalFormatting sqref="V140">
    <cfRule type="expression" dxfId="8262" priority="10555" stopIfTrue="1">
      <formula>V140=1</formula>
    </cfRule>
    <cfRule type="colorScale" priority="10556">
      <colorScale>
        <cfvo type="num" val="0"/>
        <cfvo type="num" val="0.5"/>
        <cfvo type="num" val="1"/>
        <color rgb="FFF8696B"/>
        <color theme="4" tint="0.79998168889431442"/>
        <color rgb="FF5A8AC6"/>
      </colorScale>
    </cfRule>
  </conditionalFormatting>
  <conditionalFormatting sqref="V145">
    <cfRule type="expression" dxfId="8261" priority="10551" stopIfTrue="1">
      <formula>V141=""</formula>
    </cfRule>
  </conditionalFormatting>
  <conditionalFormatting sqref="V145">
    <cfRule type="expression" dxfId="8260" priority="10552" stopIfTrue="1">
      <formula>V145=1</formula>
    </cfRule>
    <cfRule type="colorScale" priority="10553">
      <colorScale>
        <cfvo type="num" val="0"/>
        <cfvo type="num" val="0.5"/>
        <cfvo type="num" val="1"/>
        <color rgb="FFF8696B"/>
        <color theme="4" tint="0.79998168889431442"/>
        <color rgb="FF5A8AC6"/>
      </colorScale>
    </cfRule>
  </conditionalFormatting>
  <conditionalFormatting sqref="V153">
    <cfRule type="expression" dxfId="8259" priority="10548" stopIfTrue="1">
      <formula>V149=""</formula>
    </cfRule>
  </conditionalFormatting>
  <conditionalFormatting sqref="V153">
    <cfRule type="expression" dxfId="8258" priority="10549" stopIfTrue="1">
      <formula>V153=1</formula>
    </cfRule>
    <cfRule type="colorScale" priority="10550">
      <colorScale>
        <cfvo type="num" val="0"/>
        <cfvo type="num" val="0.5"/>
        <cfvo type="num" val="1"/>
        <color rgb="FFF8696B"/>
        <color theme="4" tint="0.79998168889431442"/>
        <color rgb="FF5A8AC6"/>
      </colorScale>
    </cfRule>
  </conditionalFormatting>
  <conditionalFormatting sqref="V187">
    <cfRule type="expression" dxfId="8257" priority="10542" stopIfTrue="1">
      <formula>V183=""</formula>
    </cfRule>
  </conditionalFormatting>
  <conditionalFormatting sqref="V187">
    <cfRule type="expression" dxfId="8256" priority="10543" stopIfTrue="1">
      <formula>V187=1</formula>
    </cfRule>
    <cfRule type="colorScale" priority="10544">
      <colorScale>
        <cfvo type="num" val="0"/>
        <cfvo type="num" val="0.5"/>
        <cfvo type="num" val="1"/>
        <color rgb="FFF8696B"/>
        <color theme="4" tint="0.79998168889431442"/>
        <color rgb="FF5A8AC6"/>
      </colorScale>
    </cfRule>
  </conditionalFormatting>
  <conditionalFormatting sqref="V193">
    <cfRule type="expression" dxfId="8255" priority="10539" stopIfTrue="1">
      <formula>V189=""</formula>
    </cfRule>
  </conditionalFormatting>
  <conditionalFormatting sqref="V193">
    <cfRule type="expression" dxfId="8254" priority="10540" stopIfTrue="1">
      <formula>V193=1</formula>
    </cfRule>
    <cfRule type="colorScale" priority="10541">
      <colorScale>
        <cfvo type="num" val="0"/>
        <cfvo type="num" val="0.5"/>
        <cfvo type="num" val="1"/>
        <color rgb="FFF8696B"/>
        <color theme="4" tint="0.79998168889431442"/>
        <color rgb="FF5A8AC6"/>
      </colorScale>
    </cfRule>
  </conditionalFormatting>
  <conditionalFormatting sqref="V181">
    <cfRule type="expression" dxfId="8253" priority="10536" stopIfTrue="1">
      <formula>V167=""</formula>
    </cfRule>
  </conditionalFormatting>
  <conditionalFormatting sqref="V181">
    <cfRule type="expression" dxfId="8252" priority="10537" stopIfTrue="1">
      <formula>V181=1</formula>
    </cfRule>
    <cfRule type="colorScale" priority="10538">
      <colorScale>
        <cfvo type="num" val="0"/>
        <cfvo type="num" val="0.5"/>
        <cfvo type="num" val="1"/>
        <color rgb="FFF8696B"/>
        <color theme="4" tint="0.79998168889431442"/>
        <color rgb="FF5A8AC6"/>
      </colorScale>
    </cfRule>
  </conditionalFormatting>
  <conditionalFormatting sqref="V209">
    <cfRule type="expression" dxfId="8251" priority="10533" stopIfTrue="1">
      <formula>V195=""</formula>
    </cfRule>
  </conditionalFormatting>
  <conditionalFormatting sqref="V209">
    <cfRule type="expression" dxfId="8250" priority="10534" stopIfTrue="1">
      <formula>V209=1</formula>
    </cfRule>
    <cfRule type="colorScale" priority="10535">
      <colorScale>
        <cfvo type="num" val="0"/>
        <cfvo type="num" val="0.5"/>
        <cfvo type="num" val="1"/>
        <color rgb="FFF8696B"/>
        <color theme="4" tint="0.79998168889431442"/>
        <color rgb="FF5A8AC6"/>
      </colorScale>
    </cfRule>
  </conditionalFormatting>
  <conditionalFormatting sqref="V225">
    <cfRule type="expression" dxfId="8249" priority="10530" stopIfTrue="1">
      <formula>V211=""</formula>
    </cfRule>
  </conditionalFormatting>
  <conditionalFormatting sqref="V225">
    <cfRule type="expression" dxfId="8248" priority="10531" stopIfTrue="1">
      <formula>V225=1</formula>
    </cfRule>
    <cfRule type="colorScale" priority="10532">
      <colorScale>
        <cfvo type="num" val="0"/>
        <cfvo type="num" val="0.5"/>
        <cfvo type="num" val="1"/>
        <color rgb="FFF8696B"/>
        <color theme="4" tint="0.79998168889431442"/>
        <color rgb="FF5A8AC6"/>
      </colorScale>
    </cfRule>
  </conditionalFormatting>
  <conditionalFormatting sqref="V71">
    <cfRule type="expression" dxfId="8247" priority="10522" stopIfTrue="1">
      <formula>V71=1</formula>
    </cfRule>
    <cfRule type="colorScale" priority="10523">
      <colorScale>
        <cfvo type="num" val="0"/>
        <cfvo type="num" val="0.5"/>
        <cfvo type="num" val="1"/>
        <color rgb="FFF8696B"/>
        <color theme="4" tint="0.79998168889431442"/>
        <color rgb="FF5A8AC6"/>
      </colorScale>
    </cfRule>
  </conditionalFormatting>
  <conditionalFormatting sqref="V147">
    <cfRule type="expression" dxfId="8246" priority="10527" stopIfTrue="1">
      <formula>V134=""</formula>
    </cfRule>
  </conditionalFormatting>
  <conditionalFormatting sqref="V147">
    <cfRule type="expression" dxfId="8245" priority="10528" stopIfTrue="1">
      <formula>V147=1</formula>
    </cfRule>
    <cfRule type="colorScale" priority="10529">
      <colorScale>
        <cfvo type="num" val="0"/>
        <cfvo type="num" val="0.5"/>
        <cfvo type="num" val="1"/>
        <color rgb="FFF8696B"/>
        <color theme="4" tint="0.79998168889431442"/>
        <color rgb="FF5A8AC6"/>
      </colorScale>
    </cfRule>
  </conditionalFormatting>
  <conditionalFormatting sqref="V131">
    <cfRule type="expression" dxfId="8244" priority="10524" stopIfTrue="1">
      <formula>V74=""</formula>
    </cfRule>
  </conditionalFormatting>
  <conditionalFormatting sqref="V131">
    <cfRule type="expression" dxfId="8243" priority="10525" stopIfTrue="1">
      <formula>V131=1</formula>
    </cfRule>
    <cfRule type="colorScale" priority="10526">
      <colorScale>
        <cfvo type="num" val="0"/>
        <cfvo type="num" val="0.5"/>
        <cfvo type="num" val="1"/>
        <color rgb="FFF8696B"/>
        <color theme="4" tint="0.79998168889431442"/>
        <color rgb="FF5A8AC6"/>
      </colorScale>
    </cfRule>
  </conditionalFormatting>
  <conditionalFormatting sqref="V71">
    <cfRule type="expression" dxfId="8242" priority="10521" stopIfTrue="1">
      <formula>V65=""</formula>
    </cfRule>
  </conditionalFormatting>
  <conditionalFormatting sqref="V195">
    <cfRule type="expression" dxfId="8241" priority="10518">
      <formula>V195="X"</formula>
    </cfRule>
    <cfRule type="expression" dxfId="8240" priority="10519">
      <formula>V195="A"</formula>
    </cfRule>
    <cfRule type="expression" dxfId="8239" priority="10520">
      <formula>V195="T"</formula>
    </cfRule>
  </conditionalFormatting>
  <conditionalFormatting sqref="V203">
    <cfRule type="expression" dxfId="8238" priority="10515">
      <formula>V203="X"</formula>
    </cfRule>
    <cfRule type="expression" dxfId="8237" priority="10516">
      <formula>V203="A"</formula>
    </cfRule>
    <cfRule type="expression" dxfId="8236" priority="10517">
      <formula>V203="T"</formula>
    </cfRule>
  </conditionalFormatting>
  <conditionalFormatting sqref="V205">
    <cfRule type="expression" dxfId="8235" priority="10512">
      <formula>V205="X"</formula>
    </cfRule>
    <cfRule type="expression" dxfId="8234" priority="10513">
      <formula>V205="A"</formula>
    </cfRule>
    <cfRule type="expression" dxfId="8233" priority="10514">
      <formula>V205="T"</formula>
    </cfRule>
  </conditionalFormatting>
  <conditionalFormatting sqref="V207">
    <cfRule type="expression" dxfId="8232" priority="10509">
      <formula>V207="X"</formula>
    </cfRule>
    <cfRule type="expression" dxfId="8231" priority="10510">
      <formula>V207="A"</formula>
    </cfRule>
    <cfRule type="expression" dxfId="8230" priority="10511">
      <formula>V207="T"</formula>
    </cfRule>
  </conditionalFormatting>
  <conditionalFormatting sqref="V204">
    <cfRule type="expression" dxfId="8229" priority="10506">
      <formula>V203="X"</formula>
    </cfRule>
    <cfRule type="expression" dxfId="8228" priority="10507">
      <formula>V203="A"</formula>
    </cfRule>
    <cfRule type="expression" dxfId="8227" priority="10508">
      <formula>V203="T"</formula>
    </cfRule>
  </conditionalFormatting>
  <conditionalFormatting sqref="V206">
    <cfRule type="expression" dxfId="8226" priority="10503">
      <formula>V205="X"</formula>
    </cfRule>
    <cfRule type="expression" dxfId="8225" priority="10504">
      <formula>V205="A"</formula>
    </cfRule>
    <cfRule type="expression" dxfId="8224" priority="10505">
      <formula>V205="T"</formula>
    </cfRule>
  </conditionalFormatting>
  <conditionalFormatting sqref="V196">
    <cfRule type="expression" dxfId="8223" priority="10500">
      <formula>V195="X"</formula>
    </cfRule>
    <cfRule type="expression" dxfId="8222" priority="10501">
      <formula>V195="A"</formula>
    </cfRule>
    <cfRule type="expression" dxfId="8221" priority="10502">
      <formula>V195="T"</formula>
    </cfRule>
  </conditionalFormatting>
  <conditionalFormatting sqref="V197">
    <cfRule type="expression" dxfId="8220" priority="10497">
      <formula>V197="X"</formula>
    </cfRule>
    <cfRule type="expression" dxfId="8219" priority="10498">
      <formula>V197="A"</formula>
    </cfRule>
    <cfRule type="expression" dxfId="8218" priority="10499">
      <formula>V197="T"</formula>
    </cfRule>
  </conditionalFormatting>
  <conditionalFormatting sqref="V198">
    <cfRule type="expression" dxfId="8217" priority="10494">
      <formula>V197="X"</formula>
    </cfRule>
    <cfRule type="expression" dxfId="8216" priority="10495">
      <formula>V197="A"</formula>
    </cfRule>
    <cfRule type="expression" dxfId="8215" priority="10496">
      <formula>V197="T"</formula>
    </cfRule>
  </conditionalFormatting>
  <conditionalFormatting sqref="V199">
    <cfRule type="expression" dxfId="8214" priority="10491">
      <formula>V199="X"</formula>
    </cfRule>
    <cfRule type="expression" dxfId="8213" priority="10492">
      <formula>V199="A"</formula>
    </cfRule>
    <cfRule type="expression" dxfId="8212" priority="10493">
      <formula>V199="T"</formula>
    </cfRule>
  </conditionalFormatting>
  <conditionalFormatting sqref="V200">
    <cfRule type="expression" dxfId="8211" priority="10488">
      <formula>V199="X"</formula>
    </cfRule>
    <cfRule type="expression" dxfId="8210" priority="10489">
      <formula>V199="A"</formula>
    </cfRule>
    <cfRule type="expression" dxfId="8209" priority="10490">
      <formula>V199="T"</formula>
    </cfRule>
  </conditionalFormatting>
  <conditionalFormatting sqref="V201">
    <cfRule type="expression" dxfId="8208" priority="10485">
      <formula>V201="X"</formula>
    </cfRule>
    <cfRule type="expression" dxfId="8207" priority="10486">
      <formula>V201="A"</formula>
    </cfRule>
    <cfRule type="expression" dxfId="8206" priority="10487">
      <formula>V201="T"</formula>
    </cfRule>
  </conditionalFormatting>
  <conditionalFormatting sqref="V202">
    <cfRule type="expression" dxfId="8205" priority="10482">
      <formula>V201="X"</formula>
    </cfRule>
    <cfRule type="expression" dxfId="8204" priority="10483">
      <formula>V201="A"</formula>
    </cfRule>
    <cfRule type="expression" dxfId="8203" priority="10484">
      <formula>V201="T"</formula>
    </cfRule>
  </conditionalFormatting>
  <conditionalFormatting sqref="V72">
    <cfRule type="expression" dxfId="8202" priority="10479" stopIfTrue="1">
      <formula>V4=""</formula>
    </cfRule>
  </conditionalFormatting>
  <conditionalFormatting sqref="V72">
    <cfRule type="expression" dxfId="8201" priority="10480" stopIfTrue="1">
      <formula>V72=1</formula>
    </cfRule>
    <cfRule type="colorScale" priority="10481">
      <colorScale>
        <cfvo type="num" val="0"/>
        <cfvo type="num" val="0.5"/>
        <cfvo type="num" val="1"/>
        <color rgb="FFF8696B"/>
        <color theme="4" tint="0.79998168889431442"/>
        <color rgb="FF5A8AC6"/>
      </colorScale>
    </cfRule>
  </conditionalFormatting>
  <conditionalFormatting sqref="V132">
    <cfRule type="expression" dxfId="8200" priority="10477" stopIfTrue="1">
      <formula>V132=1</formula>
    </cfRule>
    <cfRule type="colorScale" priority="10478">
      <colorScale>
        <cfvo type="num" val="0"/>
        <cfvo type="num" val="0.5"/>
        <cfvo type="num" val="1"/>
        <color rgb="FFF8696B"/>
        <color theme="4" tint="0.79998168889431442"/>
        <color rgb="FF5A8AC6"/>
      </colorScale>
    </cfRule>
  </conditionalFormatting>
  <conditionalFormatting sqref="V132">
    <cfRule type="expression" dxfId="8199" priority="10476" stopIfTrue="1">
      <formula>V74=""</formula>
    </cfRule>
  </conditionalFormatting>
  <conditionalFormatting sqref="V237:V238">
    <cfRule type="expression" dxfId="8198" priority="10472" stopIfTrue="1">
      <formula>V237=_xlfn.UNICHAR(10003)</formula>
    </cfRule>
    <cfRule type="colorScale" priority="10473">
      <colorScale>
        <cfvo type="num" val="0"/>
        <cfvo type="num" val="0.5"/>
        <cfvo type="num" val="1"/>
        <color rgb="FFF8696B"/>
        <color theme="4" tint="0.79998168889431442"/>
        <color rgb="FF5A8AC6"/>
      </colorScale>
    </cfRule>
  </conditionalFormatting>
  <conditionalFormatting sqref="V230:V236">
    <cfRule type="expression" dxfId="8197" priority="10470" stopIfTrue="1">
      <formula>V230=_xlfn.UNICHAR(10003)</formula>
    </cfRule>
    <cfRule type="colorScale" priority="10471">
      <colorScale>
        <cfvo type="num" val="0"/>
        <cfvo type="num" val="0.5"/>
        <cfvo type="num" val="1"/>
        <color rgb="FFF8696B"/>
        <color theme="4" tint="0.79998168889431442"/>
        <color rgb="FF5A8AC6"/>
      </colorScale>
    </cfRule>
  </conditionalFormatting>
  <conditionalFormatting sqref="V239">
    <cfRule type="expression" dxfId="8196" priority="10468" stopIfTrue="1">
      <formula>V239=_xlfn.UNICHAR(10003)</formula>
    </cfRule>
    <cfRule type="colorScale" priority="10469">
      <colorScale>
        <cfvo type="num" val="0"/>
        <cfvo type="num" val="0.5"/>
        <cfvo type="num" val="1"/>
        <color rgb="FFF8696B"/>
        <color theme="4" tint="0.79998168889431442"/>
        <color rgb="FF5A8AC6"/>
      </colorScale>
    </cfRule>
  </conditionalFormatting>
  <conditionalFormatting sqref="V239">
    <cfRule type="expression" dxfId="8195" priority="10466" stopIfTrue="1">
      <formula>V239=1</formula>
    </cfRule>
    <cfRule type="colorScale" priority="10467">
      <colorScale>
        <cfvo type="num" val="0"/>
        <cfvo type="num" val="0.5"/>
        <cfvo type="num" val="1"/>
        <color rgb="FFF8696B"/>
        <color theme="4" tint="0.79998168889431442"/>
        <color rgb="FF5A8AC6"/>
      </colorScale>
    </cfRule>
  </conditionalFormatting>
  <conditionalFormatting sqref="V228">
    <cfRule type="expression" dxfId="8194" priority="10465" stopIfTrue="1">
      <formula>V228=UNICAHR(10003)</formula>
    </cfRule>
    <cfRule type="expression" dxfId="8193" priority="10474" stopIfTrue="1">
      <formula>V228=CONCATENATE(_xlfn.UNICHAR(10003),_xlfn.UNICHAR(10003))</formula>
    </cfRule>
    <cfRule type="colorScale" priority="10475">
      <colorScale>
        <cfvo type="num" val="0"/>
        <cfvo type="num" val="0.5"/>
        <cfvo type="num" val="1"/>
        <color rgb="FFF8696B"/>
        <color theme="4" tint="0.79998168889431442"/>
        <color rgb="FF5A8AC6"/>
      </colorScale>
    </cfRule>
  </conditionalFormatting>
  <conditionalFormatting sqref="V238 V229">
    <cfRule type="expression" dxfId="8192" priority="10462" stopIfTrue="1">
      <formula>V229=_xlfn.UNICHAR(10003)</formula>
    </cfRule>
    <cfRule type="expression" dxfId="8191" priority="10463" stopIfTrue="1">
      <formula>V229=CONCATENATE(_xlfn.UNICHAR(10003),_xlfn.UNICHAR(10003))</formula>
    </cfRule>
    <cfRule type="colorScale" priority="10464">
      <colorScale>
        <cfvo type="num" val="0"/>
        <cfvo type="num" val="0.5"/>
        <cfvo type="num" val="1"/>
        <color rgb="FFF8696B"/>
        <color theme="4" tint="0.79998168889431442"/>
        <color rgb="FF5A8AC6"/>
      </colorScale>
    </cfRule>
  </conditionalFormatting>
  <conditionalFormatting sqref="AO159">
    <cfRule type="expression" dxfId="8190" priority="9911">
      <formula>AO159="X"</formula>
    </cfRule>
    <cfRule type="expression" dxfId="8189" priority="9912">
      <formula>AO159="A"</formula>
    </cfRule>
    <cfRule type="expression" dxfId="8188" priority="9913">
      <formula>AO159="T"</formula>
    </cfRule>
  </conditionalFormatting>
  <conditionalFormatting sqref="P159">
    <cfRule type="expression" dxfId="8187" priority="9887">
      <formula>P159="X"</formula>
    </cfRule>
    <cfRule type="expression" dxfId="8186" priority="9888">
      <formula>P159="A"</formula>
    </cfRule>
    <cfRule type="expression" dxfId="8185" priority="9889">
      <formula>P159="T"</formula>
    </cfRule>
  </conditionalFormatting>
  <conditionalFormatting sqref="AP159">
    <cfRule type="expression" dxfId="8184" priority="9878">
      <formula>AP159="X"</formula>
    </cfRule>
    <cfRule type="expression" dxfId="8183" priority="9879">
      <formula>AP159="A"</formula>
    </cfRule>
    <cfRule type="expression" dxfId="8182" priority="9880">
      <formula>AP159="T"</formula>
    </cfRule>
  </conditionalFormatting>
  <conditionalFormatting sqref="AQ159">
    <cfRule type="expression" dxfId="8181" priority="9863">
      <formula>AQ159="X"</formula>
    </cfRule>
    <cfRule type="expression" dxfId="8180" priority="9864">
      <formula>AQ159="A"</formula>
    </cfRule>
    <cfRule type="expression" dxfId="8179" priority="9865">
      <formula>AQ159="T"</formula>
    </cfRule>
  </conditionalFormatting>
  <conditionalFormatting sqref="AH159">
    <cfRule type="expression" dxfId="8178" priority="9848">
      <formula>AH159="X"</formula>
    </cfRule>
    <cfRule type="expression" dxfId="8177" priority="9849">
      <formula>AH159="A"</formula>
    </cfRule>
    <cfRule type="expression" dxfId="8176" priority="9850">
      <formula>AH159="T"</formula>
    </cfRule>
  </conditionalFormatting>
  <conditionalFormatting sqref="P162 AO162:AQ162 AH162">
    <cfRule type="expression" dxfId="8175" priority="9842">
      <formula>P161="X"</formula>
    </cfRule>
    <cfRule type="expression" dxfId="8174" priority="9843">
      <formula>P161="A"</formula>
    </cfRule>
    <cfRule type="expression" dxfId="8173" priority="9844">
      <formula>P161="T"</formula>
    </cfRule>
  </conditionalFormatting>
  <conditionalFormatting sqref="AO161">
    <cfRule type="expression" dxfId="8172" priority="9839">
      <formula>AO161="X"</formula>
    </cfRule>
    <cfRule type="expression" dxfId="8171" priority="9840">
      <formula>AO161="A"</formula>
    </cfRule>
    <cfRule type="expression" dxfId="8170" priority="9841">
      <formula>AO161="T"</formula>
    </cfRule>
  </conditionalFormatting>
  <conditionalFormatting sqref="P161">
    <cfRule type="expression" dxfId="8169" priority="9818">
      <formula>P161="X"</formula>
    </cfRule>
    <cfRule type="expression" dxfId="8168" priority="9819">
      <formula>P161="A"</formula>
    </cfRule>
    <cfRule type="expression" dxfId="8167" priority="9820">
      <formula>P161="T"</formula>
    </cfRule>
  </conditionalFormatting>
  <conditionalFormatting sqref="AP161">
    <cfRule type="expression" dxfId="8166" priority="9809">
      <formula>AP161="X"</formula>
    </cfRule>
    <cfRule type="expression" dxfId="8165" priority="9810">
      <formula>AP161="A"</formula>
    </cfRule>
    <cfRule type="expression" dxfId="8164" priority="9811">
      <formula>AP161="T"</formula>
    </cfRule>
  </conditionalFormatting>
  <conditionalFormatting sqref="AQ161">
    <cfRule type="expression" dxfId="8163" priority="9794">
      <formula>AQ161="X"</formula>
    </cfRule>
    <cfRule type="expression" dxfId="8162" priority="9795">
      <formula>AQ161="A"</formula>
    </cfRule>
    <cfRule type="expression" dxfId="8161" priority="9796">
      <formula>AQ161="T"</formula>
    </cfRule>
  </conditionalFormatting>
  <conditionalFormatting sqref="AH161">
    <cfRule type="expression" dxfId="8160" priority="9779">
      <formula>AH161="X"</formula>
    </cfRule>
    <cfRule type="expression" dxfId="8159" priority="9780">
      <formula>AH161="A"</formula>
    </cfRule>
    <cfRule type="expression" dxfId="8158" priority="9781">
      <formula>AH161="T"</formula>
    </cfRule>
  </conditionalFormatting>
  <conditionalFormatting sqref="AR160">
    <cfRule type="expression" dxfId="8157" priority="9773">
      <formula>AR159="X"</formula>
    </cfRule>
    <cfRule type="expression" dxfId="8156" priority="9774">
      <formula>AR159="A"</formula>
    </cfRule>
    <cfRule type="expression" dxfId="8155" priority="9775">
      <formula>AR159="T"</formula>
    </cfRule>
  </conditionalFormatting>
  <conditionalFormatting sqref="AR159">
    <cfRule type="expression" dxfId="8154" priority="9770">
      <formula>AR159="X"</formula>
    </cfRule>
    <cfRule type="expression" dxfId="8153" priority="9771">
      <formula>AR159="A"</formula>
    </cfRule>
    <cfRule type="expression" dxfId="8152" priority="9772">
      <formula>AR159="T"</formula>
    </cfRule>
  </conditionalFormatting>
  <conditionalFormatting sqref="AR162">
    <cfRule type="expression" dxfId="8151" priority="9767">
      <formula>AR161="X"</formula>
    </cfRule>
    <cfRule type="expression" dxfId="8150" priority="9768">
      <formula>AR161="A"</formula>
    </cfRule>
    <cfRule type="expression" dxfId="8149" priority="9769">
      <formula>AR161="T"</formula>
    </cfRule>
  </conditionalFormatting>
  <conditionalFormatting sqref="AR161">
    <cfRule type="expression" dxfId="8148" priority="9764">
      <formula>AR161="X"</formula>
    </cfRule>
    <cfRule type="expression" dxfId="8147" priority="9765">
      <formula>AR161="A"</formula>
    </cfRule>
    <cfRule type="expression" dxfId="8146" priority="9766">
      <formula>AR161="T"</formula>
    </cfRule>
  </conditionalFormatting>
  <conditionalFormatting sqref="AS160">
    <cfRule type="expression" dxfId="8145" priority="9761">
      <formula>AS159="X"</formula>
    </cfRule>
    <cfRule type="expression" dxfId="8144" priority="9762">
      <formula>AS159="A"</formula>
    </cfRule>
    <cfRule type="expression" dxfId="8143" priority="9763">
      <formula>AS159="T"</formula>
    </cfRule>
  </conditionalFormatting>
  <conditionalFormatting sqref="AS159">
    <cfRule type="expression" dxfId="8142" priority="9758">
      <formula>AS159="X"</formula>
    </cfRule>
    <cfRule type="expression" dxfId="8141" priority="9759">
      <formula>AS159="A"</formula>
    </cfRule>
    <cfRule type="expression" dxfId="8140" priority="9760">
      <formula>AS159="T"</formula>
    </cfRule>
  </conditionalFormatting>
  <conditionalFormatting sqref="AS162">
    <cfRule type="expression" dxfId="8139" priority="9755">
      <formula>AS161="X"</formula>
    </cfRule>
    <cfRule type="expression" dxfId="8138" priority="9756">
      <formula>AS161="A"</formula>
    </cfRule>
    <cfRule type="expression" dxfId="8137" priority="9757">
      <formula>AS161="T"</formula>
    </cfRule>
  </conditionalFormatting>
  <conditionalFormatting sqref="AS161">
    <cfRule type="expression" dxfId="8136" priority="9752">
      <formula>AS161="X"</formula>
    </cfRule>
    <cfRule type="expression" dxfId="8135" priority="9753">
      <formula>AS161="A"</formula>
    </cfRule>
    <cfRule type="expression" dxfId="8134" priority="9754">
      <formula>AS161="T"</formula>
    </cfRule>
  </conditionalFormatting>
  <conditionalFormatting sqref="AT160">
    <cfRule type="expression" dxfId="8133" priority="9749">
      <formula>AT159="X"</formula>
    </cfRule>
    <cfRule type="expression" dxfId="8132" priority="9750">
      <formula>AT159="A"</formula>
    </cfRule>
    <cfRule type="expression" dxfId="8131" priority="9751">
      <formula>AT159="T"</formula>
    </cfRule>
  </conditionalFormatting>
  <conditionalFormatting sqref="AT159">
    <cfRule type="expression" dxfId="8130" priority="9746">
      <formula>AT159="X"</formula>
    </cfRule>
    <cfRule type="expression" dxfId="8129" priority="9747">
      <formula>AT159="A"</formula>
    </cfRule>
    <cfRule type="expression" dxfId="8128" priority="9748">
      <formula>AT159="T"</formula>
    </cfRule>
  </conditionalFormatting>
  <conditionalFormatting sqref="AT162">
    <cfRule type="expression" dxfId="8127" priority="9743">
      <formula>AT161="X"</formula>
    </cfRule>
    <cfRule type="expression" dxfId="8126" priority="9744">
      <formula>AT161="A"</formula>
    </cfRule>
    <cfRule type="expression" dxfId="8125" priority="9745">
      <formula>AT161="T"</formula>
    </cfRule>
  </conditionalFormatting>
  <conditionalFormatting sqref="AT161">
    <cfRule type="expression" dxfId="8124" priority="9740">
      <formula>AT161="X"</formula>
    </cfRule>
    <cfRule type="expression" dxfId="8123" priority="9741">
      <formula>AT161="A"</formula>
    </cfRule>
    <cfRule type="expression" dxfId="8122" priority="9742">
      <formula>AT161="T"</formula>
    </cfRule>
  </conditionalFormatting>
  <conditionalFormatting sqref="AU160">
    <cfRule type="expression" dxfId="8121" priority="9737">
      <formula>AU159="X"</formula>
    </cfRule>
    <cfRule type="expression" dxfId="8120" priority="9738">
      <formula>AU159="A"</formula>
    </cfRule>
    <cfRule type="expression" dxfId="8119" priority="9739">
      <formula>AU159="T"</formula>
    </cfRule>
  </conditionalFormatting>
  <conditionalFormatting sqref="AU159">
    <cfRule type="expression" dxfId="8118" priority="9734">
      <formula>AU159="X"</formula>
    </cfRule>
    <cfRule type="expression" dxfId="8117" priority="9735">
      <formula>AU159="A"</formula>
    </cfRule>
    <cfRule type="expression" dxfId="8116" priority="9736">
      <formula>AU159="T"</formula>
    </cfRule>
  </conditionalFormatting>
  <conditionalFormatting sqref="AU162">
    <cfRule type="expression" dxfId="8115" priority="9731">
      <formula>AU161="X"</formula>
    </cfRule>
    <cfRule type="expression" dxfId="8114" priority="9732">
      <formula>AU161="A"</formula>
    </cfRule>
    <cfRule type="expression" dxfId="8113" priority="9733">
      <formula>AU161="T"</formula>
    </cfRule>
  </conditionalFormatting>
  <conditionalFormatting sqref="AU161">
    <cfRule type="expression" dxfId="8112" priority="9728">
      <formula>AU161="X"</formula>
    </cfRule>
    <cfRule type="expression" dxfId="8111" priority="9729">
      <formula>AU161="A"</formula>
    </cfRule>
    <cfRule type="expression" dxfId="8110" priority="9730">
      <formula>AU161="T"</formula>
    </cfRule>
  </conditionalFormatting>
  <conditionalFormatting sqref="AM160:AN160">
    <cfRule type="expression" dxfId="8109" priority="9725">
      <formula>AM159="X"</formula>
    </cfRule>
    <cfRule type="expression" dxfId="8108" priority="9726">
      <formula>AM159="A"</formula>
    </cfRule>
    <cfRule type="expression" dxfId="8107" priority="9727">
      <formula>AM159="T"</formula>
    </cfRule>
  </conditionalFormatting>
  <conditionalFormatting sqref="AM159:AN159">
    <cfRule type="expression" dxfId="8106" priority="9722">
      <formula>AM159="X"</formula>
    </cfRule>
    <cfRule type="expression" dxfId="8105" priority="9723">
      <formula>AM159="A"</formula>
    </cfRule>
    <cfRule type="expression" dxfId="8104" priority="9724">
      <formula>AM159="T"</formula>
    </cfRule>
  </conditionalFormatting>
  <conditionalFormatting sqref="AM162:AN162">
    <cfRule type="expression" dxfId="8103" priority="9719">
      <formula>AM161="X"</formula>
    </cfRule>
    <cfRule type="expression" dxfId="8102" priority="9720">
      <formula>AM161="A"</formula>
    </cfRule>
    <cfRule type="expression" dxfId="8101" priority="9721">
      <formula>AM161="T"</formula>
    </cfRule>
  </conditionalFormatting>
  <conditionalFormatting sqref="AM161:AN161">
    <cfRule type="expression" dxfId="8100" priority="9716">
      <formula>AM161="X"</formula>
    </cfRule>
    <cfRule type="expression" dxfId="8099" priority="9717">
      <formula>AM161="A"</formula>
    </cfRule>
    <cfRule type="expression" dxfId="8098" priority="9718">
      <formula>AM161="T"</formula>
    </cfRule>
  </conditionalFormatting>
  <conditionalFormatting sqref="AG160">
    <cfRule type="expression" dxfId="8097" priority="9713">
      <formula>AG159="X"</formula>
    </cfRule>
    <cfRule type="expression" dxfId="8096" priority="9714">
      <formula>AG159="A"</formula>
    </cfRule>
    <cfRule type="expression" dxfId="8095" priority="9715">
      <formula>AG159="T"</formula>
    </cfRule>
  </conditionalFormatting>
  <conditionalFormatting sqref="AG159">
    <cfRule type="expression" dxfId="8094" priority="9710">
      <formula>AG159="X"</formula>
    </cfRule>
    <cfRule type="expression" dxfId="8093" priority="9711">
      <formula>AG159="A"</formula>
    </cfRule>
    <cfRule type="expression" dxfId="8092" priority="9712">
      <formula>AG159="T"</formula>
    </cfRule>
  </conditionalFormatting>
  <conditionalFormatting sqref="AG162">
    <cfRule type="expression" dxfId="8091" priority="9707">
      <formula>AG161="X"</formula>
    </cfRule>
    <cfRule type="expression" dxfId="8090" priority="9708">
      <formula>AG161="A"</formula>
    </cfRule>
    <cfRule type="expression" dxfId="8089" priority="9709">
      <formula>AG161="T"</formula>
    </cfRule>
  </conditionalFormatting>
  <conditionalFormatting sqref="AG161">
    <cfRule type="expression" dxfId="8088" priority="9704">
      <formula>AG161="X"</formula>
    </cfRule>
    <cfRule type="expression" dxfId="8087" priority="9705">
      <formula>AG161="A"</formula>
    </cfRule>
    <cfRule type="expression" dxfId="8086" priority="9706">
      <formula>AG161="T"</formula>
    </cfRule>
  </conditionalFormatting>
  <conditionalFormatting sqref="AF160">
    <cfRule type="expression" dxfId="8085" priority="9689">
      <formula>AF159="X"</formula>
    </cfRule>
    <cfRule type="expression" dxfId="8084" priority="9690">
      <formula>AF159="A"</formula>
    </cfRule>
    <cfRule type="expression" dxfId="8083" priority="9691">
      <formula>AF159="T"</formula>
    </cfRule>
  </conditionalFormatting>
  <conditionalFormatting sqref="AF159">
    <cfRule type="expression" dxfId="8082" priority="9686">
      <formula>AF159="X"</formula>
    </cfRule>
    <cfRule type="expression" dxfId="8081" priority="9687">
      <formula>AF159="A"</formula>
    </cfRule>
    <cfRule type="expression" dxfId="8080" priority="9688">
      <formula>AF159="T"</formula>
    </cfRule>
  </conditionalFormatting>
  <conditionalFormatting sqref="AF162">
    <cfRule type="expression" dxfId="8079" priority="9683">
      <formula>AF161="X"</formula>
    </cfRule>
    <cfRule type="expression" dxfId="8078" priority="9684">
      <formula>AF161="A"</formula>
    </cfRule>
    <cfRule type="expression" dxfId="8077" priority="9685">
      <formula>AF161="T"</formula>
    </cfRule>
  </conditionalFormatting>
  <conditionalFormatting sqref="AF161">
    <cfRule type="expression" dxfId="8076" priority="9680">
      <formula>AF161="X"</formula>
    </cfRule>
    <cfRule type="expression" dxfId="8075" priority="9681">
      <formula>AF161="A"</formula>
    </cfRule>
    <cfRule type="expression" dxfId="8074" priority="9682">
      <formula>AF161="T"</formula>
    </cfRule>
  </conditionalFormatting>
  <conditionalFormatting sqref="U160">
    <cfRule type="expression" dxfId="8073" priority="9677">
      <formula>U159="X"</formula>
    </cfRule>
    <cfRule type="expression" dxfId="8072" priority="9678">
      <formula>U159="A"</formula>
    </cfRule>
    <cfRule type="expression" dxfId="8071" priority="9679">
      <formula>U159="T"</formula>
    </cfRule>
  </conditionalFormatting>
  <conditionalFormatting sqref="U159">
    <cfRule type="expression" dxfId="8070" priority="9674">
      <formula>U159="X"</formula>
    </cfRule>
    <cfRule type="expression" dxfId="8069" priority="9675">
      <formula>U159="A"</formula>
    </cfRule>
    <cfRule type="expression" dxfId="8068" priority="9676">
      <formula>U159="T"</formula>
    </cfRule>
  </conditionalFormatting>
  <conditionalFormatting sqref="U162">
    <cfRule type="expression" dxfId="8067" priority="9671">
      <formula>U161="X"</formula>
    </cfRule>
    <cfRule type="expression" dxfId="8066" priority="9672">
      <formula>U161="A"</formula>
    </cfRule>
    <cfRule type="expression" dxfId="8065" priority="9673">
      <formula>U161="T"</formula>
    </cfRule>
  </conditionalFormatting>
  <conditionalFormatting sqref="U161">
    <cfRule type="expression" dxfId="8064" priority="9668">
      <formula>U161="X"</formula>
    </cfRule>
    <cfRule type="expression" dxfId="8063" priority="9669">
      <formula>U161="A"</formula>
    </cfRule>
    <cfRule type="expression" dxfId="8062" priority="9670">
      <formula>U161="T"</formula>
    </cfRule>
  </conditionalFormatting>
  <conditionalFormatting sqref="V160">
    <cfRule type="expression" dxfId="8061" priority="9665">
      <formula>V159="X"</formula>
    </cfRule>
    <cfRule type="expression" dxfId="8060" priority="9666">
      <formula>V159="A"</formula>
    </cfRule>
    <cfRule type="expression" dxfId="8059" priority="9667">
      <formula>V159="T"</formula>
    </cfRule>
  </conditionalFormatting>
  <conditionalFormatting sqref="V159">
    <cfRule type="expression" dxfId="8058" priority="9662">
      <formula>V159="X"</formula>
    </cfRule>
    <cfRule type="expression" dxfId="8057" priority="9663">
      <formula>V159="A"</formula>
    </cfRule>
    <cfRule type="expression" dxfId="8056" priority="9664">
      <formula>V159="T"</formula>
    </cfRule>
  </conditionalFormatting>
  <conditionalFormatting sqref="V162">
    <cfRule type="expression" dxfId="8055" priority="9659">
      <formula>V161="X"</formula>
    </cfRule>
    <cfRule type="expression" dxfId="8054" priority="9660">
      <formula>V161="A"</formula>
    </cfRule>
    <cfRule type="expression" dxfId="8053" priority="9661">
      <formula>V161="T"</formula>
    </cfRule>
  </conditionalFormatting>
  <conditionalFormatting sqref="V161">
    <cfRule type="expression" dxfId="8052" priority="9656">
      <formula>V161="X"</formula>
    </cfRule>
    <cfRule type="expression" dxfId="8051" priority="9657">
      <formula>V161="A"</formula>
    </cfRule>
    <cfRule type="expression" dxfId="8050" priority="9658">
      <formula>V161="T"</formula>
    </cfRule>
  </conditionalFormatting>
  <conditionalFormatting sqref="W160">
    <cfRule type="expression" dxfId="8049" priority="9653">
      <formula>W159="X"</formula>
    </cfRule>
    <cfRule type="expression" dxfId="8048" priority="9654">
      <formula>W159="A"</formula>
    </cfRule>
    <cfRule type="expression" dxfId="8047" priority="9655">
      <formula>W159="T"</formula>
    </cfRule>
  </conditionalFormatting>
  <conditionalFormatting sqref="W159">
    <cfRule type="expression" dxfId="8046" priority="9650">
      <formula>W159="X"</formula>
    </cfRule>
    <cfRule type="expression" dxfId="8045" priority="9651">
      <formula>W159="A"</formula>
    </cfRule>
    <cfRule type="expression" dxfId="8044" priority="9652">
      <formula>W159="T"</formula>
    </cfRule>
  </conditionalFormatting>
  <conditionalFormatting sqref="W162">
    <cfRule type="expression" dxfId="8043" priority="9647">
      <formula>W161="X"</formula>
    </cfRule>
    <cfRule type="expression" dxfId="8042" priority="9648">
      <formula>W161="A"</formula>
    </cfRule>
    <cfRule type="expression" dxfId="8041" priority="9649">
      <formula>W161="T"</formula>
    </cfRule>
  </conditionalFormatting>
  <conditionalFormatting sqref="W161">
    <cfRule type="expression" dxfId="8040" priority="9644">
      <formula>W161="X"</formula>
    </cfRule>
    <cfRule type="expression" dxfId="8039" priority="9645">
      <formula>W161="A"</formula>
    </cfRule>
    <cfRule type="expression" dxfId="8038" priority="9646">
      <formula>W161="T"</formula>
    </cfRule>
  </conditionalFormatting>
  <conditionalFormatting sqref="X160">
    <cfRule type="expression" dxfId="8037" priority="9641">
      <formula>X159="X"</formula>
    </cfRule>
    <cfRule type="expression" dxfId="8036" priority="9642">
      <formula>X159="A"</formula>
    </cfRule>
    <cfRule type="expression" dxfId="8035" priority="9643">
      <formula>X159="T"</formula>
    </cfRule>
  </conditionalFormatting>
  <conditionalFormatting sqref="X159">
    <cfRule type="expression" dxfId="8034" priority="9638">
      <formula>X159="X"</formula>
    </cfRule>
    <cfRule type="expression" dxfId="8033" priority="9639">
      <formula>X159="A"</formula>
    </cfRule>
    <cfRule type="expression" dxfId="8032" priority="9640">
      <formula>X159="T"</formula>
    </cfRule>
  </conditionalFormatting>
  <conditionalFormatting sqref="X162">
    <cfRule type="expression" dxfId="8031" priority="9635">
      <formula>X161="X"</formula>
    </cfRule>
    <cfRule type="expression" dxfId="8030" priority="9636">
      <formula>X161="A"</formula>
    </cfRule>
    <cfRule type="expression" dxfId="8029" priority="9637">
      <formula>X161="T"</formula>
    </cfRule>
  </conditionalFormatting>
  <conditionalFormatting sqref="X161">
    <cfRule type="expression" dxfId="8028" priority="9632">
      <formula>X161="X"</formula>
    </cfRule>
    <cfRule type="expression" dxfId="8027" priority="9633">
      <formula>X161="A"</formula>
    </cfRule>
    <cfRule type="expression" dxfId="8026" priority="9634">
      <formula>X161="T"</formula>
    </cfRule>
  </conditionalFormatting>
  <conditionalFormatting sqref="G160">
    <cfRule type="expression" dxfId="8025" priority="9629">
      <formula>G159="X"</formula>
    </cfRule>
    <cfRule type="expression" dxfId="8024" priority="9630">
      <formula>G159="A"</formula>
    </cfRule>
    <cfRule type="expression" dxfId="8023" priority="9631">
      <formula>G159="T"</formula>
    </cfRule>
  </conditionalFormatting>
  <conditionalFormatting sqref="G159">
    <cfRule type="expression" dxfId="8022" priority="9626">
      <formula>G159="X"</formula>
    </cfRule>
    <cfRule type="expression" dxfId="8021" priority="9627">
      <formula>G159="A"</formula>
    </cfRule>
    <cfRule type="expression" dxfId="8020" priority="9628">
      <formula>G159="T"</formula>
    </cfRule>
  </conditionalFormatting>
  <conditionalFormatting sqref="G162">
    <cfRule type="expression" dxfId="8019" priority="9623">
      <formula>G161="X"</formula>
    </cfRule>
    <cfRule type="expression" dxfId="8018" priority="9624">
      <formula>G161="A"</formula>
    </cfRule>
    <cfRule type="expression" dxfId="8017" priority="9625">
      <formula>G161="T"</formula>
    </cfRule>
  </conditionalFormatting>
  <conditionalFormatting sqref="G161">
    <cfRule type="expression" dxfId="8016" priority="9620">
      <formula>G161="X"</formula>
    </cfRule>
    <cfRule type="expression" dxfId="8015" priority="9621">
      <formula>G161="A"</formula>
    </cfRule>
    <cfRule type="expression" dxfId="8014" priority="9622">
      <formula>G161="T"</formula>
    </cfRule>
  </conditionalFormatting>
  <conditionalFormatting sqref="H160">
    <cfRule type="expression" dxfId="8013" priority="9605">
      <formula>H159="X"</formula>
    </cfRule>
    <cfRule type="expression" dxfId="8012" priority="9606">
      <formula>H159="A"</formula>
    </cfRule>
    <cfRule type="expression" dxfId="8011" priority="9607">
      <formula>H159="T"</formula>
    </cfRule>
  </conditionalFormatting>
  <conditionalFormatting sqref="H159">
    <cfRule type="expression" dxfId="8010" priority="9602">
      <formula>H159="X"</formula>
    </cfRule>
    <cfRule type="expression" dxfId="8009" priority="9603">
      <formula>H159="A"</formula>
    </cfRule>
    <cfRule type="expression" dxfId="8008" priority="9604">
      <formula>H159="T"</formula>
    </cfRule>
  </conditionalFormatting>
  <conditionalFormatting sqref="H162">
    <cfRule type="expression" dxfId="8007" priority="9599">
      <formula>H161="X"</formula>
    </cfRule>
    <cfRule type="expression" dxfId="8006" priority="9600">
      <formula>H161="A"</formula>
    </cfRule>
    <cfRule type="expression" dxfId="8005" priority="9601">
      <formula>H161="T"</formula>
    </cfRule>
  </conditionalFormatting>
  <conditionalFormatting sqref="H161">
    <cfRule type="expression" dxfId="8004" priority="9596">
      <formula>H161="X"</formula>
    </cfRule>
    <cfRule type="expression" dxfId="8003" priority="9597">
      <formula>H161="A"</formula>
    </cfRule>
    <cfRule type="expression" dxfId="8002" priority="9598">
      <formula>H161="T"</formula>
    </cfRule>
  </conditionalFormatting>
  <conditionalFormatting sqref="I160">
    <cfRule type="expression" dxfId="8001" priority="9593">
      <formula>I159="X"</formula>
    </cfRule>
    <cfRule type="expression" dxfId="8000" priority="9594">
      <formula>I159="A"</formula>
    </cfRule>
    <cfRule type="expression" dxfId="7999" priority="9595">
      <formula>I159="T"</formula>
    </cfRule>
  </conditionalFormatting>
  <conditionalFormatting sqref="I159">
    <cfRule type="expression" dxfId="7998" priority="9590">
      <formula>I159="X"</formula>
    </cfRule>
    <cfRule type="expression" dxfId="7997" priority="9591">
      <formula>I159="A"</formula>
    </cfRule>
    <cfRule type="expression" dxfId="7996" priority="9592">
      <formula>I159="T"</formula>
    </cfRule>
  </conditionalFormatting>
  <conditionalFormatting sqref="I162">
    <cfRule type="expression" dxfId="7995" priority="9587">
      <formula>I161="X"</formula>
    </cfRule>
    <cfRule type="expression" dxfId="7994" priority="9588">
      <formula>I161="A"</formula>
    </cfRule>
    <cfRule type="expression" dxfId="7993" priority="9589">
      <formula>I161="T"</formula>
    </cfRule>
  </conditionalFormatting>
  <conditionalFormatting sqref="I161">
    <cfRule type="expression" dxfId="7992" priority="9584">
      <formula>I161="X"</formula>
    </cfRule>
    <cfRule type="expression" dxfId="7991" priority="9585">
      <formula>I161="A"</formula>
    </cfRule>
    <cfRule type="expression" dxfId="7990" priority="9586">
      <formula>I161="T"</formula>
    </cfRule>
  </conditionalFormatting>
  <conditionalFormatting sqref="J160">
    <cfRule type="expression" dxfId="7989" priority="9581">
      <formula>J159="X"</formula>
    </cfRule>
    <cfRule type="expression" dxfId="7988" priority="9582">
      <formula>J159="A"</formula>
    </cfRule>
    <cfRule type="expression" dxfId="7987" priority="9583">
      <formula>J159="T"</formula>
    </cfRule>
  </conditionalFormatting>
  <conditionalFormatting sqref="J159">
    <cfRule type="expression" dxfId="7986" priority="9578">
      <formula>J159="X"</formula>
    </cfRule>
    <cfRule type="expression" dxfId="7985" priority="9579">
      <formula>J159="A"</formula>
    </cfRule>
    <cfRule type="expression" dxfId="7984" priority="9580">
      <formula>J159="T"</formula>
    </cfRule>
  </conditionalFormatting>
  <conditionalFormatting sqref="J162">
    <cfRule type="expression" dxfId="7983" priority="9575">
      <formula>J161="X"</formula>
    </cfRule>
    <cfRule type="expression" dxfId="7982" priority="9576">
      <formula>J161="A"</formula>
    </cfRule>
    <cfRule type="expression" dxfId="7981" priority="9577">
      <formula>J161="T"</formula>
    </cfRule>
  </conditionalFormatting>
  <conditionalFormatting sqref="J161">
    <cfRule type="expression" dxfId="7980" priority="9572">
      <formula>J161="X"</formula>
    </cfRule>
    <cfRule type="expression" dxfId="7979" priority="9573">
      <formula>J161="A"</formula>
    </cfRule>
    <cfRule type="expression" dxfId="7978" priority="9574">
      <formula>J161="T"</formula>
    </cfRule>
  </conditionalFormatting>
  <conditionalFormatting sqref="K159">
    <cfRule type="expression" dxfId="7977" priority="9566">
      <formula>K159="X"</formula>
    </cfRule>
    <cfRule type="expression" dxfId="7976" priority="9567">
      <formula>K159="A"</formula>
    </cfRule>
    <cfRule type="expression" dxfId="7975" priority="9568">
      <formula>K159="T"</formula>
    </cfRule>
  </conditionalFormatting>
  <conditionalFormatting sqref="K161">
    <cfRule type="expression" dxfId="7974" priority="9560">
      <formula>K161="X"</formula>
    </cfRule>
    <cfRule type="expression" dxfId="7973" priority="9561">
      <formula>K161="A"</formula>
    </cfRule>
    <cfRule type="expression" dxfId="7972" priority="9562">
      <formula>K161="T"</formula>
    </cfRule>
  </conditionalFormatting>
  <conditionalFormatting sqref="L160">
    <cfRule type="expression" dxfId="7971" priority="9557">
      <formula>L159="X"</formula>
    </cfRule>
    <cfRule type="expression" dxfId="7970" priority="9558">
      <formula>L159="A"</formula>
    </cfRule>
    <cfRule type="expression" dxfId="7969" priority="9559">
      <formula>L159="T"</formula>
    </cfRule>
  </conditionalFormatting>
  <conditionalFormatting sqref="L159">
    <cfRule type="expression" dxfId="7968" priority="9554">
      <formula>L159="X"</formula>
    </cfRule>
    <cfRule type="expression" dxfId="7967" priority="9555">
      <formula>L159="A"</formula>
    </cfRule>
    <cfRule type="expression" dxfId="7966" priority="9556">
      <formula>L159="T"</formula>
    </cfRule>
  </conditionalFormatting>
  <conditionalFormatting sqref="L162">
    <cfRule type="expression" dxfId="7965" priority="9551">
      <formula>L161="X"</formula>
    </cfRule>
    <cfRule type="expression" dxfId="7964" priority="9552">
      <formula>L161="A"</formula>
    </cfRule>
    <cfRule type="expression" dxfId="7963" priority="9553">
      <formula>L161="T"</formula>
    </cfRule>
  </conditionalFormatting>
  <conditionalFormatting sqref="L161">
    <cfRule type="expression" dxfId="7962" priority="9548">
      <formula>L161="X"</formula>
    </cfRule>
    <cfRule type="expression" dxfId="7961" priority="9549">
      <formula>L161="A"</formula>
    </cfRule>
    <cfRule type="expression" dxfId="7960" priority="9550">
      <formula>L161="T"</formula>
    </cfRule>
  </conditionalFormatting>
  <conditionalFormatting sqref="Y158">
    <cfRule type="expression" dxfId="7959" priority="9545">
      <formula>Y157="X"</formula>
    </cfRule>
    <cfRule type="expression" dxfId="7958" priority="9546">
      <formula>Y157="A"</formula>
    </cfRule>
    <cfRule type="expression" dxfId="7957" priority="9547">
      <formula>Y157="T"</formula>
    </cfRule>
  </conditionalFormatting>
  <conditionalFormatting sqref="Y16 Y18 Y20 Y22 Y24 Y26 Y28 Y39 Y41 Y43 Y45 Y48 Y81 Y88 Y90 Y92 Y94 Y96 Y98 Y100 Y102 Y105 Y107 Y109 Y111 Y116">
    <cfRule type="expression" dxfId="7956" priority="9542">
      <formula>Y16="X"</formula>
    </cfRule>
    <cfRule type="expression" dxfId="7955" priority="9543">
      <formula>Y16="A"</formula>
    </cfRule>
    <cfRule type="expression" dxfId="7954" priority="9544">
      <formula>Y16="T"</formula>
    </cfRule>
  </conditionalFormatting>
  <conditionalFormatting sqref="Y36">
    <cfRule type="expression" dxfId="7953" priority="9539">
      <formula>Y36="X"</formula>
    </cfRule>
    <cfRule type="expression" dxfId="7952" priority="9540">
      <formula>Y36="A"</formula>
    </cfRule>
    <cfRule type="expression" dxfId="7951" priority="9541">
      <formula>Y36="T"</formula>
    </cfRule>
  </conditionalFormatting>
  <conditionalFormatting sqref="Y34">
    <cfRule type="expression" dxfId="7950" priority="9536">
      <formula>Y34="X"</formula>
    </cfRule>
    <cfRule type="expression" dxfId="7949" priority="9537">
      <formula>Y34="A"</formula>
    </cfRule>
    <cfRule type="expression" dxfId="7948" priority="9538">
      <formula>Y34="T"</formula>
    </cfRule>
  </conditionalFormatting>
  <conditionalFormatting sqref="Y32">
    <cfRule type="expression" dxfId="7947" priority="9533">
      <formula>Y32="X"</formula>
    </cfRule>
    <cfRule type="expression" dxfId="7946" priority="9534">
      <formula>Y32="A"</formula>
    </cfRule>
    <cfRule type="expression" dxfId="7945" priority="9535">
      <formula>Y32="T"</formula>
    </cfRule>
  </conditionalFormatting>
  <conditionalFormatting sqref="Y30">
    <cfRule type="expression" dxfId="7944" priority="9530">
      <formula>Y30="X"</formula>
    </cfRule>
    <cfRule type="expression" dxfId="7943" priority="9531">
      <formula>Y30="A"</formula>
    </cfRule>
    <cfRule type="expression" dxfId="7942" priority="9532">
      <formula>Y30="T"</formula>
    </cfRule>
  </conditionalFormatting>
  <conditionalFormatting sqref="Y52">
    <cfRule type="expression" dxfId="7941" priority="9527">
      <formula>Y52="X"</formula>
    </cfRule>
    <cfRule type="expression" dxfId="7940" priority="9528">
      <formula>Y52="A"</formula>
    </cfRule>
    <cfRule type="expression" dxfId="7939" priority="9529">
      <formula>Y52="T"</formula>
    </cfRule>
  </conditionalFormatting>
  <conditionalFormatting sqref="Y50">
    <cfRule type="expression" dxfId="7938" priority="9524">
      <formula>Y50="X"</formula>
    </cfRule>
    <cfRule type="expression" dxfId="7937" priority="9525">
      <formula>Y50="A"</formula>
    </cfRule>
    <cfRule type="expression" dxfId="7936" priority="9526">
      <formula>Y50="T"</formula>
    </cfRule>
  </conditionalFormatting>
  <conditionalFormatting sqref="Y54">
    <cfRule type="expression" dxfId="7935" priority="9521">
      <formula>Y54="X"</formula>
    </cfRule>
    <cfRule type="expression" dxfId="7934" priority="9522">
      <formula>Y54="A"</formula>
    </cfRule>
    <cfRule type="expression" dxfId="7933" priority="9523">
      <formula>Y54="T"</formula>
    </cfRule>
  </conditionalFormatting>
  <conditionalFormatting sqref="Y56">
    <cfRule type="expression" dxfId="7932" priority="9518">
      <formula>Y56="X"</formula>
    </cfRule>
    <cfRule type="expression" dxfId="7931" priority="9519">
      <formula>Y56="A"</formula>
    </cfRule>
    <cfRule type="expression" dxfId="7930" priority="9520">
      <formula>Y56="T"</formula>
    </cfRule>
  </conditionalFormatting>
  <conditionalFormatting sqref="Y58">
    <cfRule type="expression" dxfId="7929" priority="9515">
      <formula>Y58="X"</formula>
    </cfRule>
    <cfRule type="expression" dxfId="7928" priority="9516">
      <formula>Y58="A"</formula>
    </cfRule>
    <cfRule type="expression" dxfId="7927" priority="9517">
      <formula>Y58="T"</formula>
    </cfRule>
  </conditionalFormatting>
  <conditionalFormatting sqref="Y63">
    <cfRule type="expression" dxfId="7926" priority="9512">
      <formula>Y63="X"</formula>
    </cfRule>
    <cfRule type="expression" dxfId="7925" priority="9513">
      <formula>Y63="A"</formula>
    </cfRule>
    <cfRule type="expression" dxfId="7924" priority="9514">
      <formula>Y63="T"</formula>
    </cfRule>
  </conditionalFormatting>
  <conditionalFormatting sqref="Y65">
    <cfRule type="expression" dxfId="7923" priority="9509">
      <formula>Y65="X"</formula>
    </cfRule>
    <cfRule type="expression" dxfId="7922" priority="9510">
      <formula>Y65="A"</formula>
    </cfRule>
    <cfRule type="expression" dxfId="7921" priority="9511">
      <formula>Y65="T"</formula>
    </cfRule>
  </conditionalFormatting>
  <conditionalFormatting sqref="Y83">
    <cfRule type="expression" dxfId="7920" priority="9506">
      <formula>Y83="X"</formula>
    </cfRule>
    <cfRule type="expression" dxfId="7919" priority="9507">
      <formula>Y83="A"</formula>
    </cfRule>
    <cfRule type="expression" dxfId="7918" priority="9508">
      <formula>Y83="T"</formula>
    </cfRule>
  </conditionalFormatting>
  <conditionalFormatting sqref="Y85">
    <cfRule type="expression" dxfId="7917" priority="9503">
      <formula>Y85="X"</formula>
    </cfRule>
    <cfRule type="expression" dxfId="7916" priority="9504">
      <formula>Y85="A"</formula>
    </cfRule>
    <cfRule type="expression" dxfId="7915" priority="9505">
      <formula>Y85="T"</formula>
    </cfRule>
  </conditionalFormatting>
  <conditionalFormatting sqref="Y67">
    <cfRule type="expression" dxfId="7914" priority="9500">
      <formula>Y67="X"</formula>
    </cfRule>
    <cfRule type="expression" dxfId="7913" priority="9501">
      <formula>Y67="A"</formula>
    </cfRule>
    <cfRule type="expression" dxfId="7912" priority="9502">
      <formula>Y67="T"</formula>
    </cfRule>
  </conditionalFormatting>
  <conditionalFormatting sqref="Y113">
    <cfRule type="expression" dxfId="7911" priority="9497">
      <formula>Y113="X"</formula>
    </cfRule>
    <cfRule type="expression" dxfId="7910" priority="9498">
      <formula>Y113="A"</formula>
    </cfRule>
    <cfRule type="expression" dxfId="7909" priority="9499">
      <formula>Y113="T"</formula>
    </cfRule>
  </conditionalFormatting>
  <conditionalFormatting sqref="Y118">
    <cfRule type="expression" dxfId="7908" priority="9494">
      <formula>Y118="X"</formula>
    </cfRule>
    <cfRule type="expression" dxfId="7907" priority="9495">
      <formula>Y118="A"</formula>
    </cfRule>
    <cfRule type="expression" dxfId="7906" priority="9496">
      <formula>Y118="T"</formula>
    </cfRule>
  </conditionalFormatting>
  <conditionalFormatting sqref="Y120">
    <cfRule type="expression" dxfId="7905" priority="9491">
      <formula>Y120="X"</formula>
    </cfRule>
    <cfRule type="expression" dxfId="7904" priority="9492">
      <formula>Y120="A"</formula>
    </cfRule>
    <cfRule type="expression" dxfId="7903" priority="9493">
      <formula>Y120="T"</formula>
    </cfRule>
  </conditionalFormatting>
  <conditionalFormatting sqref="Y122">
    <cfRule type="expression" dxfId="7902" priority="9488">
      <formula>Y122="X"</formula>
    </cfRule>
    <cfRule type="expression" dxfId="7901" priority="9489">
      <formula>Y122="A"</formula>
    </cfRule>
    <cfRule type="expression" dxfId="7900" priority="9490">
      <formula>Y122="T"</formula>
    </cfRule>
  </conditionalFormatting>
  <conditionalFormatting sqref="Y125">
    <cfRule type="expression" dxfId="7899" priority="9485">
      <formula>Y125="X"</formula>
    </cfRule>
    <cfRule type="expression" dxfId="7898" priority="9486">
      <formula>Y125="A"</formula>
    </cfRule>
    <cfRule type="expression" dxfId="7897" priority="9487">
      <formula>Y125="T"</formula>
    </cfRule>
  </conditionalFormatting>
  <conditionalFormatting sqref="Y127">
    <cfRule type="expression" dxfId="7896" priority="9482">
      <formula>Y127="X"</formula>
    </cfRule>
    <cfRule type="expression" dxfId="7895" priority="9483">
      <formula>Y127="A"</formula>
    </cfRule>
    <cfRule type="expression" dxfId="7894" priority="9484">
      <formula>Y127="T"</formula>
    </cfRule>
  </conditionalFormatting>
  <conditionalFormatting sqref="Y141">
    <cfRule type="expression" dxfId="7893" priority="9479">
      <formula>Y141="X"</formula>
    </cfRule>
    <cfRule type="expression" dxfId="7892" priority="9480">
      <formula>Y141="A"</formula>
    </cfRule>
    <cfRule type="expression" dxfId="7891" priority="9481">
      <formula>Y141="T"</formula>
    </cfRule>
  </conditionalFormatting>
  <conditionalFormatting sqref="Y143">
    <cfRule type="expression" dxfId="7890" priority="9476">
      <formula>Y143="X"</formula>
    </cfRule>
    <cfRule type="expression" dxfId="7889" priority="9477">
      <formula>Y143="A"</formula>
    </cfRule>
    <cfRule type="expression" dxfId="7888" priority="9478">
      <formula>Y143="T"</formula>
    </cfRule>
  </conditionalFormatting>
  <conditionalFormatting sqref="Y149">
    <cfRule type="expression" dxfId="7887" priority="9473">
      <formula>Y149="X"</formula>
    </cfRule>
    <cfRule type="expression" dxfId="7886" priority="9474">
      <formula>Y149="A"</formula>
    </cfRule>
    <cfRule type="expression" dxfId="7885" priority="9475">
      <formula>Y149="T"</formula>
    </cfRule>
  </conditionalFormatting>
  <conditionalFormatting sqref="Y151">
    <cfRule type="expression" dxfId="7884" priority="9470">
      <formula>Y151="X"</formula>
    </cfRule>
    <cfRule type="expression" dxfId="7883" priority="9471">
      <formula>Y151="A"</formula>
    </cfRule>
    <cfRule type="expression" dxfId="7882" priority="9472">
      <formula>Y151="T"</formula>
    </cfRule>
  </conditionalFormatting>
  <conditionalFormatting sqref="Y155">
    <cfRule type="expression" dxfId="7881" priority="9467">
      <formula>Y155="X"</formula>
    </cfRule>
    <cfRule type="expression" dxfId="7880" priority="9468">
      <formula>Y155="A"</formula>
    </cfRule>
    <cfRule type="expression" dxfId="7879" priority="9469">
      <formula>Y155="T"</formula>
    </cfRule>
  </conditionalFormatting>
  <conditionalFormatting sqref="Y157">
    <cfRule type="expression" dxfId="7878" priority="9464">
      <formula>Y157="X"</formula>
    </cfRule>
    <cfRule type="expression" dxfId="7877" priority="9465">
      <formula>Y157="A"</formula>
    </cfRule>
    <cfRule type="expression" dxfId="7876" priority="9466">
      <formula>Y157="T"</formula>
    </cfRule>
  </conditionalFormatting>
  <conditionalFormatting sqref="Y167">
    <cfRule type="expression" dxfId="7875" priority="9461">
      <formula>Y167="X"</formula>
    </cfRule>
    <cfRule type="expression" dxfId="7874" priority="9462">
      <formula>Y167="A"</formula>
    </cfRule>
    <cfRule type="expression" dxfId="7873" priority="9463">
      <formula>Y167="T"</formula>
    </cfRule>
  </conditionalFormatting>
  <conditionalFormatting sqref="Y173">
    <cfRule type="expression" dxfId="7872" priority="9458">
      <formula>Y173="X"</formula>
    </cfRule>
    <cfRule type="expression" dxfId="7871" priority="9459">
      <formula>Y173="A"</formula>
    </cfRule>
    <cfRule type="expression" dxfId="7870" priority="9460">
      <formula>Y173="T"</formula>
    </cfRule>
  </conditionalFormatting>
  <conditionalFormatting sqref="Y175">
    <cfRule type="expression" dxfId="7869" priority="9455">
      <formula>Y175="X"</formula>
    </cfRule>
    <cfRule type="expression" dxfId="7868" priority="9456">
      <formula>Y175="A"</formula>
    </cfRule>
    <cfRule type="expression" dxfId="7867" priority="9457">
      <formula>Y175="T"</formula>
    </cfRule>
  </conditionalFormatting>
  <conditionalFormatting sqref="Y177">
    <cfRule type="expression" dxfId="7866" priority="9452">
      <formula>Y177="X"</formula>
    </cfRule>
    <cfRule type="expression" dxfId="7865" priority="9453">
      <formula>Y177="A"</formula>
    </cfRule>
    <cfRule type="expression" dxfId="7864" priority="9454">
      <formula>Y177="T"</formula>
    </cfRule>
  </conditionalFormatting>
  <conditionalFormatting sqref="Y179">
    <cfRule type="expression" dxfId="7863" priority="9449">
      <formula>Y179="X"</formula>
    </cfRule>
    <cfRule type="expression" dxfId="7862" priority="9450">
      <formula>Y179="A"</formula>
    </cfRule>
    <cfRule type="expression" dxfId="7861" priority="9451">
      <formula>Y179="T"</formula>
    </cfRule>
  </conditionalFormatting>
  <conditionalFormatting sqref="Y169">
    <cfRule type="expression" dxfId="7860" priority="9446">
      <formula>Y169="X"</formula>
    </cfRule>
    <cfRule type="expression" dxfId="7859" priority="9447">
      <formula>Y169="A"</formula>
    </cfRule>
    <cfRule type="expression" dxfId="7858" priority="9448">
      <formula>Y169="T"</formula>
    </cfRule>
  </conditionalFormatting>
  <conditionalFormatting sqref="Y171">
    <cfRule type="expression" dxfId="7857" priority="9443">
      <formula>Y171="X"</formula>
    </cfRule>
    <cfRule type="expression" dxfId="7856" priority="9444">
      <formula>Y171="A"</formula>
    </cfRule>
    <cfRule type="expression" dxfId="7855" priority="9445">
      <formula>Y171="T"</formula>
    </cfRule>
  </conditionalFormatting>
  <conditionalFormatting sqref="Y183">
    <cfRule type="expression" dxfId="7854" priority="9440">
      <formula>Y183="X"</formula>
    </cfRule>
    <cfRule type="expression" dxfId="7853" priority="9441">
      <formula>Y183="A"</formula>
    </cfRule>
    <cfRule type="expression" dxfId="7852" priority="9442">
      <formula>Y183="T"</formula>
    </cfRule>
  </conditionalFormatting>
  <conditionalFormatting sqref="Y185">
    <cfRule type="expression" dxfId="7851" priority="9437">
      <formula>Y185="X"</formula>
    </cfRule>
    <cfRule type="expression" dxfId="7850" priority="9438">
      <formula>Y185="A"</formula>
    </cfRule>
    <cfRule type="expression" dxfId="7849" priority="9439">
      <formula>Y185="T"</formula>
    </cfRule>
  </conditionalFormatting>
  <conditionalFormatting sqref="Y189">
    <cfRule type="expression" dxfId="7848" priority="9434">
      <formula>Y189="X"</formula>
    </cfRule>
    <cfRule type="expression" dxfId="7847" priority="9435">
      <formula>Y189="A"</formula>
    </cfRule>
    <cfRule type="expression" dxfId="7846" priority="9436">
      <formula>Y189="T"</formula>
    </cfRule>
  </conditionalFormatting>
  <conditionalFormatting sqref="Y191">
    <cfRule type="expression" dxfId="7845" priority="9431">
      <formula>Y191="X"</formula>
    </cfRule>
    <cfRule type="expression" dxfId="7844" priority="9432">
      <formula>Y191="A"</formula>
    </cfRule>
    <cfRule type="expression" dxfId="7843" priority="9433">
      <formula>Y191="T"</formula>
    </cfRule>
  </conditionalFormatting>
  <conditionalFormatting sqref="Y11">
    <cfRule type="expression" dxfId="7842" priority="9428">
      <formula>Y11="X"</formula>
    </cfRule>
    <cfRule type="expression" dxfId="7841" priority="9429">
      <formula>Y11="A"</formula>
    </cfRule>
    <cfRule type="expression" dxfId="7840" priority="9430">
      <formula>Y11="T"</formula>
    </cfRule>
  </conditionalFormatting>
  <conditionalFormatting sqref="Y12">
    <cfRule type="expression" dxfId="7839" priority="9425">
      <formula>Y11="X"</formula>
    </cfRule>
    <cfRule type="expression" dxfId="7838" priority="9426">
      <formula>Y11="A"</formula>
    </cfRule>
    <cfRule type="expression" dxfId="7837" priority="9427">
      <formula>Y11="T"</formula>
    </cfRule>
  </conditionalFormatting>
  <conditionalFormatting sqref="Y13">
    <cfRule type="expression" dxfId="7836" priority="9422">
      <formula>Y13="X"</formula>
    </cfRule>
    <cfRule type="expression" dxfId="7835" priority="9423">
      <formula>Y13="A"</formula>
    </cfRule>
    <cfRule type="expression" dxfId="7834" priority="9424">
      <formula>Y13="T"</formula>
    </cfRule>
  </conditionalFormatting>
  <conditionalFormatting sqref="Y14">
    <cfRule type="expression" dxfId="7833" priority="9419">
      <formula>Y13="X"</formula>
    </cfRule>
    <cfRule type="expression" dxfId="7832" priority="9420">
      <formula>Y13="A"</formula>
    </cfRule>
    <cfRule type="expression" dxfId="7831" priority="9421">
      <formula>Y13="T"</formula>
    </cfRule>
  </conditionalFormatting>
  <conditionalFormatting sqref="Y17">
    <cfRule type="expression" dxfId="7830" priority="9416">
      <formula>Y16="X"</formula>
    </cfRule>
    <cfRule type="expression" dxfId="7829" priority="9417">
      <formula>Y16="A"</formula>
    </cfRule>
    <cfRule type="expression" dxfId="7828" priority="9418">
      <formula>Y16="T"</formula>
    </cfRule>
  </conditionalFormatting>
  <conditionalFormatting sqref="Y40">
    <cfRule type="expression" dxfId="7827" priority="9380">
      <formula>Y39="X"</formula>
    </cfRule>
    <cfRule type="expression" dxfId="7826" priority="9381">
      <formula>Y39="A"</formula>
    </cfRule>
    <cfRule type="expression" dxfId="7825" priority="9382">
      <formula>Y39="T"</formula>
    </cfRule>
  </conditionalFormatting>
  <conditionalFormatting sqref="Y42">
    <cfRule type="expression" dxfId="7824" priority="9377">
      <formula>Y41="X"</formula>
    </cfRule>
    <cfRule type="expression" dxfId="7823" priority="9378">
      <formula>Y41="A"</formula>
    </cfRule>
    <cfRule type="expression" dxfId="7822" priority="9379">
      <formula>Y41="T"</formula>
    </cfRule>
  </conditionalFormatting>
  <conditionalFormatting sqref="Y44">
    <cfRule type="expression" dxfId="7821" priority="9374">
      <formula>Y43="X"</formula>
    </cfRule>
    <cfRule type="expression" dxfId="7820" priority="9375">
      <formula>Y43="A"</formula>
    </cfRule>
    <cfRule type="expression" dxfId="7819" priority="9376">
      <formula>Y43="T"</formula>
    </cfRule>
  </conditionalFormatting>
  <conditionalFormatting sqref="Y46">
    <cfRule type="expression" dxfId="7818" priority="9371">
      <formula>Y45="X"</formula>
    </cfRule>
    <cfRule type="expression" dxfId="7817" priority="9372">
      <formula>Y45="A"</formula>
    </cfRule>
    <cfRule type="expression" dxfId="7816" priority="9373">
      <formula>Y45="T"</formula>
    </cfRule>
  </conditionalFormatting>
  <conditionalFormatting sqref="Y49">
    <cfRule type="expression" dxfId="7815" priority="9368">
      <formula>Y48="X"</formula>
    </cfRule>
    <cfRule type="expression" dxfId="7814" priority="9369">
      <formula>Y48="A"</formula>
    </cfRule>
    <cfRule type="expression" dxfId="7813" priority="9370">
      <formula>Y48="T"</formula>
    </cfRule>
  </conditionalFormatting>
  <conditionalFormatting sqref="Y51">
    <cfRule type="expression" dxfId="7812" priority="9365">
      <formula>Y50="X"</formula>
    </cfRule>
    <cfRule type="expression" dxfId="7811" priority="9366">
      <formula>Y50="A"</formula>
    </cfRule>
    <cfRule type="expression" dxfId="7810" priority="9367">
      <formula>Y50="T"</formula>
    </cfRule>
  </conditionalFormatting>
  <conditionalFormatting sqref="Y53">
    <cfRule type="expression" dxfId="7809" priority="9362">
      <formula>Y52="X"</formula>
    </cfRule>
    <cfRule type="expression" dxfId="7808" priority="9363">
      <formula>Y52="A"</formula>
    </cfRule>
    <cfRule type="expression" dxfId="7807" priority="9364">
      <formula>Y52="T"</formula>
    </cfRule>
  </conditionalFormatting>
  <conditionalFormatting sqref="Y55">
    <cfRule type="expression" dxfId="7806" priority="9359">
      <formula>Y54="X"</formula>
    </cfRule>
    <cfRule type="expression" dxfId="7805" priority="9360">
      <formula>Y54="A"</formula>
    </cfRule>
    <cfRule type="expression" dxfId="7804" priority="9361">
      <formula>Y54="T"</formula>
    </cfRule>
  </conditionalFormatting>
  <conditionalFormatting sqref="Y57">
    <cfRule type="expression" dxfId="7803" priority="9356">
      <formula>Y56="X"</formula>
    </cfRule>
    <cfRule type="expression" dxfId="7802" priority="9357">
      <formula>Y56="A"</formula>
    </cfRule>
    <cfRule type="expression" dxfId="7801" priority="9358">
      <formula>Y56="T"</formula>
    </cfRule>
  </conditionalFormatting>
  <conditionalFormatting sqref="Y59">
    <cfRule type="expression" dxfId="7800" priority="9353">
      <formula>Y58="X"</formula>
    </cfRule>
    <cfRule type="expression" dxfId="7799" priority="9354">
      <formula>Y58="A"</formula>
    </cfRule>
    <cfRule type="expression" dxfId="7798" priority="9355">
      <formula>Y58="T"</formula>
    </cfRule>
  </conditionalFormatting>
  <conditionalFormatting sqref="Y64">
    <cfRule type="expression" dxfId="7797" priority="9350">
      <formula>Y63="X"</formula>
    </cfRule>
    <cfRule type="expression" dxfId="7796" priority="9351">
      <formula>Y63="A"</formula>
    </cfRule>
    <cfRule type="expression" dxfId="7795" priority="9352">
      <formula>Y63="T"</formula>
    </cfRule>
  </conditionalFormatting>
  <conditionalFormatting sqref="Y66">
    <cfRule type="expression" dxfId="7794" priority="9347">
      <formula>Y65="X"</formula>
    </cfRule>
    <cfRule type="expression" dxfId="7793" priority="9348">
      <formula>Y65="A"</formula>
    </cfRule>
    <cfRule type="expression" dxfId="7792" priority="9349">
      <formula>Y65="T"</formula>
    </cfRule>
  </conditionalFormatting>
  <conditionalFormatting sqref="Y68">
    <cfRule type="expression" dxfId="7791" priority="9344">
      <formula>Y67="X"</formula>
    </cfRule>
    <cfRule type="expression" dxfId="7790" priority="9345">
      <formula>Y67="A"</formula>
    </cfRule>
    <cfRule type="expression" dxfId="7789" priority="9346">
      <formula>Y67="T"</formula>
    </cfRule>
  </conditionalFormatting>
  <conditionalFormatting sqref="Y82">
    <cfRule type="expression" dxfId="7788" priority="9341">
      <formula>Y81="X"</formula>
    </cfRule>
    <cfRule type="expression" dxfId="7787" priority="9342">
      <formula>Y81="A"</formula>
    </cfRule>
    <cfRule type="expression" dxfId="7786" priority="9343">
      <formula>Y81="T"</formula>
    </cfRule>
  </conditionalFormatting>
  <conditionalFormatting sqref="Y84">
    <cfRule type="expression" dxfId="7785" priority="9338">
      <formula>Y83="X"</formula>
    </cfRule>
    <cfRule type="expression" dxfId="7784" priority="9339">
      <formula>Y83="A"</formula>
    </cfRule>
    <cfRule type="expression" dxfId="7783" priority="9340">
      <formula>Y83="T"</formula>
    </cfRule>
  </conditionalFormatting>
  <conditionalFormatting sqref="Y86">
    <cfRule type="expression" dxfId="7782" priority="9335">
      <formula>Y85="X"</formula>
    </cfRule>
    <cfRule type="expression" dxfId="7781" priority="9336">
      <formula>Y85="A"</formula>
    </cfRule>
    <cfRule type="expression" dxfId="7780" priority="9337">
      <formula>Y85="T"</formula>
    </cfRule>
  </conditionalFormatting>
  <conditionalFormatting sqref="Y89">
    <cfRule type="expression" dxfId="7779" priority="9332">
      <formula>Y88="X"</formula>
    </cfRule>
    <cfRule type="expression" dxfId="7778" priority="9333">
      <formula>Y88="A"</formula>
    </cfRule>
    <cfRule type="expression" dxfId="7777" priority="9334">
      <formula>Y88="T"</formula>
    </cfRule>
  </conditionalFormatting>
  <conditionalFormatting sqref="Y91">
    <cfRule type="expression" dxfId="7776" priority="9329">
      <formula>Y90="X"</formula>
    </cfRule>
    <cfRule type="expression" dxfId="7775" priority="9330">
      <formula>Y90="A"</formula>
    </cfRule>
    <cfRule type="expression" dxfId="7774" priority="9331">
      <formula>Y90="T"</formula>
    </cfRule>
  </conditionalFormatting>
  <conditionalFormatting sqref="Y93">
    <cfRule type="expression" dxfId="7773" priority="9326">
      <formula>Y92="X"</formula>
    </cfRule>
    <cfRule type="expression" dxfId="7772" priority="9327">
      <formula>Y92="A"</formula>
    </cfRule>
    <cfRule type="expression" dxfId="7771" priority="9328">
      <formula>Y92="T"</formula>
    </cfRule>
  </conditionalFormatting>
  <conditionalFormatting sqref="Y95">
    <cfRule type="expression" dxfId="7770" priority="9323">
      <formula>Y94="X"</formula>
    </cfRule>
    <cfRule type="expression" dxfId="7769" priority="9324">
      <formula>Y94="A"</formula>
    </cfRule>
    <cfRule type="expression" dxfId="7768" priority="9325">
      <formula>Y94="T"</formula>
    </cfRule>
  </conditionalFormatting>
  <conditionalFormatting sqref="Y97">
    <cfRule type="expression" dxfId="7767" priority="9320">
      <formula>Y96="X"</formula>
    </cfRule>
    <cfRule type="expression" dxfId="7766" priority="9321">
      <formula>Y96="A"</formula>
    </cfRule>
    <cfRule type="expression" dxfId="7765" priority="9322">
      <formula>Y96="T"</formula>
    </cfRule>
  </conditionalFormatting>
  <conditionalFormatting sqref="Y99">
    <cfRule type="expression" dxfId="7764" priority="9317">
      <formula>Y98="X"</formula>
    </cfRule>
    <cfRule type="expression" dxfId="7763" priority="9318">
      <formula>Y98="A"</formula>
    </cfRule>
    <cfRule type="expression" dxfId="7762" priority="9319">
      <formula>Y98="T"</formula>
    </cfRule>
  </conditionalFormatting>
  <conditionalFormatting sqref="Y101">
    <cfRule type="expression" dxfId="7761" priority="9314">
      <formula>Y100="X"</formula>
    </cfRule>
    <cfRule type="expression" dxfId="7760" priority="9315">
      <formula>Y100="A"</formula>
    </cfRule>
    <cfRule type="expression" dxfId="7759" priority="9316">
      <formula>Y100="T"</formula>
    </cfRule>
  </conditionalFormatting>
  <conditionalFormatting sqref="Y103">
    <cfRule type="expression" dxfId="7758" priority="9311">
      <formula>Y102="X"</formula>
    </cfRule>
    <cfRule type="expression" dxfId="7757" priority="9312">
      <formula>Y102="A"</formula>
    </cfRule>
    <cfRule type="expression" dxfId="7756" priority="9313">
      <formula>Y102="T"</formula>
    </cfRule>
  </conditionalFormatting>
  <conditionalFormatting sqref="Y106">
    <cfRule type="expression" dxfId="7755" priority="9308">
      <formula>Y105="X"</formula>
    </cfRule>
    <cfRule type="expression" dxfId="7754" priority="9309">
      <formula>Y105="A"</formula>
    </cfRule>
    <cfRule type="expression" dxfId="7753" priority="9310">
      <formula>Y105="T"</formula>
    </cfRule>
  </conditionalFormatting>
  <conditionalFormatting sqref="Y108">
    <cfRule type="expression" dxfId="7752" priority="9305">
      <formula>Y107="X"</formula>
    </cfRule>
    <cfRule type="expression" dxfId="7751" priority="9306">
      <formula>Y107="A"</formula>
    </cfRule>
    <cfRule type="expression" dxfId="7750" priority="9307">
      <formula>Y107="T"</formula>
    </cfRule>
  </conditionalFormatting>
  <conditionalFormatting sqref="Y110">
    <cfRule type="expression" dxfId="7749" priority="9302">
      <formula>Y109="X"</formula>
    </cfRule>
    <cfRule type="expression" dxfId="7748" priority="9303">
      <formula>Y109="A"</formula>
    </cfRule>
    <cfRule type="expression" dxfId="7747" priority="9304">
      <formula>Y109="T"</formula>
    </cfRule>
  </conditionalFormatting>
  <conditionalFormatting sqref="Y112">
    <cfRule type="expression" dxfId="7746" priority="9299">
      <formula>Y111="X"</formula>
    </cfRule>
    <cfRule type="expression" dxfId="7745" priority="9300">
      <formula>Y111="A"</formula>
    </cfRule>
    <cfRule type="expression" dxfId="7744" priority="9301">
      <formula>Y111="T"</formula>
    </cfRule>
  </conditionalFormatting>
  <conditionalFormatting sqref="Y114">
    <cfRule type="expression" dxfId="7743" priority="9296">
      <formula>Y113="X"</formula>
    </cfRule>
    <cfRule type="expression" dxfId="7742" priority="9297">
      <formula>Y113="A"</formula>
    </cfRule>
    <cfRule type="expression" dxfId="7741" priority="9298">
      <formula>Y113="T"</formula>
    </cfRule>
  </conditionalFormatting>
  <conditionalFormatting sqref="Y117">
    <cfRule type="expression" dxfId="7740" priority="9293">
      <formula>Y116="X"</formula>
    </cfRule>
    <cfRule type="expression" dxfId="7739" priority="9294">
      <formula>Y116="A"</formula>
    </cfRule>
    <cfRule type="expression" dxfId="7738" priority="9295">
      <formula>Y116="T"</formula>
    </cfRule>
  </conditionalFormatting>
  <conditionalFormatting sqref="Y119">
    <cfRule type="expression" dxfId="7737" priority="9290">
      <formula>Y118="X"</formula>
    </cfRule>
    <cfRule type="expression" dxfId="7736" priority="9291">
      <formula>Y118="A"</formula>
    </cfRule>
    <cfRule type="expression" dxfId="7735" priority="9292">
      <formula>Y118="T"</formula>
    </cfRule>
  </conditionalFormatting>
  <conditionalFormatting sqref="Y121">
    <cfRule type="expression" dxfId="7734" priority="9287">
      <formula>Y120="X"</formula>
    </cfRule>
    <cfRule type="expression" dxfId="7733" priority="9288">
      <formula>Y120="A"</formula>
    </cfRule>
    <cfRule type="expression" dxfId="7732" priority="9289">
      <formula>Y120="T"</formula>
    </cfRule>
  </conditionalFormatting>
  <conditionalFormatting sqref="Y123">
    <cfRule type="expression" dxfId="7731" priority="9284">
      <formula>Y122="X"</formula>
    </cfRule>
    <cfRule type="expression" dxfId="7730" priority="9285">
      <formula>Y122="A"</formula>
    </cfRule>
    <cfRule type="expression" dxfId="7729" priority="9286">
      <formula>Y122="T"</formula>
    </cfRule>
  </conditionalFormatting>
  <conditionalFormatting sqref="Y126">
    <cfRule type="expression" dxfId="7728" priority="9281">
      <formula>Y125="X"</formula>
    </cfRule>
    <cfRule type="expression" dxfId="7727" priority="9282">
      <formula>Y125="A"</formula>
    </cfRule>
    <cfRule type="expression" dxfId="7726" priority="9283">
      <formula>Y125="T"</formula>
    </cfRule>
  </conditionalFormatting>
  <conditionalFormatting sqref="Y128">
    <cfRule type="expression" dxfId="7725" priority="9278">
      <formula>Y127="X"</formula>
    </cfRule>
    <cfRule type="expression" dxfId="7724" priority="9279">
      <formula>Y127="A"</formula>
    </cfRule>
    <cfRule type="expression" dxfId="7723" priority="9280">
      <formula>Y127="T"</formula>
    </cfRule>
  </conditionalFormatting>
  <conditionalFormatting sqref="Y142">
    <cfRule type="expression" dxfId="7722" priority="9275">
      <formula>Y141="X"</formula>
    </cfRule>
    <cfRule type="expression" dxfId="7721" priority="9276">
      <formula>Y141="A"</formula>
    </cfRule>
    <cfRule type="expression" dxfId="7720" priority="9277">
      <formula>Y141="T"</formula>
    </cfRule>
  </conditionalFormatting>
  <conditionalFormatting sqref="Y144">
    <cfRule type="expression" dxfId="7719" priority="9272">
      <formula>Y143="X"</formula>
    </cfRule>
    <cfRule type="expression" dxfId="7718" priority="9273">
      <formula>Y143="A"</formula>
    </cfRule>
    <cfRule type="expression" dxfId="7717" priority="9274">
      <formula>Y143="T"</formula>
    </cfRule>
  </conditionalFormatting>
  <conditionalFormatting sqref="Y150">
    <cfRule type="expression" dxfId="7716" priority="9269">
      <formula>Y149="X"</formula>
    </cfRule>
    <cfRule type="expression" dxfId="7715" priority="9270">
      <formula>Y149="A"</formula>
    </cfRule>
    <cfRule type="expression" dxfId="7714" priority="9271">
      <formula>Y149="T"</formula>
    </cfRule>
  </conditionalFormatting>
  <conditionalFormatting sqref="Y152">
    <cfRule type="expression" dxfId="7713" priority="9266">
      <formula>Y151="X"</formula>
    </cfRule>
    <cfRule type="expression" dxfId="7712" priority="9267">
      <formula>Y151="A"</formula>
    </cfRule>
    <cfRule type="expression" dxfId="7711" priority="9268">
      <formula>Y151="T"</formula>
    </cfRule>
  </conditionalFormatting>
  <conditionalFormatting sqref="Y156">
    <cfRule type="expression" dxfId="7710" priority="9263">
      <formula>Y155="X"</formula>
    </cfRule>
    <cfRule type="expression" dxfId="7709" priority="9264">
      <formula>Y155="A"</formula>
    </cfRule>
    <cfRule type="expression" dxfId="7708" priority="9265">
      <formula>Y155="T"</formula>
    </cfRule>
  </conditionalFormatting>
  <conditionalFormatting sqref="Y168">
    <cfRule type="expression" dxfId="7707" priority="9260">
      <formula>Y167="X"</formula>
    </cfRule>
    <cfRule type="expression" dxfId="7706" priority="9261">
      <formula>Y167="A"</formula>
    </cfRule>
    <cfRule type="expression" dxfId="7705" priority="9262">
      <formula>Y167="T"</formula>
    </cfRule>
  </conditionalFormatting>
  <conditionalFormatting sqref="Y170">
    <cfRule type="expression" dxfId="7704" priority="9257">
      <formula>Y169="X"</formula>
    </cfRule>
    <cfRule type="expression" dxfId="7703" priority="9258">
      <formula>Y169="A"</formula>
    </cfRule>
    <cfRule type="expression" dxfId="7702" priority="9259">
      <formula>Y169="T"</formula>
    </cfRule>
  </conditionalFormatting>
  <conditionalFormatting sqref="Y172">
    <cfRule type="expression" dxfId="7701" priority="9254">
      <formula>Y171="X"</formula>
    </cfRule>
    <cfRule type="expression" dxfId="7700" priority="9255">
      <formula>Y171="A"</formula>
    </cfRule>
    <cfRule type="expression" dxfId="7699" priority="9256">
      <formula>Y171="T"</formula>
    </cfRule>
  </conditionalFormatting>
  <conditionalFormatting sqref="Y174">
    <cfRule type="expression" dxfId="7698" priority="9251">
      <formula>Y173="X"</formula>
    </cfRule>
    <cfRule type="expression" dxfId="7697" priority="9252">
      <formula>Y173="A"</formula>
    </cfRule>
    <cfRule type="expression" dxfId="7696" priority="9253">
      <formula>Y173="T"</formula>
    </cfRule>
  </conditionalFormatting>
  <conditionalFormatting sqref="Y176">
    <cfRule type="expression" dxfId="7695" priority="9248">
      <formula>Y175="X"</formula>
    </cfRule>
    <cfRule type="expression" dxfId="7694" priority="9249">
      <formula>Y175="A"</formula>
    </cfRule>
    <cfRule type="expression" dxfId="7693" priority="9250">
      <formula>Y175="T"</formula>
    </cfRule>
  </conditionalFormatting>
  <conditionalFormatting sqref="Y178">
    <cfRule type="expression" dxfId="7692" priority="9245">
      <formula>Y177="X"</formula>
    </cfRule>
    <cfRule type="expression" dxfId="7691" priority="9246">
      <formula>Y177="A"</formula>
    </cfRule>
    <cfRule type="expression" dxfId="7690" priority="9247">
      <formula>Y177="T"</formula>
    </cfRule>
  </conditionalFormatting>
  <conditionalFormatting sqref="Y180">
    <cfRule type="expression" dxfId="7689" priority="9242">
      <formula>Y179="X"</formula>
    </cfRule>
    <cfRule type="expression" dxfId="7688" priority="9243">
      <formula>Y179="A"</formula>
    </cfRule>
    <cfRule type="expression" dxfId="7687" priority="9244">
      <formula>Y179="T"</formula>
    </cfRule>
  </conditionalFormatting>
  <conditionalFormatting sqref="Y184">
    <cfRule type="expression" dxfId="7686" priority="9239">
      <formula>Y183="X"</formula>
    </cfRule>
    <cfRule type="expression" dxfId="7685" priority="9240">
      <formula>Y183="A"</formula>
    </cfRule>
    <cfRule type="expression" dxfId="7684" priority="9241">
      <formula>Y183="T"</formula>
    </cfRule>
  </conditionalFormatting>
  <conditionalFormatting sqref="Y186">
    <cfRule type="expression" dxfId="7683" priority="9236">
      <formula>Y185="X"</formula>
    </cfRule>
    <cfRule type="expression" dxfId="7682" priority="9237">
      <formula>Y185="A"</formula>
    </cfRule>
    <cfRule type="expression" dxfId="7681" priority="9238">
      <formula>Y185="T"</formula>
    </cfRule>
  </conditionalFormatting>
  <conditionalFormatting sqref="Y190">
    <cfRule type="expression" dxfId="7680" priority="9233">
      <formula>Y189="X"</formula>
    </cfRule>
    <cfRule type="expression" dxfId="7679" priority="9234">
      <formula>Y189="A"</formula>
    </cfRule>
    <cfRule type="expression" dxfId="7678" priority="9235">
      <formula>Y189="T"</formula>
    </cfRule>
  </conditionalFormatting>
  <conditionalFormatting sqref="Y192">
    <cfRule type="expression" dxfId="7677" priority="9230">
      <formula>Y191="X"</formula>
    </cfRule>
    <cfRule type="expression" dxfId="7676" priority="9231">
      <formula>Y191="A"</formula>
    </cfRule>
    <cfRule type="expression" dxfId="7675" priority="9232">
      <formula>Y191="T"</formula>
    </cfRule>
  </conditionalFormatting>
  <conditionalFormatting sqref="Y208">
    <cfRule type="expression" dxfId="7674" priority="9227">
      <formula>Y207="X"</formula>
    </cfRule>
    <cfRule type="expression" dxfId="7673" priority="9228">
      <formula>Y207="A"</formula>
    </cfRule>
    <cfRule type="expression" dxfId="7672" priority="9229">
      <formula>Y207="T"</formula>
    </cfRule>
  </conditionalFormatting>
  <conditionalFormatting sqref="Y211">
    <cfRule type="expression" dxfId="7671" priority="9224">
      <formula>Y211="X"</formula>
    </cfRule>
    <cfRule type="expression" dxfId="7670" priority="9225">
      <formula>Y211="A"</formula>
    </cfRule>
    <cfRule type="expression" dxfId="7669" priority="9226">
      <formula>Y211="T"</formula>
    </cfRule>
  </conditionalFormatting>
  <conditionalFormatting sqref="Y212">
    <cfRule type="expression" dxfId="7668" priority="9221">
      <formula>Y211="X"</formula>
    </cfRule>
    <cfRule type="expression" dxfId="7667" priority="9222">
      <formula>Y211="A"</formula>
    </cfRule>
    <cfRule type="expression" dxfId="7666" priority="9223">
      <formula>Y211="T"</formula>
    </cfRule>
  </conditionalFormatting>
  <conditionalFormatting sqref="Y213">
    <cfRule type="expression" dxfId="7665" priority="9218">
      <formula>Y213="X"</formula>
    </cfRule>
    <cfRule type="expression" dxfId="7664" priority="9219">
      <formula>Y213="A"</formula>
    </cfRule>
    <cfRule type="expression" dxfId="7663" priority="9220">
      <formula>Y213="T"</formula>
    </cfRule>
  </conditionalFormatting>
  <conditionalFormatting sqref="Y214">
    <cfRule type="expression" dxfId="7662" priority="9215">
      <formula>Y213="X"</formula>
    </cfRule>
    <cfRule type="expression" dxfId="7661" priority="9216">
      <formula>Y213="A"</formula>
    </cfRule>
    <cfRule type="expression" dxfId="7660" priority="9217">
      <formula>Y213="T"</formula>
    </cfRule>
  </conditionalFormatting>
  <conditionalFormatting sqref="Y215">
    <cfRule type="expression" dxfId="7659" priority="9212">
      <formula>Y215="X"</formula>
    </cfRule>
    <cfRule type="expression" dxfId="7658" priority="9213">
      <formula>Y215="A"</formula>
    </cfRule>
    <cfRule type="expression" dxfId="7657" priority="9214">
      <formula>Y215="T"</formula>
    </cfRule>
  </conditionalFormatting>
  <conditionalFormatting sqref="Y216">
    <cfRule type="expression" dxfId="7656" priority="9209">
      <formula>Y215="X"</formula>
    </cfRule>
    <cfRule type="expression" dxfId="7655" priority="9210">
      <formula>Y215="A"</formula>
    </cfRule>
    <cfRule type="expression" dxfId="7654" priority="9211">
      <formula>Y215="T"</formula>
    </cfRule>
  </conditionalFormatting>
  <conditionalFormatting sqref="Y217">
    <cfRule type="expression" dxfId="7653" priority="9206">
      <formula>Y217="X"</formula>
    </cfRule>
    <cfRule type="expression" dxfId="7652" priority="9207">
      <formula>Y217="A"</formula>
    </cfRule>
    <cfRule type="expression" dxfId="7651" priority="9208">
      <formula>Y217="T"</formula>
    </cfRule>
  </conditionalFormatting>
  <conditionalFormatting sqref="Y218">
    <cfRule type="expression" dxfId="7650" priority="9203">
      <formula>Y217="X"</formula>
    </cfRule>
    <cfRule type="expression" dxfId="7649" priority="9204">
      <formula>Y217="A"</formula>
    </cfRule>
    <cfRule type="expression" dxfId="7648" priority="9205">
      <formula>Y217="T"</formula>
    </cfRule>
  </conditionalFormatting>
  <conditionalFormatting sqref="Y219">
    <cfRule type="expression" dxfId="7647" priority="9200">
      <formula>Y219="X"</formula>
    </cfRule>
    <cfRule type="expression" dxfId="7646" priority="9201">
      <formula>Y219="A"</formula>
    </cfRule>
    <cfRule type="expression" dxfId="7645" priority="9202">
      <formula>Y219="T"</formula>
    </cfRule>
  </conditionalFormatting>
  <conditionalFormatting sqref="Y220">
    <cfRule type="expression" dxfId="7644" priority="9197">
      <formula>Y219="X"</formula>
    </cfRule>
    <cfRule type="expression" dxfId="7643" priority="9198">
      <formula>Y219="A"</formula>
    </cfRule>
    <cfRule type="expression" dxfId="7642" priority="9199">
      <formula>Y219="T"</formula>
    </cfRule>
  </conditionalFormatting>
  <conditionalFormatting sqref="Y221">
    <cfRule type="expression" dxfId="7641" priority="9194">
      <formula>Y221="X"</formula>
    </cfRule>
    <cfRule type="expression" dxfId="7640" priority="9195">
      <formula>Y221="A"</formula>
    </cfRule>
    <cfRule type="expression" dxfId="7639" priority="9196">
      <formula>Y221="T"</formula>
    </cfRule>
  </conditionalFormatting>
  <conditionalFormatting sqref="Y222">
    <cfRule type="expression" dxfId="7638" priority="9191">
      <formula>Y221="X"</formula>
    </cfRule>
    <cfRule type="expression" dxfId="7637" priority="9192">
      <formula>Y221="A"</formula>
    </cfRule>
    <cfRule type="expression" dxfId="7636" priority="9193">
      <formula>Y221="T"</formula>
    </cfRule>
  </conditionalFormatting>
  <conditionalFormatting sqref="Y223">
    <cfRule type="expression" dxfId="7635" priority="9188">
      <formula>Y223="X"</formula>
    </cfRule>
    <cfRule type="expression" dxfId="7634" priority="9189">
      <formula>Y223="A"</formula>
    </cfRule>
    <cfRule type="expression" dxfId="7633" priority="9190">
      <formula>Y223="T"</formula>
    </cfRule>
  </conditionalFormatting>
  <conditionalFormatting sqref="Y224">
    <cfRule type="expression" dxfId="7632" priority="9185">
      <formula>Y223="X"</formula>
    </cfRule>
    <cfRule type="expression" dxfId="7631" priority="9186">
      <formula>Y223="A"</formula>
    </cfRule>
    <cfRule type="expression" dxfId="7630" priority="9187">
      <formula>Y223="T"</formula>
    </cfRule>
  </conditionalFormatting>
  <conditionalFormatting sqref="Y4">
    <cfRule type="expression" dxfId="7629" priority="9182">
      <formula>Y4="X"</formula>
    </cfRule>
    <cfRule type="expression" dxfId="7628" priority="9183">
      <formula>Y4="A"</formula>
    </cfRule>
    <cfRule type="expression" dxfId="7627" priority="9184">
      <formula>Y4="T"</formula>
    </cfRule>
  </conditionalFormatting>
  <conditionalFormatting sqref="Y5">
    <cfRule type="expression" dxfId="7626" priority="9179">
      <formula>Y4="X"</formula>
    </cfRule>
    <cfRule type="expression" dxfId="7625" priority="9180">
      <formula>Y4="A"</formula>
    </cfRule>
    <cfRule type="expression" dxfId="7624" priority="9181">
      <formula>Y4="T"</formula>
    </cfRule>
  </conditionalFormatting>
  <conditionalFormatting sqref="Y6">
    <cfRule type="expression" dxfId="7623" priority="9176">
      <formula>Y6="X"</formula>
    </cfRule>
    <cfRule type="expression" dxfId="7622" priority="9177">
      <formula>Y6="A"</formula>
    </cfRule>
    <cfRule type="expression" dxfId="7621" priority="9178">
      <formula>Y6="T"</formula>
    </cfRule>
  </conditionalFormatting>
  <conditionalFormatting sqref="Y7">
    <cfRule type="expression" dxfId="7620" priority="9173">
      <formula>Y6="X"</formula>
    </cfRule>
    <cfRule type="expression" dxfId="7619" priority="9174">
      <formula>Y6="A"</formula>
    </cfRule>
    <cfRule type="expression" dxfId="7618" priority="9175">
      <formula>Y6="T"</formula>
    </cfRule>
  </conditionalFormatting>
  <conditionalFormatting sqref="Y8">
    <cfRule type="expression" dxfId="7617" priority="9170">
      <formula>Y8="X"</formula>
    </cfRule>
    <cfRule type="expression" dxfId="7616" priority="9171">
      <formula>Y8="A"</formula>
    </cfRule>
    <cfRule type="expression" dxfId="7615" priority="9172">
      <formula>Y8="T"</formula>
    </cfRule>
  </conditionalFormatting>
  <conditionalFormatting sqref="Y9">
    <cfRule type="expression" dxfId="7614" priority="9167">
      <formula>Y8="X"</formula>
    </cfRule>
    <cfRule type="expression" dxfId="7613" priority="9168">
      <formula>Y8="A"</formula>
    </cfRule>
    <cfRule type="expression" dxfId="7612" priority="9169">
      <formula>Y8="T"</formula>
    </cfRule>
  </conditionalFormatting>
  <conditionalFormatting sqref="Y74">
    <cfRule type="expression" dxfId="7611" priority="9164">
      <formula>Y74="X"</formula>
    </cfRule>
    <cfRule type="expression" dxfId="7610" priority="9165">
      <formula>Y74="A"</formula>
    </cfRule>
    <cfRule type="expression" dxfId="7609" priority="9166">
      <formula>Y74="T"</formula>
    </cfRule>
  </conditionalFormatting>
  <conditionalFormatting sqref="Y75">
    <cfRule type="expression" dxfId="7608" priority="9161">
      <formula>Y74="X"</formula>
    </cfRule>
    <cfRule type="expression" dxfId="7607" priority="9162">
      <formula>Y74="A"</formula>
    </cfRule>
    <cfRule type="expression" dxfId="7606" priority="9163">
      <formula>Y74="T"</formula>
    </cfRule>
  </conditionalFormatting>
  <conditionalFormatting sqref="Y76">
    <cfRule type="expression" dxfId="7605" priority="9158">
      <formula>Y76="X"</formula>
    </cfRule>
    <cfRule type="expression" dxfId="7604" priority="9159">
      <formula>Y76="A"</formula>
    </cfRule>
    <cfRule type="expression" dxfId="7603" priority="9160">
      <formula>Y76="T"</formula>
    </cfRule>
  </conditionalFormatting>
  <conditionalFormatting sqref="Y77">
    <cfRule type="expression" dxfId="7602" priority="9155">
      <formula>Y76="X"</formula>
    </cfRule>
    <cfRule type="expression" dxfId="7601" priority="9156">
      <formula>Y76="A"</formula>
    </cfRule>
    <cfRule type="expression" dxfId="7600" priority="9157">
      <formula>Y76="T"</formula>
    </cfRule>
  </conditionalFormatting>
  <conditionalFormatting sqref="Y78">
    <cfRule type="expression" dxfId="7599" priority="9152">
      <formula>Y78="X"</formula>
    </cfRule>
    <cfRule type="expression" dxfId="7598" priority="9153">
      <formula>Y78="A"</formula>
    </cfRule>
    <cfRule type="expression" dxfId="7597" priority="9154">
      <formula>Y78="T"</formula>
    </cfRule>
  </conditionalFormatting>
  <conditionalFormatting sqref="Y79">
    <cfRule type="expression" dxfId="7596" priority="9149">
      <formula>Y78="X"</formula>
    </cfRule>
    <cfRule type="expression" dxfId="7595" priority="9150">
      <formula>Y78="A"</formula>
    </cfRule>
    <cfRule type="expression" dxfId="7594" priority="9151">
      <formula>Y78="T"</formula>
    </cfRule>
  </conditionalFormatting>
  <conditionalFormatting sqref="Y134">
    <cfRule type="expression" dxfId="7593" priority="9146">
      <formula>Y134="X"</formula>
    </cfRule>
    <cfRule type="expression" dxfId="7592" priority="9147">
      <formula>Y134="A"</formula>
    </cfRule>
    <cfRule type="expression" dxfId="7591" priority="9148">
      <formula>Y134="T"</formula>
    </cfRule>
  </conditionalFormatting>
  <conditionalFormatting sqref="Y135">
    <cfRule type="expression" dxfId="7590" priority="9143">
      <formula>Y134="X"</formula>
    </cfRule>
    <cfRule type="expression" dxfId="7589" priority="9144">
      <formula>Y134="A"</formula>
    </cfRule>
    <cfRule type="expression" dxfId="7588" priority="9145">
      <formula>Y134="T"</formula>
    </cfRule>
  </conditionalFormatting>
  <conditionalFormatting sqref="Y136">
    <cfRule type="expression" dxfId="7587" priority="9140">
      <formula>Y136="X"</formula>
    </cfRule>
    <cfRule type="expression" dxfId="7586" priority="9141">
      <formula>Y136="A"</formula>
    </cfRule>
    <cfRule type="expression" dxfId="7585" priority="9142">
      <formula>Y136="T"</formula>
    </cfRule>
  </conditionalFormatting>
  <conditionalFormatting sqref="Y137">
    <cfRule type="expression" dxfId="7584" priority="9137">
      <formula>Y136="X"</formula>
    </cfRule>
    <cfRule type="expression" dxfId="7583" priority="9138">
      <formula>Y136="A"</formula>
    </cfRule>
    <cfRule type="expression" dxfId="7582" priority="9139">
      <formula>Y136="T"</formula>
    </cfRule>
  </conditionalFormatting>
  <conditionalFormatting sqref="Y138">
    <cfRule type="expression" dxfId="7581" priority="9134">
      <formula>Y138="X"</formula>
    </cfRule>
    <cfRule type="expression" dxfId="7580" priority="9135">
      <formula>Y138="A"</formula>
    </cfRule>
    <cfRule type="expression" dxfId="7579" priority="9136">
      <formula>Y138="T"</formula>
    </cfRule>
  </conditionalFormatting>
  <conditionalFormatting sqref="Y139">
    <cfRule type="expression" dxfId="7578" priority="9131">
      <formula>Y138="X"</formula>
    </cfRule>
    <cfRule type="expression" dxfId="7577" priority="9132">
      <formula>Y138="A"</formula>
    </cfRule>
    <cfRule type="expression" dxfId="7576" priority="9133">
      <formula>Y138="T"</formula>
    </cfRule>
  </conditionalFormatting>
  <conditionalFormatting sqref="Y10">
    <cfRule type="expression" dxfId="7575" priority="9128" stopIfTrue="1">
      <formula>Y4=""</formula>
    </cfRule>
  </conditionalFormatting>
  <conditionalFormatting sqref="Y10">
    <cfRule type="expression" dxfId="7574" priority="9129" stopIfTrue="1">
      <formula>Y10=1</formula>
    </cfRule>
    <cfRule type="colorScale" priority="9130">
      <colorScale>
        <cfvo type="num" val="0"/>
        <cfvo type="num" val="0.5"/>
        <cfvo type="num" val="1"/>
        <color rgb="FFF8696B"/>
        <color theme="4" tint="0.79998168889431442"/>
        <color rgb="FF5A8AC6"/>
      </colorScale>
    </cfRule>
  </conditionalFormatting>
  <conditionalFormatting sqref="Y15">
    <cfRule type="expression" dxfId="7573" priority="9125" stopIfTrue="1">
      <formula>Y11=""</formula>
    </cfRule>
  </conditionalFormatting>
  <conditionalFormatting sqref="Y15">
    <cfRule type="expression" dxfId="7572" priority="9126" stopIfTrue="1">
      <formula>Y15=1</formula>
    </cfRule>
    <cfRule type="colorScale" priority="9127">
      <colorScale>
        <cfvo type="num" val="0"/>
        <cfvo type="num" val="0.5"/>
        <cfvo type="num" val="1"/>
        <color rgb="FFF8696B"/>
        <color theme="4" tint="0.79998168889431442"/>
        <color rgb="FF5A8AC6"/>
      </colorScale>
    </cfRule>
  </conditionalFormatting>
  <conditionalFormatting sqref="Y38">
    <cfRule type="expression" dxfId="7571" priority="9122" stopIfTrue="1">
      <formula>Y16=""</formula>
    </cfRule>
  </conditionalFormatting>
  <conditionalFormatting sqref="Y38">
    <cfRule type="expression" dxfId="7570" priority="9123" stopIfTrue="1">
      <formula>Y38=1</formula>
    </cfRule>
    <cfRule type="colorScale" priority="9124">
      <colorScale>
        <cfvo type="num" val="0"/>
        <cfvo type="num" val="0.5"/>
        <cfvo type="num" val="1"/>
        <color rgb="FFF8696B"/>
        <color theme="4" tint="0.79998168889431442"/>
        <color rgb="FF5A8AC6"/>
      </colorScale>
    </cfRule>
  </conditionalFormatting>
  <conditionalFormatting sqref="Y47">
    <cfRule type="expression" dxfId="7569" priority="9119" stopIfTrue="1">
      <formula>Y39=""</formula>
    </cfRule>
  </conditionalFormatting>
  <conditionalFormatting sqref="Y47">
    <cfRule type="expression" dxfId="7568" priority="9120" stopIfTrue="1">
      <formula>Y47=1</formula>
    </cfRule>
    <cfRule type="colorScale" priority="9121">
      <colorScale>
        <cfvo type="num" val="0"/>
        <cfvo type="num" val="0.5"/>
        <cfvo type="num" val="1"/>
        <color rgb="FFF8696B"/>
        <color theme="4" tint="0.79998168889431442"/>
        <color rgb="FF5A8AC6"/>
      </colorScale>
    </cfRule>
  </conditionalFormatting>
  <conditionalFormatting sqref="Y69">
    <cfRule type="expression" dxfId="7567" priority="9114" stopIfTrue="1">
      <formula>Y69=1</formula>
    </cfRule>
    <cfRule type="colorScale" priority="9115">
      <colorScale>
        <cfvo type="num" val="0"/>
        <cfvo type="num" val="0.5"/>
        <cfvo type="num" val="1"/>
        <color rgb="FFF8696B"/>
        <color theme="4" tint="0.79998168889431442"/>
        <color rgb="FF5A8AC6"/>
      </colorScale>
    </cfRule>
  </conditionalFormatting>
  <conditionalFormatting sqref="Y69">
    <cfRule type="expression" dxfId="7566" priority="9113" stopIfTrue="1">
      <formula>Y63=""</formula>
    </cfRule>
  </conditionalFormatting>
  <conditionalFormatting sqref="Y80">
    <cfRule type="expression" dxfId="7565" priority="9110" stopIfTrue="1">
      <formula>Y74=""</formula>
    </cfRule>
  </conditionalFormatting>
  <conditionalFormatting sqref="Y80">
    <cfRule type="expression" dxfId="7564" priority="9111" stopIfTrue="1">
      <formula>Y80=1</formula>
    </cfRule>
    <cfRule type="colorScale" priority="9112">
      <colorScale>
        <cfvo type="num" val="0"/>
        <cfvo type="num" val="0.5"/>
        <cfvo type="num" val="1"/>
        <color rgb="FFF8696B"/>
        <color theme="4" tint="0.79998168889431442"/>
        <color rgb="FF5A8AC6"/>
      </colorScale>
    </cfRule>
  </conditionalFormatting>
  <conditionalFormatting sqref="Y87">
    <cfRule type="expression" dxfId="7563" priority="9107" stopIfTrue="1">
      <formula>Y81=""</formula>
    </cfRule>
  </conditionalFormatting>
  <conditionalFormatting sqref="Y87">
    <cfRule type="expression" dxfId="7562" priority="9108" stopIfTrue="1">
      <formula>Y87=1</formula>
    </cfRule>
    <cfRule type="colorScale" priority="9109">
      <colorScale>
        <cfvo type="num" val="0"/>
        <cfvo type="num" val="0.5"/>
        <cfvo type="num" val="1"/>
        <color rgb="FFF8696B"/>
        <color theme="4" tint="0.79998168889431442"/>
        <color rgb="FF5A8AC6"/>
      </colorScale>
    </cfRule>
  </conditionalFormatting>
  <conditionalFormatting sqref="Y104">
    <cfRule type="expression" dxfId="7561" priority="9104" stopIfTrue="1">
      <formula>Y88=""</formula>
    </cfRule>
  </conditionalFormatting>
  <conditionalFormatting sqref="Y104">
    <cfRule type="expression" dxfId="7560" priority="9105" stopIfTrue="1">
      <formula>Y104=1</formula>
    </cfRule>
    <cfRule type="colorScale" priority="9106">
      <colorScale>
        <cfvo type="num" val="0"/>
        <cfvo type="num" val="0.5"/>
        <cfvo type="num" val="1"/>
        <color rgb="FFF8696B"/>
        <color theme="4" tint="0.79998168889431442"/>
        <color rgb="FF5A8AC6"/>
      </colorScale>
    </cfRule>
  </conditionalFormatting>
  <conditionalFormatting sqref="Y115">
    <cfRule type="expression" dxfId="7559" priority="9101" stopIfTrue="1">
      <formula>Y105=""</formula>
    </cfRule>
  </conditionalFormatting>
  <conditionalFormatting sqref="Y115">
    <cfRule type="expression" dxfId="7558" priority="9102" stopIfTrue="1">
      <formula>Y115=1</formula>
    </cfRule>
    <cfRule type="colorScale" priority="9103">
      <colorScale>
        <cfvo type="num" val="0"/>
        <cfvo type="num" val="0.5"/>
        <cfvo type="num" val="1"/>
        <color rgb="FFF8696B"/>
        <color theme="4" tint="0.79998168889431442"/>
        <color rgb="FF5A8AC6"/>
      </colorScale>
    </cfRule>
  </conditionalFormatting>
  <conditionalFormatting sqref="Y124">
    <cfRule type="expression" dxfId="7557" priority="9098" stopIfTrue="1">
      <formula>Y116=""</formula>
    </cfRule>
  </conditionalFormatting>
  <conditionalFormatting sqref="Y124">
    <cfRule type="expression" dxfId="7556" priority="9099" stopIfTrue="1">
      <formula>Y124=1</formula>
    </cfRule>
    <cfRule type="colorScale" priority="9100">
      <colorScale>
        <cfvo type="num" val="0"/>
        <cfvo type="num" val="0.5"/>
        <cfvo type="num" val="1"/>
        <color rgb="FFF8696B"/>
        <color theme="4" tint="0.79998168889431442"/>
        <color rgb="FF5A8AC6"/>
      </colorScale>
    </cfRule>
  </conditionalFormatting>
  <conditionalFormatting sqref="Y129">
    <cfRule type="expression" dxfId="7555" priority="9095" stopIfTrue="1">
      <formula>Y125=""</formula>
    </cfRule>
  </conditionalFormatting>
  <conditionalFormatting sqref="Y129">
    <cfRule type="expression" dxfId="7554" priority="9096" stopIfTrue="1">
      <formula>Y129=1</formula>
    </cfRule>
    <cfRule type="colorScale" priority="9097">
      <colorScale>
        <cfvo type="num" val="0"/>
        <cfvo type="num" val="0.5"/>
        <cfvo type="num" val="1"/>
        <color rgb="FFF8696B"/>
        <color theme="4" tint="0.79998168889431442"/>
        <color rgb="FF5A8AC6"/>
      </colorScale>
    </cfRule>
  </conditionalFormatting>
  <conditionalFormatting sqref="Y140">
    <cfRule type="expression" dxfId="7553" priority="9092" stopIfTrue="1">
      <formula>Y134=""</formula>
    </cfRule>
  </conditionalFormatting>
  <conditionalFormatting sqref="Y140">
    <cfRule type="expression" dxfId="7552" priority="9093" stopIfTrue="1">
      <formula>Y140=1</formula>
    </cfRule>
    <cfRule type="colorScale" priority="9094">
      <colorScale>
        <cfvo type="num" val="0"/>
        <cfvo type="num" val="0.5"/>
        <cfvo type="num" val="1"/>
        <color rgb="FFF8696B"/>
        <color theme="4" tint="0.79998168889431442"/>
        <color rgb="FF5A8AC6"/>
      </colorScale>
    </cfRule>
  </conditionalFormatting>
  <conditionalFormatting sqref="Y145">
    <cfRule type="expression" dxfId="7551" priority="9089" stopIfTrue="1">
      <formula>Y141=""</formula>
    </cfRule>
  </conditionalFormatting>
  <conditionalFormatting sqref="Y145">
    <cfRule type="expression" dxfId="7550" priority="9090" stopIfTrue="1">
      <formula>Y145=1</formula>
    </cfRule>
    <cfRule type="colorScale" priority="9091">
      <colorScale>
        <cfvo type="num" val="0"/>
        <cfvo type="num" val="0.5"/>
        <cfvo type="num" val="1"/>
        <color rgb="FFF8696B"/>
        <color theme="4" tint="0.79998168889431442"/>
        <color rgb="FF5A8AC6"/>
      </colorScale>
    </cfRule>
  </conditionalFormatting>
  <conditionalFormatting sqref="Y153">
    <cfRule type="expression" dxfId="7549" priority="9086" stopIfTrue="1">
      <formula>Y149=""</formula>
    </cfRule>
  </conditionalFormatting>
  <conditionalFormatting sqref="Y153">
    <cfRule type="expression" dxfId="7548" priority="9087" stopIfTrue="1">
      <formula>Y153=1</formula>
    </cfRule>
    <cfRule type="colorScale" priority="9088">
      <colorScale>
        <cfvo type="num" val="0"/>
        <cfvo type="num" val="0.5"/>
        <cfvo type="num" val="1"/>
        <color rgb="FFF8696B"/>
        <color theme="4" tint="0.79998168889431442"/>
        <color rgb="FF5A8AC6"/>
      </colorScale>
    </cfRule>
  </conditionalFormatting>
  <conditionalFormatting sqref="Y187">
    <cfRule type="expression" dxfId="7547" priority="9080" stopIfTrue="1">
      <formula>Y183=""</formula>
    </cfRule>
  </conditionalFormatting>
  <conditionalFormatting sqref="Y187">
    <cfRule type="expression" dxfId="7546" priority="9081" stopIfTrue="1">
      <formula>Y187=1</formula>
    </cfRule>
    <cfRule type="colorScale" priority="9082">
      <colorScale>
        <cfvo type="num" val="0"/>
        <cfvo type="num" val="0.5"/>
        <cfvo type="num" val="1"/>
        <color rgb="FFF8696B"/>
        <color theme="4" tint="0.79998168889431442"/>
        <color rgb="FF5A8AC6"/>
      </colorScale>
    </cfRule>
  </conditionalFormatting>
  <conditionalFormatting sqref="Y193">
    <cfRule type="expression" dxfId="7545" priority="9077" stopIfTrue="1">
      <formula>Y189=""</formula>
    </cfRule>
  </conditionalFormatting>
  <conditionalFormatting sqref="Y193">
    <cfRule type="expression" dxfId="7544" priority="9078" stopIfTrue="1">
      <formula>Y193=1</formula>
    </cfRule>
    <cfRule type="colorScale" priority="9079">
      <colorScale>
        <cfvo type="num" val="0"/>
        <cfvo type="num" val="0.5"/>
        <cfvo type="num" val="1"/>
        <color rgb="FFF8696B"/>
        <color theme="4" tint="0.79998168889431442"/>
        <color rgb="FF5A8AC6"/>
      </colorScale>
    </cfRule>
  </conditionalFormatting>
  <conditionalFormatting sqref="Y181">
    <cfRule type="expression" dxfId="7543" priority="9074" stopIfTrue="1">
      <formula>Y167=""</formula>
    </cfRule>
  </conditionalFormatting>
  <conditionalFormatting sqref="Y181">
    <cfRule type="expression" dxfId="7542" priority="9075" stopIfTrue="1">
      <formula>Y181=1</formula>
    </cfRule>
    <cfRule type="colorScale" priority="9076">
      <colorScale>
        <cfvo type="num" val="0"/>
        <cfvo type="num" val="0.5"/>
        <cfvo type="num" val="1"/>
        <color rgb="FFF8696B"/>
        <color theme="4" tint="0.79998168889431442"/>
        <color rgb="FF5A8AC6"/>
      </colorScale>
    </cfRule>
  </conditionalFormatting>
  <conditionalFormatting sqref="Y209">
    <cfRule type="expression" dxfId="7541" priority="9071" stopIfTrue="1">
      <formula>Y195=""</formula>
    </cfRule>
  </conditionalFormatting>
  <conditionalFormatting sqref="Y209">
    <cfRule type="expression" dxfId="7540" priority="9072" stopIfTrue="1">
      <formula>Y209=1</formula>
    </cfRule>
    <cfRule type="colorScale" priority="9073">
      <colorScale>
        <cfvo type="num" val="0"/>
        <cfvo type="num" val="0.5"/>
        <cfvo type="num" val="1"/>
        <color rgb="FFF8696B"/>
        <color theme="4" tint="0.79998168889431442"/>
        <color rgb="FF5A8AC6"/>
      </colorScale>
    </cfRule>
  </conditionalFormatting>
  <conditionalFormatting sqref="Y225">
    <cfRule type="expression" dxfId="7539" priority="9068" stopIfTrue="1">
      <formula>Y211=""</formula>
    </cfRule>
  </conditionalFormatting>
  <conditionalFormatting sqref="Y225">
    <cfRule type="expression" dxfId="7538" priority="9069" stopIfTrue="1">
      <formula>Y225=1</formula>
    </cfRule>
    <cfRule type="colorScale" priority="9070">
      <colorScale>
        <cfvo type="num" val="0"/>
        <cfvo type="num" val="0.5"/>
        <cfvo type="num" val="1"/>
        <color rgb="FFF8696B"/>
        <color theme="4" tint="0.79998168889431442"/>
        <color rgb="FF5A8AC6"/>
      </colorScale>
    </cfRule>
  </conditionalFormatting>
  <conditionalFormatting sqref="Y71">
    <cfRule type="expression" dxfId="7537" priority="9060" stopIfTrue="1">
      <formula>Y71=1</formula>
    </cfRule>
    <cfRule type="colorScale" priority="9061">
      <colorScale>
        <cfvo type="num" val="0"/>
        <cfvo type="num" val="0.5"/>
        <cfvo type="num" val="1"/>
        <color rgb="FFF8696B"/>
        <color theme="4" tint="0.79998168889431442"/>
        <color rgb="FF5A8AC6"/>
      </colorScale>
    </cfRule>
  </conditionalFormatting>
  <conditionalFormatting sqref="Y147">
    <cfRule type="expression" dxfId="7536" priority="9065" stopIfTrue="1">
      <formula>Y134=""</formula>
    </cfRule>
  </conditionalFormatting>
  <conditionalFormatting sqref="Y147">
    <cfRule type="expression" dxfId="7535" priority="9066" stopIfTrue="1">
      <formula>Y147=1</formula>
    </cfRule>
    <cfRule type="colorScale" priority="9067">
      <colorScale>
        <cfvo type="num" val="0"/>
        <cfvo type="num" val="0.5"/>
        <cfvo type="num" val="1"/>
        <color rgb="FFF8696B"/>
        <color theme="4" tint="0.79998168889431442"/>
        <color rgb="FF5A8AC6"/>
      </colorScale>
    </cfRule>
  </conditionalFormatting>
  <conditionalFormatting sqref="Y131">
    <cfRule type="expression" dxfId="7534" priority="9062" stopIfTrue="1">
      <formula>Y74=""</formula>
    </cfRule>
  </conditionalFormatting>
  <conditionalFormatting sqref="Y131">
    <cfRule type="expression" dxfId="7533" priority="9063" stopIfTrue="1">
      <formula>Y131=1</formula>
    </cfRule>
    <cfRule type="colorScale" priority="9064">
      <colorScale>
        <cfvo type="num" val="0"/>
        <cfvo type="num" val="0.5"/>
        <cfvo type="num" val="1"/>
        <color rgb="FFF8696B"/>
        <color theme="4" tint="0.79998168889431442"/>
        <color rgb="FF5A8AC6"/>
      </colorScale>
    </cfRule>
  </conditionalFormatting>
  <conditionalFormatting sqref="Y71">
    <cfRule type="expression" dxfId="7532" priority="9059" stopIfTrue="1">
      <formula>Y65=""</formula>
    </cfRule>
  </conditionalFormatting>
  <conditionalFormatting sqref="Y195">
    <cfRule type="expression" dxfId="7531" priority="9056">
      <formula>Y195="X"</formula>
    </cfRule>
    <cfRule type="expression" dxfId="7530" priority="9057">
      <formula>Y195="A"</formula>
    </cfRule>
    <cfRule type="expression" dxfId="7529" priority="9058">
      <formula>Y195="T"</formula>
    </cfRule>
  </conditionalFormatting>
  <conditionalFormatting sqref="Y203">
    <cfRule type="expression" dxfId="7528" priority="9053">
      <formula>Y203="X"</formula>
    </cfRule>
    <cfRule type="expression" dxfId="7527" priority="9054">
      <formula>Y203="A"</formula>
    </cfRule>
    <cfRule type="expression" dxfId="7526" priority="9055">
      <formula>Y203="T"</formula>
    </cfRule>
  </conditionalFormatting>
  <conditionalFormatting sqref="Y205">
    <cfRule type="expression" dxfId="7525" priority="9050">
      <formula>Y205="X"</formula>
    </cfRule>
    <cfRule type="expression" dxfId="7524" priority="9051">
      <formula>Y205="A"</formula>
    </cfRule>
    <cfRule type="expression" dxfId="7523" priority="9052">
      <formula>Y205="T"</formula>
    </cfRule>
  </conditionalFormatting>
  <conditionalFormatting sqref="Y207">
    <cfRule type="expression" dxfId="7522" priority="9047">
      <formula>Y207="X"</formula>
    </cfRule>
    <cfRule type="expression" dxfId="7521" priority="9048">
      <formula>Y207="A"</formula>
    </cfRule>
    <cfRule type="expression" dxfId="7520" priority="9049">
      <formula>Y207="T"</formula>
    </cfRule>
  </conditionalFormatting>
  <conditionalFormatting sqref="Y204">
    <cfRule type="expression" dxfId="7519" priority="9044">
      <formula>Y203="X"</formula>
    </cfRule>
    <cfRule type="expression" dxfId="7518" priority="9045">
      <formula>Y203="A"</formula>
    </cfRule>
    <cfRule type="expression" dxfId="7517" priority="9046">
      <formula>Y203="T"</formula>
    </cfRule>
  </conditionalFormatting>
  <conditionalFormatting sqref="Y206">
    <cfRule type="expression" dxfId="7516" priority="9041">
      <formula>Y205="X"</formula>
    </cfRule>
    <cfRule type="expression" dxfId="7515" priority="9042">
      <formula>Y205="A"</formula>
    </cfRule>
    <cfRule type="expression" dxfId="7514" priority="9043">
      <formula>Y205="T"</formula>
    </cfRule>
  </conditionalFormatting>
  <conditionalFormatting sqref="Y196">
    <cfRule type="expression" dxfId="7513" priority="9038">
      <formula>Y195="X"</formula>
    </cfRule>
    <cfRule type="expression" dxfId="7512" priority="9039">
      <formula>Y195="A"</formula>
    </cfRule>
    <cfRule type="expression" dxfId="7511" priority="9040">
      <formula>Y195="T"</formula>
    </cfRule>
  </conditionalFormatting>
  <conditionalFormatting sqref="Y197">
    <cfRule type="expression" dxfId="7510" priority="9035">
      <formula>Y197="X"</formula>
    </cfRule>
    <cfRule type="expression" dxfId="7509" priority="9036">
      <formula>Y197="A"</formula>
    </cfRule>
    <cfRule type="expression" dxfId="7508" priority="9037">
      <formula>Y197="T"</formula>
    </cfRule>
  </conditionalFormatting>
  <conditionalFormatting sqref="Y198">
    <cfRule type="expression" dxfId="7507" priority="9032">
      <formula>Y197="X"</formula>
    </cfRule>
    <cfRule type="expression" dxfId="7506" priority="9033">
      <formula>Y197="A"</formula>
    </cfRule>
    <cfRule type="expression" dxfId="7505" priority="9034">
      <formula>Y197="T"</formula>
    </cfRule>
  </conditionalFormatting>
  <conditionalFormatting sqref="Y199">
    <cfRule type="expression" dxfId="7504" priority="9029">
      <formula>Y199="X"</formula>
    </cfRule>
    <cfRule type="expression" dxfId="7503" priority="9030">
      <formula>Y199="A"</formula>
    </cfRule>
    <cfRule type="expression" dxfId="7502" priority="9031">
      <formula>Y199="T"</formula>
    </cfRule>
  </conditionalFormatting>
  <conditionalFormatting sqref="Y200">
    <cfRule type="expression" dxfId="7501" priority="9026">
      <formula>Y199="X"</formula>
    </cfRule>
    <cfRule type="expression" dxfId="7500" priority="9027">
      <formula>Y199="A"</formula>
    </cfRule>
    <cfRule type="expression" dxfId="7499" priority="9028">
      <formula>Y199="T"</formula>
    </cfRule>
  </conditionalFormatting>
  <conditionalFormatting sqref="Y201">
    <cfRule type="expression" dxfId="7498" priority="9023">
      <formula>Y201="X"</formula>
    </cfRule>
    <cfRule type="expression" dxfId="7497" priority="9024">
      <formula>Y201="A"</formula>
    </cfRule>
    <cfRule type="expression" dxfId="7496" priority="9025">
      <formula>Y201="T"</formula>
    </cfRule>
  </conditionalFormatting>
  <conditionalFormatting sqref="Y202">
    <cfRule type="expression" dxfId="7495" priority="9020">
      <formula>Y201="X"</formula>
    </cfRule>
    <cfRule type="expression" dxfId="7494" priority="9021">
      <formula>Y201="A"</formula>
    </cfRule>
    <cfRule type="expression" dxfId="7493" priority="9022">
      <formula>Y201="T"</formula>
    </cfRule>
  </conditionalFormatting>
  <conditionalFormatting sqref="Y72">
    <cfRule type="expression" dxfId="7492" priority="9017" stopIfTrue="1">
      <formula>Y4=""</formula>
    </cfRule>
  </conditionalFormatting>
  <conditionalFormatting sqref="Y72">
    <cfRule type="expression" dxfId="7491" priority="9018" stopIfTrue="1">
      <formula>Y72=1</formula>
    </cfRule>
    <cfRule type="colorScale" priority="9019">
      <colorScale>
        <cfvo type="num" val="0"/>
        <cfvo type="num" val="0.5"/>
        <cfvo type="num" val="1"/>
        <color rgb="FFF8696B"/>
        <color theme="4" tint="0.79998168889431442"/>
        <color rgb="FF5A8AC6"/>
      </colorScale>
    </cfRule>
  </conditionalFormatting>
  <conditionalFormatting sqref="Y132">
    <cfRule type="expression" dxfId="7490" priority="9015" stopIfTrue="1">
      <formula>Y132=1</formula>
    </cfRule>
    <cfRule type="colorScale" priority="9016">
      <colorScale>
        <cfvo type="num" val="0"/>
        <cfvo type="num" val="0.5"/>
        <cfvo type="num" val="1"/>
        <color rgb="FFF8696B"/>
        <color theme="4" tint="0.79998168889431442"/>
        <color rgb="FF5A8AC6"/>
      </colorScale>
    </cfRule>
  </conditionalFormatting>
  <conditionalFormatting sqref="Y132">
    <cfRule type="expression" dxfId="7489" priority="9014" stopIfTrue="1">
      <formula>Y74=""</formula>
    </cfRule>
  </conditionalFormatting>
  <conditionalFormatting sqref="Y237:Y238">
    <cfRule type="expression" dxfId="7488" priority="9010" stopIfTrue="1">
      <formula>Y237=_xlfn.UNICHAR(10003)</formula>
    </cfRule>
    <cfRule type="colorScale" priority="9011">
      <colorScale>
        <cfvo type="num" val="0"/>
        <cfvo type="num" val="0.5"/>
        <cfvo type="num" val="1"/>
        <color rgb="FFF8696B"/>
        <color theme="4" tint="0.79998168889431442"/>
        <color rgb="FF5A8AC6"/>
      </colorScale>
    </cfRule>
  </conditionalFormatting>
  <conditionalFormatting sqref="Y230:Y236">
    <cfRule type="expression" dxfId="7487" priority="9008" stopIfTrue="1">
      <formula>Y230=_xlfn.UNICHAR(10003)</formula>
    </cfRule>
    <cfRule type="colorScale" priority="9009">
      <colorScale>
        <cfvo type="num" val="0"/>
        <cfvo type="num" val="0.5"/>
        <cfvo type="num" val="1"/>
        <color rgb="FFF8696B"/>
        <color theme="4" tint="0.79998168889431442"/>
        <color rgb="FF5A8AC6"/>
      </colorScale>
    </cfRule>
  </conditionalFormatting>
  <conditionalFormatting sqref="Y239">
    <cfRule type="expression" dxfId="7486" priority="9006" stopIfTrue="1">
      <formula>Y239=_xlfn.UNICHAR(10003)</formula>
    </cfRule>
    <cfRule type="colorScale" priority="9007">
      <colorScale>
        <cfvo type="num" val="0"/>
        <cfvo type="num" val="0.5"/>
        <cfvo type="num" val="1"/>
        <color rgb="FFF8696B"/>
        <color theme="4" tint="0.79998168889431442"/>
        <color rgb="FF5A8AC6"/>
      </colorScale>
    </cfRule>
  </conditionalFormatting>
  <conditionalFormatting sqref="Y239">
    <cfRule type="expression" dxfId="7485" priority="9004" stopIfTrue="1">
      <formula>Y239=1</formula>
    </cfRule>
    <cfRule type="colorScale" priority="9005">
      <colorScale>
        <cfvo type="num" val="0"/>
        <cfvo type="num" val="0.5"/>
        <cfvo type="num" val="1"/>
        <color rgb="FFF8696B"/>
        <color theme="4" tint="0.79998168889431442"/>
        <color rgb="FF5A8AC6"/>
      </colorScale>
    </cfRule>
  </conditionalFormatting>
  <conditionalFormatting sqref="Y228">
    <cfRule type="expression" dxfId="7484" priority="9003" stopIfTrue="1">
      <formula>Y228=UNICAHR(10003)</formula>
    </cfRule>
    <cfRule type="expression" dxfId="7483" priority="9012" stopIfTrue="1">
      <formula>Y228=CONCATENATE(_xlfn.UNICHAR(10003),_xlfn.UNICHAR(10003))</formula>
    </cfRule>
    <cfRule type="colorScale" priority="9013">
      <colorScale>
        <cfvo type="num" val="0"/>
        <cfvo type="num" val="0.5"/>
        <cfvo type="num" val="1"/>
        <color rgb="FFF8696B"/>
        <color theme="4" tint="0.79998168889431442"/>
        <color rgb="FF5A8AC6"/>
      </colorScale>
    </cfRule>
  </conditionalFormatting>
  <conditionalFormatting sqref="Y229 Y238">
    <cfRule type="expression" dxfId="7482" priority="9000" stopIfTrue="1">
      <formula>Y229=_xlfn.UNICHAR(10003)</formula>
    </cfRule>
    <cfRule type="expression" dxfId="7481" priority="9001" stopIfTrue="1">
      <formula>Y229=CONCATENATE(_xlfn.UNICHAR(10003),_xlfn.UNICHAR(10003))</formula>
    </cfRule>
    <cfRule type="colorScale" priority="9002">
      <colorScale>
        <cfvo type="num" val="0"/>
        <cfvo type="num" val="0.5"/>
        <cfvo type="num" val="1"/>
        <color rgb="FFF8696B"/>
        <color theme="4" tint="0.79998168889431442"/>
        <color rgb="FF5A8AC6"/>
      </colorScale>
    </cfRule>
  </conditionalFormatting>
  <conditionalFormatting sqref="Y160">
    <cfRule type="expression" dxfId="7480" priority="8997">
      <formula>Y159="X"</formula>
    </cfRule>
    <cfRule type="expression" dxfId="7479" priority="8998">
      <formula>Y159="A"</formula>
    </cfRule>
    <cfRule type="expression" dxfId="7478" priority="8999">
      <formula>Y159="T"</formula>
    </cfRule>
  </conditionalFormatting>
  <conditionalFormatting sqref="Y159">
    <cfRule type="expression" dxfId="7477" priority="8994">
      <formula>Y159="X"</formula>
    </cfRule>
    <cfRule type="expression" dxfId="7476" priority="8995">
      <formula>Y159="A"</formula>
    </cfRule>
    <cfRule type="expression" dxfId="7475" priority="8996">
      <formula>Y159="T"</formula>
    </cfRule>
  </conditionalFormatting>
  <conditionalFormatting sqref="Y162">
    <cfRule type="expression" dxfId="7474" priority="8991">
      <formula>Y161="X"</formula>
    </cfRule>
    <cfRule type="expression" dxfId="7473" priority="8992">
      <formula>Y161="A"</formula>
    </cfRule>
    <cfRule type="expression" dxfId="7472" priority="8993">
      <formula>Y161="T"</formula>
    </cfRule>
  </conditionalFormatting>
  <conditionalFormatting sqref="Y161">
    <cfRule type="expression" dxfId="7471" priority="8988">
      <formula>Y161="X"</formula>
    </cfRule>
    <cfRule type="expression" dxfId="7470" priority="8989">
      <formula>Y161="A"</formula>
    </cfRule>
    <cfRule type="expression" dxfId="7469" priority="8990">
      <formula>Y161="T"</formula>
    </cfRule>
  </conditionalFormatting>
  <conditionalFormatting sqref="P164 AO164:AQ164 AH164">
    <cfRule type="expression" dxfId="7468" priority="8985">
      <formula>P163="X"</formula>
    </cfRule>
    <cfRule type="expression" dxfId="7467" priority="8986">
      <formula>P163="A"</formula>
    </cfRule>
    <cfRule type="expression" dxfId="7466" priority="8987">
      <formula>P163="T"</formula>
    </cfRule>
  </conditionalFormatting>
  <conditionalFormatting sqref="AO163">
    <cfRule type="expression" dxfId="7465" priority="8982">
      <formula>AO163="X"</formula>
    </cfRule>
    <cfRule type="expression" dxfId="7464" priority="8983">
      <formula>AO163="A"</formula>
    </cfRule>
    <cfRule type="expression" dxfId="7463" priority="8984">
      <formula>AO163="T"</formula>
    </cfRule>
  </conditionalFormatting>
  <conditionalFormatting sqref="P163">
    <cfRule type="expression" dxfId="7462" priority="8979">
      <formula>P163="X"</formula>
    </cfRule>
    <cfRule type="expression" dxfId="7461" priority="8980">
      <formula>P163="A"</formula>
    </cfRule>
    <cfRule type="expression" dxfId="7460" priority="8981">
      <formula>P163="T"</formula>
    </cfRule>
  </conditionalFormatting>
  <conditionalFormatting sqref="AP163">
    <cfRule type="expression" dxfId="7459" priority="8976">
      <formula>AP163="X"</formula>
    </cfRule>
    <cfRule type="expression" dxfId="7458" priority="8977">
      <formula>AP163="A"</formula>
    </cfRule>
    <cfRule type="expression" dxfId="7457" priority="8978">
      <formula>AP163="T"</formula>
    </cfRule>
  </conditionalFormatting>
  <conditionalFormatting sqref="AQ163">
    <cfRule type="expression" dxfId="7456" priority="8973">
      <formula>AQ163="X"</formula>
    </cfRule>
    <cfRule type="expression" dxfId="7455" priority="8974">
      <formula>AQ163="A"</formula>
    </cfRule>
    <cfRule type="expression" dxfId="7454" priority="8975">
      <formula>AQ163="T"</formula>
    </cfRule>
  </conditionalFormatting>
  <conditionalFormatting sqref="AH163">
    <cfRule type="expression" dxfId="7453" priority="8970">
      <formula>AH163="X"</formula>
    </cfRule>
    <cfRule type="expression" dxfId="7452" priority="8971">
      <formula>AH163="A"</formula>
    </cfRule>
    <cfRule type="expression" dxfId="7451" priority="8972">
      <formula>AH163="T"</formula>
    </cfRule>
  </conditionalFormatting>
  <conditionalFormatting sqref="AR164">
    <cfRule type="expression" dxfId="7450" priority="8967">
      <formula>AR163="X"</formula>
    </cfRule>
    <cfRule type="expression" dxfId="7449" priority="8968">
      <formula>AR163="A"</formula>
    </cfRule>
    <cfRule type="expression" dxfId="7448" priority="8969">
      <formula>AR163="T"</formula>
    </cfRule>
  </conditionalFormatting>
  <conditionalFormatting sqref="AR163">
    <cfRule type="expression" dxfId="7447" priority="8964">
      <formula>AR163="X"</formula>
    </cfRule>
    <cfRule type="expression" dxfId="7446" priority="8965">
      <formula>AR163="A"</formula>
    </cfRule>
    <cfRule type="expression" dxfId="7445" priority="8966">
      <formula>AR163="T"</formula>
    </cfRule>
  </conditionalFormatting>
  <conditionalFormatting sqref="AS164">
    <cfRule type="expression" dxfId="7444" priority="8961">
      <formula>AS163="X"</formula>
    </cfRule>
    <cfRule type="expression" dxfId="7443" priority="8962">
      <formula>AS163="A"</formula>
    </cfRule>
    <cfRule type="expression" dxfId="7442" priority="8963">
      <formula>AS163="T"</formula>
    </cfRule>
  </conditionalFormatting>
  <conditionalFormatting sqref="AS163">
    <cfRule type="expression" dxfId="7441" priority="8958">
      <formula>AS163="X"</formula>
    </cfRule>
    <cfRule type="expression" dxfId="7440" priority="8959">
      <formula>AS163="A"</formula>
    </cfRule>
    <cfRule type="expression" dxfId="7439" priority="8960">
      <formula>AS163="T"</formula>
    </cfRule>
  </conditionalFormatting>
  <conditionalFormatting sqref="AT164">
    <cfRule type="expression" dxfId="7438" priority="8955">
      <formula>AT163="X"</formula>
    </cfRule>
    <cfRule type="expression" dxfId="7437" priority="8956">
      <formula>AT163="A"</formula>
    </cfRule>
    <cfRule type="expression" dxfId="7436" priority="8957">
      <formula>AT163="T"</formula>
    </cfRule>
  </conditionalFormatting>
  <conditionalFormatting sqref="AT163">
    <cfRule type="expression" dxfId="7435" priority="8952">
      <formula>AT163="X"</formula>
    </cfRule>
    <cfRule type="expression" dxfId="7434" priority="8953">
      <formula>AT163="A"</formula>
    </cfRule>
    <cfRule type="expression" dxfId="7433" priority="8954">
      <formula>AT163="T"</formula>
    </cfRule>
  </conditionalFormatting>
  <conditionalFormatting sqref="AU164">
    <cfRule type="expression" dxfId="7432" priority="8949">
      <formula>AU163="X"</formula>
    </cfRule>
    <cfRule type="expression" dxfId="7431" priority="8950">
      <formula>AU163="A"</formula>
    </cfRule>
    <cfRule type="expression" dxfId="7430" priority="8951">
      <formula>AU163="T"</formula>
    </cfRule>
  </conditionalFormatting>
  <conditionalFormatting sqref="AU163">
    <cfRule type="expression" dxfId="7429" priority="8946">
      <formula>AU163="X"</formula>
    </cfRule>
    <cfRule type="expression" dxfId="7428" priority="8947">
      <formula>AU163="A"</formula>
    </cfRule>
    <cfRule type="expression" dxfId="7427" priority="8948">
      <formula>AU163="T"</formula>
    </cfRule>
  </conditionalFormatting>
  <conditionalFormatting sqref="AM164:AN164">
    <cfRule type="expression" dxfId="7426" priority="8943">
      <formula>AM163="X"</formula>
    </cfRule>
    <cfRule type="expression" dxfId="7425" priority="8944">
      <formula>AM163="A"</formula>
    </cfRule>
    <cfRule type="expression" dxfId="7424" priority="8945">
      <formula>AM163="T"</formula>
    </cfRule>
  </conditionalFormatting>
  <conditionalFormatting sqref="AM163:AN163">
    <cfRule type="expression" dxfId="7423" priority="8940">
      <formula>AM163="X"</formula>
    </cfRule>
    <cfRule type="expression" dxfId="7422" priority="8941">
      <formula>AM163="A"</formula>
    </cfRule>
    <cfRule type="expression" dxfId="7421" priority="8942">
      <formula>AM163="T"</formula>
    </cfRule>
  </conditionalFormatting>
  <conditionalFormatting sqref="AG164">
    <cfRule type="expression" dxfId="7420" priority="8937">
      <formula>AG163="X"</formula>
    </cfRule>
    <cfRule type="expression" dxfId="7419" priority="8938">
      <formula>AG163="A"</formula>
    </cfRule>
    <cfRule type="expression" dxfId="7418" priority="8939">
      <formula>AG163="T"</formula>
    </cfRule>
  </conditionalFormatting>
  <conditionalFormatting sqref="AG163">
    <cfRule type="expression" dxfId="7417" priority="8934">
      <formula>AG163="X"</formula>
    </cfRule>
    <cfRule type="expression" dxfId="7416" priority="8935">
      <formula>AG163="A"</formula>
    </cfRule>
    <cfRule type="expression" dxfId="7415" priority="8936">
      <formula>AG163="T"</formula>
    </cfRule>
  </conditionalFormatting>
  <conditionalFormatting sqref="AF164">
    <cfRule type="expression" dxfId="7414" priority="8925">
      <formula>AF163="X"</formula>
    </cfRule>
    <cfRule type="expression" dxfId="7413" priority="8926">
      <formula>AF163="A"</formula>
    </cfRule>
    <cfRule type="expression" dxfId="7412" priority="8927">
      <formula>AF163="T"</formula>
    </cfRule>
  </conditionalFormatting>
  <conditionalFormatting sqref="AF163">
    <cfRule type="expression" dxfId="7411" priority="8922">
      <formula>AF163="X"</formula>
    </cfRule>
    <cfRule type="expression" dxfId="7410" priority="8923">
      <formula>AF163="A"</formula>
    </cfRule>
    <cfRule type="expression" dxfId="7409" priority="8924">
      <formula>AF163="T"</formula>
    </cfRule>
  </conditionalFormatting>
  <conditionalFormatting sqref="U164">
    <cfRule type="expression" dxfId="7408" priority="8919">
      <formula>U163="X"</formula>
    </cfRule>
    <cfRule type="expression" dxfId="7407" priority="8920">
      <formula>U163="A"</formula>
    </cfRule>
    <cfRule type="expression" dxfId="7406" priority="8921">
      <formula>U163="T"</formula>
    </cfRule>
  </conditionalFormatting>
  <conditionalFormatting sqref="U163">
    <cfRule type="expression" dxfId="7405" priority="8916">
      <formula>U163="X"</formula>
    </cfRule>
    <cfRule type="expression" dxfId="7404" priority="8917">
      <formula>U163="A"</formula>
    </cfRule>
    <cfRule type="expression" dxfId="7403" priority="8918">
      <formula>U163="T"</formula>
    </cfRule>
  </conditionalFormatting>
  <conditionalFormatting sqref="V164">
    <cfRule type="expression" dxfId="7402" priority="8913">
      <formula>V163="X"</formula>
    </cfRule>
    <cfRule type="expression" dxfId="7401" priority="8914">
      <formula>V163="A"</formula>
    </cfRule>
    <cfRule type="expression" dxfId="7400" priority="8915">
      <formula>V163="T"</formula>
    </cfRule>
  </conditionalFormatting>
  <conditionalFormatting sqref="W164">
    <cfRule type="expression" dxfId="7399" priority="8907">
      <formula>W163="X"</formula>
    </cfRule>
    <cfRule type="expression" dxfId="7398" priority="8908">
      <formula>W163="A"</formula>
    </cfRule>
    <cfRule type="expression" dxfId="7397" priority="8909">
      <formula>W163="T"</formula>
    </cfRule>
  </conditionalFormatting>
  <conditionalFormatting sqref="W163">
    <cfRule type="expression" dxfId="7396" priority="8904">
      <formula>W163="X"</formula>
    </cfRule>
    <cfRule type="expression" dxfId="7395" priority="8905">
      <formula>W163="A"</formula>
    </cfRule>
    <cfRule type="expression" dxfId="7394" priority="8906">
      <formula>W163="T"</formula>
    </cfRule>
  </conditionalFormatting>
  <conditionalFormatting sqref="X164">
    <cfRule type="expression" dxfId="7393" priority="8901">
      <formula>X163="X"</formula>
    </cfRule>
    <cfRule type="expression" dxfId="7392" priority="8902">
      <formula>X163="A"</formula>
    </cfRule>
    <cfRule type="expression" dxfId="7391" priority="8903">
      <formula>X163="T"</formula>
    </cfRule>
  </conditionalFormatting>
  <conditionalFormatting sqref="X163">
    <cfRule type="expression" dxfId="7390" priority="8898">
      <formula>X163="X"</formula>
    </cfRule>
    <cfRule type="expression" dxfId="7389" priority="8899">
      <formula>X163="A"</formula>
    </cfRule>
    <cfRule type="expression" dxfId="7388" priority="8900">
      <formula>X163="T"</formula>
    </cfRule>
  </conditionalFormatting>
  <conditionalFormatting sqref="G164">
    <cfRule type="expression" dxfId="7387" priority="8895">
      <formula>G163="X"</formula>
    </cfRule>
    <cfRule type="expression" dxfId="7386" priority="8896">
      <formula>G163="A"</formula>
    </cfRule>
    <cfRule type="expression" dxfId="7385" priority="8897">
      <formula>G163="T"</formula>
    </cfRule>
  </conditionalFormatting>
  <conditionalFormatting sqref="G163">
    <cfRule type="expression" dxfId="7384" priority="8892">
      <formula>G163="X"</formula>
    </cfRule>
    <cfRule type="expression" dxfId="7383" priority="8893">
      <formula>G163="A"</formula>
    </cfRule>
    <cfRule type="expression" dxfId="7382" priority="8894">
      <formula>G163="T"</formula>
    </cfRule>
  </conditionalFormatting>
  <conditionalFormatting sqref="H164">
    <cfRule type="expression" dxfId="7381" priority="8889">
      <formula>H163="X"</formula>
    </cfRule>
    <cfRule type="expression" dxfId="7380" priority="8890">
      <formula>H163="A"</formula>
    </cfRule>
    <cfRule type="expression" dxfId="7379" priority="8891">
      <formula>H163="T"</formula>
    </cfRule>
  </conditionalFormatting>
  <conditionalFormatting sqref="H163">
    <cfRule type="expression" dxfId="7378" priority="8886">
      <formula>H163="X"</formula>
    </cfRule>
    <cfRule type="expression" dxfId="7377" priority="8887">
      <formula>H163="A"</formula>
    </cfRule>
    <cfRule type="expression" dxfId="7376" priority="8888">
      <formula>H163="T"</formula>
    </cfRule>
  </conditionalFormatting>
  <conditionalFormatting sqref="I164">
    <cfRule type="expression" dxfId="7375" priority="8883">
      <formula>I163="X"</formula>
    </cfRule>
    <cfRule type="expression" dxfId="7374" priority="8884">
      <formula>I163="A"</formula>
    </cfRule>
    <cfRule type="expression" dxfId="7373" priority="8885">
      <formula>I163="T"</formula>
    </cfRule>
  </conditionalFormatting>
  <conditionalFormatting sqref="I163">
    <cfRule type="expression" dxfId="7372" priority="8880">
      <formula>I163="X"</formula>
    </cfRule>
    <cfRule type="expression" dxfId="7371" priority="8881">
      <formula>I163="A"</formula>
    </cfRule>
    <cfRule type="expression" dxfId="7370" priority="8882">
      <formula>I163="T"</formula>
    </cfRule>
  </conditionalFormatting>
  <conditionalFormatting sqref="J164">
    <cfRule type="expression" dxfId="7369" priority="8877">
      <formula>J163="X"</formula>
    </cfRule>
    <cfRule type="expression" dxfId="7368" priority="8878">
      <formula>J163="A"</formula>
    </cfRule>
    <cfRule type="expression" dxfId="7367" priority="8879">
      <formula>J163="T"</formula>
    </cfRule>
  </conditionalFormatting>
  <conditionalFormatting sqref="J163">
    <cfRule type="expression" dxfId="7366" priority="8874">
      <formula>J163="X"</formula>
    </cfRule>
    <cfRule type="expression" dxfId="7365" priority="8875">
      <formula>J163="A"</formula>
    </cfRule>
    <cfRule type="expression" dxfId="7364" priority="8876">
      <formula>J163="T"</formula>
    </cfRule>
  </conditionalFormatting>
  <conditionalFormatting sqref="K163">
    <cfRule type="expression" dxfId="7363" priority="8868">
      <formula>K163="X"</formula>
    </cfRule>
    <cfRule type="expression" dxfId="7362" priority="8869">
      <formula>K163="A"</formula>
    </cfRule>
    <cfRule type="expression" dxfId="7361" priority="8870">
      <formula>K163="T"</formula>
    </cfRule>
  </conditionalFormatting>
  <conditionalFormatting sqref="L164">
    <cfRule type="expression" dxfId="7360" priority="8865">
      <formula>L163="X"</formula>
    </cfRule>
    <cfRule type="expression" dxfId="7359" priority="8866">
      <formula>L163="A"</formula>
    </cfRule>
    <cfRule type="expression" dxfId="7358" priority="8867">
      <formula>L163="T"</formula>
    </cfRule>
  </conditionalFormatting>
  <conditionalFormatting sqref="L163">
    <cfRule type="expression" dxfId="7357" priority="8862">
      <formula>L163="X"</formula>
    </cfRule>
    <cfRule type="expression" dxfId="7356" priority="8863">
      <formula>L163="A"</formula>
    </cfRule>
    <cfRule type="expression" dxfId="7355" priority="8864">
      <formula>L163="T"</formula>
    </cfRule>
  </conditionalFormatting>
  <conditionalFormatting sqref="Y164">
    <cfRule type="expression" dxfId="7354" priority="8859">
      <formula>Y163="X"</formula>
    </cfRule>
    <cfRule type="expression" dxfId="7353" priority="8860">
      <formula>Y163="A"</formula>
    </cfRule>
    <cfRule type="expression" dxfId="7352" priority="8861">
      <formula>Y163="T"</formula>
    </cfRule>
  </conditionalFormatting>
  <conditionalFormatting sqref="Y163">
    <cfRule type="expression" dxfId="7351" priority="8856">
      <formula>Y163="X"</formula>
    </cfRule>
    <cfRule type="expression" dxfId="7350" priority="8857">
      <formula>Y163="A"</formula>
    </cfRule>
    <cfRule type="expression" dxfId="7349" priority="8858">
      <formula>Y163="T"</formula>
    </cfRule>
  </conditionalFormatting>
  <conditionalFormatting sqref="AK158 AK160">
    <cfRule type="expression" dxfId="7348" priority="8289">
      <formula>AK157="X"</formula>
    </cfRule>
    <cfRule type="expression" dxfId="7347" priority="8290">
      <formula>AK157="A"</formula>
    </cfRule>
    <cfRule type="expression" dxfId="7346" priority="8291">
      <formula>AK157="T"</formula>
    </cfRule>
  </conditionalFormatting>
  <conditionalFormatting sqref="AK16 AK18 AK20 AK22 AK24 AK26 AK28 AK39 AK41 AK43 AK45 AK48 AK81 AK88 AK90 AK92 AK94 AK96 AK98 AK100 AK102 AK105 AK107 AK109 AK111 AK116">
    <cfRule type="expression" dxfId="7345" priority="8286">
      <formula>AK16="X"</formula>
    </cfRule>
    <cfRule type="expression" dxfId="7344" priority="8287">
      <formula>AK16="A"</formula>
    </cfRule>
    <cfRule type="expression" dxfId="7343" priority="8288">
      <formula>AK16="T"</formula>
    </cfRule>
  </conditionalFormatting>
  <conditionalFormatting sqref="AK36">
    <cfRule type="expression" dxfId="7342" priority="8283">
      <formula>AK36="X"</formula>
    </cfRule>
    <cfRule type="expression" dxfId="7341" priority="8284">
      <formula>AK36="A"</formula>
    </cfRule>
    <cfRule type="expression" dxfId="7340" priority="8285">
      <formula>AK36="T"</formula>
    </cfRule>
  </conditionalFormatting>
  <conditionalFormatting sqref="AK34">
    <cfRule type="expression" dxfId="7339" priority="8280">
      <formula>AK34="X"</formula>
    </cfRule>
    <cfRule type="expression" dxfId="7338" priority="8281">
      <formula>AK34="A"</formula>
    </cfRule>
    <cfRule type="expression" dxfId="7337" priority="8282">
      <formula>AK34="T"</formula>
    </cfRule>
  </conditionalFormatting>
  <conditionalFormatting sqref="AK32">
    <cfRule type="expression" dxfId="7336" priority="8277">
      <formula>AK32="X"</formula>
    </cfRule>
    <cfRule type="expression" dxfId="7335" priority="8278">
      <formula>AK32="A"</formula>
    </cfRule>
    <cfRule type="expression" dxfId="7334" priority="8279">
      <formula>AK32="T"</formula>
    </cfRule>
  </conditionalFormatting>
  <conditionalFormatting sqref="AK30">
    <cfRule type="expression" dxfId="7333" priority="8274">
      <formula>AK30="X"</formula>
    </cfRule>
    <cfRule type="expression" dxfId="7332" priority="8275">
      <formula>AK30="A"</formula>
    </cfRule>
    <cfRule type="expression" dxfId="7331" priority="8276">
      <formula>AK30="T"</formula>
    </cfRule>
  </conditionalFormatting>
  <conditionalFormatting sqref="AK52">
    <cfRule type="expression" dxfId="7330" priority="8271">
      <formula>AK52="X"</formula>
    </cfRule>
    <cfRule type="expression" dxfId="7329" priority="8272">
      <formula>AK52="A"</formula>
    </cfRule>
    <cfRule type="expression" dxfId="7328" priority="8273">
      <formula>AK52="T"</formula>
    </cfRule>
  </conditionalFormatting>
  <conditionalFormatting sqref="AK50">
    <cfRule type="expression" dxfId="7327" priority="8268">
      <formula>AK50="X"</formula>
    </cfRule>
    <cfRule type="expression" dxfId="7326" priority="8269">
      <formula>AK50="A"</formula>
    </cfRule>
    <cfRule type="expression" dxfId="7325" priority="8270">
      <formula>AK50="T"</formula>
    </cfRule>
  </conditionalFormatting>
  <conditionalFormatting sqref="AK54">
    <cfRule type="expression" dxfId="7324" priority="8265">
      <formula>AK54="X"</formula>
    </cfRule>
    <cfRule type="expression" dxfId="7323" priority="8266">
      <formula>AK54="A"</formula>
    </cfRule>
    <cfRule type="expression" dxfId="7322" priority="8267">
      <formula>AK54="T"</formula>
    </cfRule>
  </conditionalFormatting>
  <conditionalFormatting sqref="AK56">
    <cfRule type="expression" dxfId="7321" priority="8262">
      <formula>AK56="X"</formula>
    </cfRule>
    <cfRule type="expression" dxfId="7320" priority="8263">
      <formula>AK56="A"</formula>
    </cfRule>
    <cfRule type="expression" dxfId="7319" priority="8264">
      <formula>AK56="T"</formula>
    </cfRule>
  </conditionalFormatting>
  <conditionalFormatting sqref="AK58">
    <cfRule type="expression" dxfId="7318" priority="8259">
      <formula>AK58="X"</formula>
    </cfRule>
    <cfRule type="expression" dxfId="7317" priority="8260">
      <formula>AK58="A"</formula>
    </cfRule>
    <cfRule type="expression" dxfId="7316" priority="8261">
      <formula>AK58="T"</formula>
    </cfRule>
  </conditionalFormatting>
  <conditionalFormatting sqref="AK63">
    <cfRule type="expression" dxfId="7315" priority="8256">
      <formula>AK63="X"</formula>
    </cfRule>
    <cfRule type="expression" dxfId="7314" priority="8257">
      <formula>AK63="A"</formula>
    </cfRule>
    <cfRule type="expression" dxfId="7313" priority="8258">
      <formula>AK63="T"</formula>
    </cfRule>
  </conditionalFormatting>
  <conditionalFormatting sqref="AK65">
    <cfRule type="expression" dxfId="7312" priority="8253">
      <formula>AK65="X"</formula>
    </cfRule>
    <cfRule type="expression" dxfId="7311" priority="8254">
      <formula>AK65="A"</formula>
    </cfRule>
    <cfRule type="expression" dxfId="7310" priority="8255">
      <formula>AK65="T"</formula>
    </cfRule>
  </conditionalFormatting>
  <conditionalFormatting sqref="AK83">
    <cfRule type="expression" dxfId="7309" priority="8250">
      <formula>AK83="X"</formula>
    </cfRule>
    <cfRule type="expression" dxfId="7308" priority="8251">
      <formula>AK83="A"</formula>
    </cfRule>
    <cfRule type="expression" dxfId="7307" priority="8252">
      <formula>AK83="T"</formula>
    </cfRule>
  </conditionalFormatting>
  <conditionalFormatting sqref="AK85">
    <cfRule type="expression" dxfId="7306" priority="8247">
      <formula>AK85="X"</formula>
    </cfRule>
    <cfRule type="expression" dxfId="7305" priority="8248">
      <formula>AK85="A"</formula>
    </cfRule>
    <cfRule type="expression" dxfId="7304" priority="8249">
      <formula>AK85="T"</formula>
    </cfRule>
  </conditionalFormatting>
  <conditionalFormatting sqref="AK67">
    <cfRule type="expression" dxfId="7303" priority="8244">
      <formula>AK67="X"</formula>
    </cfRule>
    <cfRule type="expression" dxfId="7302" priority="8245">
      <formula>AK67="A"</formula>
    </cfRule>
    <cfRule type="expression" dxfId="7301" priority="8246">
      <formula>AK67="T"</formula>
    </cfRule>
  </conditionalFormatting>
  <conditionalFormatting sqref="AK113">
    <cfRule type="expression" dxfId="7300" priority="8241">
      <formula>AK113="X"</formula>
    </cfRule>
    <cfRule type="expression" dxfId="7299" priority="8242">
      <formula>AK113="A"</formula>
    </cfRule>
    <cfRule type="expression" dxfId="7298" priority="8243">
      <formula>AK113="T"</formula>
    </cfRule>
  </conditionalFormatting>
  <conditionalFormatting sqref="AK118">
    <cfRule type="expression" dxfId="7297" priority="8238">
      <formula>AK118="X"</formula>
    </cfRule>
    <cfRule type="expression" dxfId="7296" priority="8239">
      <formula>AK118="A"</formula>
    </cfRule>
    <cfRule type="expression" dxfId="7295" priority="8240">
      <formula>AK118="T"</formula>
    </cfRule>
  </conditionalFormatting>
  <conditionalFormatting sqref="AK120">
    <cfRule type="expression" dxfId="7294" priority="8235">
      <formula>AK120="X"</formula>
    </cfRule>
    <cfRule type="expression" dxfId="7293" priority="8236">
      <formula>AK120="A"</formula>
    </cfRule>
    <cfRule type="expression" dxfId="7292" priority="8237">
      <formula>AK120="T"</formula>
    </cfRule>
  </conditionalFormatting>
  <conditionalFormatting sqref="AK122">
    <cfRule type="expression" dxfId="7291" priority="8232">
      <formula>AK122="X"</formula>
    </cfRule>
    <cfRule type="expression" dxfId="7290" priority="8233">
      <formula>AK122="A"</formula>
    </cfRule>
    <cfRule type="expression" dxfId="7289" priority="8234">
      <formula>AK122="T"</formula>
    </cfRule>
  </conditionalFormatting>
  <conditionalFormatting sqref="AK125">
    <cfRule type="expression" dxfId="7288" priority="8229">
      <formula>AK125="X"</formula>
    </cfRule>
    <cfRule type="expression" dxfId="7287" priority="8230">
      <formula>AK125="A"</formula>
    </cfRule>
    <cfRule type="expression" dxfId="7286" priority="8231">
      <formula>AK125="T"</formula>
    </cfRule>
  </conditionalFormatting>
  <conditionalFormatting sqref="AK127">
    <cfRule type="expression" dxfId="7285" priority="8226">
      <formula>AK127="X"</formula>
    </cfRule>
    <cfRule type="expression" dxfId="7284" priority="8227">
      <formula>AK127="A"</formula>
    </cfRule>
    <cfRule type="expression" dxfId="7283" priority="8228">
      <formula>AK127="T"</formula>
    </cfRule>
  </conditionalFormatting>
  <conditionalFormatting sqref="AK141">
    <cfRule type="expression" dxfId="7282" priority="8223">
      <formula>AK141="X"</formula>
    </cfRule>
    <cfRule type="expression" dxfId="7281" priority="8224">
      <formula>AK141="A"</formula>
    </cfRule>
    <cfRule type="expression" dxfId="7280" priority="8225">
      <formula>AK141="T"</formula>
    </cfRule>
  </conditionalFormatting>
  <conditionalFormatting sqref="AK143">
    <cfRule type="expression" dxfId="7279" priority="8220">
      <formula>AK143="X"</formula>
    </cfRule>
    <cfRule type="expression" dxfId="7278" priority="8221">
      <formula>AK143="A"</formula>
    </cfRule>
    <cfRule type="expression" dxfId="7277" priority="8222">
      <formula>AK143="T"</formula>
    </cfRule>
  </conditionalFormatting>
  <conditionalFormatting sqref="AK149">
    <cfRule type="expression" dxfId="7276" priority="8217">
      <formula>AK149="X"</formula>
    </cfRule>
    <cfRule type="expression" dxfId="7275" priority="8218">
      <formula>AK149="A"</formula>
    </cfRule>
    <cfRule type="expression" dxfId="7274" priority="8219">
      <formula>AK149="T"</formula>
    </cfRule>
  </conditionalFormatting>
  <conditionalFormatting sqref="AK151">
    <cfRule type="expression" dxfId="7273" priority="8214">
      <formula>AK151="X"</formula>
    </cfRule>
    <cfRule type="expression" dxfId="7272" priority="8215">
      <formula>AK151="A"</formula>
    </cfRule>
    <cfRule type="expression" dxfId="7271" priority="8216">
      <formula>AK151="T"</formula>
    </cfRule>
  </conditionalFormatting>
  <conditionalFormatting sqref="AK155">
    <cfRule type="expression" dxfId="7270" priority="8211">
      <formula>AK155="X"</formula>
    </cfRule>
    <cfRule type="expression" dxfId="7269" priority="8212">
      <formula>AK155="A"</formula>
    </cfRule>
    <cfRule type="expression" dxfId="7268" priority="8213">
      <formula>AK155="T"</formula>
    </cfRule>
  </conditionalFormatting>
  <conditionalFormatting sqref="AK157">
    <cfRule type="expression" dxfId="7267" priority="8208">
      <formula>AK157="X"</formula>
    </cfRule>
    <cfRule type="expression" dxfId="7266" priority="8209">
      <formula>AK157="A"</formula>
    </cfRule>
    <cfRule type="expression" dxfId="7265" priority="8210">
      <formula>AK157="T"</formula>
    </cfRule>
  </conditionalFormatting>
  <conditionalFormatting sqref="AK167">
    <cfRule type="expression" dxfId="7264" priority="8205">
      <formula>AK167="X"</formula>
    </cfRule>
    <cfRule type="expression" dxfId="7263" priority="8206">
      <formula>AK167="A"</formula>
    </cfRule>
    <cfRule type="expression" dxfId="7262" priority="8207">
      <formula>AK167="T"</formula>
    </cfRule>
  </conditionalFormatting>
  <conditionalFormatting sqref="AK173">
    <cfRule type="expression" dxfId="7261" priority="8202">
      <formula>AK173="X"</formula>
    </cfRule>
    <cfRule type="expression" dxfId="7260" priority="8203">
      <formula>AK173="A"</formula>
    </cfRule>
    <cfRule type="expression" dxfId="7259" priority="8204">
      <formula>AK173="T"</formula>
    </cfRule>
  </conditionalFormatting>
  <conditionalFormatting sqref="AK175">
    <cfRule type="expression" dxfId="7258" priority="8199">
      <formula>AK175="X"</formula>
    </cfRule>
    <cfRule type="expression" dxfId="7257" priority="8200">
      <formula>AK175="A"</formula>
    </cfRule>
    <cfRule type="expression" dxfId="7256" priority="8201">
      <formula>AK175="T"</formula>
    </cfRule>
  </conditionalFormatting>
  <conditionalFormatting sqref="AK177">
    <cfRule type="expression" dxfId="7255" priority="8196">
      <formula>AK177="X"</formula>
    </cfRule>
    <cfRule type="expression" dxfId="7254" priority="8197">
      <formula>AK177="A"</formula>
    </cfRule>
    <cfRule type="expression" dxfId="7253" priority="8198">
      <formula>AK177="T"</formula>
    </cfRule>
  </conditionalFormatting>
  <conditionalFormatting sqref="AK179">
    <cfRule type="expression" dxfId="7252" priority="8193">
      <formula>AK179="X"</formula>
    </cfRule>
    <cfRule type="expression" dxfId="7251" priority="8194">
      <formula>AK179="A"</formula>
    </cfRule>
    <cfRule type="expression" dxfId="7250" priority="8195">
      <formula>AK179="T"</formula>
    </cfRule>
  </conditionalFormatting>
  <conditionalFormatting sqref="AK169">
    <cfRule type="expression" dxfId="7249" priority="8190">
      <formula>AK169="X"</formula>
    </cfRule>
    <cfRule type="expression" dxfId="7248" priority="8191">
      <formula>AK169="A"</formula>
    </cfRule>
    <cfRule type="expression" dxfId="7247" priority="8192">
      <formula>AK169="T"</formula>
    </cfRule>
  </conditionalFormatting>
  <conditionalFormatting sqref="AK171">
    <cfRule type="expression" dxfId="7246" priority="8187">
      <formula>AK171="X"</formula>
    </cfRule>
    <cfRule type="expression" dxfId="7245" priority="8188">
      <formula>AK171="A"</formula>
    </cfRule>
    <cfRule type="expression" dxfId="7244" priority="8189">
      <formula>AK171="T"</formula>
    </cfRule>
  </conditionalFormatting>
  <conditionalFormatting sqref="AK183">
    <cfRule type="expression" dxfId="7243" priority="8184">
      <formula>AK183="X"</formula>
    </cfRule>
    <cfRule type="expression" dxfId="7242" priority="8185">
      <formula>AK183="A"</formula>
    </cfRule>
    <cfRule type="expression" dxfId="7241" priority="8186">
      <formula>AK183="T"</formula>
    </cfRule>
  </conditionalFormatting>
  <conditionalFormatting sqref="AK185">
    <cfRule type="expression" dxfId="7240" priority="8181">
      <formula>AK185="X"</formula>
    </cfRule>
    <cfRule type="expression" dxfId="7239" priority="8182">
      <formula>AK185="A"</formula>
    </cfRule>
    <cfRule type="expression" dxfId="7238" priority="8183">
      <formula>AK185="T"</formula>
    </cfRule>
  </conditionalFormatting>
  <conditionalFormatting sqref="AK189">
    <cfRule type="expression" dxfId="7237" priority="8178">
      <formula>AK189="X"</formula>
    </cfRule>
    <cfRule type="expression" dxfId="7236" priority="8179">
      <formula>AK189="A"</formula>
    </cfRule>
    <cfRule type="expression" dxfId="7235" priority="8180">
      <formula>AK189="T"</formula>
    </cfRule>
  </conditionalFormatting>
  <conditionalFormatting sqref="AK191">
    <cfRule type="expression" dxfId="7234" priority="8175">
      <formula>AK191="X"</formula>
    </cfRule>
    <cfRule type="expression" dxfId="7233" priority="8176">
      <formula>AK191="A"</formula>
    </cfRule>
    <cfRule type="expression" dxfId="7232" priority="8177">
      <formula>AK191="T"</formula>
    </cfRule>
  </conditionalFormatting>
  <conditionalFormatting sqref="AK11">
    <cfRule type="expression" dxfId="7231" priority="8172">
      <formula>AK11="X"</formula>
    </cfRule>
    <cfRule type="expression" dxfId="7230" priority="8173">
      <formula>AK11="A"</formula>
    </cfRule>
    <cfRule type="expression" dxfId="7229" priority="8174">
      <formula>AK11="T"</formula>
    </cfRule>
  </conditionalFormatting>
  <conditionalFormatting sqref="AK12">
    <cfRule type="expression" dxfId="7228" priority="8169">
      <formula>AK11="X"</formula>
    </cfRule>
    <cfRule type="expression" dxfId="7227" priority="8170">
      <formula>AK11="A"</formula>
    </cfRule>
    <cfRule type="expression" dxfId="7226" priority="8171">
      <formula>AK11="T"</formula>
    </cfRule>
  </conditionalFormatting>
  <conditionalFormatting sqref="AK13">
    <cfRule type="expression" dxfId="7225" priority="8166">
      <formula>AK13="X"</formula>
    </cfRule>
    <cfRule type="expression" dxfId="7224" priority="8167">
      <formula>AK13="A"</formula>
    </cfRule>
    <cfRule type="expression" dxfId="7223" priority="8168">
      <formula>AK13="T"</formula>
    </cfRule>
  </conditionalFormatting>
  <conditionalFormatting sqref="AK14">
    <cfRule type="expression" dxfId="7222" priority="8163">
      <formula>AK13="X"</formula>
    </cfRule>
    <cfRule type="expression" dxfId="7221" priority="8164">
      <formula>AK13="A"</formula>
    </cfRule>
    <cfRule type="expression" dxfId="7220" priority="8165">
      <formula>AK13="T"</formula>
    </cfRule>
  </conditionalFormatting>
  <conditionalFormatting sqref="AK17">
    <cfRule type="expression" dxfId="7219" priority="8160">
      <formula>AK16="X"</formula>
    </cfRule>
    <cfRule type="expression" dxfId="7218" priority="8161">
      <formula>AK16="A"</formula>
    </cfRule>
    <cfRule type="expression" dxfId="7217" priority="8162">
      <formula>AK16="T"</formula>
    </cfRule>
  </conditionalFormatting>
  <conditionalFormatting sqref="AK19">
    <cfRule type="expression" dxfId="7216" priority="8154">
      <formula>AK18="X"</formula>
    </cfRule>
    <cfRule type="expression" dxfId="7215" priority="8155">
      <formula>AK18="A"</formula>
    </cfRule>
    <cfRule type="expression" dxfId="7214" priority="8156">
      <formula>AK18="T"</formula>
    </cfRule>
  </conditionalFormatting>
  <conditionalFormatting sqref="AK21">
    <cfRule type="expression" dxfId="7213" priority="8151">
      <formula>AK20="X"</formula>
    </cfRule>
    <cfRule type="expression" dxfId="7212" priority="8152">
      <formula>AK20="A"</formula>
    </cfRule>
    <cfRule type="expression" dxfId="7211" priority="8153">
      <formula>AK20="T"</formula>
    </cfRule>
  </conditionalFormatting>
  <conditionalFormatting sqref="AK23">
    <cfRule type="expression" dxfId="7210" priority="8148">
      <formula>AK22="X"</formula>
    </cfRule>
    <cfRule type="expression" dxfId="7209" priority="8149">
      <formula>AK22="A"</formula>
    </cfRule>
    <cfRule type="expression" dxfId="7208" priority="8150">
      <formula>AK22="T"</formula>
    </cfRule>
  </conditionalFormatting>
  <conditionalFormatting sqref="AK25">
    <cfRule type="expression" dxfId="7207" priority="8145">
      <formula>AK24="X"</formula>
    </cfRule>
    <cfRule type="expression" dxfId="7206" priority="8146">
      <formula>AK24="A"</formula>
    </cfRule>
    <cfRule type="expression" dxfId="7205" priority="8147">
      <formula>AK24="T"</formula>
    </cfRule>
  </conditionalFormatting>
  <conditionalFormatting sqref="AK27">
    <cfRule type="expression" dxfId="7204" priority="8142">
      <formula>AK26="X"</formula>
    </cfRule>
    <cfRule type="expression" dxfId="7203" priority="8143">
      <formula>AK26="A"</formula>
    </cfRule>
    <cfRule type="expression" dxfId="7202" priority="8144">
      <formula>AK26="T"</formula>
    </cfRule>
  </conditionalFormatting>
  <conditionalFormatting sqref="AK29">
    <cfRule type="expression" dxfId="7201" priority="8139">
      <formula>AK28="X"</formula>
    </cfRule>
    <cfRule type="expression" dxfId="7200" priority="8140">
      <formula>AK28="A"</formula>
    </cfRule>
    <cfRule type="expression" dxfId="7199" priority="8141">
      <formula>AK28="T"</formula>
    </cfRule>
  </conditionalFormatting>
  <conditionalFormatting sqref="AK31">
    <cfRule type="expression" dxfId="7198" priority="8136">
      <formula>AK30="X"</formula>
    </cfRule>
    <cfRule type="expression" dxfId="7197" priority="8137">
      <formula>AK30="A"</formula>
    </cfRule>
    <cfRule type="expression" dxfId="7196" priority="8138">
      <formula>AK30="T"</formula>
    </cfRule>
  </conditionalFormatting>
  <conditionalFormatting sqref="AK33">
    <cfRule type="expression" dxfId="7195" priority="8133">
      <formula>AK32="X"</formula>
    </cfRule>
    <cfRule type="expression" dxfId="7194" priority="8134">
      <formula>AK32="A"</formula>
    </cfRule>
    <cfRule type="expression" dxfId="7193" priority="8135">
      <formula>AK32="T"</formula>
    </cfRule>
  </conditionalFormatting>
  <conditionalFormatting sqref="AK35">
    <cfRule type="expression" dxfId="7192" priority="8130">
      <formula>AK34="X"</formula>
    </cfRule>
    <cfRule type="expression" dxfId="7191" priority="8131">
      <formula>AK34="A"</formula>
    </cfRule>
    <cfRule type="expression" dxfId="7190" priority="8132">
      <formula>AK34="T"</formula>
    </cfRule>
  </conditionalFormatting>
  <conditionalFormatting sqref="AK37">
    <cfRule type="expression" dxfId="7189" priority="8127">
      <formula>AK36="X"</formula>
    </cfRule>
    <cfRule type="expression" dxfId="7188" priority="8128">
      <formula>AK36="A"</formula>
    </cfRule>
    <cfRule type="expression" dxfId="7187" priority="8129">
      <formula>AK36="T"</formula>
    </cfRule>
  </conditionalFormatting>
  <conditionalFormatting sqref="AK40">
    <cfRule type="expression" dxfId="7186" priority="8124">
      <formula>AK39="X"</formula>
    </cfRule>
    <cfRule type="expression" dxfId="7185" priority="8125">
      <formula>AK39="A"</formula>
    </cfRule>
    <cfRule type="expression" dxfId="7184" priority="8126">
      <formula>AK39="T"</formula>
    </cfRule>
  </conditionalFormatting>
  <conditionalFormatting sqref="AK42">
    <cfRule type="expression" dxfId="7183" priority="8121">
      <formula>AK41="X"</formula>
    </cfRule>
    <cfRule type="expression" dxfId="7182" priority="8122">
      <formula>AK41="A"</formula>
    </cfRule>
    <cfRule type="expression" dxfId="7181" priority="8123">
      <formula>AK41="T"</formula>
    </cfRule>
  </conditionalFormatting>
  <conditionalFormatting sqref="AK44">
    <cfRule type="expression" dxfId="7180" priority="8118">
      <formula>AK43="X"</formula>
    </cfRule>
    <cfRule type="expression" dxfId="7179" priority="8119">
      <formula>AK43="A"</formula>
    </cfRule>
    <cfRule type="expression" dxfId="7178" priority="8120">
      <formula>AK43="T"</formula>
    </cfRule>
  </conditionalFormatting>
  <conditionalFormatting sqref="AK46">
    <cfRule type="expression" dxfId="7177" priority="8115">
      <formula>AK45="X"</formula>
    </cfRule>
    <cfRule type="expression" dxfId="7176" priority="8116">
      <formula>AK45="A"</formula>
    </cfRule>
    <cfRule type="expression" dxfId="7175" priority="8117">
      <formula>AK45="T"</formula>
    </cfRule>
  </conditionalFormatting>
  <conditionalFormatting sqref="AK49">
    <cfRule type="expression" dxfId="7174" priority="8112">
      <formula>AK48="X"</formula>
    </cfRule>
    <cfRule type="expression" dxfId="7173" priority="8113">
      <formula>AK48="A"</formula>
    </cfRule>
    <cfRule type="expression" dxfId="7172" priority="8114">
      <formula>AK48="T"</formula>
    </cfRule>
  </conditionalFormatting>
  <conditionalFormatting sqref="AK51">
    <cfRule type="expression" dxfId="7171" priority="8109">
      <formula>AK50="X"</formula>
    </cfRule>
    <cfRule type="expression" dxfId="7170" priority="8110">
      <formula>AK50="A"</formula>
    </cfRule>
    <cfRule type="expression" dxfId="7169" priority="8111">
      <formula>AK50="T"</formula>
    </cfRule>
  </conditionalFormatting>
  <conditionalFormatting sqref="AK53">
    <cfRule type="expression" dxfId="7168" priority="8106">
      <formula>AK52="X"</formula>
    </cfRule>
    <cfRule type="expression" dxfId="7167" priority="8107">
      <formula>AK52="A"</formula>
    </cfRule>
    <cfRule type="expression" dxfId="7166" priority="8108">
      <formula>AK52="T"</formula>
    </cfRule>
  </conditionalFormatting>
  <conditionalFormatting sqref="AK55">
    <cfRule type="expression" dxfId="7165" priority="8103">
      <formula>AK54="X"</formula>
    </cfRule>
    <cfRule type="expression" dxfId="7164" priority="8104">
      <formula>AK54="A"</formula>
    </cfRule>
    <cfRule type="expression" dxfId="7163" priority="8105">
      <formula>AK54="T"</formula>
    </cfRule>
  </conditionalFormatting>
  <conditionalFormatting sqref="AK57">
    <cfRule type="expression" dxfId="7162" priority="8100">
      <formula>AK56="X"</formula>
    </cfRule>
    <cfRule type="expression" dxfId="7161" priority="8101">
      <formula>AK56="A"</formula>
    </cfRule>
    <cfRule type="expression" dxfId="7160" priority="8102">
      <formula>AK56="T"</formula>
    </cfRule>
  </conditionalFormatting>
  <conditionalFormatting sqref="AK59">
    <cfRule type="expression" dxfId="7159" priority="8097">
      <formula>AK58="X"</formula>
    </cfRule>
    <cfRule type="expression" dxfId="7158" priority="8098">
      <formula>AK58="A"</formula>
    </cfRule>
    <cfRule type="expression" dxfId="7157" priority="8099">
      <formula>AK58="T"</formula>
    </cfRule>
  </conditionalFormatting>
  <conditionalFormatting sqref="AK64">
    <cfRule type="expression" dxfId="7156" priority="8094">
      <formula>AK63="X"</formula>
    </cfRule>
    <cfRule type="expression" dxfId="7155" priority="8095">
      <formula>AK63="A"</formula>
    </cfRule>
    <cfRule type="expression" dxfId="7154" priority="8096">
      <formula>AK63="T"</formula>
    </cfRule>
  </conditionalFormatting>
  <conditionalFormatting sqref="AK66">
    <cfRule type="expression" dxfId="7153" priority="8091">
      <formula>AK65="X"</formula>
    </cfRule>
    <cfRule type="expression" dxfId="7152" priority="8092">
      <formula>AK65="A"</formula>
    </cfRule>
    <cfRule type="expression" dxfId="7151" priority="8093">
      <formula>AK65="T"</formula>
    </cfRule>
  </conditionalFormatting>
  <conditionalFormatting sqref="AK68">
    <cfRule type="expression" dxfId="7150" priority="8088">
      <formula>AK67="X"</formula>
    </cfRule>
    <cfRule type="expression" dxfId="7149" priority="8089">
      <formula>AK67="A"</formula>
    </cfRule>
    <cfRule type="expression" dxfId="7148" priority="8090">
      <formula>AK67="T"</formula>
    </cfRule>
  </conditionalFormatting>
  <conditionalFormatting sqref="AK82">
    <cfRule type="expression" dxfId="7147" priority="8085">
      <formula>AK81="X"</formula>
    </cfRule>
    <cfRule type="expression" dxfId="7146" priority="8086">
      <formula>AK81="A"</formula>
    </cfRule>
    <cfRule type="expression" dxfId="7145" priority="8087">
      <formula>AK81="T"</formula>
    </cfRule>
  </conditionalFormatting>
  <conditionalFormatting sqref="AK84">
    <cfRule type="expression" dxfId="7144" priority="8082">
      <formula>AK83="X"</formula>
    </cfRule>
    <cfRule type="expression" dxfId="7143" priority="8083">
      <formula>AK83="A"</formula>
    </cfRule>
    <cfRule type="expression" dxfId="7142" priority="8084">
      <formula>AK83="T"</formula>
    </cfRule>
  </conditionalFormatting>
  <conditionalFormatting sqref="AK86">
    <cfRule type="expression" dxfId="7141" priority="8079">
      <formula>AK85="X"</formula>
    </cfRule>
    <cfRule type="expression" dxfId="7140" priority="8080">
      <formula>AK85="A"</formula>
    </cfRule>
    <cfRule type="expression" dxfId="7139" priority="8081">
      <formula>AK85="T"</formula>
    </cfRule>
  </conditionalFormatting>
  <conditionalFormatting sqref="AK89">
    <cfRule type="expression" dxfId="7138" priority="8076">
      <formula>AK88="X"</formula>
    </cfRule>
    <cfRule type="expression" dxfId="7137" priority="8077">
      <formula>AK88="A"</formula>
    </cfRule>
    <cfRule type="expression" dxfId="7136" priority="8078">
      <formula>AK88="T"</formula>
    </cfRule>
  </conditionalFormatting>
  <conditionalFormatting sqref="AK91">
    <cfRule type="expression" dxfId="7135" priority="8073">
      <formula>AK90="X"</formula>
    </cfRule>
    <cfRule type="expression" dxfId="7134" priority="8074">
      <formula>AK90="A"</formula>
    </cfRule>
    <cfRule type="expression" dxfId="7133" priority="8075">
      <formula>AK90="T"</formula>
    </cfRule>
  </conditionalFormatting>
  <conditionalFormatting sqref="AK93">
    <cfRule type="expression" dxfId="7132" priority="8070">
      <formula>AK92="X"</formula>
    </cfRule>
    <cfRule type="expression" dxfId="7131" priority="8071">
      <formula>AK92="A"</formula>
    </cfRule>
    <cfRule type="expression" dxfId="7130" priority="8072">
      <formula>AK92="T"</formula>
    </cfRule>
  </conditionalFormatting>
  <conditionalFormatting sqref="AK95">
    <cfRule type="expression" dxfId="7129" priority="8067">
      <formula>AK94="X"</formula>
    </cfRule>
    <cfRule type="expression" dxfId="7128" priority="8068">
      <formula>AK94="A"</formula>
    </cfRule>
    <cfRule type="expression" dxfId="7127" priority="8069">
      <formula>AK94="T"</formula>
    </cfRule>
  </conditionalFormatting>
  <conditionalFormatting sqref="AK97">
    <cfRule type="expression" dxfId="7126" priority="8064">
      <formula>AK96="X"</formula>
    </cfRule>
    <cfRule type="expression" dxfId="7125" priority="8065">
      <formula>AK96="A"</formula>
    </cfRule>
    <cfRule type="expression" dxfId="7124" priority="8066">
      <formula>AK96="T"</formula>
    </cfRule>
  </conditionalFormatting>
  <conditionalFormatting sqref="AK99">
    <cfRule type="expression" dxfId="7123" priority="8061">
      <formula>AK98="X"</formula>
    </cfRule>
    <cfRule type="expression" dxfId="7122" priority="8062">
      <formula>AK98="A"</formula>
    </cfRule>
    <cfRule type="expression" dxfId="7121" priority="8063">
      <formula>AK98="T"</formula>
    </cfRule>
  </conditionalFormatting>
  <conditionalFormatting sqref="AK101">
    <cfRule type="expression" dxfId="7120" priority="8058">
      <formula>AK100="X"</formula>
    </cfRule>
    <cfRule type="expression" dxfId="7119" priority="8059">
      <formula>AK100="A"</formula>
    </cfRule>
    <cfRule type="expression" dxfId="7118" priority="8060">
      <formula>AK100="T"</formula>
    </cfRule>
  </conditionalFormatting>
  <conditionalFormatting sqref="AK103">
    <cfRule type="expression" dxfId="7117" priority="8055">
      <formula>AK102="X"</formula>
    </cfRule>
    <cfRule type="expression" dxfId="7116" priority="8056">
      <formula>AK102="A"</formula>
    </cfRule>
    <cfRule type="expression" dxfId="7115" priority="8057">
      <formula>AK102="T"</formula>
    </cfRule>
  </conditionalFormatting>
  <conditionalFormatting sqref="AK106">
    <cfRule type="expression" dxfId="7114" priority="8052">
      <formula>AK105="X"</formula>
    </cfRule>
    <cfRule type="expression" dxfId="7113" priority="8053">
      <formula>AK105="A"</formula>
    </cfRule>
    <cfRule type="expression" dxfId="7112" priority="8054">
      <formula>AK105="T"</formula>
    </cfRule>
  </conditionalFormatting>
  <conditionalFormatting sqref="AK108">
    <cfRule type="expression" dxfId="7111" priority="8049">
      <formula>AK107="X"</formula>
    </cfRule>
    <cfRule type="expression" dxfId="7110" priority="8050">
      <formula>AK107="A"</formula>
    </cfRule>
    <cfRule type="expression" dxfId="7109" priority="8051">
      <formula>AK107="T"</formula>
    </cfRule>
  </conditionalFormatting>
  <conditionalFormatting sqref="AK110">
    <cfRule type="expression" dxfId="7108" priority="8046">
      <formula>AK109="X"</formula>
    </cfRule>
    <cfRule type="expression" dxfId="7107" priority="8047">
      <formula>AK109="A"</formula>
    </cfRule>
    <cfRule type="expression" dxfId="7106" priority="8048">
      <formula>AK109="T"</formula>
    </cfRule>
  </conditionalFormatting>
  <conditionalFormatting sqref="AK112">
    <cfRule type="expression" dxfId="7105" priority="8043">
      <formula>AK111="X"</formula>
    </cfRule>
    <cfRule type="expression" dxfId="7104" priority="8044">
      <formula>AK111="A"</formula>
    </cfRule>
    <cfRule type="expression" dxfId="7103" priority="8045">
      <formula>AK111="T"</formula>
    </cfRule>
  </conditionalFormatting>
  <conditionalFormatting sqref="AK114">
    <cfRule type="expression" dxfId="7102" priority="8040">
      <formula>AK113="X"</formula>
    </cfRule>
    <cfRule type="expression" dxfId="7101" priority="8041">
      <formula>AK113="A"</formula>
    </cfRule>
    <cfRule type="expression" dxfId="7100" priority="8042">
      <formula>AK113="T"</formula>
    </cfRule>
  </conditionalFormatting>
  <conditionalFormatting sqref="AK117">
    <cfRule type="expression" dxfId="7099" priority="8037">
      <formula>AK116="X"</formula>
    </cfRule>
    <cfRule type="expression" dxfId="7098" priority="8038">
      <formula>AK116="A"</formula>
    </cfRule>
    <cfRule type="expression" dxfId="7097" priority="8039">
      <formula>AK116="T"</formula>
    </cfRule>
  </conditionalFormatting>
  <conditionalFormatting sqref="AK119">
    <cfRule type="expression" dxfId="7096" priority="8034">
      <formula>AK118="X"</formula>
    </cfRule>
    <cfRule type="expression" dxfId="7095" priority="8035">
      <formula>AK118="A"</formula>
    </cfRule>
    <cfRule type="expression" dxfId="7094" priority="8036">
      <formula>AK118="T"</formula>
    </cfRule>
  </conditionalFormatting>
  <conditionalFormatting sqref="AK121">
    <cfRule type="expression" dxfId="7093" priority="8031">
      <formula>AK120="X"</formula>
    </cfRule>
    <cfRule type="expression" dxfId="7092" priority="8032">
      <formula>AK120="A"</formula>
    </cfRule>
    <cfRule type="expression" dxfId="7091" priority="8033">
      <formula>AK120="T"</formula>
    </cfRule>
  </conditionalFormatting>
  <conditionalFormatting sqref="AK123">
    <cfRule type="expression" dxfId="7090" priority="8028">
      <formula>AK122="X"</formula>
    </cfRule>
    <cfRule type="expression" dxfId="7089" priority="8029">
      <formula>AK122="A"</formula>
    </cfRule>
    <cfRule type="expression" dxfId="7088" priority="8030">
      <formula>AK122="T"</formula>
    </cfRule>
  </conditionalFormatting>
  <conditionalFormatting sqref="AK126">
    <cfRule type="expression" dxfId="7087" priority="8025">
      <formula>AK125="X"</formula>
    </cfRule>
    <cfRule type="expression" dxfId="7086" priority="8026">
      <formula>AK125="A"</formula>
    </cfRule>
    <cfRule type="expression" dxfId="7085" priority="8027">
      <formula>AK125="T"</formula>
    </cfRule>
  </conditionalFormatting>
  <conditionalFormatting sqref="AK128">
    <cfRule type="expression" dxfId="7084" priority="8022">
      <formula>AK127="X"</formula>
    </cfRule>
    <cfRule type="expression" dxfId="7083" priority="8023">
      <formula>AK127="A"</formula>
    </cfRule>
    <cfRule type="expression" dxfId="7082" priority="8024">
      <formula>AK127="T"</formula>
    </cfRule>
  </conditionalFormatting>
  <conditionalFormatting sqref="AK142">
    <cfRule type="expression" dxfId="7081" priority="8019">
      <formula>AK141="X"</formula>
    </cfRule>
    <cfRule type="expression" dxfId="7080" priority="8020">
      <formula>AK141="A"</formula>
    </cfRule>
    <cfRule type="expression" dxfId="7079" priority="8021">
      <formula>AK141="T"</formula>
    </cfRule>
  </conditionalFormatting>
  <conditionalFormatting sqref="AK144">
    <cfRule type="expression" dxfId="7078" priority="8016">
      <formula>AK143="X"</formula>
    </cfRule>
    <cfRule type="expression" dxfId="7077" priority="8017">
      <formula>AK143="A"</formula>
    </cfRule>
    <cfRule type="expression" dxfId="7076" priority="8018">
      <formula>AK143="T"</formula>
    </cfRule>
  </conditionalFormatting>
  <conditionalFormatting sqref="AK150">
    <cfRule type="expression" dxfId="7075" priority="8013">
      <formula>AK149="X"</formula>
    </cfRule>
    <cfRule type="expression" dxfId="7074" priority="8014">
      <formula>AK149="A"</formula>
    </cfRule>
    <cfRule type="expression" dxfId="7073" priority="8015">
      <formula>AK149="T"</formula>
    </cfRule>
  </conditionalFormatting>
  <conditionalFormatting sqref="AK152">
    <cfRule type="expression" dxfId="7072" priority="8010">
      <formula>AK151="X"</formula>
    </cfRule>
    <cfRule type="expression" dxfId="7071" priority="8011">
      <formula>AK151="A"</formula>
    </cfRule>
    <cfRule type="expression" dxfId="7070" priority="8012">
      <formula>AK151="T"</formula>
    </cfRule>
  </conditionalFormatting>
  <conditionalFormatting sqref="AK156">
    <cfRule type="expression" dxfId="7069" priority="8007">
      <formula>AK155="X"</formula>
    </cfRule>
    <cfRule type="expression" dxfId="7068" priority="8008">
      <formula>AK155="A"</formula>
    </cfRule>
    <cfRule type="expression" dxfId="7067" priority="8009">
      <formula>AK155="T"</formula>
    </cfRule>
  </conditionalFormatting>
  <conditionalFormatting sqref="AK168">
    <cfRule type="expression" dxfId="7066" priority="8004">
      <formula>AK167="X"</formula>
    </cfRule>
    <cfRule type="expression" dxfId="7065" priority="8005">
      <formula>AK167="A"</formula>
    </cfRule>
    <cfRule type="expression" dxfId="7064" priority="8006">
      <formula>AK167="T"</formula>
    </cfRule>
  </conditionalFormatting>
  <conditionalFormatting sqref="AK170">
    <cfRule type="expression" dxfId="7063" priority="8001">
      <formula>AK169="X"</formula>
    </cfRule>
    <cfRule type="expression" dxfId="7062" priority="8002">
      <formula>AK169="A"</formula>
    </cfRule>
    <cfRule type="expression" dxfId="7061" priority="8003">
      <formula>AK169="T"</formula>
    </cfRule>
  </conditionalFormatting>
  <conditionalFormatting sqref="AK172">
    <cfRule type="expression" dxfId="7060" priority="7998">
      <formula>AK171="X"</formula>
    </cfRule>
    <cfRule type="expression" dxfId="7059" priority="7999">
      <formula>AK171="A"</formula>
    </cfRule>
    <cfRule type="expression" dxfId="7058" priority="8000">
      <formula>AK171="T"</formula>
    </cfRule>
  </conditionalFormatting>
  <conditionalFormatting sqref="AK174">
    <cfRule type="expression" dxfId="7057" priority="7995">
      <formula>AK173="X"</formula>
    </cfRule>
    <cfRule type="expression" dxfId="7056" priority="7996">
      <formula>AK173="A"</formula>
    </cfRule>
    <cfRule type="expression" dxfId="7055" priority="7997">
      <formula>AK173="T"</formula>
    </cfRule>
  </conditionalFormatting>
  <conditionalFormatting sqref="AK176">
    <cfRule type="expression" dxfId="7054" priority="7992">
      <formula>AK175="X"</formula>
    </cfRule>
    <cfRule type="expression" dxfId="7053" priority="7993">
      <formula>AK175="A"</formula>
    </cfRule>
    <cfRule type="expression" dxfId="7052" priority="7994">
      <formula>AK175="T"</formula>
    </cfRule>
  </conditionalFormatting>
  <conditionalFormatting sqref="AK178">
    <cfRule type="expression" dxfId="7051" priority="7989">
      <formula>AK177="X"</formula>
    </cfRule>
    <cfRule type="expression" dxfId="7050" priority="7990">
      <formula>AK177="A"</formula>
    </cfRule>
    <cfRule type="expression" dxfId="7049" priority="7991">
      <formula>AK177="T"</formula>
    </cfRule>
  </conditionalFormatting>
  <conditionalFormatting sqref="AK180">
    <cfRule type="expression" dxfId="7048" priority="7986">
      <formula>AK179="X"</formula>
    </cfRule>
    <cfRule type="expression" dxfId="7047" priority="7987">
      <formula>AK179="A"</formula>
    </cfRule>
    <cfRule type="expression" dxfId="7046" priority="7988">
      <formula>AK179="T"</formula>
    </cfRule>
  </conditionalFormatting>
  <conditionalFormatting sqref="AK184">
    <cfRule type="expression" dxfId="7045" priority="7983">
      <formula>AK183="X"</formula>
    </cfRule>
    <cfRule type="expression" dxfId="7044" priority="7984">
      <formula>AK183="A"</formula>
    </cfRule>
    <cfRule type="expression" dxfId="7043" priority="7985">
      <formula>AK183="T"</formula>
    </cfRule>
  </conditionalFormatting>
  <conditionalFormatting sqref="AK186">
    <cfRule type="expression" dxfId="7042" priority="7980">
      <formula>AK185="X"</formula>
    </cfRule>
    <cfRule type="expression" dxfId="7041" priority="7981">
      <formula>AK185="A"</formula>
    </cfRule>
    <cfRule type="expression" dxfId="7040" priority="7982">
      <formula>AK185="T"</formula>
    </cfRule>
  </conditionalFormatting>
  <conditionalFormatting sqref="AK190">
    <cfRule type="expression" dxfId="7039" priority="7977">
      <formula>AK189="X"</formula>
    </cfRule>
    <cfRule type="expression" dxfId="7038" priority="7978">
      <formula>AK189="A"</formula>
    </cfRule>
    <cfRule type="expression" dxfId="7037" priority="7979">
      <formula>AK189="T"</formula>
    </cfRule>
  </conditionalFormatting>
  <conditionalFormatting sqref="AK192">
    <cfRule type="expression" dxfId="7036" priority="7974">
      <formula>AK191="X"</formula>
    </cfRule>
    <cfRule type="expression" dxfId="7035" priority="7975">
      <formula>AK191="A"</formula>
    </cfRule>
    <cfRule type="expression" dxfId="7034" priority="7976">
      <formula>AK191="T"</formula>
    </cfRule>
  </conditionalFormatting>
  <conditionalFormatting sqref="AK208">
    <cfRule type="expression" dxfId="7033" priority="7971">
      <formula>AK207="X"</formula>
    </cfRule>
    <cfRule type="expression" dxfId="7032" priority="7972">
      <formula>AK207="A"</formula>
    </cfRule>
    <cfRule type="expression" dxfId="7031" priority="7973">
      <formula>AK207="T"</formula>
    </cfRule>
  </conditionalFormatting>
  <conditionalFormatting sqref="AK211">
    <cfRule type="expression" dxfId="7030" priority="7968">
      <formula>AK211="X"</formula>
    </cfRule>
    <cfRule type="expression" dxfId="7029" priority="7969">
      <formula>AK211="A"</formula>
    </cfRule>
    <cfRule type="expression" dxfId="7028" priority="7970">
      <formula>AK211="T"</formula>
    </cfRule>
  </conditionalFormatting>
  <conditionalFormatting sqref="AK212">
    <cfRule type="expression" dxfId="7027" priority="7965">
      <formula>AK211="X"</formula>
    </cfRule>
    <cfRule type="expression" dxfId="7026" priority="7966">
      <formula>AK211="A"</formula>
    </cfRule>
    <cfRule type="expression" dxfId="7025" priority="7967">
      <formula>AK211="T"</formula>
    </cfRule>
  </conditionalFormatting>
  <conditionalFormatting sqref="AK213">
    <cfRule type="expression" dxfId="7024" priority="7962">
      <formula>AK213="X"</formula>
    </cfRule>
    <cfRule type="expression" dxfId="7023" priority="7963">
      <formula>AK213="A"</formula>
    </cfRule>
    <cfRule type="expression" dxfId="7022" priority="7964">
      <formula>AK213="T"</formula>
    </cfRule>
  </conditionalFormatting>
  <conditionalFormatting sqref="AK214">
    <cfRule type="expression" dxfId="7021" priority="7959">
      <formula>AK213="X"</formula>
    </cfRule>
    <cfRule type="expression" dxfId="7020" priority="7960">
      <formula>AK213="A"</formula>
    </cfRule>
    <cfRule type="expression" dxfId="7019" priority="7961">
      <formula>AK213="T"</formula>
    </cfRule>
  </conditionalFormatting>
  <conditionalFormatting sqref="AK215">
    <cfRule type="expression" dxfId="7018" priority="7956">
      <formula>AK215="X"</formula>
    </cfRule>
    <cfRule type="expression" dxfId="7017" priority="7957">
      <formula>AK215="A"</formula>
    </cfRule>
    <cfRule type="expression" dxfId="7016" priority="7958">
      <formula>AK215="T"</formula>
    </cfRule>
  </conditionalFormatting>
  <conditionalFormatting sqref="AK216">
    <cfRule type="expression" dxfId="7015" priority="7953">
      <formula>AK215="X"</formula>
    </cfRule>
    <cfRule type="expression" dxfId="7014" priority="7954">
      <formula>AK215="A"</formula>
    </cfRule>
    <cfRule type="expression" dxfId="7013" priority="7955">
      <formula>AK215="T"</formula>
    </cfRule>
  </conditionalFormatting>
  <conditionalFormatting sqref="AK217">
    <cfRule type="expression" dxfId="7012" priority="7950">
      <formula>AK217="X"</formula>
    </cfRule>
    <cfRule type="expression" dxfId="7011" priority="7951">
      <formula>AK217="A"</formula>
    </cfRule>
    <cfRule type="expression" dxfId="7010" priority="7952">
      <formula>AK217="T"</formula>
    </cfRule>
  </conditionalFormatting>
  <conditionalFormatting sqref="AK218">
    <cfRule type="expression" dxfId="7009" priority="7947">
      <formula>AK217="X"</formula>
    </cfRule>
    <cfRule type="expression" dxfId="7008" priority="7948">
      <formula>AK217="A"</formula>
    </cfRule>
    <cfRule type="expression" dxfId="7007" priority="7949">
      <formula>AK217="T"</formula>
    </cfRule>
  </conditionalFormatting>
  <conditionalFormatting sqref="AK219">
    <cfRule type="expression" dxfId="7006" priority="7944">
      <formula>AK219="X"</formula>
    </cfRule>
    <cfRule type="expression" dxfId="7005" priority="7945">
      <formula>AK219="A"</formula>
    </cfRule>
    <cfRule type="expression" dxfId="7004" priority="7946">
      <formula>AK219="T"</formula>
    </cfRule>
  </conditionalFormatting>
  <conditionalFormatting sqref="AK220">
    <cfRule type="expression" dxfId="7003" priority="7941">
      <formula>AK219="X"</formula>
    </cfRule>
    <cfRule type="expression" dxfId="7002" priority="7942">
      <formula>AK219="A"</formula>
    </cfRule>
    <cfRule type="expression" dxfId="7001" priority="7943">
      <formula>AK219="T"</formula>
    </cfRule>
  </conditionalFormatting>
  <conditionalFormatting sqref="AK221">
    <cfRule type="expression" dxfId="7000" priority="7938">
      <formula>AK221="X"</formula>
    </cfRule>
    <cfRule type="expression" dxfId="6999" priority="7939">
      <formula>AK221="A"</formula>
    </cfRule>
    <cfRule type="expression" dxfId="6998" priority="7940">
      <formula>AK221="T"</formula>
    </cfRule>
  </conditionalFormatting>
  <conditionalFormatting sqref="AK222">
    <cfRule type="expression" dxfId="6997" priority="7935">
      <formula>AK221="X"</formula>
    </cfRule>
    <cfRule type="expression" dxfId="6996" priority="7936">
      <formula>AK221="A"</formula>
    </cfRule>
    <cfRule type="expression" dxfId="6995" priority="7937">
      <formula>AK221="T"</formula>
    </cfRule>
  </conditionalFormatting>
  <conditionalFormatting sqref="AK223">
    <cfRule type="expression" dxfId="6994" priority="7932">
      <formula>AK223="X"</formula>
    </cfRule>
    <cfRule type="expression" dxfId="6993" priority="7933">
      <formula>AK223="A"</formula>
    </cfRule>
    <cfRule type="expression" dxfId="6992" priority="7934">
      <formula>AK223="T"</formula>
    </cfRule>
  </conditionalFormatting>
  <conditionalFormatting sqref="AK224">
    <cfRule type="expression" dxfId="6991" priority="7929">
      <formula>AK223="X"</formula>
    </cfRule>
    <cfRule type="expression" dxfId="6990" priority="7930">
      <formula>AK223="A"</formula>
    </cfRule>
    <cfRule type="expression" dxfId="6989" priority="7931">
      <formula>AK223="T"</formula>
    </cfRule>
  </conditionalFormatting>
  <conditionalFormatting sqref="AK4">
    <cfRule type="expression" dxfId="6988" priority="7926">
      <formula>AK4="X"</formula>
    </cfRule>
    <cfRule type="expression" dxfId="6987" priority="7927">
      <formula>AK4="A"</formula>
    </cfRule>
    <cfRule type="expression" dxfId="6986" priority="7928">
      <formula>AK4="T"</formula>
    </cfRule>
  </conditionalFormatting>
  <conditionalFormatting sqref="AK5">
    <cfRule type="expression" dxfId="6985" priority="7923">
      <formula>AK4="X"</formula>
    </cfRule>
    <cfRule type="expression" dxfId="6984" priority="7924">
      <formula>AK4="A"</formula>
    </cfRule>
    <cfRule type="expression" dxfId="6983" priority="7925">
      <formula>AK4="T"</formula>
    </cfRule>
  </conditionalFormatting>
  <conditionalFormatting sqref="AK6">
    <cfRule type="expression" dxfId="6982" priority="7920">
      <formula>AK6="X"</formula>
    </cfRule>
    <cfRule type="expression" dxfId="6981" priority="7921">
      <formula>AK6="A"</formula>
    </cfRule>
    <cfRule type="expression" dxfId="6980" priority="7922">
      <formula>AK6="T"</formula>
    </cfRule>
  </conditionalFormatting>
  <conditionalFormatting sqref="AK7">
    <cfRule type="expression" dxfId="6979" priority="7917">
      <formula>AK6="X"</formula>
    </cfRule>
    <cfRule type="expression" dxfId="6978" priority="7918">
      <formula>AK6="A"</formula>
    </cfRule>
    <cfRule type="expression" dxfId="6977" priority="7919">
      <formula>AK6="T"</formula>
    </cfRule>
  </conditionalFormatting>
  <conditionalFormatting sqref="AK8">
    <cfRule type="expression" dxfId="6976" priority="7914">
      <formula>AK8="X"</formula>
    </cfRule>
    <cfRule type="expression" dxfId="6975" priority="7915">
      <formula>AK8="A"</formula>
    </cfRule>
    <cfRule type="expression" dxfId="6974" priority="7916">
      <formula>AK8="T"</formula>
    </cfRule>
  </conditionalFormatting>
  <conditionalFormatting sqref="AK9">
    <cfRule type="expression" dxfId="6973" priority="7911">
      <formula>AK8="X"</formula>
    </cfRule>
    <cfRule type="expression" dxfId="6972" priority="7912">
      <formula>AK8="A"</formula>
    </cfRule>
    <cfRule type="expression" dxfId="6971" priority="7913">
      <formula>AK8="T"</formula>
    </cfRule>
  </conditionalFormatting>
  <conditionalFormatting sqref="AK74">
    <cfRule type="expression" dxfId="6970" priority="7908">
      <formula>AK74="X"</formula>
    </cfRule>
    <cfRule type="expression" dxfId="6969" priority="7909">
      <formula>AK74="A"</formula>
    </cfRule>
    <cfRule type="expression" dxfId="6968" priority="7910">
      <formula>AK74="T"</formula>
    </cfRule>
  </conditionalFormatting>
  <conditionalFormatting sqref="AK75">
    <cfRule type="expression" dxfId="6967" priority="7905">
      <formula>AK74="X"</formula>
    </cfRule>
    <cfRule type="expression" dxfId="6966" priority="7906">
      <formula>AK74="A"</formula>
    </cfRule>
    <cfRule type="expression" dxfId="6965" priority="7907">
      <formula>AK74="T"</formula>
    </cfRule>
  </conditionalFormatting>
  <conditionalFormatting sqref="AK76">
    <cfRule type="expression" dxfId="6964" priority="7902">
      <formula>AK76="X"</formula>
    </cfRule>
    <cfRule type="expression" dxfId="6963" priority="7903">
      <formula>AK76="A"</formula>
    </cfRule>
    <cfRule type="expression" dxfId="6962" priority="7904">
      <formula>AK76="T"</formula>
    </cfRule>
  </conditionalFormatting>
  <conditionalFormatting sqref="AK77">
    <cfRule type="expression" dxfId="6961" priority="7899">
      <formula>AK76="X"</formula>
    </cfRule>
    <cfRule type="expression" dxfId="6960" priority="7900">
      <formula>AK76="A"</formula>
    </cfRule>
    <cfRule type="expression" dxfId="6959" priority="7901">
      <formula>AK76="T"</formula>
    </cfRule>
  </conditionalFormatting>
  <conditionalFormatting sqref="AK78">
    <cfRule type="expression" dxfId="6958" priority="7896">
      <formula>AK78="X"</formula>
    </cfRule>
    <cfRule type="expression" dxfId="6957" priority="7897">
      <formula>AK78="A"</formula>
    </cfRule>
    <cfRule type="expression" dxfId="6956" priority="7898">
      <formula>AK78="T"</formula>
    </cfRule>
  </conditionalFormatting>
  <conditionalFormatting sqref="AK79">
    <cfRule type="expression" dxfId="6955" priority="7893">
      <formula>AK78="X"</formula>
    </cfRule>
    <cfRule type="expression" dxfId="6954" priority="7894">
      <formula>AK78="A"</formula>
    </cfRule>
    <cfRule type="expression" dxfId="6953" priority="7895">
      <formula>AK78="T"</formula>
    </cfRule>
  </conditionalFormatting>
  <conditionalFormatting sqref="AK134">
    <cfRule type="expression" dxfId="6952" priority="7890">
      <formula>AK134="X"</formula>
    </cfRule>
    <cfRule type="expression" dxfId="6951" priority="7891">
      <formula>AK134="A"</formula>
    </cfRule>
    <cfRule type="expression" dxfId="6950" priority="7892">
      <formula>AK134="T"</formula>
    </cfRule>
  </conditionalFormatting>
  <conditionalFormatting sqref="AK135">
    <cfRule type="expression" dxfId="6949" priority="7887">
      <formula>AK134="X"</formula>
    </cfRule>
    <cfRule type="expression" dxfId="6948" priority="7888">
      <formula>AK134="A"</formula>
    </cfRule>
    <cfRule type="expression" dxfId="6947" priority="7889">
      <formula>AK134="T"</formula>
    </cfRule>
  </conditionalFormatting>
  <conditionalFormatting sqref="AK136">
    <cfRule type="expression" dxfId="6946" priority="7884">
      <formula>AK136="X"</formula>
    </cfRule>
    <cfRule type="expression" dxfId="6945" priority="7885">
      <formula>AK136="A"</formula>
    </cfRule>
    <cfRule type="expression" dxfId="6944" priority="7886">
      <formula>AK136="T"</formula>
    </cfRule>
  </conditionalFormatting>
  <conditionalFormatting sqref="AK137">
    <cfRule type="expression" dxfId="6943" priority="7881">
      <formula>AK136="X"</formula>
    </cfRule>
    <cfRule type="expression" dxfId="6942" priority="7882">
      <formula>AK136="A"</formula>
    </cfRule>
    <cfRule type="expression" dxfId="6941" priority="7883">
      <formula>AK136="T"</formula>
    </cfRule>
  </conditionalFormatting>
  <conditionalFormatting sqref="AK138">
    <cfRule type="expression" dxfId="6940" priority="7878">
      <formula>AK138="X"</formula>
    </cfRule>
    <cfRule type="expression" dxfId="6939" priority="7879">
      <formula>AK138="A"</formula>
    </cfRule>
    <cfRule type="expression" dxfId="6938" priority="7880">
      <formula>AK138="T"</formula>
    </cfRule>
  </conditionalFormatting>
  <conditionalFormatting sqref="AK139">
    <cfRule type="expression" dxfId="6937" priority="7875">
      <formula>AK138="X"</formula>
    </cfRule>
    <cfRule type="expression" dxfId="6936" priority="7876">
      <formula>AK138="A"</formula>
    </cfRule>
    <cfRule type="expression" dxfId="6935" priority="7877">
      <formula>AK138="T"</formula>
    </cfRule>
  </conditionalFormatting>
  <conditionalFormatting sqref="AK10">
    <cfRule type="expression" dxfId="6934" priority="7872" stopIfTrue="1">
      <formula>AK4=""</formula>
    </cfRule>
  </conditionalFormatting>
  <conditionalFormatting sqref="AK10">
    <cfRule type="expression" dxfId="6933" priority="7873" stopIfTrue="1">
      <formula>AK10=1</formula>
    </cfRule>
    <cfRule type="colorScale" priority="7874">
      <colorScale>
        <cfvo type="num" val="0"/>
        <cfvo type="num" val="0.5"/>
        <cfvo type="num" val="1"/>
        <color rgb="FFF8696B"/>
        <color theme="4" tint="0.79998168889431442"/>
        <color rgb="FF5A8AC6"/>
      </colorScale>
    </cfRule>
  </conditionalFormatting>
  <conditionalFormatting sqref="AK15">
    <cfRule type="expression" dxfId="6932" priority="7869" stopIfTrue="1">
      <formula>AK11=""</formula>
    </cfRule>
  </conditionalFormatting>
  <conditionalFormatting sqref="AK15">
    <cfRule type="expression" dxfId="6931" priority="7870" stopIfTrue="1">
      <formula>AK15=1</formula>
    </cfRule>
    <cfRule type="colorScale" priority="7871">
      <colorScale>
        <cfvo type="num" val="0"/>
        <cfvo type="num" val="0.5"/>
        <cfvo type="num" val="1"/>
        <color rgb="FFF8696B"/>
        <color theme="4" tint="0.79998168889431442"/>
        <color rgb="FF5A8AC6"/>
      </colorScale>
    </cfRule>
  </conditionalFormatting>
  <conditionalFormatting sqref="AK38">
    <cfRule type="expression" dxfId="6930" priority="7866" stopIfTrue="1">
      <formula>AK16=""</formula>
    </cfRule>
  </conditionalFormatting>
  <conditionalFormatting sqref="AK38">
    <cfRule type="expression" dxfId="6929" priority="7867" stopIfTrue="1">
      <formula>AK38=1</formula>
    </cfRule>
    <cfRule type="colorScale" priority="7868">
      <colorScale>
        <cfvo type="num" val="0"/>
        <cfvo type="num" val="0.5"/>
        <cfvo type="num" val="1"/>
        <color rgb="FFF8696B"/>
        <color theme="4" tint="0.79998168889431442"/>
        <color rgb="FF5A8AC6"/>
      </colorScale>
    </cfRule>
  </conditionalFormatting>
  <conditionalFormatting sqref="AK47">
    <cfRule type="expression" dxfId="6928" priority="7863" stopIfTrue="1">
      <formula>AK39=""</formula>
    </cfRule>
  </conditionalFormatting>
  <conditionalFormatting sqref="AK47">
    <cfRule type="expression" dxfId="6927" priority="7864" stopIfTrue="1">
      <formula>AK47=1</formula>
    </cfRule>
    <cfRule type="colorScale" priority="7865">
      <colorScale>
        <cfvo type="num" val="0"/>
        <cfvo type="num" val="0.5"/>
        <cfvo type="num" val="1"/>
        <color rgb="FFF8696B"/>
        <color theme="4" tint="0.79998168889431442"/>
        <color rgb="FF5A8AC6"/>
      </colorScale>
    </cfRule>
  </conditionalFormatting>
  <conditionalFormatting sqref="AK69">
    <cfRule type="expression" dxfId="6926" priority="7858" stopIfTrue="1">
      <formula>AK69=1</formula>
    </cfRule>
    <cfRule type="colorScale" priority="7859">
      <colorScale>
        <cfvo type="num" val="0"/>
        <cfvo type="num" val="0.5"/>
        <cfvo type="num" val="1"/>
        <color rgb="FFF8696B"/>
        <color theme="4" tint="0.79998168889431442"/>
        <color rgb="FF5A8AC6"/>
      </colorScale>
    </cfRule>
  </conditionalFormatting>
  <conditionalFormatting sqref="AK69">
    <cfRule type="expression" dxfId="6925" priority="7857" stopIfTrue="1">
      <formula>AK63=""</formula>
    </cfRule>
  </conditionalFormatting>
  <conditionalFormatting sqref="AK80">
    <cfRule type="expression" dxfId="6924" priority="7854" stopIfTrue="1">
      <formula>AK74=""</formula>
    </cfRule>
  </conditionalFormatting>
  <conditionalFormatting sqref="AK80">
    <cfRule type="expression" dxfId="6923" priority="7855" stopIfTrue="1">
      <formula>AK80=1</formula>
    </cfRule>
    <cfRule type="colorScale" priority="7856">
      <colorScale>
        <cfvo type="num" val="0"/>
        <cfvo type="num" val="0.5"/>
        <cfvo type="num" val="1"/>
        <color rgb="FFF8696B"/>
        <color theme="4" tint="0.79998168889431442"/>
        <color rgb="FF5A8AC6"/>
      </colorScale>
    </cfRule>
  </conditionalFormatting>
  <conditionalFormatting sqref="AK87">
    <cfRule type="expression" dxfId="6922" priority="7851" stopIfTrue="1">
      <formula>AK81=""</formula>
    </cfRule>
  </conditionalFormatting>
  <conditionalFormatting sqref="AK87">
    <cfRule type="expression" dxfId="6921" priority="7852" stopIfTrue="1">
      <formula>AK87=1</formula>
    </cfRule>
    <cfRule type="colorScale" priority="7853">
      <colorScale>
        <cfvo type="num" val="0"/>
        <cfvo type="num" val="0.5"/>
        <cfvo type="num" val="1"/>
        <color rgb="FFF8696B"/>
        <color theme="4" tint="0.79998168889431442"/>
        <color rgb="FF5A8AC6"/>
      </colorScale>
    </cfRule>
  </conditionalFormatting>
  <conditionalFormatting sqref="AK104">
    <cfRule type="expression" dxfId="6920" priority="7848" stopIfTrue="1">
      <formula>AK88=""</formula>
    </cfRule>
  </conditionalFormatting>
  <conditionalFormatting sqref="AK104">
    <cfRule type="expression" dxfId="6919" priority="7849" stopIfTrue="1">
      <formula>AK104=1</formula>
    </cfRule>
    <cfRule type="colorScale" priority="7850">
      <colorScale>
        <cfvo type="num" val="0"/>
        <cfvo type="num" val="0.5"/>
        <cfvo type="num" val="1"/>
        <color rgb="FFF8696B"/>
        <color theme="4" tint="0.79998168889431442"/>
        <color rgb="FF5A8AC6"/>
      </colorScale>
    </cfRule>
  </conditionalFormatting>
  <conditionalFormatting sqref="AK115">
    <cfRule type="expression" dxfId="6918" priority="7845" stopIfTrue="1">
      <formula>AK105=""</formula>
    </cfRule>
  </conditionalFormatting>
  <conditionalFormatting sqref="AK115">
    <cfRule type="expression" dxfId="6917" priority="7846" stopIfTrue="1">
      <formula>AK115=1</formula>
    </cfRule>
    <cfRule type="colorScale" priority="7847">
      <colorScale>
        <cfvo type="num" val="0"/>
        <cfvo type="num" val="0.5"/>
        <cfvo type="num" val="1"/>
        <color rgb="FFF8696B"/>
        <color theme="4" tint="0.79998168889431442"/>
        <color rgb="FF5A8AC6"/>
      </colorScale>
    </cfRule>
  </conditionalFormatting>
  <conditionalFormatting sqref="AK124">
    <cfRule type="expression" dxfId="6916" priority="7842" stopIfTrue="1">
      <formula>AK116=""</formula>
    </cfRule>
  </conditionalFormatting>
  <conditionalFormatting sqref="AK124">
    <cfRule type="expression" dxfId="6915" priority="7843" stopIfTrue="1">
      <formula>AK124=1</formula>
    </cfRule>
    <cfRule type="colorScale" priority="7844">
      <colorScale>
        <cfvo type="num" val="0"/>
        <cfvo type="num" val="0.5"/>
        <cfvo type="num" val="1"/>
        <color rgb="FFF8696B"/>
        <color theme="4" tint="0.79998168889431442"/>
        <color rgb="FF5A8AC6"/>
      </colorScale>
    </cfRule>
  </conditionalFormatting>
  <conditionalFormatting sqref="AK129">
    <cfRule type="expression" dxfId="6914" priority="7839" stopIfTrue="1">
      <formula>AK125=""</formula>
    </cfRule>
  </conditionalFormatting>
  <conditionalFormatting sqref="AK129">
    <cfRule type="expression" dxfId="6913" priority="7840" stopIfTrue="1">
      <formula>AK129=1</formula>
    </cfRule>
    <cfRule type="colorScale" priority="7841">
      <colorScale>
        <cfvo type="num" val="0"/>
        <cfvo type="num" val="0.5"/>
        <cfvo type="num" val="1"/>
        <color rgb="FFF8696B"/>
        <color theme="4" tint="0.79998168889431442"/>
        <color rgb="FF5A8AC6"/>
      </colorScale>
    </cfRule>
  </conditionalFormatting>
  <conditionalFormatting sqref="AK140">
    <cfRule type="expression" dxfId="6912" priority="7836" stopIfTrue="1">
      <formula>AK134=""</formula>
    </cfRule>
  </conditionalFormatting>
  <conditionalFormatting sqref="AK140">
    <cfRule type="expression" dxfId="6911" priority="7837" stopIfTrue="1">
      <formula>AK140=1</formula>
    </cfRule>
    <cfRule type="colorScale" priority="7838">
      <colorScale>
        <cfvo type="num" val="0"/>
        <cfvo type="num" val="0.5"/>
        <cfvo type="num" val="1"/>
        <color rgb="FFF8696B"/>
        <color theme="4" tint="0.79998168889431442"/>
        <color rgb="FF5A8AC6"/>
      </colorScale>
    </cfRule>
  </conditionalFormatting>
  <conditionalFormatting sqref="AK145">
    <cfRule type="expression" dxfId="6910" priority="7833" stopIfTrue="1">
      <formula>AK141=""</formula>
    </cfRule>
  </conditionalFormatting>
  <conditionalFormatting sqref="AK145">
    <cfRule type="expression" dxfId="6909" priority="7834" stopIfTrue="1">
      <formula>AK145=1</formula>
    </cfRule>
    <cfRule type="colorScale" priority="7835">
      <colorScale>
        <cfvo type="num" val="0"/>
        <cfvo type="num" val="0.5"/>
        <cfvo type="num" val="1"/>
        <color rgb="FFF8696B"/>
        <color theme="4" tint="0.79998168889431442"/>
        <color rgb="FF5A8AC6"/>
      </colorScale>
    </cfRule>
  </conditionalFormatting>
  <conditionalFormatting sqref="AK153">
    <cfRule type="expression" dxfId="6908" priority="7830" stopIfTrue="1">
      <formula>AK149=""</formula>
    </cfRule>
  </conditionalFormatting>
  <conditionalFormatting sqref="AK153">
    <cfRule type="expression" dxfId="6907" priority="7831" stopIfTrue="1">
      <formula>AK153=1</formula>
    </cfRule>
    <cfRule type="colorScale" priority="7832">
      <colorScale>
        <cfvo type="num" val="0"/>
        <cfvo type="num" val="0.5"/>
        <cfvo type="num" val="1"/>
        <color rgb="FFF8696B"/>
        <color theme="4" tint="0.79998168889431442"/>
        <color rgb="FF5A8AC6"/>
      </colorScale>
    </cfRule>
  </conditionalFormatting>
  <conditionalFormatting sqref="AK165">
    <cfRule type="expression" dxfId="6906" priority="7827" stopIfTrue="1">
      <formula>AK155=""</formula>
    </cfRule>
  </conditionalFormatting>
  <conditionalFormatting sqref="AK165">
    <cfRule type="expression" dxfId="6905" priority="7828" stopIfTrue="1">
      <formula>AK165=1</formula>
    </cfRule>
    <cfRule type="colorScale" priority="7829">
      <colorScale>
        <cfvo type="num" val="0"/>
        <cfvo type="num" val="0.5"/>
        <cfvo type="num" val="1"/>
        <color rgb="FFF8696B"/>
        <color theme="4" tint="0.79998168889431442"/>
        <color rgb="FF5A8AC6"/>
      </colorScale>
    </cfRule>
  </conditionalFormatting>
  <conditionalFormatting sqref="AK187">
    <cfRule type="expression" dxfId="6904" priority="7824" stopIfTrue="1">
      <formula>AK183=""</formula>
    </cfRule>
  </conditionalFormatting>
  <conditionalFormatting sqref="AK187">
    <cfRule type="expression" dxfId="6903" priority="7825" stopIfTrue="1">
      <formula>AK187=1</formula>
    </cfRule>
    <cfRule type="colorScale" priority="7826">
      <colorScale>
        <cfvo type="num" val="0"/>
        <cfvo type="num" val="0.5"/>
        <cfvo type="num" val="1"/>
        <color rgb="FFF8696B"/>
        <color theme="4" tint="0.79998168889431442"/>
        <color rgb="FF5A8AC6"/>
      </colorScale>
    </cfRule>
  </conditionalFormatting>
  <conditionalFormatting sqref="AK193">
    <cfRule type="expression" dxfId="6902" priority="7821" stopIfTrue="1">
      <formula>AK189=""</formula>
    </cfRule>
  </conditionalFormatting>
  <conditionalFormatting sqref="AK193">
    <cfRule type="expression" dxfId="6901" priority="7822" stopIfTrue="1">
      <formula>AK193=1</formula>
    </cfRule>
    <cfRule type="colorScale" priority="7823">
      <colorScale>
        <cfvo type="num" val="0"/>
        <cfvo type="num" val="0.5"/>
        <cfvo type="num" val="1"/>
        <color rgb="FFF8696B"/>
        <color theme="4" tint="0.79998168889431442"/>
        <color rgb="FF5A8AC6"/>
      </colorScale>
    </cfRule>
  </conditionalFormatting>
  <conditionalFormatting sqref="AK181">
    <cfRule type="expression" dxfId="6900" priority="7818" stopIfTrue="1">
      <formula>AK167=""</formula>
    </cfRule>
  </conditionalFormatting>
  <conditionalFormatting sqref="AK181">
    <cfRule type="expression" dxfId="6899" priority="7819" stopIfTrue="1">
      <formula>AK181=1</formula>
    </cfRule>
    <cfRule type="colorScale" priority="7820">
      <colorScale>
        <cfvo type="num" val="0"/>
        <cfvo type="num" val="0.5"/>
        <cfvo type="num" val="1"/>
        <color rgb="FFF8696B"/>
        <color theme="4" tint="0.79998168889431442"/>
        <color rgb="FF5A8AC6"/>
      </colorScale>
    </cfRule>
  </conditionalFormatting>
  <conditionalFormatting sqref="AK209">
    <cfRule type="expression" dxfId="6898" priority="7815" stopIfTrue="1">
      <formula>AK195=""</formula>
    </cfRule>
  </conditionalFormatting>
  <conditionalFormatting sqref="AK209">
    <cfRule type="expression" dxfId="6897" priority="7816" stopIfTrue="1">
      <formula>AK209=1</formula>
    </cfRule>
    <cfRule type="colorScale" priority="7817">
      <colorScale>
        <cfvo type="num" val="0"/>
        <cfvo type="num" val="0.5"/>
        <cfvo type="num" val="1"/>
        <color rgb="FFF8696B"/>
        <color theme="4" tint="0.79998168889431442"/>
        <color rgb="FF5A8AC6"/>
      </colorScale>
    </cfRule>
  </conditionalFormatting>
  <conditionalFormatting sqref="AK225">
    <cfRule type="expression" dxfId="6896" priority="7812" stopIfTrue="1">
      <formula>AK211=""</formula>
    </cfRule>
  </conditionalFormatting>
  <conditionalFormatting sqref="AK225">
    <cfRule type="expression" dxfId="6895" priority="7813" stopIfTrue="1">
      <formula>AK225=1</formula>
    </cfRule>
    <cfRule type="colorScale" priority="7814">
      <colorScale>
        <cfvo type="num" val="0"/>
        <cfvo type="num" val="0.5"/>
        <cfvo type="num" val="1"/>
        <color rgb="FFF8696B"/>
        <color theme="4" tint="0.79998168889431442"/>
        <color rgb="FF5A8AC6"/>
      </colorScale>
    </cfRule>
  </conditionalFormatting>
  <conditionalFormatting sqref="AK71">
    <cfRule type="expression" dxfId="6894" priority="7804" stopIfTrue="1">
      <formula>AK71=1</formula>
    </cfRule>
    <cfRule type="colorScale" priority="7805">
      <colorScale>
        <cfvo type="num" val="0"/>
        <cfvo type="num" val="0.5"/>
        <cfvo type="num" val="1"/>
        <color rgb="FFF8696B"/>
        <color theme="4" tint="0.79998168889431442"/>
        <color rgb="FF5A8AC6"/>
      </colorScale>
    </cfRule>
  </conditionalFormatting>
  <conditionalFormatting sqref="AK147">
    <cfRule type="expression" dxfId="6893" priority="7809" stopIfTrue="1">
      <formula>AK134=""</formula>
    </cfRule>
  </conditionalFormatting>
  <conditionalFormatting sqref="AK147">
    <cfRule type="expression" dxfId="6892" priority="7810" stopIfTrue="1">
      <formula>AK147=1</formula>
    </cfRule>
    <cfRule type="colorScale" priority="7811">
      <colorScale>
        <cfvo type="num" val="0"/>
        <cfvo type="num" val="0.5"/>
        <cfvo type="num" val="1"/>
        <color rgb="FFF8696B"/>
        <color theme="4" tint="0.79998168889431442"/>
        <color rgb="FF5A8AC6"/>
      </colorScale>
    </cfRule>
  </conditionalFormatting>
  <conditionalFormatting sqref="AK131">
    <cfRule type="expression" dxfId="6891" priority="7806" stopIfTrue="1">
      <formula>AK74=""</formula>
    </cfRule>
  </conditionalFormatting>
  <conditionalFormatting sqref="AK131">
    <cfRule type="expression" dxfId="6890" priority="7807" stopIfTrue="1">
      <formula>AK131=1</formula>
    </cfRule>
    <cfRule type="colorScale" priority="7808">
      <colorScale>
        <cfvo type="num" val="0"/>
        <cfvo type="num" val="0.5"/>
        <cfvo type="num" val="1"/>
        <color rgb="FFF8696B"/>
        <color theme="4" tint="0.79998168889431442"/>
        <color rgb="FF5A8AC6"/>
      </colorScale>
    </cfRule>
  </conditionalFormatting>
  <conditionalFormatting sqref="AK71">
    <cfRule type="expression" dxfId="6889" priority="7803" stopIfTrue="1">
      <formula>AK65=""</formula>
    </cfRule>
  </conditionalFormatting>
  <conditionalFormatting sqref="AK195">
    <cfRule type="expression" dxfId="6888" priority="7800">
      <formula>AK195="X"</formula>
    </cfRule>
    <cfRule type="expression" dxfId="6887" priority="7801">
      <formula>AK195="A"</formula>
    </cfRule>
    <cfRule type="expression" dxfId="6886" priority="7802">
      <formula>AK195="T"</formula>
    </cfRule>
  </conditionalFormatting>
  <conditionalFormatting sqref="AK203">
    <cfRule type="expression" dxfId="6885" priority="7797">
      <formula>AK203="X"</formula>
    </cfRule>
    <cfRule type="expression" dxfId="6884" priority="7798">
      <formula>AK203="A"</formula>
    </cfRule>
    <cfRule type="expression" dxfId="6883" priority="7799">
      <formula>AK203="T"</formula>
    </cfRule>
  </conditionalFormatting>
  <conditionalFormatting sqref="AK205">
    <cfRule type="expression" dxfId="6882" priority="7794">
      <formula>AK205="X"</formula>
    </cfRule>
    <cfRule type="expression" dxfId="6881" priority="7795">
      <formula>AK205="A"</formula>
    </cfRule>
    <cfRule type="expression" dxfId="6880" priority="7796">
      <formula>AK205="T"</formula>
    </cfRule>
  </conditionalFormatting>
  <conditionalFormatting sqref="AK207">
    <cfRule type="expression" dxfId="6879" priority="7791">
      <formula>AK207="X"</formula>
    </cfRule>
    <cfRule type="expression" dxfId="6878" priority="7792">
      <formula>AK207="A"</formula>
    </cfRule>
    <cfRule type="expression" dxfId="6877" priority="7793">
      <formula>AK207="T"</formula>
    </cfRule>
  </conditionalFormatting>
  <conditionalFormatting sqref="AK204">
    <cfRule type="expression" dxfId="6876" priority="7788">
      <formula>AK203="X"</formula>
    </cfRule>
    <cfRule type="expression" dxfId="6875" priority="7789">
      <formula>AK203="A"</formula>
    </cfRule>
    <cfRule type="expression" dxfId="6874" priority="7790">
      <formula>AK203="T"</formula>
    </cfRule>
  </conditionalFormatting>
  <conditionalFormatting sqref="AK206">
    <cfRule type="expression" dxfId="6873" priority="7785">
      <formula>AK205="X"</formula>
    </cfRule>
    <cfRule type="expression" dxfId="6872" priority="7786">
      <formula>AK205="A"</formula>
    </cfRule>
    <cfRule type="expression" dxfId="6871" priority="7787">
      <formula>AK205="T"</formula>
    </cfRule>
  </conditionalFormatting>
  <conditionalFormatting sqref="AK196">
    <cfRule type="expression" dxfId="6870" priority="7782">
      <formula>AK195="X"</formula>
    </cfRule>
    <cfRule type="expression" dxfId="6869" priority="7783">
      <formula>AK195="A"</formula>
    </cfRule>
    <cfRule type="expression" dxfId="6868" priority="7784">
      <formula>AK195="T"</formula>
    </cfRule>
  </conditionalFormatting>
  <conditionalFormatting sqref="AK197">
    <cfRule type="expression" dxfId="6867" priority="7779">
      <formula>AK197="X"</formula>
    </cfRule>
    <cfRule type="expression" dxfId="6866" priority="7780">
      <formula>AK197="A"</formula>
    </cfRule>
    <cfRule type="expression" dxfId="6865" priority="7781">
      <formula>AK197="T"</formula>
    </cfRule>
  </conditionalFormatting>
  <conditionalFormatting sqref="AK198">
    <cfRule type="expression" dxfId="6864" priority="7776">
      <formula>AK197="X"</formula>
    </cfRule>
    <cfRule type="expression" dxfId="6863" priority="7777">
      <formula>AK197="A"</formula>
    </cfRule>
    <cfRule type="expression" dxfId="6862" priority="7778">
      <formula>AK197="T"</formula>
    </cfRule>
  </conditionalFormatting>
  <conditionalFormatting sqref="AK199">
    <cfRule type="expression" dxfId="6861" priority="7773">
      <formula>AK199="X"</formula>
    </cfRule>
    <cfRule type="expression" dxfId="6860" priority="7774">
      <formula>AK199="A"</formula>
    </cfRule>
    <cfRule type="expression" dxfId="6859" priority="7775">
      <formula>AK199="T"</formula>
    </cfRule>
  </conditionalFormatting>
  <conditionalFormatting sqref="AK200">
    <cfRule type="expression" dxfId="6858" priority="7770">
      <formula>AK199="X"</formula>
    </cfRule>
    <cfRule type="expression" dxfId="6857" priority="7771">
      <formula>AK199="A"</formula>
    </cfRule>
    <cfRule type="expression" dxfId="6856" priority="7772">
      <formula>AK199="T"</formula>
    </cfRule>
  </conditionalFormatting>
  <conditionalFormatting sqref="AK201">
    <cfRule type="expression" dxfId="6855" priority="7767">
      <formula>AK201="X"</formula>
    </cfRule>
    <cfRule type="expression" dxfId="6854" priority="7768">
      <formula>AK201="A"</formula>
    </cfRule>
    <cfRule type="expression" dxfId="6853" priority="7769">
      <formula>AK201="T"</formula>
    </cfRule>
  </conditionalFormatting>
  <conditionalFormatting sqref="AK202">
    <cfRule type="expression" dxfId="6852" priority="7764">
      <formula>AK201="X"</formula>
    </cfRule>
    <cfRule type="expression" dxfId="6851" priority="7765">
      <formula>AK201="A"</formula>
    </cfRule>
    <cfRule type="expression" dxfId="6850" priority="7766">
      <formula>AK201="T"</formula>
    </cfRule>
  </conditionalFormatting>
  <conditionalFormatting sqref="AK72">
    <cfRule type="expression" dxfId="6849" priority="7761" stopIfTrue="1">
      <formula>AK4=""</formula>
    </cfRule>
  </conditionalFormatting>
  <conditionalFormatting sqref="AK72">
    <cfRule type="expression" dxfId="6848" priority="7762" stopIfTrue="1">
      <formula>AK72=1</formula>
    </cfRule>
    <cfRule type="colorScale" priority="7763">
      <colorScale>
        <cfvo type="num" val="0"/>
        <cfvo type="num" val="0.5"/>
        <cfvo type="num" val="1"/>
        <color rgb="FFF8696B"/>
        <color theme="4" tint="0.79998168889431442"/>
        <color rgb="FF5A8AC6"/>
      </colorScale>
    </cfRule>
  </conditionalFormatting>
  <conditionalFormatting sqref="AK132">
    <cfRule type="expression" dxfId="6847" priority="7759" stopIfTrue="1">
      <formula>AK132=1</formula>
    </cfRule>
    <cfRule type="colorScale" priority="7760">
      <colorScale>
        <cfvo type="num" val="0"/>
        <cfvo type="num" val="0.5"/>
        <cfvo type="num" val="1"/>
        <color rgb="FFF8696B"/>
        <color theme="4" tint="0.79998168889431442"/>
        <color rgb="FF5A8AC6"/>
      </colorScale>
    </cfRule>
  </conditionalFormatting>
  <conditionalFormatting sqref="AK132">
    <cfRule type="expression" dxfId="6846" priority="7758" stopIfTrue="1">
      <formula>AK74=""</formula>
    </cfRule>
  </conditionalFormatting>
  <conditionalFormatting sqref="AK230:AK237">
    <cfRule type="expression" dxfId="6845" priority="7754" stopIfTrue="1">
      <formula>AK230=_xlfn.UNICHAR(10003)</formula>
    </cfRule>
    <cfRule type="colorScale" priority="7755">
      <colorScale>
        <cfvo type="num" val="0"/>
        <cfvo type="num" val="0.5"/>
        <cfvo type="num" val="1"/>
        <color rgb="FFF8696B"/>
        <color theme="4" tint="0.79998168889431442"/>
        <color rgb="FF5A8AC6"/>
      </colorScale>
    </cfRule>
  </conditionalFormatting>
  <conditionalFormatting sqref="AK239">
    <cfRule type="expression" dxfId="6844" priority="7752" stopIfTrue="1">
      <formula>AK239=_xlfn.UNICHAR(10003)</formula>
    </cfRule>
    <cfRule type="colorScale" priority="7753">
      <colorScale>
        <cfvo type="num" val="0"/>
        <cfvo type="num" val="0.5"/>
        <cfvo type="num" val="1"/>
        <color rgb="FFF8696B"/>
        <color theme="4" tint="0.79998168889431442"/>
        <color rgb="FF5A8AC6"/>
      </colorScale>
    </cfRule>
  </conditionalFormatting>
  <conditionalFormatting sqref="AK239">
    <cfRule type="expression" dxfId="6843" priority="7750" stopIfTrue="1">
      <formula>AK239=1</formula>
    </cfRule>
    <cfRule type="colorScale" priority="7751">
      <colorScale>
        <cfvo type="num" val="0"/>
        <cfvo type="num" val="0.5"/>
        <cfvo type="num" val="1"/>
        <color rgb="FFF8696B"/>
        <color theme="4" tint="0.79998168889431442"/>
        <color rgb="FF5A8AC6"/>
      </colorScale>
    </cfRule>
  </conditionalFormatting>
  <conditionalFormatting sqref="AK228">
    <cfRule type="expression" dxfId="6842" priority="7749" stopIfTrue="1">
      <formula>AK228=UNICAHR(10003)</formula>
    </cfRule>
    <cfRule type="expression" dxfId="6841" priority="7756" stopIfTrue="1">
      <formula>AK228=CONCATENATE(_xlfn.UNICHAR(10003),_xlfn.UNICHAR(10003))</formula>
    </cfRule>
    <cfRule type="colorScale" priority="7757">
      <colorScale>
        <cfvo type="num" val="0"/>
        <cfvo type="num" val="0.5"/>
        <cfvo type="num" val="1"/>
        <color rgb="FFF8696B"/>
        <color theme="4" tint="0.79998168889431442"/>
        <color rgb="FF5A8AC6"/>
      </colorScale>
    </cfRule>
  </conditionalFormatting>
  <conditionalFormatting sqref="AK238 AK229">
    <cfRule type="expression" dxfId="6840" priority="7746" stopIfTrue="1">
      <formula>AK229=_xlfn.UNICHAR(10003)</formula>
    </cfRule>
    <cfRule type="expression" dxfId="6839" priority="7747" stopIfTrue="1">
      <formula>AK229=CONCATENATE(_xlfn.UNICHAR(10003),_xlfn.UNICHAR(10003))</formula>
    </cfRule>
    <cfRule type="colorScale" priority="7748">
      <colorScale>
        <cfvo type="num" val="0"/>
        <cfvo type="num" val="0.5"/>
        <cfvo type="num" val="1"/>
        <color rgb="FFF8696B"/>
        <color theme="4" tint="0.79998168889431442"/>
        <color rgb="FF5A8AC6"/>
      </colorScale>
    </cfRule>
  </conditionalFormatting>
  <conditionalFormatting sqref="AK238">
    <cfRule type="expression" dxfId="6838" priority="7743" stopIfTrue="1">
      <formula>AK238=_xlfn.UNICHAR(10003)</formula>
    </cfRule>
    <cfRule type="expression" dxfId="6837" priority="7744" stopIfTrue="1">
      <formula>AK238=CONCATENATE(_xlfn.UNICHAR(10003),_xlfn.UNICHAR(10003))</formula>
    </cfRule>
    <cfRule type="colorScale" priority="7745">
      <colorScale>
        <cfvo type="num" val="0"/>
        <cfvo type="num" val="0.5"/>
        <cfvo type="num" val="1"/>
        <color rgb="FFF8696B"/>
        <color theme="4" tint="0.79998168889431442"/>
        <color rgb="FF5A8AC6"/>
      </colorScale>
    </cfRule>
  </conditionalFormatting>
  <conditionalFormatting sqref="AK159">
    <cfRule type="expression" dxfId="6836" priority="7740">
      <formula>AK159="X"</formula>
    </cfRule>
    <cfRule type="expression" dxfId="6835" priority="7741">
      <formula>AK159="A"</formula>
    </cfRule>
    <cfRule type="expression" dxfId="6834" priority="7742">
      <formula>AK159="T"</formula>
    </cfRule>
  </conditionalFormatting>
  <conditionalFormatting sqref="AK162">
    <cfRule type="expression" dxfId="6833" priority="7737">
      <formula>AK161="X"</formula>
    </cfRule>
    <cfRule type="expression" dxfId="6832" priority="7738">
      <formula>AK161="A"</formula>
    </cfRule>
    <cfRule type="expression" dxfId="6831" priority="7739">
      <formula>AK161="T"</formula>
    </cfRule>
  </conditionalFormatting>
  <conditionalFormatting sqref="AK161">
    <cfRule type="expression" dxfId="6830" priority="7734">
      <formula>AK161="X"</formula>
    </cfRule>
    <cfRule type="expression" dxfId="6829" priority="7735">
      <formula>AK161="A"</formula>
    </cfRule>
    <cfRule type="expression" dxfId="6828" priority="7736">
      <formula>AK161="T"</formula>
    </cfRule>
  </conditionalFormatting>
  <conditionalFormatting sqref="AK164">
    <cfRule type="expression" dxfId="6827" priority="7731">
      <formula>AK163="X"</formula>
    </cfRule>
    <cfRule type="expression" dxfId="6826" priority="7732">
      <formula>AK163="A"</formula>
    </cfRule>
    <cfRule type="expression" dxfId="6825" priority="7733">
      <formula>AK163="T"</formula>
    </cfRule>
  </conditionalFormatting>
  <conditionalFormatting sqref="AK163">
    <cfRule type="expression" dxfId="6824" priority="7728">
      <formula>AK163="X"</formula>
    </cfRule>
    <cfRule type="expression" dxfId="6823" priority="7729">
      <formula>AK163="A"</formula>
    </cfRule>
    <cfRule type="expression" dxfId="6822" priority="7730">
      <formula>AK163="T"</formula>
    </cfRule>
  </conditionalFormatting>
  <conditionalFormatting sqref="U165:Y165">
    <cfRule type="expression" dxfId="6821" priority="7722" stopIfTrue="1">
      <formula>U155=""</formula>
    </cfRule>
  </conditionalFormatting>
  <conditionalFormatting sqref="U165:Y165">
    <cfRule type="expression" dxfId="6820" priority="7723" stopIfTrue="1">
      <formula>U165=1</formula>
    </cfRule>
    <cfRule type="colorScale" priority="7724">
      <colorScale>
        <cfvo type="num" val="0"/>
        <cfvo type="num" val="0.5"/>
        <cfvo type="num" val="1"/>
        <color rgb="FFF8696B"/>
        <color theme="4" tint="0.79998168889431442"/>
        <color rgb="FF5A8AC6"/>
      </colorScale>
    </cfRule>
  </conditionalFormatting>
  <conditionalFormatting sqref="G165:L165">
    <cfRule type="expression" dxfId="6819" priority="7719" stopIfTrue="1">
      <formula>G155=""</formula>
    </cfRule>
  </conditionalFormatting>
  <conditionalFormatting sqref="G165:L165">
    <cfRule type="expression" dxfId="6818" priority="7720" stopIfTrue="1">
      <formula>G165=1</formula>
    </cfRule>
    <cfRule type="colorScale" priority="7721">
      <colorScale>
        <cfvo type="num" val="0"/>
        <cfvo type="num" val="0.5"/>
        <cfvo type="num" val="1"/>
        <color rgb="FFF8696B"/>
        <color theme="4" tint="0.79998168889431442"/>
        <color rgb="FF5A8AC6"/>
      </colorScale>
    </cfRule>
  </conditionalFormatting>
  <conditionalFormatting sqref="AE158">
    <cfRule type="expression" dxfId="6817" priority="7716">
      <formula>AE157="X"</formula>
    </cfRule>
    <cfRule type="expression" dxfId="6816" priority="7717">
      <formula>AE157="A"</formula>
    </cfRule>
    <cfRule type="expression" dxfId="6815" priority="7718">
      <formula>AE157="T"</formula>
    </cfRule>
  </conditionalFormatting>
  <conditionalFormatting sqref="AE16 AE18 AE20 AE22 AE24 AE26 AE28 AE48 AE81 AE88 AE90 AE92 AE94 AE96 AE98 AE100 AE102 AE116">
    <cfRule type="expression" dxfId="6814" priority="7713">
      <formula>AE16="X"</formula>
    </cfRule>
    <cfRule type="expression" dxfId="6813" priority="7714">
      <formula>AE16="A"</formula>
    </cfRule>
    <cfRule type="expression" dxfId="6812" priority="7715">
      <formula>AE16="T"</formula>
    </cfRule>
  </conditionalFormatting>
  <conditionalFormatting sqref="AE36">
    <cfRule type="expression" dxfId="6811" priority="7710">
      <formula>AE36="X"</formula>
    </cfRule>
    <cfRule type="expression" dxfId="6810" priority="7711">
      <formula>AE36="A"</formula>
    </cfRule>
    <cfRule type="expression" dxfId="6809" priority="7712">
      <formula>AE36="T"</formula>
    </cfRule>
  </conditionalFormatting>
  <conditionalFormatting sqref="AE34">
    <cfRule type="expression" dxfId="6808" priority="7707">
      <formula>AE34="X"</formula>
    </cfRule>
    <cfRule type="expression" dxfId="6807" priority="7708">
      <formula>AE34="A"</formula>
    </cfRule>
    <cfRule type="expression" dxfId="6806" priority="7709">
      <formula>AE34="T"</formula>
    </cfRule>
  </conditionalFormatting>
  <conditionalFormatting sqref="AE32">
    <cfRule type="expression" dxfId="6805" priority="7704">
      <formula>AE32="X"</formula>
    </cfRule>
    <cfRule type="expression" dxfId="6804" priority="7705">
      <formula>AE32="A"</formula>
    </cfRule>
    <cfRule type="expression" dxfId="6803" priority="7706">
      <formula>AE32="T"</formula>
    </cfRule>
  </conditionalFormatting>
  <conditionalFormatting sqref="AE30">
    <cfRule type="expression" dxfId="6802" priority="7701">
      <formula>AE30="X"</formula>
    </cfRule>
    <cfRule type="expression" dxfId="6801" priority="7702">
      <formula>AE30="A"</formula>
    </cfRule>
    <cfRule type="expression" dxfId="6800" priority="7703">
      <formula>AE30="T"</formula>
    </cfRule>
  </conditionalFormatting>
  <conditionalFormatting sqref="AE52">
    <cfRule type="expression" dxfId="6799" priority="7698">
      <formula>AE52="X"</formula>
    </cfRule>
    <cfRule type="expression" dxfId="6798" priority="7699">
      <formula>AE52="A"</formula>
    </cfRule>
    <cfRule type="expression" dxfId="6797" priority="7700">
      <formula>AE52="T"</formula>
    </cfRule>
  </conditionalFormatting>
  <conditionalFormatting sqref="AE50">
    <cfRule type="expression" dxfId="6796" priority="7695">
      <formula>AE50="X"</formula>
    </cfRule>
    <cfRule type="expression" dxfId="6795" priority="7696">
      <formula>AE50="A"</formula>
    </cfRule>
    <cfRule type="expression" dxfId="6794" priority="7697">
      <formula>AE50="T"</formula>
    </cfRule>
  </conditionalFormatting>
  <conditionalFormatting sqref="AE54">
    <cfRule type="expression" dxfId="6793" priority="7692">
      <formula>AE54="X"</formula>
    </cfRule>
    <cfRule type="expression" dxfId="6792" priority="7693">
      <formula>AE54="A"</formula>
    </cfRule>
    <cfRule type="expression" dxfId="6791" priority="7694">
      <formula>AE54="T"</formula>
    </cfRule>
  </conditionalFormatting>
  <conditionalFormatting sqref="AE56">
    <cfRule type="expression" dxfId="6790" priority="7689">
      <formula>AE56="X"</formula>
    </cfRule>
    <cfRule type="expression" dxfId="6789" priority="7690">
      <formula>AE56="A"</formula>
    </cfRule>
    <cfRule type="expression" dxfId="6788" priority="7691">
      <formula>AE56="T"</formula>
    </cfRule>
  </conditionalFormatting>
  <conditionalFormatting sqref="AE58">
    <cfRule type="expression" dxfId="6787" priority="7686">
      <formula>AE58="X"</formula>
    </cfRule>
    <cfRule type="expression" dxfId="6786" priority="7687">
      <formula>AE58="A"</formula>
    </cfRule>
    <cfRule type="expression" dxfId="6785" priority="7688">
      <formula>AE58="T"</formula>
    </cfRule>
  </conditionalFormatting>
  <conditionalFormatting sqref="AE63">
    <cfRule type="expression" dxfId="6784" priority="7683">
      <formula>AE63="X"</formula>
    </cfRule>
    <cfRule type="expression" dxfId="6783" priority="7684">
      <formula>AE63="A"</formula>
    </cfRule>
    <cfRule type="expression" dxfId="6782" priority="7685">
      <formula>AE63="T"</formula>
    </cfRule>
  </conditionalFormatting>
  <conditionalFormatting sqref="AE65">
    <cfRule type="expression" dxfId="6781" priority="7680">
      <formula>AE65="X"</formula>
    </cfRule>
    <cfRule type="expression" dxfId="6780" priority="7681">
      <formula>AE65="A"</formula>
    </cfRule>
    <cfRule type="expression" dxfId="6779" priority="7682">
      <formula>AE65="T"</formula>
    </cfRule>
  </conditionalFormatting>
  <conditionalFormatting sqref="AE83">
    <cfRule type="expression" dxfId="6778" priority="7677">
      <formula>AE83="X"</formula>
    </cfRule>
    <cfRule type="expression" dxfId="6777" priority="7678">
      <formula>AE83="A"</formula>
    </cfRule>
    <cfRule type="expression" dxfId="6776" priority="7679">
      <formula>AE83="T"</formula>
    </cfRule>
  </conditionalFormatting>
  <conditionalFormatting sqref="AE85">
    <cfRule type="expression" dxfId="6775" priority="7674">
      <formula>AE85="X"</formula>
    </cfRule>
    <cfRule type="expression" dxfId="6774" priority="7675">
      <formula>AE85="A"</formula>
    </cfRule>
    <cfRule type="expression" dxfId="6773" priority="7676">
      <formula>AE85="T"</formula>
    </cfRule>
  </conditionalFormatting>
  <conditionalFormatting sqref="AE67">
    <cfRule type="expression" dxfId="6772" priority="7671">
      <formula>AE67="X"</formula>
    </cfRule>
    <cfRule type="expression" dxfId="6771" priority="7672">
      <formula>AE67="A"</formula>
    </cfRule>
    <cfRule type="expression" dxfId="6770" priority="7673">
      <formula>AE67="T"</formula>
    </cfRule>
  </conditionalFormatting>
  <conditionalFormatting sqref="AE118">
    <cfRule type="expression" dxfId="6769" priority="7665">
      <formula>AE118="X"</formula>
    </cfRule>
    <cfRule type="expression" dxfId="6768" priority="7666">
      <formula>AE118="A"</formula>
    </cfRule>
    <cfRule type="expression" dxfId="6767" priority="7667">
      <formula>AE118="T"</formula>
    </cfRule>
  </conditionalFormatting>
  <conditionalFormatting sqref="AE120">
    <cfRule type="expression" dxfId="6766" priority="7662">
      <formula>AE120="X"</formula>
    </cfRule>
    <cfRule type="expression" dxfId="6765" priority="7663">
      <formula>AE120="A"</formula>
    </cfRule>
    <cfRule type="expression" dxfId="6764" priority="7664">
      <formula>AE120="T"</formula>
    </cfRule>
  </conditionalFormatting>
  <conditionalFormatting sqref="AE122">
    <cfRule type="expression" dxfId="6763" priority="7659">
      <formula>AE122="X"</formula>
    </cfRule>
    <cfRule type="expression" dxfId="6762" priority="7660">
      <formula>AE122="A"</formula>
    </cfRule>
    <cfRule type="expression" dxfId="6761" priority="7661">
      <formula>AE122="T"</formula>
    </cfRule>
  </conditionalFormatting>
  <conditionalFormatting sqref="AE125">
    <cfRule type="expression" dxfId="6760" priority="7656">
      <formula>AE125="X"</formula>
    </cfRule>
    <cfRule type="expression" dxfId="6759" priority="7657">
      <formula>AE125="A"</formula>
    </cfRule>
    <cfRule type="expression" dxfId="6758" priority="7658">
      <formula>AE125="T"</formula>
    </cfRule>
  </conditionalFormatting>
  <conditionalFormatting sqref="AE127">
    <cfRule type="expression" dxfId="6757" priority="7653">
      <formula>AE127="X"</formula>
    </cfRule>
    <cfRule type="expression" dxfId="6756" priority="7654">
      <formula>AE127="A"</formula>
    </cfRule>
    <cfRule type="expression" dxfId="6755" priority="7655">
      <formula>AE127="T"</formula>
    </cfRule>
  </conditionalFormatting>
  <conditionalFormatting sqref="AE141">
    <cfRule type="expression" dxfId="6754" priority="7650">
      <formula>AE141="X"</formula>
    </cfRule>
    <cfRule type="expression" dxfId="6753" priority="7651">
      <formula>AE141="A"</formula>
    </cfRule>
    <cfRule type="expression" dxfId="6752" priority="7652">
      <formula>AE141="T"</formula>
    </cfRule>
  </conditionalFormatting>
  <conditionalFormatting sqref="AE143">
    <cfRule type="expression" dxfId="6751" priority="7647">
      <formula>AE143="X"</formula>
    </cfRule>
    <cfRule type="expression" dxfId="6750" priority="7648">
      <formula>AE143="A"</formula>
    </cfRule>
    <cfRule type="expression" dxfId="6749" priority="7649">
      <formula>AE143="T"</formula>
    </cfRule>
  </conditionalFormatting>
  <conditionalFormatting sqref="AE149">
    <cfRule type="expression" dxfId="6748" priority="7644">
      <formula>AE149="X"</formula>
    </cfRule>
    <cfRule type="expression" dxfId="6747" priority="7645">
      <formula>AE149="A"</formula>
    </cfRule>
    <cfRule type="expression" dxfId="6746" priority="7646">
      <formula>AE149="T"</formula>
    </cfRule>
  </conditionalFormatting>
  <conditionalFormatting sqref="AE151">
    <cfRule type="expression" dxfId="6745" priority="7641">
      <formula>AE151="X"</formula>
    </cfRule>
    <cfRule type="expression" dxfId="6744" priority="7642">
      <formula>AE151="A"</formula>
    </cfRule>
    <cfRule type="expression" dxfId="6743" priority="7643">
      <formula>AE151="T"</formula>
    </cfRule>
  </conditionalFormatting>
  <conditionalFormatting sqref="AE155">
    <cfRule type="expression" dxfId="6742" priority="7638">
      <formula>AE155="X"</formula>
    </cfRule>
    <cfRule type="expression" dxfId="6741" priority="7639">
      <formula>AE155="A"</formula>
    </cfRule>
    <cfRule type="expression" dxfId="6740" priority="7640">
      <formula>AE155="T"</formula>
    </cfRule>
  </conditionalFormatting>
  <conditionalFormatting sqref="AE157">
    <cfRule type="expression" dxfId="6739" priority="7635">
      <formula>AE157="X"</formula>
    </cfRule>
    <cfRule type="expression" dxfId="6738" priority="7636">
      <formula>AE157="A"</formula>
    </cfRule>
    <cfRule type="expression" dxfId="6737" priority="7637">
      <formula>AE157="T"</formula>
    </cfRule>
  </conditionalFormatting>
  <conditionalFormatting sqref="AE167">
    <cfRule type="expression" dxfId="6736" priority="7632">
      <formula>AE167="X"</formula>
    </cfRule>
    <cfRule type="expression" dxfId="6735" priority="7633">
      <formula>AE167="A"</formula>
    </cfRule>
    <cfRule type="expression" dxfId="6734" priority="7634">
      <formula>AE167="T"</formula>
    </cfRule>
  </conditionalFormatting>
  <conditionalFormatting sqref="AE173">
    <cfRule type="expression" dxfId="6733" priority="7629">
      <formula>AE173="X"</formula>
    </cfRule>
    <cfRule type="expression" dxfId="6732" priority="7630">
      <formula>AE173="A"</formula>
    </cfRule>
    <cfRule type="expression" dxfId="6731" priority="7631">
      <formula>AE173="T"</formula>
    </cfRule>
  </conditionalFormatting>
  <conditionalFormatting sqref="AE175">
    <cfRule type="expression" dxfId="6730" priority="7626">
      <formula>AE175="X"</formula>
    </cfRule>
    <cfRule type="expression" dxfId="6729" priority="7627">
      <formula>AE175="A"</formula>
    </cfRule>
    <cfRule type="expression" dxfId="6728" priority="7628">
      <formula>AE175="T"</formula>
    </cfRule>
  </conditionalFormatting>
  <conditionalFormatting sqref="AE177">
    <cfRule type="expression" dxfId="6727" priority="7623">
      <formula>AE177="X"</formula>
    </cfRule>
    <cfRule type="expression" dxfId="6726" priority="7624">
      <formula>AE177="A"</formula>
    </cfRule>
    <cfRule type="expression" dxfId="6725" priority="7625">
      <formula>AE177="T"</formula>
    </cfRule>
  </conditionalFormatting>
  <conditionalFormatting sqref="AE179">
    <cfRule type="expression" dxfId="6724" priority="7620">
      <formula>AE179="X"</formula>
    </cfRule>
    <cfRule type="expression" dxfId="6723" priority="7621">
      <formula>AE179="A"</formula>
    </cfRule>
    <cfRule type="expression" dxfId="6722" priority="7622">
      <formula>AE179="T"</formula>
    </cfRule>
  </conditionalFormatting>
  <conditionalFormatting sqref="AE169">
    <cfRule type="expression" dxfId="6721" priority="7617">
      <formula>AE169="X"</formula>
    </cfRule>
    <cfRule type="expression" dxfId="6720" priority="7618">
      <formula>AE169="A"</formula>
    </cfRule>
    <cfRule type="expression" dxfId="6719" priority="7619">
      <formula>AE169="T"</formula>
    </cfRule>
  </conditionalFormatting>
  <conditionalFormatting sqref="AE171">
    <cfRule type="expression" dxfId="6718" priority="7614">
      <formula>AE171="X"</formula>
    </cfRule>
    <cfRule type="expression" dxfId="6717" priority="7615">
      <formula>AE171="A"</formula>
    </cfRule>
    <cfRule type="expression" dxfId="6716" priority="7616">
      <formula>AE171="T"</formula>
    </cfRule>
  </conditionalFormatting>
  <conditionalFormatting sqref="AE183">
    <cfRule type="expression" dxfId="6715" priority="7611">
      <formula>AE183="X"</formula>
    </cfRule>
    <cfRule type="expression" dxfId="6714" priority="7612">
      <formula>AE183="A"</formula>
    </cfRule>
    <cfRule type="expression" dxfId="6713" priority="7613">
      <formula>AE183="T"</formula>
    </cfRule>
  </conditionalFormatting>
  <conditionalFormatting sqref="AE185">
    <cfRule type="expression" dxfId="6712" priority="7608">
      <formula>AE185="X"</formula>
    </cfRule>
    <cfRule type="expression" dxfId="6711" priority="7609">
      <formula>AE185="A"</formula>
    </cfRule>
    <cfRule type="expression" dxfId="6710" priority="7610">
      <formula>AE185="T"</formula>
    </cfRule>
  </conditionalFormatting>
  <conditionalFormatting sqref="AE189">
    <cfRule type="expression" dxfId="6709" priority="7605">
      <formula>AE189="X"</formula>
    </cfRule>
    <cfRule type="expression" dxfId="6708" priority="7606">
      <formula>AE189="A"</formula>
    </cfRule>
    <cfRule type="expression" dxfId="6707" priority="7607">
      <formula>AE189="T"</formula>
    </cfRule>
  </conditionalFormatting>
  <conditionalFormatting sqref="AE191">
    <cfRule type="expression" dxfId="6706" priority="7602">
      <formula>AE191="X"</formula>
    </cfRule>
    <cfRule type="expression" dxfId="6705" priority="7603">
      <formula>AE191="A"</formula>
    </cfRule>
    <cfRule type="expression" dxfId="6704" priority="7604">
      <formula>AE191="T"</formula>
    </cfRule>
  </conditionalFormatting>
  <conditionalFormatting sqref="AE11">
    <cfRule type="expression" dxfId="6703" priority="7599">
      <formula>AE11="X"</formula>
    </cfRule>
    <cfRule type="expression" dxfId="6702" priority="7600">
      <formula>AE11="A"</formula>
    </cfRule>
    <cfRule type="expression" dxfId="6701" priority="7601">
      <formula>AE11="T"</formula>
    </cfRule>
  </conditionalFormatting>
  <conditionalFormatting sqref="AE12">
    <cfRule type="expression" dxfId="6700" priority="7596">
      <formula>AE11="X"</formula>
    </cfRule>
    <cfRule type="expression" dxfId="6699" priority="7597">
      <formula>AE11="A"</formula>
    </cfRule>
    <cfRule type="expression" dxfId="6698" priority="7598">
      <formula>AE11="T"</formula>
    </cfRule>
  </conditionalFormatting>
  <conditionalFormatting sqref="AE13">
    <cfRule type="expression" dxfId="6697" priority="7593">
      <formula>AE13="X"</formula>
    </cfRule>
    <cfRule type="expression" dxfId="6696" priority="7594">
      <formula>AE13="A"</formula>
    </cfRule>
    <cfRule type="expression" dxfId="6695" priority="7595">
      <formula>AE13="T"</formula>
    </cfRule>
  </conditionalFormatting>
  <conditionalFormatting sqref="AE14">
    <cfRule type="expression" dxfId="6694" priority="7590">
      <formula>AE13="X"</formula>
    </cfRule>
    <cfRule type="expression" dxfId="6693" priority="7591">
      <formula>AE13="A"</formula>
    </cfRule>
    <cfRule type="expression" dxfId="6692" priority="7592">
      <formula>AE13="T"</formula>
    </cfRule>
  </conditionalFormatting>
  <conditionalFormatting sqref="AE17">
    <cfRule type="expression" dxfId="6691" priority="7587">
      <formula>AE16="X"</formula>
    </cfRule>
    <cfRule type="expression" dxfId="6690" priority="7588">
      <formula>AE16="A"</formula>
    </cfRule>
    <cfRule type="expression" dxfId="6689" priority="7589">
      <formula>AE16="T"</formula>
    </cfRule>
  </conditionalFormatting>
  <conditionalFormatting sqref="AE19">
    <cfRule type="expression" dxfId="6688" priority="7581">
      <formula>AE18="X"</formula>
    </cfRule>
    <cfRule type="expression" dxfId="6687" priority="7582">
      <formula>AE18="A"</formula>
    </cfRule>
    <cfRule type="expression" dxfId="6686" priority="7583">
      <formula>AE18="T"</formula>
    </cfRule>
  </conditionalFormatting>
  <conditionalFormatting sqref="AE21">
    <cfRule type="expression" dxfId="6685" priority="7578">
      <formula>AE20="X"</formula>
    </cfRule>
    <cfRule type="expression" dxfId="6684" priority="7579">
      <formula>AE20="A"</formula>
    </cfRule>
    <cfRule type="expression" dxfId="6683" priority="7580">
      <formula>AE20="T"</formula>
    </cfRule>
  </conditionalFormatting>
  <conditionalFormatting sqref="AE23">
    <cfRule type="expression" dxfId="6682" priority="7575">
      <formula>AE22="X"</formula>
    </cfRule>
    <cfRule type="expression" dxfId="6681" priority="7576">
      <formula>AE22="A"</formula>
    </cfRule>
    <cfRule type="expression" dxfId="6680" priority="7577">
      <formula>AE22="T"</formula>
    </cfRule>
  </conditionalFormatting>
  <conditionalFormatting sqref="AE25">
    <cfRule type="expression" dxfId="6679" priority="7572">
      <formula>AE24="X"</formula>
    </cfRule>
    <cfRule type="expression" dxfId="6678" priority="7573">
      <formula>AE24="A"</formula>
    </cfRule>
    <cfRule type="expression" dxfId="6677" priority="7574">
      <formula>AE24="T"</formula>
    </cfRule>
  </conditionalFormatting>
  <conditionalFormatting sqref="AE27">
    <cfRule type="expression" dxfId="6676" priority="7569">
      <formula>AE26="X"</formula>
    </cfRule>
    <cfRule type="expression" dxfId="6675" priority="7570">
      <formula>AE26="A"</formula>
    </cfRule>
    <cfRule type="expression" dxfId="6674" priority="7571">
      <formula>AE26="T"</formula>
    </cfRule>
  </conditionalFormatting>
  <conditionalFormatting sqref="AE29">
    <cfRule type="expression" dxfId="6673" priority="7566">
      <formula>AE28="X"</formula>
    </cfRule>
    <cfRule type="expression" dxfId="6672" priority="7567">
      <formula>AE28="A"</formula>
    </cfRule>
    <cfRule type="expression" dxfId="6671" priority="7568">
      <formula>AE28="T"</formula>
    </cfRule>
  </conditionalFormatting>
  <conditionalFormatting sqref="AE31">
    <cfRule type="expression" dxfId="6670" priority="7563">
      <formula>AE30="X"</formula>
    </cfRule>
    <cfRule type="expression" dxfId="6669" priority="7564">
      <formula>AE30="A"</formula>
    </cfRule>
    <cfRule type="expression" dxfId="6668" priority="7565">
      <formula>AE30="T"</formula>
    </cfRule>
  </conditionalFormatting>
  <conditionalFormatting sqref="AE33">
    <cfRule type="expression" dxfId="6667" priority="7560">
      <formula>AE32="X"</formula>
    </cfRule>
    <cfRule type="expression" dxfId="6666" priority="7561">
      <formula>AE32="A"</formula>
    </cfRule>
    <cfRule type="expression" dxfId="6665" priority="7562">
      <formula>AE32="T"</formula>
    </cfRule>
  </conditionalFormatting>
  <conditionalFormatting sqref="AE35">
    <cfRule type="expression" dxfId="6664" priority="7557">
      <formula>AE34="X"</formula>
    </cfRule>
    <cfRule type="expression" dxfId="6663" priority="7558">
      <formula>AE34="A"</formula>
    </cfRule>
    <cfRule type="expression" dxfId="6662" priority="7559">
      <formula>AE34="T"</formula>
    </cfRule>
  </conditionalFormatting>
  <conditionalFormatting sqref="AE37">
    <cfRule type="expression" dxfId="6661" priority="7554">
      <formula>AE36="X"</formula>
    </cfRule>
    <cfRule type="expression" dxfId="6660" priority="7555">
      <formula>AE36="A"</formula>
    </cfRule>
    <cfRule type="expression" dxfId="6659" priority="7556">
      <formula>AE36="T"</formula>
    </cfRule>
  </conditionalFormatting>
  <conditionalFormatting sqref="AE46">
    <cfRule type="expression" dxfId="6658" priority="7542">
      <formula>AE45="X"</formula>
    </cfRule>
    <cfRule type="expression" dxfId="6657" priority="7543">
      <formula>AE45="A"</formula>
    </cfRule>
    <cfRule type="expression" dxfId="6656" priority="7544">
      <formula>AE45="T"</formula>
    </cfRule>
  </conditionalFormatting>
  <conditionalFormatting sqref="AE49">
    <cfRule type="expression" dxfId="6655" priority="7539">
      <formula>AE48="X"</formula>
    </cfRule>
    <cfRule type="expression" dxfId="6654" priority="7540">
      <formula>AE48="A"</formula>
    </cfRule>
    <cfRule type="expression" dxfId="6653" priority="7541">
      <formula>AE48="T"</formula>
    </cfRule>
  </conditionalFormatting>
  <conditionalFormatting sqref="AE51">
    <cfRule type="expression" dxfId="6652" priority="7536">
      <formula>AE50="X"</formula>
    </cfRule>
    <cfRule type="expression" dxfId="6651" priority="7537">
      <formula>AE50="A"</formula>
    </cfRule>
    <cfRule type="expression" dxfId="6650" priority="7538">
      <formula>AE50="T"</formula>
    </cfRule>
  </conditionalFormatting>
  <conditionalFormatting sqref="AE53">
    <cfRule type="expression" dxfId="6649" priority="7533">
      <formula>AE52="X"</formula>
    </cfRule>
    <cfRule type="expression" dxfId="6648" priority="7534">
      <formula>AE52="A"</formula>
    </cfRule>
    <cfRule type="expression" dxfId="6647" priority="7535">
      <formula>AE52="T"</formula>
    </cfRule>
  </conditionalFormatting>
  <conditionalFormatting sqref="AE55">
    <cfRule type="expression" dxfId="6646" priority="7530">
      <formula>AE54="X"</formula>
    </cfRule>
    <cfRule type="expression" dxfId="6645" priority="7531">
      <formula>AE54="A"</formula>
    </cfRule>
    <cfRule type="expression" dxfId="6644" priority="7532">
      <formula>AE54="T"</formula>
    </cfRule>
  </conditionalFormatting>
  <conditionalFormatting sqref="AE57">
    <cfRule type="expression" dxfId="6643" priority="7527">
      <formula>AE56="X"</formula>
    </cfRule>
    <cfRule type="expression" dxfId="6642" priority="7528">
      <formula>AE56="A"</formula>
    </cfRule>
    <cfRule type="expression" dxfId="6641" priority="7529">
      <formula>AE56="T"</formula>
    </cfRule>
  </conditionalFormatting>
  <conditionalFormatting sqref="AE59">
    <cfRule type="expression" dxfId="6640" priority="7524">
      <formula>AE58="X"</formula>
    </cfRule>
    <cfRule type="expression" dxfId="6639" priority="7525">
      <formula>AE58="A"</formula>
    </cfRule>
    <cfRule type="expression" dxfId="6638" priority="7526">
      <formula>AE58="T"</formula>
    </cfRule>
  </conditionalFormatting>
  <conditionalFormatting sqref="AE64">
    <cfRule type="expression" dxfId="6637" priority="7521">
      <formula>AE63="X"</formula>
    </cfRule>
    <cfRule type="expression" dxfId="6636" priority="7522">
      <formula>AE63="A"</formula>
    </cfRule>
    <cfRule type="expression" dxfId="6635" priority="7523">
      <formula>AE63="T"</formula>
    </cfRule>
  </conditionalFormatting>
  <conditionalFormatting sqref="AE66">
    <cfRule type="expression" dxfId="6634" priority="7518">
      <formula>AE65="X"</formula>
    </cfRule>
    <cfRule type="expression" dxfId="6633" priority="7519">
      <formula>AE65="A"</formula>
    </cfRule>
    <cfRule type="expression" dxfId="6632" priority="7520">
      <formula>AE65="T"</formula>
    </cfRule>
  </conditionalFormatting>
  <conditionalFormatting sqref="AE68">
    <cfRule type="expression" dxfId="6631" priority="7515">
      <formula>AE67="X"</formula>
    </cfRule>
    <cfRule type="expression" dxfId="6630" priority="7516">
      <formula>AE67="A"</formula>
    </cfRule>
    <cfRule type="expression" dxfId="6629" priority="7517">
      <formula>AE67="T"</formula>
    </cfRule>
  </conditionalFormatting>
  <conditionalFormatting sqref="AE82">
    <cfRule type="expression" dxfId="6628" priority="7512">
      <formula>AE81="X"</formula>
    </cfRule>
    <cfRule type="expression" dxfId="6627" priority="7513">
      <formula>AE81="A"</formula>
    </cfRule>
    <cfRule type="expression" dxfId="6626" priority="7514">
      <formula>AE81="T"</formula>
    </cfRule>
  </conditionalFormatting>
  <conditionalFormatting sqref="AE84">
    <cfRule type="expression" dxfId="6625" priority="7509">
      <formula>AE83="X"</formula>
    </cfRule>
    <cfRule type="expression" dxfId="6624" priority="7510">
      <formula>AE83="A"</formula>
    </cfRule>
    <cfRule type="expression" dxfId="6623" priority="7511">
      <formula>AE83="T"</formula>
    </cfRule>
  </conditionalFormatting>
  <conditionalFormatting sqref="AE86">
    <cfRule type="expression" dxfId="6622" priority="7506">
      <formula>AE85="X"</formula>
    </cfRule>
    <cfRule type="expression" dxfId="6621" priority="7507">
      <formula>AE85="A"</formula>
    </cfRule>
    <cfRule type="expression" dxfId="6620" priority="7508">
      <formula>AE85="T"</formula>
    </cfRule>
  </conditionalFormatting>
  <conditionalFormatting sqref="AE89">
    <cfRule type="expression" dxfId="6619" priority="7503">
      <formula>AE88="X"</formula>
    </cfRule>
    <cfRule type="expression" dxfId="6618" priority="7504">
      <formula>AE88="A"</formula>
    </cfRule>
    <cfRule type="expression" dxfId="6617" priority="7505">
      <formula>AE88="T"</formula>
    </cfRule>
  </conditionalFormatting>
  <conditionalFormatting sqref="AE91">
    <cfRule type="expression" dxfId="6616" priority="7500">
      <formula>AE90="X"</formula>
    </cfRule>
    <cfRule type="expression" dxfId="6615" priority="7501">
      <formula>AE90="A"</formula>
    </cfRule>
    <cfRule type="expression" dxfId="6614" priority="7502">
      <formula>AE90="T"</formula>
    </cfRule>
  </conditionalFormatting>
  <conditionalFormatting sqref="AE93">
    <cfRule type="expression" dxfId="6613" priority="7497">
      <formula>AE92="X"</formula>
    </cfRule>
    <cfRule type="expression" dxfId="6612" priority="7498">
      <formula>AE92="A"</formula>
    </cfRule>
    <cfRule type="expression" dxfId="6611" priority="7499">
      <formula>AE92="T"</formula>
    </cfRule>
  </conditionalFormatting>
  <conditionalFormatting sqref="AE95">
    <cfRule type="expression" dxfId="6610" priority="7494">
      <formula>AE94="X"</formula>
    </cfRule>
    <cfRule type="expression" dxfId="6609" priority="7495">
      <formula>AE94="A"</formula>
    </cfRule>
    <cfRule type="expression" dxfId="6608" priority="7496">
      <formula>AE94="T"</formula>
    </cfRule>
  </conditionalFormatting>
  <conditionalFormatting sqref="AE97">
    <cfRule type="expression" dxfId="6607" priority="7491">
      <formula>AE96="X"</formula>
    </cfRule>
    <cfRule type="expression" dxfId="6606" priority="7492">
      <formula>AE96="A"</formula>
    </cfRule>
    <cfRule type="expression" dxfId="6605" priority="7493">
      <formula>AE96="T"</formula>
    </cfRule>
  </conditionalFormatting>
  <conditionalFormatting sqref="AE99">
    <cfRule type="expression" dxfId="6604" priority="7488">
      <formula>AE98="X"</formula>
    </cfRule>
    <cfRule type="expression" dxfId="6603" priority="7489">
      <formula>AE98="A"</formula>
    </cfRule>
    <cfRule type="expression" dxfId="6602" priority="7490">
      <formula>AE98="T"</formula>
    </cfRule>
  </conditionalFormatting>
  <conditionalFormatting sqref="AE101">
    <cfRule type="expression" dxfId="6601" priority="7485">
      <formula>AE100="X"</formula>
    </cfRule>
    <cfRule type="expression" dxfId="6600" priority="7486">
      <formula>AE100="A"</formula>
    </cfRule>
    <cfRule type="expression" dxfId="6599" priority="7487">
      <formula>AE100="T"</formula>
    </cfRule>
  </conditionalFormatting>
  <conditionalFormatting sqref="AE103">
    <cfRule type="expression" dxfId="6598" priority="7482">
      <formula>AE102="X"</formula>
    </cfRule>
    <cfRule type="expression" dxfId="6597" priority="7483">
      <formula>AE102="A"</formula>
    </cfRule>
    <cfRule type="expression" dxfId="6596" priority="7484">
      <formula>AE102="T"</formula>
    </cfRule>
  </conditionalFormatting>
  <conditionalFormatting sqref="AE114">
    <cfRule type="expression" dxfId="6595" priority="7467">
      <formula>AE113="X"</formula>
    </cfRule>
    <cfRule type="expression" dxfId="6594" priority="7468">
      <formula>AE113="A"</formula>
    </cfRule>
    <cfRule type="expression" dxfId="6593" priority="7469">
      <formula>AE113="T"</formula>
    </cfRule>
  </conditionalFormatting>
  <conditionalFormatting sqref="AE117">
    <cfRule type="expression" dxfId="6592" priority="7464">
      <formula>AE116="X"</formula>
    </cfRule>
    <cfRule type="expression" dxfId="6591" priority="7465">
      <formula>AE116="A"</formula>
    </cfRule>
    <cfRule type="expression" dxfId="6590" priority="7466">
      <formula>AE116="T"</formula>
    </cfRule>
  </conditionalFormatting>
  <conditionalFormatting sqref="AE119">
    <cfRule type="expression" dxfId="6589" priority="7461">
      <formula>AE118="X"</formula>
    </cfRule>
    <cfRule type="expression" dxfId="6588" priority="7462">
      <formula>AE118="A"</formula>
    </cfRule>
    <cfRule type="expression" dxfId="6587" priority="7463">
      <formula>AE118="T"</formula>
    </cfRule>
  </conditionalFormatting>
  <conditionalFormatting sqref="AE121">
    <cfRule type="expression" dxfId="6586" priority="7458">
      <formula>AE120="X"</formula>
    </cfRule>
    <cfRule type="expression" dxfId="6585" priority="7459">
      <formula>AE120="A"</formula>
    </cfRule>
    <cfRule type="expression" dxfId="6584" priority="7460">
      <formula>AE120="T"</formula>
    </cfRule>
  </conditionalFormatting>
  <conditionalFormatting sqref="AE123">
    <cfRule type="expression" dxfId="6583" priority="7455">
      <formula>AE122="X"</formula>
    </cfRule>
    <cfRule type="expression" dxfId="6582" priority="7456">
      <formula>AE122="A"</formula>
    </cfRule>
    <cfRule type="expression" dxfId="6581" priority="7457">
      <formula>AE122="T"</formula>
    </cfRule>
  </conditionalFormatting>
  <conditionalFormatting sqref="AE126">
    <cfRule type="expression" dxfId="6580" priority="7452">
      <formula>AE125="X"</formula>
    </cfRule>
    <cfRule type="expression" dxfId="6579" priority="7453">
      <formula>AE125="A"</formula>
    </cfRule>
    <cfRule type="expression" dxfId="6578" priority="7454">
      <formula>AE125="T"</formula>
    </cfRule>
  </conditionalFormatting>
  <conditionalFormatting sqref="AE128">
    <cfRule type="expression" dxfId="6577" priority="7449">
      <formula>AE127="X"</formula>
    </cfRule>
    <cfRule type="expression" dxfId="6576" priority="7450">
      <formula>AE127="A"</formula>
    </cfRule>
    <cfRule type="expression" dxfId="6575" priority="7451">
      <formula>AE127="T"</formula>
    </cfRule>
  </conditionalFormatting>
  <conditionalFormatting sqref="AE142">
    <cfRule type="expression" dxfId="6574" priority="7446">
      <formula>AE141="X"</formula>
    </cfRule>
    <cfRule type="expression" dxfId="6573" priority="7447">
      <formula>AE141="A"</formula>
    </cfRule>
    <cfRule type="expression" dxfId="6572" priority="7448">
      <formula>AE141="T"</formula>
    </cfRule>
  </conditionalFormatting>
  <conditionalFormatting sqref="AE144">
    <cfRule type="expression" dxfId="6571" priority="7443">
      <formula>AE143="X"</formula>
    </cfRule>
    <cfRule type="expression" dxfId="6570" priority="7444">
      <formula>AE143="A"</formula>
    </cfRule>
    <cfRule type="expression" dxfId="6569" priority="7445">
      <formula>AE143="T"</formula>
    </cfRule>
  </conditionalFormatting>
  <conditionalFormatting sqref="AE150">
    <cfRule type="expression" dxfId="6568" priority="7440">
      <formula>AE149="X"</formula>
    </cfRule>
    <cfRule type="expression" dxfId="6567" priority="7441">
      <formula>AE149="A"</formula>
    </cfRule>
    <cfRule type="expression" dxfId="6566" priority="7442">
      <formula>AE149="T"</formula>
    </cfRule>
  </conditionalFormatting>
  <conditionalFormatting sqref="AE152">
    <cfRule type="expression" dxfId="6565" priority="7437">
      <formula>AE151="X"</formula>
    </cfRule>
    <cfRule type="expression" dxfId="6564" priority="7438">
      <formula>AE151="A"</formula>
    </cfRule>
    <cfRule type="expression" dxfId="6563" priority="7439">
      <formula>AE151="T"</formula>
    </cfRule>
  </conditionalFormatting>
  <conditionalFormatting sqref="AE156">
    <cfRule type="expression" dxfId="6562" priority="7434">
      <formula>AE155="X"</formula>
    </cfRule>
    <cfRule type="expression" dxfId="6561" priority="7435">
      <formula>AE155="A"</formula>
    </cfRule>
    <cfRule type="expression" dxfId="6560" priority="7436">
      <formula>AE155="T"</formula>
    </cfRule>
  </conditionalFormatting>
  <conditionalFormatting sqref="AE168">
    <cfRule type="expression" dxfId="6559" priority="7431">
      <formula>AE167="X"</formula>
    </cfRule>
    <cfRule type="expression" dxfId="6558" priority="7432">
      <formula>AE167="A"</formula>
    </cfRule>
    <cfRule type="expression" dxfId="6557" priority="7433">
      <formula>AE167="T"</formula>
    </cfRule>
  </conditionalFormatting>
  <conditionalFormatting sqref="AE170">
    <cfRule type="expression" dxfId="6556" priority="7428">
      <formula>AE169="X"</formula>
    </cfRule>
    <cfRule type="expression" dxfId="6555" priority="7429">
      <formula>AE169="A"</formula>
    </cfRule>
    <cfRule type="expression" dxfId="6554" priority="7430">
      <formula>AE169="T"</formula>
    </cfRule>
  </conditionalFormatting>
  <conditionalFormatting sqref="AE172">
    <cfRule type="expression" dxfId="6553" priority="7425">
      <formula>AE171="X"</formula>
    </cfRule>
    <cfRule type="expression" dxfId="6552" priority="7426">
      <formula>AE171="A"</formula>
    </cfRule>
    <cfRule type="expression" dxfId="6551" priority="7427">
      <formula>AE171="T"</formula>
    </cfRule>
  </conditionalFormatting>
  <conditionalFormatting sqref="AE174">
    <cfRule type="expression" dxfId="6550" priority="7422">
      <formula>AE173="X"</formula>
    </cfRule>
    <cfRule type="expression" dxfId="6549" priority="7423">
      <formula>AE173="A"</formula>
    </cfRule>
    <cfRule type="expression" dxfId="6548" priority="7424">
      <formula>AE173="T"</formula>
    </cfRule>
  </conditionalFormatting>
  <conditionalFormatting sqref="AE176">
    <cfRule type="expression" dxfId="6547" priority="7419">
      <formula>AE175="X"</formula>
    </cfRule>
    <cfRule type="expression" dxfId="6546" priority="7420">
      <formula>AE175="A"</formula>
    </cfRule>
    <cfRule type="expression" dxfId="6545" priority="7421">
      <formula>AE175="T"</formula>
    </cfRule>
  </conditionalFormatting>
  <conditionalFormatting sqref="AE178">
    <cfRule type="expression" dxfId="6544" priority="7416">
      <formula>AE177="X"</formula>
    </cfRule>
    <cfRule type="expression" dxfId="6543" priority="7417">
      <formula>AE177="A"</formula>
    </cfRule>
    <cfRule type="expression" dxfId="6542" priority="7418">
      <formula>AE177="T"</formula>
    </cfRule>
  </conditionalFormatting>
  <conditionalFormatting sqref="AE180">
    <cfRule type="expression" dxfId="6541" priority="7413">
      <formula>AE179="X"</formula>
    </cfRule>
    <cfRule type="expression" dxfId="6540" priority="7414">
      <formula>AE179="A"</formula>
    </cfRule>
    <cfRule type="expression" dxfId="6539" priority="7415">
      <formula>AE179="T"</formula>
    </cfRule>
  </conditionalFormatting>
  <conditionalFormatting sqref="AE184">
    <cfRule type="expression" dxfId="6538" priority="7410">
      <formula>AE183="X"</formula>
    </cfRule>
    <cfRule type="expression" dxfId="6537" priority="7411">
      <formula>AE183="A"</formula>
    </cfRule>
    <cfRule type="expression" dxfId="6536" priority="7412">
      <formula>AE183="T"</formula>
    </cfRule>
  </conditionalFormatting>
  <conditionalFormatting sqref="AE186">
    <cfRule type="expression" dxfId="6535" priority="7407">
      <formula>AE185="X"</formula>
    </cfRule>
    <cfRule type="expression" dxfId="6534" priority="7408">
      <formula>AE185="A"</formula>
    </cfRule>
    <cfRule type="expression" dxfId="6533" priority="7409">
      <formula>AE185="T"</formula>
    </cfRule>
  </conditionalFormatting>
  <conditionalFormatting sqref="AE190">
    <cfRule type="expression" dxfId="6532" priority="7404">
      <formula>AE189="X"</formula>
    </cfRule>
    <cfRule type="expression" dxfId="6531" priority="7405">
      <formula>AE189="A"</formula>
    </cfRule>
    <cfRule type="expression" dxfId="6530" priority="7406">
      <formula>AE189="T"</formula>
    </cfRule>
  </conditionalFormatting>
  <conditionalFormatting sqref="AE192">
    <cfRule type="expression" dxfId="6529" priority="7401">
      <formula>AE191="X"</formula>
    </cfRule>
    <cfRule type="expression" dxfId="6528" priority="7402">
      <formula>AE191="A"</formula>
    </cfRule>
    <cfRule type="expression" dxfId="6527" priority="7403">
      <formula>AE191="T"</formula>
    </cfRule>
  </conditionalFormatting>
  <conditionalFormatting sqref="AE208">
    <cfRule type="expression" dxfId="6526" priority="7398">
      <formula>AE207="X"</formula>
    </cfRule>
    <cfRule type="expression" dxfId="6525" priority="7399">
      <formula>AE207="A"</formula>
    </cfRule>
    <cfRule type="expression" dxfId="6524" priority="7400">
      <formula>AE207="T"</formula>
    </cfRule>
  </conditionalFormatting>
  <conditionalFormatting sqref="AE211">
    <cfRule type="expression" dxfId="6523" priority="7395">
      <formula>AE211="X"</formula>
    </cfRule>
    <cfRule type="expression" dxfId="6522" priority="7396">
      <formula>AE211="A"</formula>
    </cfRule>
    <cfRule type="expression" dxfId="6521" priority="7397">
      <formula>AE211="T"</formula>
    </cfRule>
  </conditionalFormatting>
  <conditionalFormatting sqref="AE212">
    <cfRule type="expression" dxfId="6520" priority="7392">
      <formula>AE211="X"</formula>
    </cfRule>
    <cfRule type="expression" dxfId="6519" priority="7393">
      <formula>AE211="A"</formula>
    </cfRule>
    <cfRule type="expression" dxfId="6518" priority="7394">
      <formula>AE211="T"</formula>
    </cfRule>
  </conditionalFormatting>
  <conditionalFormatting sqref="AE213">
    <cfRule type="expression" dxfId="6517" priority="7389">
      <formula>AE213="X"</formula>
    </cfRule>
    <cfRule type="expression" dxfId="6516" priority="7390">
      <formula>AE213="A"</formula>
    </cfRule>
    <cfRule type="expression" dxfId="6515" priority="7391">
      <formula>AE213="T"</formula>
    </cfRule>
  </conditionalFormatting>
  <conditionalFormatting sqref="AE214">
    <cfRule type="expression" dxfId="6514" priority="7386">
      <formula>AE213="X"</formula>
    </cfRule>
    <cfRule type="expression" dxfId="6513" priority="7387">
      <formula>AE213="A"</formula>
    </cfRule>
    <cfRule type="expression" dxfId="6512" priority="7388">
      <formula>AE213="T"</formula>
    </cfRule>
  </conditionalFormatting>
  <conditionalFormatting sqref="AE215">
    <cfRule type="expression" dxfId="6511" priority="7383">
      <formula>AE215="X"</formula>
    </cfRule>
    <cfRule type="expression" dxfId="6510" priority="7384">
      <formula>AE215="A"</formula>
    </cfRule>
    <cfRule type="expression" dxfId="6509" priority="7385">
      <formula>AE215="T"</formula>
    </cfRule>
  </conditionalFormatting>
  <conditionalFormatting sqref="AE216">
    <cfRule type="expression" dxfId="6508" priority="7380">
      <formula>AE215="X"</formula>
    </cfRule>
    <cfRule type="expression" dxfId="6507" priority="7381">
      <formula>AE215="A"</formula>
    </cfRule>
    <cfRule type="expression" dxfId="6506" priority="7382">
      <formula>AE215="T"</formula>
    </cfRule>
  </conditionalFormatting>
  <conditionalFormatting sqref="AE217">
    <cfRule type="expression" dxfId="6505" priority="7377">
      <formula>AE217="X"</formula>
    </cfRule>
    <cfRule type="expression" dxfId="6504" priority="7378">
      <formula>AE217="A"</formula>
    </cfRule>
    <cfRule type="expression" dxfId="6503" priority="7379">
      <formula>AE217="T"</formula>
    </cfRule>
  </conditionalFormatting>
  <conditionalFormatting sqref="AE218">
    <cfRule type="expression" dxfId="6502" priority="7374">
      <formula>AE217="X"</formula>
    </cfRule>
    <cfRule type="expression" dxfId="6501" priority="7375">
      <formula>AE217="A"</formula>
    </cfRule>
    <cfRule type="expression" dxfId="6500" priority="7376">
      <formula>AE217="T"</formula>
    </cfRule>
  </conditionalFormatting>
  <conditionalFormatting sqref="AE219">
    <cfRule type="expression" dxfId="6499" priority="7371">
      <formula>AE219="X"</formula>
    </cfRule>
    <cfRule type="expression" dxfId="6498" priority="7372">
      <formula>AE219="A"</formula>
    </cfRule>
    <cfRule type="expression" dxfId="6497" priority="7373">
      <formula>AE219="T"</formula>
    </cfRule>
  </conditionalFormatting>
  <conditionalFormatting sqref="AE220">
    <cfRule type="expression" dxfId="6496" priority="7368">
      <formula>AE219="X"</formula>
    </cfRule>
    <cfRule type="expression" dxfId="6495" priority="7369">
      <formula>AE219="A"</formula>
    </cfRule>
    <cfRule type="expression" dxfId="6494" priority="7370">
      <formula>AE219="T"</formula>
    </cfRule>
  </conditionalFormatting>
  <conditionalFormatting sqref="AE221">
    <cfRule type="expression" dxfId="6493" priority="7365">
      <formula>AE221="X"</formula>
    </cfRule>
    <cfRule type="expression" dxfId="6492" priority="7366">
      <formula>AE221="A"</formula>
    </cfRule>
    <cfRule type="expression" dxfId="6491" priority="7367">
      <formula>AE221="T"</formula>
    </cfRule>
  </conditionalFormatting>
  <conditionalFormatting sqref="AE222">
    <cfRule type="expression" dxfId="6490" priority="7362">
      <formula>AE221="X"</formula>
    </cfRule>
    <cfRule type="expression" dxfId="6489" priority="7363">
      <formula>AE221="A"</formula>
    </cfRule>
    <cfRule type="expression" dxfId="6488" priority="7364">
      <formula>AE221="T"</formula>
    </cfRule>
  </conditionalFormatting>
  <conditionalFormatting sqref="AE223">
    <cfRule type="expression" dxfId="6487" priority="7359">
      <formula>AE223="X"</formula>
    </cfRule>
    <cfRule type="expression" dxfId="6486" priority="7360">
      <formula>AE223="A"</formula>
    </cfRule>
    <cfRule type="expression" dxfId="6485" priority="7361">
      <formula>AE223="T"</formula>
    </cfRule>
  </conditionalFormatting>
  <conditionalFormatting sqref="AE224">
    <cfRule type="expression" dxfId="6484" priority="7356">
      <formula>AE223="X"</formula>
    </cfRule>
    <cfRule type="expression" dxfId="6483" priority="7357">
      <formula>AE223="A"</formula>
    </cfRule>
    <cfRule type="expression" dxfId="6482" priority="7358">
      <formula>AE223="T"</formula>
    </cfRule>
  </conditionalFormatting>
  <conditionalFormatting sqref="AE9">
    <cfRule type="expression" dxfId="6481" priority="7338">
      <formula>AE8="X"</formula>
    </cfRule>
    <cfRule type="expression" dxfId="6480" priority="7339">
      <formula>AE8="A"</formula>
    </cfRule>
    <cfRule type="expression" dxfId="6479" priority="7340">
      <formula>AE8="T"</formula>
    </cfRule>
  </conditionalFormatting>
  <conditionalFormatting sqref="AE74">
    <cfRule type="expression" dxfId="6478" priority="7335">
      <formula>AE74="X"</formula>
    </cfRule>
    <cfRule type="expression" dxfId="6477" priority="7336">
      <formula>AE74="A"</formula>
    </cfRule>
    <cfRule type="expression" dxfId="6476" priority="7337">
      <formula>AE74="T"</formula>
    </cfRule>
  </conditionalFormatting>
  <conditionalFormatting sqref="AE75">
    <cfRule type="expression" dxfId="6475" priority="7332">
      <formula>AE74="X"</formula>
    </cfRule>
    <cfRule type="expression" dxfId="6474" priority="7333">
      <formula>AE74="A"</formula>
    </cfRule>
    <cfRule type="expression" dxfId="6473" priority="7334">
      <formula>AE74="T"</formula>
    </cfRule>
  </conditionalFormatting>
  <conditionalFormatting sqref="AE76">
    <cfRule type="expression" dxfId="6472" priority="7329">
      <formula>AE76="X"</formula>
    </cfRule>
    <cfRule type="expression" dxfId="6471" priority="7330">
      <formula>AE76="A"</formula>
    </cfRule>
    <cfRule type="expression" dxfId="6470" priority="7331">
      <formula>AE76="T"</formula>
    </cfRule>
  </conditionalFormatting>
  <conditionalFormatting sqref="AE77">
    <cfRule type="expression" dxfId="6469" priority="7326">
      <formula>AE76="X"</formula>
    </cfRule>
    <cfRule type="expression" dxfId="6468" priority="7327">
      <formula>AE76="A"</formula>
    </cfRule>
    <cfRule type="expression" dxfId="6467" priority="7328">
      <formula>AE76="T"</formula>
    </cfRule>
  </conditionalFormatting>
  <conditionalFormatting sqref="AE78">
    <cfRule type="expression" dxfId="6466" priority="7323">
      <formula>AE78="X"</formula>
    </cfRule>
    <cfRule type="expression" dxfId="6465" priority="7324">
      <formula>AE78="A"</formula>
    </cfRule>
    <cfRule type="expression" dxfId="6464" priority="7325">
      <formula>AE78="T"</formula>
    </cfRule>
  </conditionalFormatting>
  <conditionalFormatting sqref="AE79">
    <cfRule type="expression" dxfId="6463" priority="7320">
      <formula>AE78="X"</formula>
    </cfRule>
    <cfRule type="expression" dxfId="6462" priority="7321">
      <formula>AE78="A"</formula>
    </cfRule>
    <cfRule type="expression" dxfId="6461" priority="7322">
      <formula>AE78="T"</formula>
    </cfRule>
  </conditionalFormatting>
  <conditionalFormatting sqref="AE134">
    <cfRule type="expression" dxfId="6460" priority="7317">
      <formula>AE134="X"</formula>
    </cfRule>
    <cfRule type="expression" dxfId="6459" priority="7318">
      <formula>AE134="A"</formula>
    </cfRule>
    <cfRule type="expression" dxfId="6458" priority="7319">
      <formula>AE134="T"</formula>
    </cfRule>
  </conditionalFormatting>
  <conditionalFormatting sqref="AE135">
    <cfRule type="expression" dxfId="6457" priority="7314">
      <formula>AE134="X"</formula>
    </cfRule>
    <cfRule type="expression" dxfId="6456" priority="7315">
      <formula>AE134="A"</formula>
    </cfRule>
    <cfRule type="expression" dxfId="6455" priority="7316">
      <formula>AE134="T"</formula>
    </cfRule>
  </conditionalFormatting>
  <conditionalFormatting sqref="AE136">
    <cfRule type="expression" dxfId="6454" priority="7311">
      <formula>AE136="X"</formula>
    </cfRule>
    <cfRule type="expression" dxfId="6453" priority="7312">
      <formula>AE136="A"</formula>
    </cfRule>
    <cfRule type="expression" dxfId="6452" priority="7313">
      <formula>AE136="T"</formula>
    </cfRule>
  </conditionalFormatting>
  <conditionalFormatting sqref="AE137">
    <cfRule type="expression" dxfId="6451" priority="7308">
      <formula>AE136="X"</formula>
    </cfRule>
    <cfRule type="expression" dxfId="6450" priority="7309">
      <formula>AE136="A"</formula>
    </cfRule>
    <cfRule type="expression" dxfId="6449" priority="7310">
      <formula>AE136="T"</formula>
    </cfRule>
  </conditionalFormatting>
  <conditionalFormatting sqref="AE138">
    <cfRule type="expression" dxfId="6448" priority="7305">
      <formula>AE138="X"</formula>
    </cfRule>
    <cfRule type="expression" dxfId="6447" priority="7306">
      <formula>AE138="A"</formula>
    </cfRule>
    <cfRule type="expression" dxfId="6446" priority="7307">
      <formula>AE138="T"</formula>
    </cfRule>
  </conditionalFormatting>
  <conditionalFormatting sqref="AE139">
    <cfRule type="expression" dxfId="6445" priority="7302">
      <formula>AE138="X"</formula>
    </cfRule>
    <cfRule type="expression" dxfId="6444" priority="7303">
      <formula>AE138="A"</formula>
    </cfRule>
    <cfRule type="expression" dxfId="6443" priority="7304">
      <formula>AE138="T"</formula>
    </cfRule>
  </conditionalFormatting>
  <conditionalFormatting sqref="AE38">
    <cfRule type="expression" dxfId="6442" priority="7293" stopIfTrue="1">
      <formula>AE16=""</formula>
    </cfRule>
  </conditionalFormatting>
  <conditionalFormatting sqref="AE38">
    <cfRule type="expression" dxfId="6441" priority="7294" stopIfTrue="1">
      <formula>AE38=1</formula>
    </cfRule>
    <cfRule type="colorScale" priority="7295">
      <colorScale>
        <cfvo type="num" val="0"/>
        <cfvo type="num" val="0.5"/>
        <cfvo type="num" val="1"/>
        <color rgb="FFF8696B"/>
        <color theme="4" tint="0.79998168889431442"/>
        <color rgb="FF5A8AC6"/>
      </colorScale>
    </cfRule>
  </conditionalFormatting>
  <conditionalFormatting sqref="AE47">
    <cfRule type="expression" dxfId="6440" priority="7290" stopIfTrue="1">
      <formula>AE39=""</formula>
    </cfRule>
  </conditionalFormatting>
  <conditionalFormatting sqref="AE47">
    <cfRule type="expression" dxfId="6439" priority="7291" stopIfTrue="1">
      <formula>AE47=1</formula>
    </cfRule>
    <cfRule type="colorScale" priority="7292">
      <colorScale>
        <cfvo type="num" val="0"/>
        <cfvo type="num" val="0.5"/>
        <cfvo type="num" val="1"/>
        <color rgb="FFF8696B"/>
        <color theme="4" tint="0.79998168889431442"/>
        <color rgb="FF5A8AC6"/>
      </colorScale>
    </cfRule>
  </conditionalFormatting>
  <conditionalFormatting sqref="AE62:AL62">
    <cfRule type="expression" dxfId="6438" priority="7287" stopIfTrue="1">
      <formula>AE48=""</formula>
    </cfRule>
  </conditionalFormatting>
  <conditionalFormatting sqref="AE62:AL62">
    <cfRule type="expression" dxfId="6437" priority="7288" stopIfTrue="1">
      <formula>AE62=1</formula>
    </cfRule>
    <cfRule type="colorScale" priority="7289">
      <colorScale>
        <cfvo type="num" val="0"/>
        <cfvo type="num" val="0.5"/>
        <cfvo type="num" val="1"/>
        <color rgb="FFF8696B"/>
        <color theme="4" tint="0.79998168889431442"/>
        <color rgb="FF5A8AC6"/>
      </colorScale>
    </cfRule>
  </conditionalFormatting>
  <conditionalFormatting sqref="AE69">
    <cfRule type="expression" dxfId="6436" priority="7284" stopIfTrue="1">
      <formula>AE63=""</formula>
    </cfRule>
  </conditionalFormatting>
  <conditionalFormatting sqref="AE69">
    <cfRule type="expression" dxfId="6435" priority="7285" stopIfTrue="1">
      <formula>AE69=1</formula>
    </cfRule>
    <cfRule type="colorScale" priority="7286">
      <colorScale>
        <cfvo type="num" val="0"/>
        <cfvo type="num" val="0.5"/>
        <cfvo type="num" val="1"/>
        <color rgb="FFF8696B"/>
        <color theme="4" tint="0.79998168889431442"/>
        <color rgb="FF5A8AC6"/>
      </colorScale>
    </cfRule>
  </conditionalFormatting>
  <conditionalFormatting sqref="AE80">
    <cfRule type="expression" dxfId="6434" priority="7281" stopIfTrue="1">
      <formula>AE74=""</formula>
    </cfRule>
  </conditionalFormatting>
  <conditionalFormatting sqref="AE80">
    <cfRule type="expression" dxfId="6433" priority="7282" stopIfTrue="1">
      <formula>AE80=1</formula>
    </cfRule>
    <cfRule type="colorScale" priority="7283">
      <colorScale>
        <cfvo type="num" val="0"/>
        <cfvo type="num" val="0.5"/>
        <cfvo type="num" val="1"/>
        <color rgb="FFF8696B"/>
        <color theme="4" tint="0.79998168889431442"/>
        <color rgb="FF5A8AC6"/>
      </colorScale>
    </cfRule>
  </conditionalFormatting>
  <conditionalFormatting sqref="AE87">
    <cfRule type="expression" dxfId="6432" priority="7278" stopIfTrue="1">
      <formula>AE81=""</formula>
    </cfRule>
  </conditionalFormatting>
  <conditionalFormatting sqref="AE87">
    <cfRule type="expression" dxfId="6431" priority="7279" stopIfTrue="1">
      <formula>AE87=1</formula>
    </cfRule>
    <cfRule type="colorScale" priority="7280">
      <colorScale>
        <cfvo type="num" val="0"/>
        <cfvo type="num" val="0.5"/>
        <cfvo type="num" val="1"/>
        <color rgb="FFF8696B"/>
        <color theme="4" tint="0.79998168889431442"/>
        <color rgb="FF5A8AC6"/>
      </colorScale>
    </cfRule>
  </conditionalFormatting>
  <conditionalFormatting sqref="AE104">
    <cfRule type="expression" dxfId="6430" priority="7275" stopIfTrue="1">
      <formula>AE88=""</formula>
    </cfRule>
  </conditionalFormatting>
  <conditionalFormatting sqref="AE104">
    <cfRule type="expression" dxfId="6429" priority="7276" stopIfTrue="1">
      <formula>AE104=1</formula>
    </cfRule>
    <cfRule type="colorScale" priority="7277">
      <colorScale>
        <cfvo type="num" val="0"/>
        <cfvo type="num" val="0.5"/>
        <cfvo type="num" val="1"/>
        <color rgb="FFF8696B"/>
        <color theme="4" tint="0.79998168889431442"/>
        <color rgb="FF5A8AC6"/>
      </colorScale>
    </cfRule>
  </conditionalFormatting>
  <conditionalFormatting sqref="AE115">
    <cfRule type="expression" dxfId="6428" priority="7272" stopIfTrue="1">
      <formula>AE105=""</formula>
    </cfRule>
  </conditionalFormatting>
  <conditionalFormatting sqref="AE115">
    <cfRule type="expression" dxfId="6427" priority="7273" stopIfTrue="1">
      <formula>AE115=1</formula>
    </cfRule>
    <cfRule type="colorScale" priority="7274">
      <colorScale>
        <cfvo type="num" val="0"/>
        <cfvo type="num" val="0.5"/>
        <cfvo type="num" val="1"/>
        <color rgb="FFF8696B"/>
        <color theme="4" tint="0.79998168889431442"/>
        <color rgb="FF5A8AC6"/>
      </colorScale>
    </cfRule>
  </conditionalFormatting>
  <conditionalFormatting sqref="AE124">
    <cfRule type="expression" dxfId="6426" priority="7269" stopIfTrue="1">
      <formula>AE116=""</formula>
    </cfRule>
  </conditionalFormatting>
  <conditionalFormatting sqref="AE124">
    <cfRule type="expression" dxfId="6425" priority="7270" stopIfTrue="1">
      <formula>AE124=1</formula>
    </cfRule>
    <cfRule type="colorScale" priority="7271">
      <colorScale>
        <cfvo type="num" val="0"/>
        <cfvo type="num" val="0.5"/>
        <cfvo type="num" val="1"/>
        <color rgb="FFF8696B"/>
        <color theme="4" tint="0.79998168889431442"/>
        <color rgb="FF5A8AC6"/>
      </colorScale>
    </cfRule>
  </conditionalFormatting>
  <conditionalFormatting sqref="AE129">
    <cfRule type="expression" dxfId="6424" priority="7266" stopIfTrue="1">
      <formula>AE125=""</formula>
    </cfRule>
  </conditionalFormatting>
  <conditionalFormatting sqref="AE129">
    <cfRule type="expression" dxfId="6423" priority="7267" stopIfTrue="1">
      <formula>AE129=1</formula>
    </cfRule>
    <cfRule type="colorScale" priority="7268">
      <colorScale>
        <cfvo type="num" val="0"/>
        <cfvo type="num" val="0.5"/>
        <cfvo type="num" val="1"/>
        <color rgb="FFF8696B"/>
        <color theme="4" tint="0.79998168889431442"/>
        <color rgb="FF5A8AC6"/>
      </colorScale>
    </cfRule>
  </conditionalFormatting>
  <conditionalFormatting sqref="AE187">
    <cfRule type="expression" dxfId="6422" priority="7251" stopIfTrue="1">
      <formula>AE183=""</formula>
    </cfRule>
  </conditionalFormatting>
  <conditionalFormatting sqref="AE187">
    <cfRule type="expression" dxfId="6421" priority="7252" stopIfTrue="1">
      <formula>AE187=1</formula>
    </cfRule>
    <cfRule type="colorScale" priority="7253">
      <colorScale>
        <cfvo type="num" val="0"/>
        <cfvo type="num" val="0.5"/>
        <cfvo type="num" val="1"/>
        <color rgb="FFF8696B"/>
        <color theme="4" tint="0.79998168889431442"/>
        <color rgb="FF5A8AC6"/>
      </colorScale>
    </cfRule>
  </conditionalFormatting>
  <conditionalFormatting sqref="AE193">
    <cfRule type="expression" dxfId="6420" priority="7248" stopIfTrue="1">
      <formula>AE189=""</formula>
    </cfRule>
  </conditionalFormatting>
  <conditionalFormatting sqref="AE193">
    <cfRule type="expression" dxfId="6419" priority="7249" stopIfTrue="1">
      <formula>AE193=1</formula>
    </cfRule>
    <cfRule type="colorScale" priority="7250">
      <colorScale>
        <cfvo type="num" val="0"/>
        <cfvo type="num" val="0.5"/>
        <cfvo type="num" val="1"/>
        <color rgb="FFF8696B"/>
        <color theme="4" tint="0.79998168889431442"/>
        <color rgb="FF5A8AC6"/>
      </colorScale>
    </cfRule>
  </conditionalFormatting>
  <conditionalFormatting sqref="AE209">
    <cfRule type="expression" dxfId="6418" priority="7242" stopIfTrue="1">
      <formula>AE195=""</formula>
    </cfRule>
  </conditionalFormatting>
  <conditionalFormatting sqref="AE209">
    <cfRule type="expression" dxfId="6417" priority="7243" stopIfTrue="1">
      <formula>AE209=1</formula>
    </cfRule>
    <cfRule type="colorScale" priority="7244">
      <colorScale>
        <cfvo type="num" val="0"/>
        <cfvo type="num" val="0.5"/>
        <cfvo type="num" val="1"/>
        <color rgb="FFF8696B"/>
        <color theme="4" tint="0.79998168889431442"/>
        <color rgb="FF5A8AC6"/>
      </colorScale>
    </cfRule>
  </conditionalFormatting>
  <conditionalFormatting sqref="AE225">
    <cfRule type="expression" dxfId="6416" priority="7239" stopIfTrue="1">
      <formula>AE211=""</formula>
    </cfRule>
  </conditionalFormatting>
  <conditionalFormatting sqref="AE225">
    <cfRule type="expression" dxfId="6415" priority="7240" stopIfTrue="1">
      <formula>AE225=1</formula>
    </cfRule>
    <cfRule type="colorScale" priority="7241">
      <colorScale>
        <cfvo type="num" val="0"/>
        <cfvo type="num" val="0.5"/>
        <cfvo type="num" val="1"/>
        <color rgb="FFF8696B"/>
        <color theme="4" tint="0.79998168889431442"/>
        <color rgb="FF5A8AC6"/>
      </colorScale>
    </cfRule>
  </conditionalFormatting>
  <conditionalFormatting sqref="AE71">
    <cfRule type="expression" dxfId="6414" priority="7231" stopIfTrue="1">
      <formula>AE71=1</formula>
    </cfRule>
    <cfRule type="colorScale" priority="7232">
      <colorScale>
        <cfvo type="num" val="0"/>
        <cfvo type="num" val="0.5"/>
        <cfvo type="num" val="1"/>
        <color rgb="FFF8696B"/>
        <color theme="4" tint="0.79998168889431442"/>
        <color rgb="FF5A8AC6"/>
      </colorScale>
    </cfRule>
  </conditionalFormatting>
  <conditionalFormatting sqref="AE131">
    <cfRule type="expression" dxfId="6413" priority="7233" stopIfTrue="1">
      <formula>AE74=""</formula>
    </cfRule>
  </conditionalFormatting>
  <conditionalFormatting sqref="AE131">
    <cfRule type="expression" dxfId="6412" priority="7234" stopIfTrue="1">
      <formula>AE131=1</formula>
    </cfRule>
    <cfRule type="colorScale" priority="7235">
      <colorScale>
        <cfvo type="num" val="0"/>
        <cfvo type="num" val="0.5"/>
        <cfvo type="num" val="1"/>
        <color rgb="FFF8696B"/>
        <color theme="4" tint="0.79998168889431442"/>
        <color rgb="FF5A8AC6"/>
      </colorScale>
    </cfRule>
  </conditionalFormatting>
  <conditionalFormatting sqref="AE71">
    <cfRule type="expression" dxfId="6411" priority="7230" stopIfTrue="1">
      <formula>AE65=""</formula>
    </cfRule>
  </conditionalFormatting>
  <conditionalFormatting sqref="AE195">
    <cfRule type="expression" dxfId="6410" priority="7227">
      <formula>AE195="X"</formula>
    </cfRule>
    <cfRule type="expression" dxfId="6409" priority="7228">
      <formula>AE195="A"</formula>
    </cfRule>
    <cfRule type="expression" dxfId="6408" priority="7229">
      <formula>AE195="T"</formula>
    </cfRule>
  </conditionalFormatting>
  <conditionalFormatting sqref="AE203">
    <cfRule type="expression" dxfId="6407" priority="7224">
      <formula>AE203="X"</formula>
    </cfRule>
    <cfRule type="expression" dxfId="6406" priority="7225">
      <formula>AE203="A"</formula>
    </cfRule>
    <cfRule type="expression" dxfId="6405" priority="7226">
      <formula>AE203="T"</formula>
    </cfRule>
  </conditionalFormatting>
  <conditionalFormatting sqref="AE205">
    <cfRule type="expression" dxfId="6404" priority="7221">
      <formula>AE205="X"</formula>
    </cfRule>
    <cfRule type="expression" dxfId="6403" priority="7222">
      <formula>AE205="A"</formula>
    </cfRule>
    <cfRule type="expression" dxfId="6402" priority="7223">
      <formula>AE205="T"</formula>
    </cfRule>
  </conditionalFormatting>
  <conditionalFormatting sqref="AE207">
    <cfRule type="expression" dxfId="6401" priority="7218">
      <formula>AE207="X"</formula>
    </cfRule>
    <cfRule type="expression" dxfId="6400" priority="7219">
      <formula>AE207="A"</formula>
    </cfRule>
    <cfRule type="expression" dxfId="6399" priority="7220">
      <formula>AE207="T"</formula>
    </cfRule>
  </conditionalFormatting>
  <conditionalFormatting sqref="AE204">
    <cfRule type="expression" dxfId="6398" priority="7215">
      <formula>AE203="X"</formula>
    </cfRule>
    <cfRule type="expression" dxfId="6397" priority="7216">
      <formula>AE203="A"</formula>
    </cfRule>
    <cfRule type="expression" dxfId="6396" priority="7217">
      <formula>AE203="T"</formula>
    </cfRule>
  </conditionalFormatting>
  <conditionalFormatting sqref="AE206">
    <cfRule type="expression" dxfId="6395" priority="7212">
      <formula>AE205="X"</formula>
    </cfRule>
    <cfRule type="expression" dxfId="6394" priority="7213">
      <formula>AE205="A"</formula>
    </cfRule>
    <cfRule type="expression" dxfId="6393" priority="7214">
      <formula>AE205="T"</formula>
    </cfRule>
  </conditionalFormatting>
  <conditionalFormatting sqref="AE196">
    <cfRule type="expression" dxfId="6392" priority="7209">
      <formula>AE195="X"</formula>
    </cfRule>
    <cfRule type="expression" dxfId="6391" priority="7210">
      <formula>AE195="A"</formula>
    </cfRule>
    <cfRule type="expression" dxfId="6390" priority="7211">
      <formula>AE195="T"</formula>
    </cfRule>
  </conditionalFormatting>
  <conditionalFormatting sqref="AE197">
    <cfRule type="expression" dxfId="6389" priority="7206">
      <formula>AE197="X"</formula>
    </cfRule>
    <cfRule type="expression" dxfId="6388" priority="7207">
      <formula>AE197="A"</formula>
    </cfRule>
    <cfRule type="expression" dxfId="6387" priority="7208">
      <formula>AE197="T"</formula>
    </cfRule>
  </conditionalFormatting>
  <conditionalFormatting sqref="AE198">
    <cfRule type="expression" dxfId="6386" priority="7203">
      <formula>AE197="X"</formula>
    </cfRule>
    <cfRule type="expression" dxfId="6385" priority="7204">
      <formula>AE197="A"</formula>
    </cfRule>
    <cfRule type="expression" dxfId="6384" priority="7205">
      <formula>AE197="T"</formula>
    </cfRule>
  </conditionalFormatting>
  <conditionalFormatting sqref="AE199">
    <cfRule type="expression" dxfId="6383" priority="7200">
      <formula>AE199="X"</formula>
    </cfRule>
    <cfRule type="expression" dxfId="6382" priority="7201">
      <formula>AE199="A"</formula>
    </cfRule>
    <cfRule type="expression" dxfId="6381" priority="7202">
      <formula>AE199="T"</formula>
    </cfRule>
  </conditionalFormatting>
  <conditionalFormatting sqref="AE200">
    <cfRule type="expression" dxfId="6380" priority="7197">
      <formula>AE199="X"</formula>
    </cfRule>
    <cfRule type="expression" dxfId="6379" priority="7198">
      <formula>AE199="A"</formula>
    </cfRule>
    <cfRule type="expression" dxfId="6378" priority="7199">
      <formula>AE199="T"</formula>
    </cfRule>
  </conditionalFormatting>
  <conditionalFormatting sqref="AE201">
    <cfRule type="expression" dxfId="6377" priority="7194">
      <formula>AE201="X"</formula>
    </cfRule>
    <cfRule type="expression" dxfId="6376" priority="7195">
      <formula>AE201="A"</formula>
    </cfRule>
    <cfRule type="expression" dxfId="6375" priority="7196">
      <formula>AE201="T"</formula>
    </cfRule>
  </conditionalFormatting>
  <conditionalFormatting sqref="AE202">
    <cfRule type="expression" dxfId="6374" priority="7191">
      <formula>AE201="X"</formula>
    </cfRule>
    <cfRule type="expression" dxfId="6373" priority="7192">
      <formula>AE201="A"</formula>
    </cfRule>
    <cfRule type="expression" dxfId="6372" priority="7193">
      <formula>AE201="T"</formula>
    </cfRule>
  </conditionalFormatting>
  <conditionalFormatting sqref="AE72">
    <cfRule type="expression" dxfId="6371" priority="7188" stopIfTrue="1">
      <formula>AE4=""</formula>
    </cfRule>
  </conditionalFormatting>
  <conditionalFormatting sqref="AE72">
    <cfRule type="expression" dxfId="6370" priority="7189" stopIfTrue="1">
      <formula>AE72=1</formula>
    </cfRule>
    <cfRule type="colorScale" priority="7190">
      <colorScale>
        <cfvo type="num" val="0"/>
        <cfvo type="num" val="0.5"/>
        <cfvo type="num" val="1"/>
        <color rgb="FFF8696B"/>
        <color theme="4" tint="0.79998168889431442"/>
        <color rgb="FF5A8AC6"/>
      </colorScale>
    </cfRule>
  </conditionalFormatting>
  <conditionalFormatting sqref="AE132">
    <cfRule type="expression" dxfId="6369" priority="7186" stopIfTrue="1">
      <formula>AE132=1</formula>
    </cfRule>
    <cfRule type="colorScale" priority="7187">
      <colorScale>
        <cfvo type="num" val="0"/>
        <cfvo type="num" val="0.5"/>
        <cfvo type="num" val="1"/>
        <color rgb="FFF8696B"/>
        <color theme="4" tint="0.79998168889431442"/>
        <color rgb="FF5A8AC6"/>
      </colorScale>
    </cfRule>
  </conditionalFormatting>
  <conditionalFormatting sqref="AE132">
    <cfRule type="expression" dxfId="6368" priority="7185" stopIfTrue="1">
      <formula>AE74=""</formula>
    </cfRule>
  </conditionalFormatting>
  <conditionalFormatting sqref="AE160">
    <cfRule type="expression" dxfId="6367" priority="7168">
      <formula>AE159="X"</formula>
    </cfRule>
    <cfRule type="expression" dxfId="6366" priority="7169">
      <formula>AE159="A"</formula>
    </cfRule>
    <cfRule type="expression" dxfId="6365" priority="7170">
      <formula>AE159="T"</formula>
    </cfRule>
  </conditionalFormatting>
  <conditionalFormatting sqref="AE159">
    <cfRule type="expression" dxfId="6364" priority="7165">
      <formula>AE159="X"</formula>
    </cfRule>
    <cfRule type="expression" dxfId="6363" priority="7166">
      <formula>AE159="A"</formula>
    </cfRule>
    <cfRule type="expression" dxfId="6362" priority="7167">
      <formula>AE159="T"</formula>
    </cfRule>
  </conditionalFormatting>
  <conditionalFormatting sqref="AE162">
    <cfRule type="expression" dxfId="6361" priority="7162">
      <formula>AE161="X"</formula>
    </cfRule>
    <cfRule type="expression" dxfId="6360" priority="7163">
      <formula>AE161="A"</formula>
    </cfRule>
    <cfRule type="expression" dxfId="6359" priority="7164">
      <formula>AE161="T"</formula>
    </cfRule>
  </conditionalFormatting>
  <conditionalFormatting sqref="AE161">
    <cfRule type="expression" dxfId="6358" priority="7159">
      <formula>AE161="X"</formula>
    </cfRule>
    <cfRule type="expression" dxfId="6357" priority="7160">
      <formula>AE161="A"</formula>
    </cfRule>
    <cfRule type="expression" dxfId="6356" priority="7161">
      <formula>AE161="T"</formula>
    </cfRule>
  </conditionalFormatting>
  <conditionalFormatting sqref="AE164">
    <cfRule type="expression" dxfId="6355" priority="7156">
      <formula>AE163="X"</formula>
    </cfRule>
    <cfRule type="expression" dxfId="6354" priority="7157">
      <formula>AE163="A"</formula>
    </cfRule>
    <cfRule type="expression" dxfId="6353" priority="7158">
      <formula>AE163="T"</formula>
    </cfRule>
  </conditionalFormatting>
  <conditionalFormatting sqref="AE163">
    <cfRule type="expression" dxfId="6352" priority="7153">
      <formula>AE163="X"</formula>
    </cfRule>
    <cfRule type="expression" dxfId="6351" priority="7154">
      <formula>AE163="A"</formula>
    </cfRule>
    <cfRule type="expression" dxfId="6350" priority="7155">
      <formula>AE163="T"</formula>
    </cfRule>
  </conditionalFormatting>
  <conditionalFormatting sqref="AE153">
    <cfRule type="expression" dxfId="6349" priority="7150" stopIfTrue="1">
      <formula>AE149=""</formula>
    </cfRule>
  </conditionalFormatting>
  <conditionalFormatting sqref="AE153">
    <cfRule type="expression" dxfId="6348" priority="7151" stopIfTrue="1">
      <formula>AE153=1</formula>
    </cfRule>
    <cfRule type="colorScale" priority="7152">
      <colorScale>
        <cfvo type="num" val="0"/>
        <cfvo type="num" val="0.5"/>
        <cfvo type="num" val="1"/>
        <color rgb="FFF8696B"/>
        <color theme="4" tint="0.79998168889431442"/>
        <color rgb="FF5A8AC6"/>
      </colorScale>
    </cfRule>
  </conditionalFormatting>
  <conditionalFormatting sqref="AE147">
    <cfRule type="expression" dxfId="6347" priority="7147" stopIfTrue="1">
      <formula>AE134=""</formula>
    </cfRule>
  </conditionalFormatting>
  <conditionalFormatting sqref="AE147">
    <cfRule type="expression" dxfId="6346" priority="7148" stopIfTrue="1">
      <formula>AE147=1</formula>
    </cfRule>
    <cfRule type="colorScale" priority="7149">
      <colorScale>
        <cfvo type="num" val="0"/>
        <cfvo type="num" val="0.5"/>
        <cfvo type="num" val="1"/>
        <color rgb="FFF8696B"/>
        <color theme="4" tint="0.79998168889431442"/>
        <color rgb="FF5A8AC6"/>
      </colorScale>
    </cfRule>
  </conditionalFormatting>
  <conditionalFormatting sqref="AE145">
    <cfRule type="expression" dxfId="6345" priority="7144" stopIfTrue="1">
      <formula>AE141=""</formula>
    </cfRule>
  </conditionalFormatting>
  <conditionalFormatting sqref="AE145">
    <cfRule type="expression" dxfId="6344" priority="7145" stopIfTrue="1">
      <formula>AE145=1</formula>
    </cfRule>
    <cfRule type="colorScale" priority="7146">
      <colorScale>
        <cfvo type="num" val="0"/>
        <cfvo type="num" val="0.5"/>
        <cfvo type="num" val="1"/>
        <color rgb="FFF8696B"/>
        <color theme="4" tint="0.79998168889431442"/>
        <color rgb="FF5A8AC6"/>
      </colorScale>
    </cfRule>
  </conditionalFormatting>
  <conditionalFormatting sqref="AE140">
    <cfRule type="expression" dxfId="6343" priority="7141" stopIfTrue="1">
      <formula>AE134=""</formula>
    </cfRule>
  </conditionalFormatting>
  <conditionalFormatting sqref="AE140">
    <cfRule type="expression" dxfId="6342" priority="7142" stopIfTrue="1">
      <formula>AE140=1</formula>
    </cfRule>
    <cfRule type="colorScale" priority="7143">
      <colorScale>
        <cfvo type="num" val="0"/>
        <cfvo type="num" val="0.5"/>
        <cfvo type="num" val="1"/>
        <color rgb="FFF8696B"/>
        <color theme="4" tint="0.79998168889431442"/>
        <color rgb="FF5A8AC6"/>
      </colorScale>
    </cfRule>
  </conditionalFormatting>
  <conditionalFormatting sqref="AE10">
    <cfRule type="expression" dxfId="6341" priority="7132" stopIfTrue="1">
      <formula>AE4=""</formula>
    </cfRule>
  </conditionalFormatting>
  <conditionalFormatting sqref="AE10">
    <cfRule type="expression" dxfId="6340" priority="7133" stopIfTrue="1">
      <formula>AE10=1</formula>
    </cfRule>
    <cfRule type="colorScale" priority="7134">
      <colorScale>
        <cfvo type="num" val="0"/>
        <cfvo type="num" val="0.5"/>
        <cfvo type="num" val="1"/>
        <color rgb="FFF8696B"/>
        <color theme="4" tint="0.79998168889431442"/>
        <color rgb="FF5A8AC6"/>
      </colorScale>
    </cfRule>
  </conditionalFormatting>
  <conditionalFormatting sqref="AE4">
    <cfRule type="expression" dxfId="6339" priority="7129">
      <formula>AE4="X"</formula>
    </cfRule>
    <cfRule type="expression" dxfId="6338" priority="7130">
      <formula>AE4="A"</formula>
    </cfRule>
    <cfRule type="expression" dxfId="6337" priority="7131">
      <formula>AE4="T"</formula>
    </cfRule>
  </conditionalFormatting>
  <conditionalFormatting sqref="AE5">
    <cfRule type="expression" dxfId="6336" priority="7126">
      <formula>AE4="X"</formula>
    </cfRule>
    <cfRule type="expression" dxfId="6335" priority="7127">
      <formula>AE4="A"</formula>
    </cfRule>
    <cfRule type="expression" dxfId="6334" priority="7128">
      <formula>AE4="T"</formula>
    </cfRule>
  </conditionalFormatting>
  <conditionalFormatting sqref="AE6">
    <cfRule type="expression" dxfId="6333" priority="7123">
      <formula>AE6="X"</formula>
    </cfRule>
    <cfRule type="expression" dxfId="6332" priority="7124">
      <formula>AE6="A"</formula>
    </cfRule>
    <cfRule type="expression" dxfId="6331" priority="7125">
      <formula>AE6="T"</formula>
    </cfRule>
  </conditionalFormatting>
  <conditionalFormatting sqref="AE7">
    <cfRule type="expression" dxfId="6330" priority="7120">
      <formula>AE6="X"</formula>
    </cfRule>
    <cfRule type="expression" dxfId="6329" priority="7121">
      <formula>AE6="A"</formula>
    </cfRule>
    <cfRule type="expression" dxfId="6328" priority="7122">
      <formula>AE6="T"</formula>
    </cfRule>
  </conditionalFormatting>
  <conditionalFormatting sqref="AE8">
    <cfRule type="expression" dxfId="6327" priority="7117">
      <formula>AE8="X"</formula>
    </cfRule>
    <cfRule type="expression" dxfId="6326" priority="7118">
      <formula>AE8="A"</formula>
    </cfRule>
    <cfRule type="expression" dxfId="6325" priority="7119">
      <formula>AE8="T"</formula>
    </cfRule>
  </conditionalFormatting>
  <conditionalFormatting sqref="AE15">
    <cfRule type="expression" dxfId="6324" priority="7115" stopIfTrue="1">
      <formula>AE15=1</formula>
    </cfRule>
    <cfRule type="colorScale" priority="7116">
      <colorScale>
        <cfvo type="num" val="0"/>
        <cfvo type="num" val="0.5"/>
        <cfvo type="num" val="1"/>
        <color rgb="FFF8696B"/>
        <color theme="4" tint="0.79998168889431442"/>
        <color rgb="FF5A8AC6"/>
      </colorScale>
    </cfRule>
  </conditionalFormatting>
  <conditionalFormatting sqref="AE15">
    <cfRule type="expression" dxfId="6323" priority="7114" stopIfTrue="1">
      <formula>AE11=""</formula>
    </cfRule>
  </conditionalFormatting>
  <conditionalFormatting sqref="AE15">
    <cfRule type="expression" dxfId="6322" priority="7111" stopIfTrue="1">
      <formula>AE11=""</formula>
    </cfRule>
  </conditionalFormatting>
  <conditionalFormatting sqref="AE15">
    <cfRule type="expression" dxfId="6321" priority="7112" stopIfTrue="1">
      <formula>AE15=1</formula>
    </cfRule>
    <cfRule type="colorScale" priority="7113">
      <colorScale>
        <cfvo type="num" val="0"/>
        <cfvo type="num" val="0.5"/>
        <cfvo type="num" val="1"/>
        <color rgb="FFF8696B"/>
        <color theme="4" tint="0.79998168889431442"/>
        <color rgb="FF5A8AC6"/>
      </colorScale>
    </cfRule>
  </conditionalFormatting>
  <conditionalFormatting sqref="AE39 AE41 AE43 AE45">
    <cfRule type="expression" dxfId="6320" priority="7108">
      <formula>AE39="X"</formula>
    </cfRule>
    <cfRule type="expression" dxfId="6319" priority="7109">
      <formula>AE39="A"</formula>
    </cfRule>
    <cfRule type="expression" dxfId="6318" priority="7110">
      <formula>AE39="T"</formula>
    </cfRule>
  </conditionalFormatting>
  <conditionalFormatting sqref="AE40">
    <cfRule type="expression" dxfId="6317" priority="7105">
      <formula>AE39="X"</formula>
    </cfRule>
    <cfRule type="expression" dxfId="6316" priority="7106">
      <formula>AE39="A"</formula>
    </cfRule>
    <cfRule type="expression" dxfId="6315" priority="7107">
      <formula>AE39="T"</formula>
    </cfRule>
  </conditionalFormatting>
  <conditionalFormatting sqref="AE42">
    <cfRule type="expression" dxfId="6314" priority="7102">
      <formula>AE41="X"</formula>
    </cfRule>
    <cfRule type="expression" dxfId="6313" priority="7103">
      <formula>AE41="A"</formula>
    </cfRule>
    <cfRule type="expression" dxfId="6312" priority="7104">
      <formula>AE41="T"</formula>
    </cfRule>
  </conditionalFormatting>
  <conditionalFormatting sqref="AE44">
    <cfRule type="expression" dxfId="6311" priority="7099">
      <formula>AE43="X"</formula>
    </cfRule>
    <cfRule type="expression" dxfId="6310" priority="7100">
      <formula>AE43="A"</formula>
    </cfRule>
    <cfRule type="expression" dxfId="6309" priority="7101">
      <formula>AE43="T"</formula>
    </cfRule>
  </conditionalFormatting>
  <conditionalFormatting sqref="AE105 AE107 AE109 AE111">
    <cfRule type="expression" dxfId="6308" priority="7096">
      <formula>AE105="X"</formula>
    </cfRule>
    <cfRule type="expression" dxfId="6307" priority="7097">
      <formula>AE105="A"</formula>
    </cfRule>
    <cfRule type="expression" dxfId="6306" priority="7098">
      <formula>AE105="T"</formula>
    </cfRule>
  </conditionalFormatting>
  <conditionalFormatting sqref="AE113">
    <cfRule type="expression" dxfId="6305" priority="7093">
      <formula>AE113="X"</formula>
    </cfRule>
    <cfRule type="expression" dxfId="6304" priority="7094">
      <formula>AE113="A"</formula>
    </cfRule>
    <cfRule type="expression" dxfId="6303" priority="7095">
      <formula>AE113="T"</formula>
    </cfRule>
  </conditionalFormatting>
  <conditionalFormatting sqref="AE106">
    <cfRule type="expression" dxfId="6302" priority="7090">
      <formula>AE105="X"</formula>
    </cfRule>
    <cfRule type="expression" dxfId="6301" priority="7091">
      <formula>AE105="A"</formula>
    </cfRule>
    <cfRule type="expression" dxfId="6300" priority="7092">
      <formula>AE105="T"</formula>
    </cfRule>
  </conditionalFormatting>
  <conditionalFormatting sqref="AE108">
    <cfRule type="expression" dxfId="6299" priority="7087">
      <formula>AE107="X"</formula>
    </cfRule>
    <cfRule type="expression" dxfId="6298" priority="7088">
      <formula>AE107="A"</formula>
    </cfRule>
    <cfRule type="expression" dxfId="6297" priority="7089">
      <formula>AE107="T"</formula>
    </cfRule>
  </conditionalFormatting>
  <conditionalFormatting sqref="AE110">
    <cfRule type="expression" dxfId="6296" priority="7084">
      <formula>AE109="X"</formula>
    </cfRule>
    <cfRule type="expression" dxfId="6295" priority="7085">
      <formula>AE109="A"</formula>
    </cfRule>
    <cfRule type="expression" dxfId="6294" priority="7086">
      <formula>AE109="T"</formula>
    </cfRule>
  </conditionalFormatting>
  <conditionalFormatting sqref="AE112">
    <cfRule type="expression" dxfId="6293" priority="7081">
      <formula>AE111="X"</formula>
    </cfRule>
    <cfRule type="expression" dxfId="6292" priority="7082">
      <formula>AE111="A"</formula>
    </cfRule>
    <cfRule type="expression" dxfId="6291" priority="7083">
      <formula>AE111="T"</formula>
    </cfRule>
  </conditionalFormatting>
  <conditionalFormatting sqref="AE237:AE238">
    <cfRule type="expression" dxfId="6290" priority="7077" stopIfTrue="1">
      <formula>AE237=_xlfn.UNICHAR(10003)</formula>
    </cfRule>
    <cfRule type="colorScale" priority="7078">
      <colorScale>
        <cfvo type="num" val="0"/>
        <cfvo type="num" val="0.5"/>
        <cfvo type="num" val="1"/>
        <color rgb="FFF8696B"/>
        <color theme="4" tint="0.79998168889431442"/>
        <color rgb="FF5A8AC6"/>
      </colorScale>
    </cfRule>
  </conditionalFormatting>
  <conditionalFormatting sqref="AE230:AE236">
    <cfRule type="expression" dxfId="6289" priority="7075" stopIfTrue="1">
      <formula>AE230=_xlfn.UNICHAR(10003)</formula>
    </cfRule>
    <cfRule type="colorScale" priority="7076">
      <colorScale>
        <cfvo type="num" val="0"/>
        <cfvo type="num" val="0.5"/>
        <cfvo type="num" val="1"/>
        <color rgb="FFF8696B"/>
        <color theme="4" tint="0.79998168889431442"/>
        <color rgb="FF5A8AC6"/>
      </colorScale>
    </cfRule>
  </conditionalFormatting>
  <conditionalFormatting sqref="AE239">
    <cfRule type="expression" dxfId="6288" priority="7073" stopIfTrue="1">
      <formula>AE239=_xlfn.UNICHAR(10003)</formula>
    </cfRule>
    <cfRule type="colorScale" priority="7074">
      <colorScale>
        <cfvo type="num" val="0"/>
        <cfvo type="num" val="0.5"/>
        <cfvo type="num" val="1"/>
        <color rgb="FFF8696B"/>
        <color theme="4" tint="0.79998168889431442"/>
        <color rgb="FF5A8AC6"/>
      </colorScale>
    </cfRule>
  </conditionalFormatting>
  <conditionalFormatting sqref="AE239">
    <cfRule type="expression" dxfId="6287" priority="7071" stopIfTrue="1">
      <formula>AE239=1</formula>
    </cfRule>
    <cfRule type="colorScale" priority="7072">
      <colorScale>
        <cfvo type="num" val="0"/>
        <cfvo type="num" val="0.5"/>
        <cfvo type="num" val="1"/>
        <color rgb="FFF8696B"/>
        <color theme="4" tint="0.79998168889431442"/>
        <color rgb="FF5A8AC6"/>
      </colorScale>
    </cfRule>
  </conditionalFormatting>
  <conditionalFormatting sqref="AE228">
    <cfRule type="expression" dxfId="6286" priority="7070" stopIfTrue="1">
      <formula>AE228=UNICAHR(10003)</formula>
    </cfRule>
    <cfRule type="expression" dxfId="6285" priority="7079" stopIfTrue="1">
      <formula>AE228=CONCATENATE(_xlfn.UNICHAR(10003),_xlfn.UNICHAR(10003))</formula>
    </cfRule>
    <cfRule type="colorScale" priority="7080">
      <colorScale>
        <cfvo type="num" val="0"/>
        <cfvo type="num" val="0.5"/>
        <cfvo type="num" val="1"/>
        <color rgb="FFF8696B"/>
        <color theme="4" tint="0.79998168889431442"/>
        <color rgb="FF5A8AC6"/>
      </colorScale>
    </cfRule>
  </conditionalFormatting>
  <conditionalFormatting sqref="AE238 AE229">
    <cfRule type="expression" dxfId="6284" priority="7067" stopIfTrue="1">
      <formula>AE229=_xlfn.UNICHAR(10003)</formula>
    </cfRule>
    <cfRule type="expression" dxfId="6283" priority="7068" stopIfTrue="1">
      <formula>AE229=CONCATENATE(_xlfn.UNICHAR(10003),_xlfn.UNICHAR(10003))</formula>
    </cfRule>
    <cfRule type="colorScale" priority="7069">
      <colorScale>
        <cfvo type="num" val="0"/>
        <cfvo type="num" val="0.5"/>
        <cfvo type="num" val="1"/>
        <color rgb="FFF8696B"/>
        <color theme="4" tint="0.79998168889431442"/>
        <color rgb="FF5A8AC6"/>
      </colorScale>
    </cfRule>
  </conditionalFormatting>
  <conditionalFormatting sqref="Z158 AC158">
    <cfRule type="expression" dxfId="6282" priority="7064">
      <formula>Z157="X"</formula>
    </cfRule>
    <cfRule type="expression" dxfId="6281" priority="7065">
      <formula>Z157="A"</formula>
    </cfRule>
    <cfRule type="expression" dxfId="6280" priority="7066">
      <formula>Z157="T"</formula>
    </cfRule>
  </conditionalFormatting>
  <conditionalFormatting sqref="Z16 Z20 Z26 Z48 Z81 Z90 Z94 Z98 Z100 Z102 Z105 Z107 Z109 Z116 Z18 Z22 Z24 Z28 AC28 AC24 AC22 AC18 AC116 AC109 AC107 AC105 AC102 AC100 AC98 AC94 AC90 AC81 AC48 AC26 AC20 AC16">
    <cfRule type="expression" dxfId="6279" priority="7061">
      <formula>Z16="X"</formula>
    </cfRule>
    <cfRule type="expression" dxfId="6278" priority="7062">
      <formula>Z16="A"</formula>
    </cfRule>
    <cfRule type="expression" dxfId="6277" priority="7063">
      <formula>Z16="T"</formula>
    </cfRule>
  </conditionalFormatting>
  <conditionalFormatting sqref="Z36 AC36">
    <cfRule type="expression" dxfId="6276" priority="7058">
      <formula>Z36="X"</formula>
    </cfRule>
    <cfRule type="expression" dxfId="6275" priority="7059">
      <formula>Z36="A"</formula>
    </cfRule>
    <cfRule type="expression" dxfId="6274" priority="7060">
      <formula>Z36="T"</formula>
    </cfRule>
  </conditionalFormatting>
  <conditionalFormatting sqref="Z34 AC34">
    <cfRule type="expression" dxfId="6273" priority="7055">
      <formula>Z34="X"</formula>
    </cfRule>
    <cfRule type="expression" dxfId="6272" priority="7056">
      <formula>Z34="A"</formula>
    </cfRule>
    <cfRule type="expression" dxfId="6271" priority="7057">
      <formula>Z34="T"</formula>
    </cfRule>
  </conditionalFormatting>
  <conditionalFormatting sqref="Z52 AC52">
    <cfRule type="expression" dxfId="6270" priority="7046">
      <formula>Z52="X"</formula>
    </cfRule>
    <cfRule type="expression" dxfId="6269" priority="7047">
      <formula>Z52="A"</formula>
    </cfRule>
    <cfRule type="expression" dxfId="6268" priority="7048">
      <formula>Z52="T"</formula>
    </cfRule>
  </conditionalFormatting>
  <conditionalFormatting sqref="Z50 AC50">
    <cfRule type="expression" dxfId="6267" priority="7043">
      <formula>Z50="X"</formula>
    </cfRule>
    <cfRule type="expression" dxfId="6266" priority="7044">
      <formula>Z50="A"</formula>
    </cfRule>
    <cfRule type="expression" dxfId="6265" priority="7045">
      <formula>Z50="T"</formula>
    </cfRule>
  </conditionalFormatting>
  <conditionalFormatting sqref="Z54 AC54">
    <cfRule type="expression" dxfId="6264" priority="7040">
      <formula>Z54="X"</formula>
    </cfRule>
    <cfRule type="expression" dxfId="6263" priority="7041">
      <formula>Z54="A"</formula>
    </cfRule>
    <cfRule type="expression" dxfId="6262" priority="7042">
      <formula>Z54="T"</formula>
    </cfRule>
  </conditionalFormatting>
  <conditionalFormatting sqref="Z56 AC56">
    <cfRule type="expression" dxfId="6261" priority="7037">
      <formula>Z56="X"</formula>
    </cfRule>
    <cfRule type="expression" dxfId="6260" priority="7038">
      <formula>Z56="A"</formula>
    </cfRule>
    <cfRule type="expression" dxfId="6259" priority="7039">
      <formula>Z56="T"</formula>
    </cfRule>
  </conditionalFormatting>
  <conditionalFormatting sqref="Z58 AC58">
    <cfRule type="expression" dxfId="6258" priority="7034">
      <formula>Z58="X"</formula>
    </cfRule>
    <cfRule type="expression" dxfId="6257" priority="7035">
      <formula>Z58="A"</formula>
    </cfRule>
    <cfRule type="expression" dxfId="6256" priority="7036">
      <formula>Z58="T"</formula>
    </cfRule>
  </conditionalFormatting>
  <conditionalFormatting sqref="Z63 AC63">
    <cfRule type="expression" dxfId="6255" priority="7031">
      <formula>Z63="X"</formula>
    </cfRule>
    <cfRule type="expression" dxfId="6254" priority="7032">
      <formula>Z63="A"</formula>
    </cfRule>
    <cfRule type="expression" dxfId="6253" priority="7033">
      <formula>Z63="T"</formula>
    </cfRule>
  </conditionalFormatting>
  <conditionalFormatting sqref="Z65 AC65">
    <cfRule type="expression" dxfId="6252" priority="7028">
      <formula>Z65="X"</formula>
    </cfRule>
    <cfRule type="expression" dxfId="6251" priority="7029">
      <formula>Z65="A"</formula>
    </cfRule>
    <cfRule type="expression" dxfId="6250" priority="7030">
      <formula>Z65="T"</formula>
    </cfRule>
  </conditionalFormatting>
  <conditionalFormatting sqref="Z83 AC83">
    <cfRule type="expression" dxfId="6249" priority="7025">
      <formula>Z83="X"</formula>
    </cfRule>
    <cfRule type="expression" dxfId="6248" priority="7026">
      <formula>Z83="A"</formula>
    </cfRule>
    <cfRule type="expression" dxfId="6247" priority="7027">
      <formula>Z83="T"</formula>
    </cfRule>
  </conditionalFormatting>
  <conditionalFormatting sqref="Z85 AC85">
    <cfRule type="expression" dxfId="6246" priority="7022">
      <formula>Z85="X"</formula>
    </cfRule>
    <cfRule type="expression" dxfId="6245" priority="7023">
      <formula>Z85="A"</formula>
    </cfRule>
    <cfRule type="expression" dxfId="6244" priority="7024">
      <formula>Z85="T"</formula>
    </cfRule>
  </conditionalFormatting>
  <conditionalFormatting sqref="Z67 AC67">
    <cfRule type="expression" dxfId="6243" priority="7019">
      <formula>Z67="X"</formula>
    </cfRule>
    <cfRule type="expression" dxfId="6242" priority="7020">
      <formula>Z67="A"</formula>
    </cfRule>
    <cfRule type="expression" dxfId="6241" priority="7021">
      <formula>Z67="T"</formula>
    </cfRule>
  </conditionalFormatting>
  <conditionalFormatting sqref="Z113 AC113">
    <cfRule type="expression" dxfId="6240" priority="7016">
      <formula>Z113="X"</formula>
    </cfRule>
    <cfRule type="expression" dxfId="6239" priority="7017">
      <formula>Z113="A"</formula>
    </cfRule>
    <cfRule type="expression" dxfId="6238" priority="7018">
      <formula>Z113="T"</formula>
    </cfRule>
  </conditionalFormatting>
  <conditionalFormatting sqref="Z118 AC118">
    <cfRule type="expression" dxfId="6237" priority="7013">
      <formula>Z118="X"</formula>
    </cfRule>
    <cfRule type="expression" dxfId="6236" priority="7014">
      <formula>Z118="A"</formula>
    </cfRule>
    <cfRule type="expression" dxfId="6235" priority="7015">
      <formula>Z118="T"</formula>
    </cfRule>
  </conditionalFormatting>
  <conditionalFormatting sqref="Z120 AC120">
    <cfRule type="expression" dxfId="6234" priority="7010">
      <formula>Z120="X"</formula>
    </cfRule>
    <cfRule type="expression" dxfId="6233" priority="7011">
      <formula>Z120="A"</formula>
    </cfRule>
    <cfRule type="expression" dxfId="6232" priority="7012">
      <formula>Z120="T"</formula>
    </cfRule>
  </conditionalFormatting>
  <conditionalFormatting sqref="Z122 AC122">
    <cfRule type="expression" dxfId="6231" priority="7007">
      <formula>Z122="X"</formula>
    </cfRule>
    <cfRule type="expression" dxfId="6230" priority="7008">
      <formula>Z122="A"</formula>
    </cfRule>
    <cfRule type="expression" dxfId="6229" priority="7009">
      <formula>Z122="T"</formula>
    </cfRule>
  </conditionalFormatting>
  <conditionalFormatting sqref="Z125 AC125">
    <cfRule type="expression" dxfId="6228" priority="7004">
      <formula>Z125="X"</formula>
    </cfRule>
    <cfRule type="expression" dxfId="6227" priority="7005">
      <formula>Z125="A"</formula>
    </cfRule>
    <cfRule type="expression" dxfId="6226" priority="7006">
      <formula>Z125="T"</formula>
    </cfRule>
  </conditionalFormatting>
  <conditionalFormatting sqref="Z127 AC127">
    <cfRule type="expression" dxfId="6225" priority="7001">
      <formula>Z127="X"</formula>
    </cfRule>
    <cfRule type="expression" dxfId="6224" priority="7002">
      <formula>Z127="A"</formula>
    </cfRule>
    <cfRule type="expression" dxfId="6223" priority="7003">
      <formula>Z127="T"</formula>
    </cfRule>
  </conditionalFormatting>
  <conditionalFormatting sqref="Z141 AC141">
    <cfRule type="expression" dxfId="6222" priority="6998">
      <formula>Z141="X"</formula>
    </cfRule>
    <cfRule type="expression" dxfId="6221" priority="6999">
      <formula>Z141="A"</formula>
    </cfRule>
    <cfRule type="expression" dxfId="6220" priority="7000">
      <formula>Z141="T"</formula>
    </cfRule>
  </conditionalFormatting>
  <conditionalFormatting sqref="Z143 AC143">
    <cfRule type="expression" dxfId="6219" priority="6995">
      <formula>Z143="X"</formula>
    </cfRule>
    <cfRule type="expression" dxfId="6218" priority="6996">
      <formula>Z143="A"</formula>
    </cfRule>
    <cfRule type="expression" dxfId="6217" priority="6997">
      <formula>Z143="T"</formula>
    </cfRule>
  </conditionalFormatting>
  <conditionalFormatting sqref="Z149 AC149">
    <cfRule type="expression" dxfId="6216" priority="6992">
      <formula>Z149="X"</formula>
    </cfRule>
    <cfRule type="expression" dxfId="6215" priority="6993">
      <formula>Z149="A"</formula>
    </cfRule>
    <cfRule type="expression" dxfId="6214" priority="6994">
      <formula>Z149="T"</formula>
    </cfRule>
  </conditionalFormatting>
  <conditionalFormatting sqref="Z151 AC151">
    <cfRule type="expression" dxfId="6213" priority="6989">
      <formula>Z151="X"</formula>
    </cfRule>
    <cfRule type="expression" dxfId="6212" priority="6990">
      <formula>Z151="A"</formula>
    </cfRule>
    <cfRule type="expression" dxfId="6211" priority="6991">
      <formula>Z151="T"</formula>
    </cfRule>
  </conditionalFormatting>
  <conditionalFormatting sqref="Z155 AC155">
    <cfRule type="expression" dxfId="6210" priority="6986">
      <formula>Z155="X"</formula>
    </cfRule>
    <cfRule type="expression" dxfId="6209" priority="6987">
      <formula>Z155="A"</formula>
    </cfRule>
    <cfRule type="expression" dxfId="6208" priority="6988">
      <formula>Z155="T"</formula>
    </cfRule>
  </conditionalFormatting>
  <conditionalFormatting sqref="Z157 AC157">
    <cfRule type="expression" dxfId="6207" priority="6983">
      <formula>Z157="X"</formula>
    </cfRule>
    <cfRule type="expression" dxfId="6206" priority="6984">
      <formula>Z157="A"</formula>
    </cfRule>
    <cfRule type="expression" dxfId="6205" priority="6985">
      <formula>Z157="T"</formula>
    </cfRule>
  </conditionalFormatting>
  <conditionalFormatting sqref="Z167 AC167">
    <cfRule type="expression" dxfId="6204" priority="6980">
      <formula>Z167="X"</formula>
    </cfRule>
    <cfRule type="expression" dxfId="6203" priority="6981">
      <formula>Z167="A"</formula>
    </cfRule>
    <cfRule type="expression" dxfId="6202" priority="6982">
      <formula>Z167="T"</formula>
    </cfRule>
  </conditionalFormatting>
  <conditionalFormatting sqref="Z173 AC173">
    <cfRule type="expression" dxfId="6201" priority="6977">
      <formula>Z173="X"</formula>
    </cfRule>
    <cfRule type="expression" dxfId="6200" priority="6978">
      <formula>Z173="A"</formula>
    </cfRule>
    <cfRule type="expression" dxfId="6199" priority="6979">
      <formula>Z173="T"</formula>
    </cfRule>
  </conditionalFormatting>
  <conditionalFormatting sqref="Z175 AC175">
    <cfRule type="expression" dxfId="6198" priority="6974">
      <formula>Z175="X"</formula>
    </cfRule>
    <cfRule type="expression" dxfId="6197" priority="6975">
      <formula>Z175="A"</formula>
    </cfRule>
    <cfRule type="expression" dxfId="6196" priority="6976">
      <formula>Z175="T"</formula>
    </cfRule>
  </conditionalFormatting>
  <conditionalFormatting sqref="Z177 AC177">
    <cfRule type="expression" dxfId="6195" priority="6971">
      <formula>Z177="X"</formula>
    </cfRule>
    <cfRule type="expression" dxfId="6194" priority="6972">
      <formula>Z177="A"</formula>
    </cfRule>
    <cfRule type="expression" dxfId="6193" priority="6973">
      <formula>Z177="T"</formula>
    </cfRule>
  </conditionalFormatting>
  <conditionalFormatting sqref="Z179 AC179">
    <cfRule type="expression" dxfId="6192" priority="6968">
      <formula>Z179="X"</formula>
    </cfRule>
    <cfRule type="expression" dxfId="6191" priority="6969">
      <formula>Z179="A"</formula>
    </cfRule>
    <cfRule type="expression" dxfId="6190" priority="6970">
      <formula>Z179="T"</formula>
    </cfRule>
  </conditionalFormatting>
  <conditionalFormatting sqref="Z169 AC169">
    <cfRule type="expression" dxfId="6189" priority="6965">
      <formula>Z169="X"</formula>
    </cfRule>
    <cfRule type="expression" dxfId="6188" priority="6966">
      <formula>Z169="A"</formula>
    </cfRule>
    <cfRule type="expression" dxfId="6187" priority="6967">
      <formula>Z169="T"</formula>
    </cfRule>
  </conditionalFormatting>
  <conditionalFormatting sqref="Z171 AC171">
    <cfRule type="expression" dxfId="6186" priority="6962">
      <formula>Z171="X"</formula>
    </cfRule>
    <cfRule type="expression" dxfId="6185" priority="6963">
      <formula>Z171="A"</formula>
    </cfRule>
    <cfRule type="expression" dxfId="6184" priority="6964">
      <formula>Z171="T"</formula>
    </cfRule>
  </conditionalFormatting>
  <conditionalFormatting sqref="Z183 AC183">
    <cfRule type="expression" dxfId="6183" priority="6959">
      <formula>Z183="X"</formula>
    </cfRule>
    <cfRule type="expression" dxfId="6182" priority="6960">
      <formula>Z183="A"</formula>
    </cfRule>
    <cfRule type="expression" dxfId="6181" priority="6961">
      <formula>Z183="T"</formula>
    </cfRule>
  </conditionalFormatting>
  <conditionalFormatting sqref="Z185 AC185">
    <cfRule type="expression" dxfId="6180" priority="6956">
      <formula>Z185="X"</formula>
    </cfRule>
    <cfRule type="expression" dxfId="6179" priority="6957">
      <formula>Z185="A"</formula>
    </cfRule>
    <cfRule type="expression" dxfId="6178" priority="6958">
      <formula>Z185="T"</formula>
    </cfRule>
  </conditionalFormatting>
  <conditionalFormatting sqref="Z189 AC189">
    <cfRule type="expression" dxfId="6177" priority="6953">
      <formula>Z189="X"</formula>
    </cfRule>
    <cfRule type="expression" dxfId="6176" priority="6954">
      <formula>Z189="A"</formula>
    </cfRule>
    <cfRule type="expression" dxfId="6175" priority="6955">
      <formula>Z189="T"</formula>
    </cfRule>
  </conditionalFormatting>
  <conditionalFormatting sqref="Z191 AC191">
    <cfRule type="expression" dxfId="6174" priority="6950">
      <formula>Z191="X"</formula>
    </cfRule>
    <cfRule type="expression" dxfId="6173" priority="6951">
      <formula>Z191="A"</formula>
    </cfRule>
    <cfRule type="expression" dxfId="6172" priority="6952">
      <formula>Z191="T"</formula>
    </cfRule>
  </conditionalFormatting>
  <conditionalFormatting sqref="Z11 AC11">
    <cfRule type="expression" dxfId="6171" priority="6947">
      <formula>Z11="X"</formula>
    </cfRule>
    <cfRule type="expression" dxfId="6170" priority="6948">
      <formula>Z11="A"</formula>
    </cfRule>
    <cfRule type="expression" dxfId="6169" priority="6949">
      <formula>Z11="T"</formula>
    </cfRule>
  </conditionalFormatting>
  <conditionalFormatting sqref="Z12 AC12">
    <cfRule type="expression" dxfId="6168" priority="6944">
      <formula>Z11="X"</formula>
    </cfRule>
    <cfRule type="expression" dxfId="6167" priority="6945">
      <formula>Z11="A"</formula>
    </cfRule>
    <cfRule type="expression" dxfId="6166" priority="6946">
      <formula>Z11="T"</formula>
    </cfRule>
  </conditionalFormatting>
  <conditionalFormatting sqref="Z13 AC13">
    <cfRule type="expression" dxfId="6165" priority="6941">
      <formula>Z13="X"</formula>
    </cfRule>
    <cfRule type="expression" dxfId="6164" priority="6942">
      <formula>Z13="A"</formula>
    </cfRule>
    <cfRule type="expression" dxfId="6163" priority="6943">
      <formula>Z13="T"</formula>
    </cfRule>
  </conditionalFormatting>
  <conditionalFormatting sqref="Z14 AC14">
    <cfRule type="expression" dxfId="6162" priority="6938">
      <formula>Z13="X"</formula>
    </cfRule>
    <cfRule type="expression" dxfId="6161" priority="6939">
      <formula>Z13="A"</formula>
    </cfRule>
    <cfRule type="expression" dxfId="6160" priority="6940">
      <formula>Z13="T"</formula>
    </cfRule>
  </conditionalFormatting>
  <conditionalFormatting sqref="Z17 AC17">
    <cfRule type="expression" dxfId="6159" priority="6935">
      <formula>Z16="X"</formula>
    </cfRule>
    <cfRule type="expression" dxfId="6158" priority="6936">
      <formula>Z16="A"</formula>
    </cfRule>
    <cfRule type="expression" dxfId="6157" priority="6937">
      <formula>Z16="T"</formula>
    </cfRule>
  </conditionalFormatting>
  <conditionalFormatting sqref="AC19">
    <cfRule type="expression" dxfId="6156" priority="6929">
      <formula>AC18="X"</formula>
    </cfRule>
    <cfRule type="expression" dxfId="6155" priority="6930">
      <formula>AC18="A"</formula>
    </cfRule>
    <cfRule type="expression" dxfId="6154" priority="6931">
      <formula>AC18="T"</formula>
    </cfRule>
  </conditionalFormatting>
  <conditionalFormatting sqref="AC21">
    <cfRule type="expression" dxfId="6153" priority="6926">
      <formula>AC20="X"</formula>
    </cfRule>
    <cfRule type="expression" dxfId="6152" priority="6927">
      <formula>AC20="A"</formula>
    </cfRule>
    <cfRule type="expression" dxfId="6151" priority="6928">
      <formula>AC20="T"</formula>
    </cfRule>
  </conditionalFormatting>
  <conditionalFormatting sqref="AC23">
    <cfRule type="expression" dxfId="6150" priority="6923">
      <formula>AC22="X"</formula>
    </cfRule>
    <cfRule type="expression" dxfId="6149" priority="6924">
      <formula>AC22="A"</formula>
    </cfRule>
    <cfRule type="expression" dxfId="6148" priority="6925">
      <formula>AC22="T"</formula>
    </cfRule>
  </conditionalFormatting>
  <conditionalFormatting sqref="AC25">
    <cfRule type="expression" dxfId="6147" priority="6920">
      <formula>AC24="X"</formula>
    </cfRule>
    <cfRule type="expression" dxfId="6146" priority="6921">
      <formula>AC24="A"</formula>
    </cfRule>
    <cfRule type="expression" dxfId="6145" priority="6922">
      <formula>AC24="T"</formula>
    </cfRule>
  </conditionalFormatting>
  <conditionalFormatting sqref="AC27">
    <cfRule type="expression" dxfId="6144" priority="6917">
      <formula>AC26="X"</formula>
    </cfRule>
    <cfRule type="expression" dxfId="6143" priority="6918">
      <formula>AC26="A"</formula>
    </cfRule>
    <cfRule type="expression" dxfId="6142" priority="6919">
      <formula>AC26="T"</formula>
    </cfRule>
  </conditionalFormatting>
  <conditionalFormatting sqref="AC29">
    <cfRule type="expression" dxfId="6141" priority="6914">
      <formula>AC28="X"</formula>
    </cfRule>
    <cfRule type="expression" dxfId="6140" priority="6915">
      <formula>AC28="A"</formula>
    </cfRule>
    <cfRule type="expression" dxfId="6139" priority="6916">
      <formula>AC28="T"</formula>
    </cfRule>
  </conditionalFormatting>
  <conditionalFormatting sqref="AC31">
    <cfRule type="expression" dxfId="6138" priority="6911">
      <formula>AC30="X"</formula>
    </cfRule>
    <cfRule type="expression" dxfId="6137" priority="6912">
      <formula>AC30="A"</formula>
    </cfRule>
    <cfRule type="expression" dxfId="6136" priority="6913">
      <formula>AC30="T"</formula>
    </cfRule>
  </conditionalFormatting>
  <conditionalFormatting sqref="AC33">
    <cfRule type="expression" dxfId="6135" priority="6908">
      <formula>AC32="X"</formula>
    </cfRule>
    <cfRule type="expression" dxfId="6134" priority="6909">
      <formula>AC32="A"</formula>
    </cfRule>
    <cfRule type="expression" dxfId="6133" priority="6910">
      <formula>AC32="T"</formula>
    </cfRule>
  </conditionalFormatting>
  <conditionalFormatting sqref="AC35">
    <cfRule type="expression" dxfId="6132" priority="6905">
      <formula>AC34="X"</formula>
    </cfRule>
    <cfRule type="expression" dxfId="6131" priority="6906">
      <formula>AC34="A"</formula>
    </cfRule>
    <cfRule type="expression" dxfId="6130" priority="6907">
      <formula>AC34="T"</formula>
    </cfRule>
  </conditionalFormatting>
  <conditionalFormatting sqref="AC37">
    <cfRule type="expression" dxfId="6129" priority="6902">
      <formula>AC36="X"</formula>
    </cfRule>
    <cfRule type="expression" dxfId="6128" priority="6903">
      <formula>AC36="A"</formula>
    </cfRule>
    <cfRule type="expression" dxfId="6127" priority="6904">
      <formula>AC36="T"</formula>
    </cfRule>
  </conditionalFormatting>
  <conditionalFormatting sqref="Z40 AC40">
    <cfRule type="expression" dxfId="6126" priority="6899">
      <formula>Z39="X"</formula>
    </cfRule>
    <cfRule type="expression" dxfId="6125" priority="6900">
      <formula>Z39="A"</formula>
    </cfRule>
    <cfRule type="expression" dxfId="6124" priority="6901">
      <formula>Z39="T"</formula>
    </cfRule>
  </conditionalFormatting>
  <conditionalFormatting sqref="Z42 AC42">
    <cfRule type="expression" dxfId="6123" priority="6896">
      <formula>Z41="X"</formula>
    </cfRule>
    <cfRule type="expression" dxfId="6122" priority="6897">
      <formula>Z41="A"</formula>
    </cfRule>
    <cfRule type="expression" dxfId="6121" priority="6898">
      <formula>Z41="T"</formula>
    </cfRule>
  </conditionalFormatting>
  <conditionalFormatting sqref="Z44 AC44">
    <cfRule type="expression" dxfId="6120" priority="6893">
      <formula>Z43="X"</formula>
    </cfRule>
    <cfRule type="expression" dxfId="6119" priority="6894">
      <formula>Z43="A"</formula>
    </cfRule>
    <cfRule type="expression" dxfId="6118" priority="6895">
      <formula>Z43="T"</formula>
    </cfRule>
  </conditionalFormatting>
  <conditionalFormatting sqref="Z46 AC46">
    <cfRule type="expression" dxfId="6117" priority="6890">
      <formula>Z45="X"</formula>
    </cfRule>
    <cfRule type="expression" dxfId="6116" priority="6891">
      <formula>Z45="A"</formula>
    </cfRule>
    <cfRule type="expression" dxfId="6115" priority="6892">
      <formula>Z45="T"</formula>
    </cfRule>
  </conditionalFormatting>
  <conditionalFormatting sqref="Z49 AC49">
    <cfRule type="expression" dxfId="6114" priority="6887">
      <formula>Z48="X"</formula>
    </cfRule>
    <cfRule type="expression" dxfId="6113" priority="6888">
      <formula>Z48="A"</formula>
    </cfRule>
    <cfRule type="expression" dxfId="6112" priority="6889">
      <formula>Z48="T"</formula>
    </cfRule>
  </conditionalFormatting>
  <conditionalFormatting sqref="Z51 AC51">
    <cfRule type="expression" dxfId="6111" priority="6884">
      <formula>Z50="X"</formula>
    </cfRule>
    <cfRule type="expression" dxfId="6110" priority="6885">
      <formula>Z50="A"</formula>
    </cfRule>
    <cfRule type="expression" dxfId="6109" priority="6886">
      <formula>Z50="T"</formula>
    </cfRule>
  </conditionalFormatting>
  <conditionalFormatting sqref="Z53 AC53">
    <cfRule type="expression" dxfId="6108" priority="6881">
      <formula>Z52="X"</formula>
    </cfRule>
    <cfRule type="expression" dxfId="6107" priority="6882">
      <formula>Z52="A"</formula>
    </cfRule>
    <cfRule type="expression" dxfId="6106" priority="6883">
      <formula>Z52="T"</formula>
    </cfRule>
  </conditionalFormatting>
  <conditionalFormatting sqref="Z55 AC55">
    <cfRule type="expression" dxfId="6105" priority="6878">
      <formula>Z54="X"</formula>
    </cfRule>
    <cfRule type="expression" dxfId="6104" priority="6879">
      <formula>Z54="A"</formula>
    </cfRule>
    <cfRule type="expression" dxfId="6103" priority="6880">
      <formula>Z54="T"</formula>
    </cfRule>
  </conditionalFormatting>
  <conditionalFormatting sqref="Z57 AC57">
    <cfRule type="expression" dxfId="6102" priority="6875">
      <formula>Z56="X"</formula>
    </cfRule>
    <cfRule type="expression" dxfId="6101" priority="6876">
      <formula>Z56="A"</formula>
    </cfRule>
    <cfRule type="expression" dxfId="6100" priority="6877">
      <formula>Z56="T"</formula>
    </cfRule>
  </conditionalFormatting>
  <conditionalFormatting sqref="Z59 AC59">
    <cfRule type="expression" dxfId="6099" priority="6872">
      <formula>Z58="X"</formula>
    </cfRule>
    <cfRule type="expression" dxfId="6098" priority="6873">
      <formula>Z58="A"</formula>
    </cfRule>
    <cfRule type="expression" dxfId="6097" priority="6874">
      <formula>Z58="T"</formula>
    </cfRule>
  </conditionalFormatting>
  <conditionalFormatting sqref="Z64 AC64">
    <cfRule type="expression" dxfId="6096" priority="6869">
      <formula>Z63="X"</formula>
    </cfRule>
    <cfRule type="expression" dxfId="6095" priority="6870">
      <formula>Z63="A"</formula>
    </cfRule>
    <cfRule type="expression" dxfId="6094" priority="6871">
      <formula>Z63="T"</formula>
    </cfRule>
  </conditionalFormatting>
  <conditionalFormatting sqref="Z66 AC66">
    <cfRule type="expression" dxfId="6093" priority="6866">
      <formula>Z65="X"</formula>
    </cfRule>
    <cfRule type="expression" dxfId="6092" priority="6867">
      <formula>Z65="A"</formula>
    </cfRule>
    <cfRule type="expression" dxfId="6091" priority="6868">
      <formula>Z65="T"</formula>
    </cfRule>
  </conditionalFormatting>
  <conditionalFormatting sqref="Z68 AC68">
    <cfRule type="expression" dxfId="6090" priority="6863">
      <formula>Z67="X"</formula>
    </cfRule>
    <cfRule type="expression" dxfId="6089" priority="6864">
      <formula>Z67="A"</formula>
    </cfRule>
    <cfRule type="expression" dxfId="6088" priority="6865">
      <formula>Z67="T"</formula>
    </cfRule>
  </conditionalFormatting>
  <conditionalFormatting sqref="Z82 AC82">
    <cfRule type="expression" dxfId="6087" priority="6860">
      <formula>Z81="X"</formula>
    </cfRule>
    <cfRule type="expression" dxfId="6086" priority="6861">
      <formula>Z81="A"</formula>
    </cfRule>
    <cfRule type="expression" dxfId="6085" priority="6862">
      <formula>Z81="T"</formula>
    </cfRule>
  </conditionalFormatting>
  <conditionalFormatting sqref="Z84 AC84">
    <cfRule type="expression" dxfId="6084" priority="6857">
      <formula>Z83="X"</formula>
    </cfRule>
    <cfRule type="expression" dxfId="6083" priority="6858">
      <formula>Z83="A"</formula>
    </cfRule>
    <cfRule type="expression" dxfId="6082" priority="6859">
      <formula>Z83="T"</formula>
    </cfRule>
  </conditionalFormatting>
  <conditionalFormatting sqref="Z86 AC86">
    <cfRule type="expression" dxfId="6081" priority="6854">
      <formula>Z85="X"</formula>
    </cfRule>
    <cfRule type="expression" dxfId="6080" priority="6855">
      <formula>Z85="A"</formula>
    </cfRule>
    <cfRule type="expression" dxfId="6079" priority="6856">
      <formula>Z85="T"</formula>
    </cfRule>
  </conditionalFormatting>
  <conditionalFormatting sqref="Z89 AC89">
    <cfRule type="expression" dxfId="6078" priority="6851">
      <formula>Z88="X"</formula>
    </cfRule>
    <cfRule type="expression" dxfId="6077" priority="6852">
      <formula>Z88="A"</formula>
    </cfRule>
    <cfRule type="expression" dxfId="6076" priority="6853">
      <formula>Z88="T"</formula>
    </cfRule>
  </conditionalFormatting>
  <conditionalFormatting sqref="Z91 AC91">
    <cfRule type="expression" dxfId="6075" priority="6848">
      <formula>Z90="X"</formula>
    </cfRule>
    <cfRule type="expression" dxfId="6074" priority="6849">
      <formula>Z90="A"</formula>
    </cfRule>
    <cfRule type="expression" dxfId="6073" priority="6850">
      <formula>Z90="T"</formula>
    </cfRule>
  </conditionalFormatting>
  <conditionalFormatting sqref="Z93 AC93">
    <cfRule type="expression" dxfId="6072" priority="6845">
      <formula>Z92="X"</formula>
    </cfRule>
    <cfRule type="expression" dxfId="6071" priority="6846">
      <formula>Z92="A"</formula>
    </cfRule>
    <cfRule type="expression" dxfId="6070" priority="6847">
      <formula>Z92="T"</formula>
    </cfRule>
  </conditionalFormatting>
  <conditionalFormatting sqref="Z95 AC95">
    <cfRule type="expression" dxfId="6069" priority="6842">
      <formula>Z94="X"</formula>
    </cfRule>
    <cfRule type="expression" dxfId="6068" priority="6843">
      <formula>Z94="A"</formula>
    </cfRule>
    <cfRule type="expression" dxfId="6067" priority="6844">
      <formula>Z94="T"</formula>
    </cfRule>
  </conditionalFormatting>
  <conditionalFormatting sqref="Z97 AC97">
    <cfRule type="expression" dxfId="6066" priority="6839">
      <formula>Z96="X"</formula>
    </cfRule>
    <cfRule type="expression" dxfId="6065" priority="6840">
      <formula>Z96="A"</formula>
    </cfRule>
    <cfRule type="expression" dxfId="6064" priority="6841">
      <formula>Z96="T"</formula>
    </cfRule>
  </conditionalFormatting>
  <conditionalFormatting sqref="Z99 AC99">
    <cfRule type="expression" dxfId="6063" priority="6836">
      <formula>Z98="X"</formula>
    </cfRule>
    <cfRule type="expression" dxfId="6062" priority="6837">
      <formula>Z98="A"</formula>
    </cfRule>
    <cfRule type="expression" dxfId="6061" priority="6838">
      <formula>Z98="T"</formula>
    </cfRule>
  </conditionalFormatting>
  <conditionalFormatting sqref="Z101 AC101">
    <cfRule type="expression" dxfId="6060" priority="6833">
      <formula>Z100="X"</formula>
    </cfRule>
    <cfRule type="expression" dxfId="6059" priority="6834">
      <formula>Z100="A"</formula>
    </cfRule>
    <cfRule type="expression" dxfId="6058" priority="6835">
      <formula>Z100="T"</formula>
    </cfRule>
  </conditionalFormatting>
  <conditionalFormatting sqref="Z103 AC103">
    <cfRule type="expression" dxfId="6057" priority="6830">
      <formula>Z102="X"</formula>
    </cfRule>
    <cfRule type="expression" dxfId="6056" priority="6831">
      <formula>Z102="A"</formula>
    </cfRule>
    <cfRule type="expression" dxfId="6055" priority="6832">
      <formula>Z102="T"</formula>
    </cfRule>
  </conditionalFormatting>
  <conditionalFormatting sqref="Z106 AC106">
    <cfRule type="expression" dxfId="6054" priority="6827">
      <formula>Z105="X"</formula>
    </cfRule>
    <cfRule type="expression" dxfId="6053" priority="6828">
      <formula>Z105="A"</formula>
    </cfRule>
    <cfRule type="expression" dxfId="6052" priority="6829">
      <formula>Z105="T"</formula>
    </cfRule>
  </conditionalFormatting>
  <conditionalFormatting sqref="Z108 AC108">
    <cfRule type="expression" dxfId="6051" priority="6824">
      <formula>Z107="X"</formula>
    </cfRule>
    <cfRule type="expression" dxfId="6050" priority="6825">
      <formula>Z107="A"</formula>
    </cfRule>
    <cfRule type="expression" dxfId="6049" priority="6826">
      <formula>Z107="T"</formula>
    </cfRule>
  </conditionalFormatting>
  <conditionalFormatting sqref="Z110 AC110">
    <cfRule type="expression" dxfId="6048" priority="6821">
      <formula>Z109="X"</formula>
    </cfRule>
    <cfRule type="expression" dxfId="6047" priority="6822">
      <formula>Z109="A"</formula>
    </cfRule>
    <cfRule type="expression" dxfId="6046" priority="6823">
      <formula>Z109="T"</formula>
    </cfRule>
  </conditionalFormatting>
  <conditionalFormatting sqref="Z112 AC112">
    <cfRule type="expression" dxfId="6045" priority="6818">
      <formula>Z111="X"</formula>
    </cfRule>
    <cfRule type="expression" dxfId="6044" priority="6819">
      <formula>Z111="A"</formula>
    </cfRule>
    <cfRule type="expression" dxfId="6043" priority="6820">
      <formula>Z111="T"</formula>
    </cfRule>
  </conditionalFormatting>
  <conditionalFormatting sqref="Z114 AC114">
    <cfRule type="expression" dxfId="6042" priority="6815">
      <formula>Z113="X"</formula>
    </cfRule>
    <cfRule type="expression" dxfId="6041" priority="6816">
      <formula>Z113="A"</formula>
    </cfRule>
    <cfRule type="expression" dxfId="6040" priority="6817">
      <formula>Z113="T"</formula>
    </cfRule>
  </conditionalFormatting>
  <conditionalFormatting sqref="Z117 AC117">
    <cfRule type="expression" dxfId="6039" priority="6812">
      <formula>Z116="X"</formula>
    </cfRule>
    <cfRule type="expression" dxfId="6038" priority="6813">
      <formula>Z116="A"</formula>
    </cfRule>
    <cfRule type="expression" dxfId="6037" priority="6814">
      <formula>Z116="T"</formula>
    </cfRule>
  </conditionalFormatting>
  <conditionalFormatting sqref="Z119 AC119">
    <cfRule type="expression" dxfId="6036" priority="6809">
      <formula>Z118="X"</formula>
    </cfRule>
    <cfRule type="expression" dxfId="6035" priority="6810">
      <formula>Z118="A"</formula>
    </cfRule>
    <cfRule type="expression" dxfId="6034" priority="6811">
      <formula>Z118="T"</formula>
    </cfRule>
  </conditionalFormatting>
  <conditionalFormatting sqref="Z121 AC121">
    <cfRule type="expression" dxfId="6033" priority="6806">
      <formula>Z120="X"</formula>
    </cfRule>
    <cfRule type="expression" dxfId="6032" priority="6807">
      <formula>Z120="A"</formula>
    </cfRule>
    <cfRule type="expression" dxfId="6031" priority="6808">
      <formula>Z120="T"</formula>
    </cfRule>
  </conditionalFormatting>
  <conditionalFormatting sqref="Z123 AC123">
    <cfRule type="expression" dxfId="6030" priority="6803">
      <formula>Z122="X"</formula>
    </cfRule>
    <cfRule type="expression" dxfId="6029" priority="6804">
      <formula>Z122="A"</formula>
    </cfRule>
    <cfRule type="expression" dxfId="6028" priority="6805">
      <formula>Z122="T"</formula>
    </cfRule>
  </conditionalFormatting>
  <conditionalFormatting sqref="Z126 AC126">
    <cfRule type="expression" dxfId="6027" priority="6800">
      <formula>Z125="X"</formula>
    </cfRule>
    <cfRule type="expression" dxfId="6026" priority="6801">
      <formula>Z125="A"</formula>
    </cfRule>
    <cfRule type="expression" dxfId="6025" priority="6802">
      <formula>Z125="T"</formula>
    </cfRule>
  </conditionalFormatting>
  <conditionalFormatting sqref="Z128 AC128">
    <cfRule type="expression" dxfId="6024" priority="6797">
      <formula>Z127="X"</formula>
    </cfRule>
    <cfRule type="expression" dxfId="6023" priority="6798">
      <formula>Z127="A"</formula>
    </cfRule>
    <cfRule type="expression" dxfId="6022" priority="6799">
      <formula>Z127="T"</formula>
    </cfRule>
  </conditionalFormatting>
  <conditionalFormatting sqref="Z142 AC142">
    <cfRule type="expression" dxfId="6021" priority="6794">
      <formula>Z141="X"</formula>
    </cfRule>
    <cfRule type="expression" dxfId="6020" priority="6795">
      <formula>Z141="A"</formula>
    </cfRule>
    <cfRule type="expression" dxfId="6019" priority="6796">
      <formula>Z141="T"</formula>
    </cfRule>
  </conditionalFormatting>
  <conditionalFormatting sqref="Z144 AC144">
    <cfRule type="expression" dxfId="6018" priority="6791">
      <formula>Z143="X"</formula>
    </cfRule>
    <cfRule type="expression" dxfId="6017" priority="6792">
      <formula>Z143="A"</formula>
    </cfRule>
    <cfRule type="expression" dxfId="6016" priority="6793">
      <formula>Z143="T"</formula>
    </cfRule>
  </conditionalFormatting>
  <conditionalFormatting sqref="Z150 AC150">
    <cfRule type="expression" dxfId="6015" priority="6788">
      <formula>Z149="X"</formula>
    </cfRule>
    <cfRule type="expression" dxfId="6014" priority="6789">
      <formula>Z149="A"</formula>
    </cfRule>
    <cfRule type="expression" dxfId="6013" priority="6790">
      <formula>Z149="T"</formula>
    </cfRule>
  </conditionalFormatting>
  <conditionalFormatting sqref="Z152 AC152">
    <cfRule type="expression" dxfId="6012" priority="6785">
      <formula>Z151="X"</formula>
    </cfRule>
    <cfRule type="expression" dxfId="6011" priority="6786">
      <formula>Z151="A"</formula>
    </cfRule>
    <cfRule type="expression" dxfId="6010" priority="6787">
      <formula>Z151="T"</formula>
    </cfRule>
  </conditionalFormatting>
  <conditionalFormatting sqref="Z156 AC156">
    <cfRule type="expression" dxfId="6009" priority="6782">
      <formula>Z155="X"</formula>
    </cfRule>
    <cfRule type="expression" dxfId="6008" priority="6783">
      <formula>Z155="A"</formula>
    </cfRule>
    <cfRule type="expression" dxfId="6007" priority="6784">
      <formula>Z155="T"</formula>
    </cfRule>
  </conditionalFormatting>
  <conditionalFormatting sqref="Z168 AC168">
    <cfRule type="expression" dxfId="6006" priority="6779">
      <formula>Z167="X"</formula>
    </cfRule>
    <cfRule type="expression" dxfId="6005" priority="6780">
      <formula>Z167="A"</formula>
    </cfRule>
    <cfRule type="expression" dxfId="6004" priority="6781">
      <formula>Z167="T"</formula>
    </cfRule>
  </conditionalFormatting>
  <conditionalFormatting sqref="Z170 AC170">
    <cfRule type="expression" dxfId="6003" priority="6776">
      <formula>Z169="X"</formula>
    </cfRule>
    <cfRule type="expression" dxfId="6002" priority="6777">
      <formula>Z169="A"</formula>
    </cfRule>
    <cfRule type="expression" dxfId="6001" priority="6778">
      <formula>Z169="T"</formula>
    </cfRule>
  </conditionalFormatting>
  <conditionalFormatting sqref="Z172 AC172">
    <cfRule type="expression" dxfId="6000" priority="6773">
      <formula>Z171="X"</formula>
    </cfRule>
    <cfRule type="expression" dxfId="5999" priority="6774">
      <formula>Z171="A"</formula>
    </cfRule>
    <cfRule type="expression" dxfId="5998" priority="6775">
      <formula>Z171="T"</formula>
    </cfRule>
  </conditionalFormatting>
  <conditionalFormatting sqref="Z174 AC174">
    <cfRule type="expression" dxfId="5997" priority="6770">
      <formula>Z173="X"</formula>
    </cfRule>
    <cfRule type="expression" dxfId="5996" priority="6771">
      <formula>Z173="A"</formula>
    </cfRule>
    <cfRule type="expression" dxfId="5995" priority="6772">
      <formula>Z173="T"</formula>
    </cfRule>
  </conditionalFormatting>
  <conditionalFormatting sqref="Z176 AC176">
    <cfRule type="expression" dxfId="5994" priority="6767">
      <formula>Z175="X"</formula>
    </cfRule>
    <cfRule type="expression" dxfId="5993" priority="6768">
      <formula>Z175="A"</formula>
    </cfRule>
    <cfRule type="expression" dxfId="5992" priority="6769">
      <formula>Z175="T"</formula>
    </cfRule>
  </conditionalFormatting>
  <conditionalFormatting sqref="Z178 AC178">
    <cfRule type="expression" dxfId="5991" priority="6764">
      <formula>Z177="X"</formula>
    </cfRule>
    <cfRule type="expression" dxfId="5990" priority="6765">
      <formula>Z177="A"</formula>
    </cfRule>
    <cfRule type="expression" dxfId="5989" priority="6766">
      <formula>Z177="T"</formula>
    </cfRule>
  </conditionalFormatting>
  <conditionalFormatting sqref="Z180 AC180">
    <cfRule type="expression" dxfId="5988" priority="6761">
      <formula>Z179="X"</formula>
    </cfRule>
    <cfRule type="expression" dxfId="5987" priority="6762">
      <formula>Z179="A"</formula>
    </cfRule>
    <cfRule type="expression" dxfId="5986" priority="6763">
      <formula>Z179="T"</formula>
    </cfRule>
  </conditionalFormatting>
  <conditionalFormatting sqref="Z184 AC184">
    <cfRule type="expression" dxfId="5985" priority="6758">
      <formula>Z183="X"</formula>
    </cfRule>
    <cfRule type="expression" dxfId="5984" priority="6759">
      <formula>Z183="A"</formula>
    </cfRule>
    <cfRule type="expression" dxfId="5983" priority="6760">
      <formula>Z183="T"</formula>
    </cfRule>
  </conditionalFormatting>
  <conditionalFormatting sqref="Z186 AC186">
    <cfRule type="expression" dxfId="5982" priority="6755">
      <formula>Z185="X"</formula>
    </cfRule>
    <cfRule type="expression" dxfId="5981" priority="6756">
      <formula>Z185="A"</formula>
    </cfRule>
    <cfRule type="expression" dxfId="5980" priority="6757">
      <formula>Z185="T"</formula>
    </cfRule>
  </conditionalFormatting>
  <conditionalFormatting sqref="Z190 AC190">
    <cfRule type="expression" dxfId="5979" priority="6752">
      <formula>Z189="X"</formula>
    </cfRule>
    <cfRule type="expression" dxfId="5978" priority="6753">
      <formula>Z189="A"</formula>
    </cfRule>
    <cfRule type="expression" dxfId="5977" priority="6754">
      <formula>Z189="T"</formula>
    </cfRule>
  </conditionalFormatting>
  <conditionalFormatting sqref="Z192 AC192">
    <cfRule type="expression" dxfId="5976" priority="6749">
      <formula>Z191="X"</formula>
    </cfRule>
    <cfRule type="expression" dxfId="5975" priority="6750">
      <formula>Z191="A"</formula>
    </cfRule>
    <cfRule type="expression" dxfId="5974" priority="6751">
      <formula>Z191="T"</formula>
    </cfRule>
  </conditionalFormatting>
  <conditionalFormatting sqref="Z208 AC208">
    <cfRule type="expression" dxfId="5973" priority="6746">
      <formula>Z207="X"</formula>
    </cfRule>
    <cfRule type="expression" dxfId="5972" priority="6747">
      <formula>Z207="A"</formula>
    </cfRule>
    <cfRule type="expression" dxfId="5971" priority="6748">
      <formula>Z207="T"</formula>
    </cfRule>
  </conditionalFormatting>
  <conditionalFormatting sqref="Z212 AC212">
    <cfRule type="expression" dxfId="5970" priority="6740">
      <formula>Z211="X"</formula>
    </cfRule>
    <cfRule type="expression" dxfId="5969" priority="6741">
      <formula>Z211="A"</formula>
    </cfRule>
    <cfRule type="expression" dxfId="5968" priority="6742">
      <formula>Z211="T"</formula>
    </cfRule>
  </conditionalFormatting>
  <conditionalFormatting sqref="Z213 AC213">
    <cfRule type="expression" dxfId="5967" priority="6737">
      <formula>Z213="X"</formula>
    </cfRule>
    <cfRule type="expression" dxfId="5966" priority="6738">
      <formula>Z213="A"</formula>
    </cfRule>
    <cfRule type="expression" dxfId="5965" priority="6739">
      <formula>Z213="T"</formula>
    </cfRule>
  </conditionalFormatting>
  <conditionalFormatting sqref="Z214 AC214">
    <cfRule type="expression" dxfId="5964" priority="6734">
      <formula>Z213="X"</formula>
    </cfRule>
    <cfRule type="expression" dxfId="5963" priority="6735">
      <formula>Z213="A"</formula>
    </cfRule>
    <cfRule type="expression" dxfId="5962" priority="6736">
      <formula>Z213="T"</formula>
    </cfRule>
  </conditionalFormatting>
  <conditionalFormatting sqref="Z216 AC216">
    <cfRule type="expression" dxfId="5961" priority="6728">
      <formula>Z215="X"</formula>
    </cfRule>
    <cfRule type="expression" dxfId="5960" priority="6729">
      <formula>Z215="A"</formula>
    </cfRule>
    <cfRule type="expression" dxfId="5959" priority="6730">
      <formula>Z215="T"</formula>
    </cfRule>
  </conditionalFormatting>
  <conditionalFormatting sqref="Z218 AC218">
    <cfRule type="expression" dxfId="5958" priority="6722">
      <formula>Z217="X"</formula>
    </cfRule>
    <cfRule type="expression" dxfId="5957" priority="6723">
      <formula>Z217="A"</formula>
    </cfRule>
    <cfRule type="expression" dxfId="5956" priority="6724">
      <formula>Z217="T"</formula>
    </cfRule>
  </conditionalFormatting>
  <conditionalFormatting sqref="Z219 AC219">
    <cfRule type="expression" dxfId="5955" priority="6719">
      <formula>Z219="X"</formula>
    </cfRule>
    <cfRule type="expression" dxfId="5954" priority="6720">
      <formula>Z219="A"</formula>
    </cfRule>
    <cfRule type="expression" dxfId="5953" priority="6721">
      <formula>Z219="T"</formula>
    </cfRule>
  </conditionalFormatting>
  <conditionalFormatting sqref="Z220 AC220">
    <cfRule type="expression" dxfId="5952" priority="6716">
      <formula>Z219="X"</formula>
    </cfRule>
    <cfRule type="expression" dxfId="5951" priority="6717">
      <formula>Z219="A"</formula>
    </cfRule>
    <cfRule type="expression" dxfId="5950" priority="6718">
      <formula>Z219="T"</formula>
    </cfRule>
  </conditionalFormatting>
  <conditionalFormatting sqref="Z221 AC221">
    <cfRule type="expression" dxfId="5949" priority="6713">
      <formula>Z221="X"</formula>
    </cfRule>
    <cfRule type="expression" dxfId="5948" priority="6714">
      <formula>Z221="A"</formula>
    </cfRule>
    <cfRule type="expression" dxfId="5947" priority="6715">
      <formula>Z221="T"</formula>
    </cfRule>
  </conditionalFormatting>
  <conditionalFormatting sqref="Z222 AC222">
    <cfRule type="expression" dxfId="5946" priority="6710">
      <formula>Z221="X"</formula>
    </cfRule>
    <cfRule type="expression" dxfId="5945" priority="6711">
      <formula>Z221="A"</formula>
    </cfRule>
    <cfRule type="expression" dxfId="5944" priority="6712">
      <formula>Z221="T"</formula>
    </cfRule>
  </conditionalFormatting>
  <conditionalFormatting sqref="Z223 AC223">
    <cfRule type="expression" dxfId="5943" priority="6707">
      <formula>Z223="X"</formula>
    </cfRule>
    <cfRule type="expression" dxfId="5942" priority="6708">
      <formula>Z223="A"</formula>
    </cfRule>
    <cfRule type="expression" dxfId="5941" priority="6709">
      <formula>Z223="T"</formula>
    </cfRule>
  </conditionalFormatting>
  <conditionalFormatting sqref="Z224 AC224">
    <cfRule type="expression" dxfId="5940" priority="6704">
      <formula>Z223="X"</formula>
    </cfRule>
    <cfRule type="expression" dxfId="5939" priority="6705">
      <formula>Z223="A"</formula>
    </cfRule>
    <cfRule type="expression" dxfId="5938" priority="6706">
      <formula>Z223="T"</formula>
    </cfRule>
  </conditionalFormatting>
  <conditionalFormatting sqref="Z4 AC4">
    <cfRule type="expression" dxfId="5937" priority="6701">
      <formula>Z4="X"</formula>
    </cfRule>
    <cfRule type="expression" dxfId="5936" priority="6702">
      <formula>Z4="A"</formula>
    </cfRule>
    <cfRule type="expression" dxfId="5935" priority="6703">
      <formula>Z4="T"</formula>
    </cfRule>
  </conditionalFormatting>
  <conditionalFormatting sqref="Z5 AC5">
    <cfRule type="expression" dxfId="5934" priority="6698">
      <formula>Z4="X"</formula>
    </cfRule>
    <cfRule type="expression" dxfId="5933" priority="6699">
      <formula>Z4="A"</formula>
    </cfRule>
    <cfRule type="expression" dxfId="5932" priority="6700">
      <formula>Z4="T"</formula>
    </cfRule>
  </conditionalFormatting>
  <conditionalFormatting sqref="Z7 AC7">
    <cfRule type="expression" dxfId="5931" priority="6692">
      <formula>Z6="X"</formula>
    </cfRule>
    <cfRule type="expression" dxfId="5930" priority="6693">
      <formula>Z6="A"</formula>
    </cfRule>
    <cfRule type="expression" dxfId="5929" priority="6694">
      <formula>Z6="T"</formula>
    </cfRule>
  </conditionalFormatting>
  <conditionalFormatting sqref="Z8 AC8">
    <cfRule type="expression" dxfId="5928" priority="6689">
      <formula>Z8="X"</formula>
    </cfRule>
    <cfRule type="expression" dxfId="5927" priority="6690">
      <formula>Z8="A"</formula>
    </cfRule>
    <cfRule type="expression" dxfId="5926" priority="6691">
      <formula>Z8="T"</formula>
    </cfRule>
  </conditionalFormatting>
  <conditionalFormatting sqref="Z9 AC9">
    <cfRule type="expression" dxfId="5925" priority="6686">
      <formula>Z8="X"</formula>
    </cfRule>
    <cfRule type="expression" dxfId="5924" priority="6687">
      <formula>Z8="A"</formula>
    </cfRule>
    <cfRule type="expression" dxfId="5923" priority="6688">
      <formula>Z8="T"</formula>
    </cfRule>
  </conditionalFormatting>
  <conditionalFormatting sqref="Z74 AC74">
    <cfRule type="expression" dxfId="5922" priority="6683">
      <formula>Z74="X"</formula>
    </cfRule>
    <cfRule type="expression" dxfId="5921" priority="6684">
      <formula>Z74="A"</formula>
    </cfRule>
    <cfRule type="expression" dxfId="5920" priority="6685">
      <formula>Z74="T"</formula>
    </cfRule>
  </conditionalFormatting>
  <conditionalFormatting sqref="Z75 AC75">
    <cfRule type="expression" dxfId="5919" priority="6680">
      <formula>Z74="X"</formula>
    </cfRule>
    <cfRule type="expression" dxfId="5918" priority="6681">
      <formula>Z74="A"</formula>
    </cfRule>
    <cfRule type="expression" dxfId="5917" priority="6682">
      <formula>Z74="T"</formula>
    </cfRule>
  </conditionalFormatting>
  <conditionalFormatting sqref="Z76 AC76">
    <cfRule type="expression" dxfId="5916" priority="6677">
      <formula>Z76="X"</formula>
    </cfRule>
    <cfRule type="expression" dxfId="5915" priority="6678">
      <formula>Z76="A"</formula>
    </cfRule>
    <cfRule type="expression" dxfId="5914" priority="6679">
      <formula>Z76="T"</formula>
    </cfRule>
  </conditionalFormatting>
  <conditionalFormatting sqref="Z77 AC77">
    <cfRule type="expression" dxfId="5913" priority="6674">
      <formula>Z76="X"</formula>
    </cfRule>
    <cfRule type="expression" dxfId="5912" priority="6675">
      <formula>Z76="A"</formula>
    </cfRule>
    <cfRule type="expression" dxfId="5911" priority="6676">
      <formula>Z76="T"</formula>
    </cfRule>
  </conditionalFormatting>
  <conditionalFormatting sqref="Z78 AC78">
    <cfRule type="expression" dxfId="5910" priority="6671">
      <formula>Z78="X"</formula>
    </cfRule>
    <cfRule type="expression" dxfId="5909" priority="6672">
      <formula>Z78="A"</formula>
    </cfRule>
    <cfRule type="expression" dxfId="5908" priority="6673">
      <formula>Z78="T"</formula>
    </cfRule>
  </conditionalFormatting>
  <conditionalFormatting sqref="Z79 AC79">
    <cfRule type="expression" dxfId="5907" priority="6668">
      <formula>Z78="X"</formula>
    </cfRule>
    <cfRule type="expression" dxfId="5906" priority="6669">
      <formula>Z78="A"</formula>
    </cfRule>
    <cfRule type="expression" dxfId="5905" priority="6670">
      <formula>Z78="T"</formula>
    </cfRule>
  </conditionalFormatting>
  <conditionalFormatting sqref="Z134 AC134">
    <cfRule type="expression" dxfId="5904" priority="6665">
      <formula>Z134="X"</formula>
    </cfRule>
    <cfRule type="expression" dxfId="5903" priority="6666">
      <formula>Z134="A"</formula>
    </cfRule>
    <cfRule type="expression" dxfId="5902" priority="6667">
      <formula>Z134="T"</formula>
    </cfRule>
  </conditionalFormatting>
  <conditionalFormatting sqref="Z135 AC135">
    <cfRule type="expression" dxfId="5901" priority="6662">
      <formula>Z134="X"</formula>
    </cfRule>
    <cfRule type="expression" dxfId="5900" priority="6663">
      <formula>Z134="A"</formula>
    </cfRule>
    <cfRule type="expression" dxfId="5899" priority="6664">
      <formula>Z134="T"</formula>
    </cfRule>
  </conditionalFormatting>
  <conditionalFormatting sqref="Z136 AC136">
    <cfRule type="expression" dxfId="5898" priority="6659">
      <formula>Z136="X"</formula>
    </cfRule>
    <cfRule type="expression" dxfId="5897" priority="6660">
      <formula>Z136="A"</formula>
    </cfRule>
    <cfRule type="expression" dxfId="5896" priority="6661">
      <formula>Z136="T"</formula>
    </cfRule>
  </conditionalFormatting>
  <conditionalFormatting sqref="Z137 AC137">
    <cfRule type="expression" dxfId="5895" priority="6656">
      <formula>Z136="X"</formula>
    </cfRule>
    <cfRule type="expression" dxfId="5894" priority="6657">
      <formula>Z136="A"</formula>
    </cfRule>
    <cfRule type="expression" dxfId="5893" priority="6658">
      <formula>Z136="T"</formula>
    </cfRule>
  </conditionalFormatting>
  <conditionalFormatting sqref="Z138 AC138">
    <cfRule type="expression" dxfId="5892" priority="6653">
      <formula>Z138="X"</formula>
    </cfRule>
    <cfRule type="expression" dxfId="5891" priority="6654">
      <formula>Z138="A"</formula>
    </cfRule>
    <cfRule type="expression" dxfId="5890" priority="6655">
      <formula>Z138="T"</formula>
    </cfRule>
  </conditionalFormatting>
  <conditionalFormatting sqref="Z139 AC139">
    <cfRule type="expression" dxfId="5889" priority="6650">
      <formula>Z138="X"</formula>
    </cfRule>
    <cfRule type="expression" dxfId="5888" priority="6651">
      <formula>Z138="A"</formula>
    </cfRule>
    <cfRule type="expression" dxfId="5887" priority="6652">
      <formula>Z138="T"</formula>
    </cfRule>
  </conditionalFormatting>
  <conditionalFormatting sqref="Z10 AC10">
    <cfRule type="expression" dxfId="5886" priority="6647" stopIfTrue="1">
      <formula>Z4=""</formula>
    </cfRule>
  </conditionalFormatting>
  <conditionalFormatting sqref="AC10 Z10">
    <cfRule type="expression" dxfId="5885" priority="6648" stopIfTrue="1">
      <formula>Z10=1</formula>
    </cfRule>
    <cfRule type="colorScale" priority="6649">
      <colorScale>
        <cfvo type="num" val="0"/>
        <cfvo type="num" val="0.5"/>
        <cfvo type="num" val="1"/>
        <color rgb="FFF8696B"/>
        <color theme="4" tint="0.79998168889431442"/>
        <color rgb="FF5A8AC6"/>
      </colorScale>
    </cfRule>
  </conditionalFormatting>
  <conditionalFormatting sqref="Z15 AC15">
    <cfRule type="expression" dxfId="5884" priority="6644" stopIfTrue="1">
      <formula>Z11=""</formula>
    </cfRule>
  </conditionalFormatting>
  <conditionalFormatting sqref="Z15 AC15">
    <cfRule type="expression" dxfId="5883" priority="6645" stopIfTrue="1">
      <formula>Z15=1</formula>
    </cfRule>
    <cfRule type="colorScale" priority="6646">
      <colorScale>
        <cfvo type="num" val="0"/>
        <cfvo type="num" val="0.5"/>
        <cfvo type="num" val="1"/>
        <color rgb="FFF8696B"/>
        <color theme="4" tint="0.79998168889431442"/>
        <color rgb="FF5A8AC6"/>
      </colorScale>
    </cfRule>
  </conditionalFormatting>
  <conditionalFormatting sqref="Z38">
    <cfRule type="expression" dxfId="5882" priority="6641" stopIfTrue="1">
      <formula>Z16=""</formula>
    </cfRule>
  </conditionalFormatting>
  <conditionalFormatting sqref="Z38 AC38">
    <cfRule type="expression" dxfId="5881" priority="6642" stopIfTrue="1">
      <formula>Z38=1</formula>
    </cfRule>
    <cfRule type="colorScale" priority="6643">
      <colorScale>
        <cfvo type="num" val="0"/>
        <cfvo type="num" val="0.5"/>
        <cfvo type="num" val="1"/>
        <color rgb="FFF8696B"/>
        <color theme="4" tint="0.79998168889431442"/>
        <color rgb="FF5A8AC6"/>
      </colorScale>
    </cfRule>
  </conditionalFormatting>
  <conditionalFormatting sqref="Z47 AC47">
    <cfRule type="expression" dxfId="5880" priority="6638" stopIfTrue="1">
      <formula>Z39=""</formula>
    </cfRule>
  </conditionalFormatting>
  <conditionalFormatting sqref="AC47 Z47">
    <cfRule type="expression" dxfId="5879" priority="6639" stopIfTrue="1">
      <formula>Z47=1</formula>
    </cfRule>
    <cfRule type="colorScale" priority="6640">
      <colorScale>
        <cfvo type="num" val="0"/>
        <cfvo type="num" val="0.5"/>
        <cfvo type="num" val="1"/>
        <color rgb="FFF8696B"/>
        <color theme="4" tint="0.79998168889431442"/>
        <color rgb="FF5A8AC6"/>
      </colorScale>
    </cfRule>
  </conditionalFormatting>
  <conditionalFormatting sqref="AC62">
    <cfRule type="expression" dxfId="5878" priority="6636" stopIfTrue="1">
      <formula>AC62=1</formula>
    </cfRule>
    <cfRule type="colorScale" priority="6637">
      <colorScale>
        <cfvo type="num" val="0"/>
        <cfvo type="num" val="0.5"/>
        <cfvo type="num" val="1"/>
        <color rgb="FFF8696B"/>
        <color theme="4" tint="0.79998168889431442"/>
        <color rgb="FF5A8AC6"/>
      </colorScale>
    </cfRule>
  </conditionalFormatting>
  <conditionalFormatting sqref="Z69 AC69">
    <cfRule type="expression" dxfId="5877" priority="6632" stopIfTrue="1">
      <formula>Z63=""</formula>
    </cfRule>
  </conditionalFormatting>
  <conditionalFormatting sqref="AC69 Z69">
    <cfRule type="expression" dxfId="5876" priority="6633" stopIfTrue="1">
      <formula>Z69=1</formula>
    </cfRule>
    <cfRule type="colorScale" priority="6634">
      <colorScale>
        <cfvo type="num" val="0"/>
        <cfvo type="num" val="0.5"/>
        <cfvo type="num" val="1"/>
        <color rgb="FFF8696B"/>
        <color theme="4" tint="0.79998168889431442"/>
        <color rgb="FF5A8AC6"/>
      </colorScale>
    </cfRule>
  </conditionalFormatting>
  <conditionalFormatting sqref="Z80 AC80">
    <cfRule type="expression" dxfId="5875" priority="6629" stopIfTrue="1">
      <formula>Z74=""</formula>
    </cfRule>
  </conditionalFormatting>
  <conditionalFormatting sqref="AC80 Z80">
    <cfRule type="expression" dxfId="5874" priority="6630" stopIfTrue="1">
      <formula>Z80=1</formula>
    </cfRule>
    <cfRule type="colorScale" priority="6631">
      <colorScale>
        <cfvo type="num" val="0"/>
        <cfvo type="num" val="0.5"/>
        <cfvo type="num" val="1"/>
        <color rgb="FFF8696B"/>
        <color theme="4" tint="0.79998168889431442"/>
        <color rgb="FF5A8AC6"/>
      </colorScale>
    </cfRule>
  </conditionalFormatting>
  <conditionalFormatting sqref="Z87 AC87">
    <cfRule type="expression" dxfId="5873" priority="6626" stopIfTrue="1">
      <formula>Z81=""</formula>
    </cfRule>
  </conditionalFormatting>
  <conditionalFormatting sqref="Z87 AC87">
    <cfRule type="expression" dxfId="5872" priority="6627" stopIfTrue="1">
      <formula>Z87=1</formula>
    </cfRule>
    <cfRule type="colorScale" priority="6628">
      <colorScale>
        <cfvo type="num" val="0"/>
        <cfvo type="num" val="0.5"/>
        <cfvo type="num" val="1"/>
        <color rgb="FFF8696B"/>
        <color theme="4" tint="0.79998168889431442"/>
        <color rgb="FF5A8AC6"/>
      </colorScale>
    </cfRule>
  </conditionalFormatting>
  <conditionalFormatting sqref="Z104 AC104">
    <cfRule type="expression" dxfId="5871" priority="6623" stopIfTrue="1">
      <formula>Z88=""</formula>
    </cfRule>
  </conditionalFormatting>
  <conditionalFormatting sqref="AC104 Z104">
    <cfRule type="expression" dxfId="5870" priority="6624" stopIfTrue="1">
      <formula>Z104=1</formula>
    </cfRule>
    <cfRule type="colorScale" priority="6625">
      <colorScale>
        <cfvo type="num" val="0"/>
        <cfvo type="num" val="0.5"/>
        <cfvo type="num" val="1"/>
        <color rgb="FFF8696B"/>
        <color theme="4" tint="0.79998168889431442"/>
        <color rgb="FF5A8AC6"/>
      </colorScale>
    </cfRule>
  </conditionalFormatting>
  <conditionalFormatting sqref="Z115 AC115">
    <cfRule type="expression" dxfId="5869" priority="6620" stopIfTrue="1">
      <formula>Z105=""</formula>
    </cfRule>
  </conditionalFormatting>
  <conditionalFormatting sqref="AC115 Z115">
    <cfRule type="expression" dxfId="5868" priority="6621" stopIfTrue="1">
      <formula>Z115=1</formula>
    </cfRule>
    <cfRule type="colorScale" priority="6622">
      <colorScale>
        <cfvo type="num" val="0"/>
        <cfvo type="num" val="0.5"/>
        <cfvo type="num" val="1"/>
        <color rgb="FFF8696B"/>
        <color theme="4" tint="0.79998168889431442"/>
        <color rgb="FF5A8AC6"/>
      </colorScale>
    </cfRule>
  </conditionalFormatting>
  <conditionalFormatting sqref="Z124 AC124">
    <cfRule type="expression" dxfId="5867" priority="6617" stopIfTrue="1">
      <formula>Z116=""</formula>
    </cfRule>
  </conditionalFormatting>
  <conditionalFormatting sqref="Z124 AC124">
    <cfRule type="expression" dxfId="5866" priority="6618" stopIfTrue="1">
      <formula>Z124=1</formula>
    </cfRule>
    <cfRule type="colorScale" priority="6619">
      <colorScale>
        <cfvo type="num" val="0"/>
        <cfvo type="num" val="0.5"/>
        <cfvo type="num" val="1"/>
        <color rgb="FFF8696B"/>
        <color theme="4" tint="0.79998168889431442"/>
        <color rgb="FF5A8AC6"/>
      </colorScale>
    </cfRule>
  </conditionalFormatting>
  <conditionalFormatting sqref="Z129 AC129">
    <cfRule type="expression" dxfId="5865" priority="6614" stopIfTrue="1">
      <formula>Z125=""</formula>
    </cfRule>
  </conditionalFormatting>
  <conditionalFormatting sqref="AC129 Z129">
    <cfRule type="expression" dxfId="5864" priority="6615" stopIfTrue="1">
      <formula>Z129=1</formula>
    </cfRule>
    <cfRule type="colorScale" priority="6616">
      <colorScale>
        <cfvo type="num" val="0"/>
        <cfvo type="num" val="0.5"/>
        <cfvo type="num" val="1"/>
        <color rgb="FFF8696B"/>
        <color theme="4" tint="0.79998168889431442"/>
        <color rgb="FF5A8AC6"/>
      </colorScale>
    </cfRule>
  </conditionalFormatting>
  <conditionalFormatting sqref="Z140 AC140">
    <cfRule type="expression" dxfId="5863" priority="6611" stopIfTrue="1">
      <formula>Z134=""</formula>
    </cfRule>
  </conditionalFormatting>
  <conditionalFormatting sqref="Z140 AC140">
    <cfRule type="expression" dxfId="5862" priority="6612" stopIfTrue="1">
      <formula>Z140=1</formula>
    </cfRule>
    <cfRule type="colorScale" priority="6613">
      <colorScale>
        <cfvo type="num" val="0"/>
        <cfvo type="num" val="0.5"/>
        <cfvo type="num" val="1"/>
        <color rgb="FFF8696B"/>
        <color theme="4" tint="0.79998168889431442"/>
        <color rgb="FF5A8AC6"/>
      </colorScale>
    </cfRule>
  </conditionalFormatting>
  <conditionalFormatting sqref="Z145 AC145">
    <cfRule type="expression" dxfId="5861" priority="6608" stopIfTrue="1">
      <formula>Z141=""</formula>
    </cfRule>
  </conditionalFormatting>
  <conditionalFormatting sqref="Z145 AC145">
    <cfRule type="expression" dxfId="5860" priority="6609" stopIfTrue="1">
      <formula>Z145=1</formula>
    </cfRule>
    <cfRule type="colorScale" priority="6610">
      <colorScale>
        <cfvo type="num" val="0"/>
        <cfvo type="num" val="0.5"/>
        <cfvo type="num" val="1"/>
        <color rgb="FFF8696B"/>
        <color theme="4" tint="0.79998168889431442"/>
        <color rgb="FF5A8AC6"/>
      </colorScale>
    </cfRule>
  </conditionalFormatting>
  <conditionalFormatting sqref="Z153 AC153">
    <cfRule type="expression" dxfId="5859" priority="6605" stopIfTrue="1">
      <formula>Z149=""</formula>
    </cfRule>
  </conditionalFormatting>
  <conditionalFormatting sqref="AC153 Z153">
    <cfRule type="expression" dxfId="5858" priority="6606" stopIfTrue="1">
      <formula>Z153=1</formula>
    </cfRule>
    <cfRule type="colorScale" priority="6607">
      <colorScale>
        <cfvo type="num" val="0"/>
        <cfvo type="num" val="0.5"/>
        <cfvo type="num" val="1"/>
        <color rgb="FFF8696B"/>
        <color theme="4" tint="0.79998168889431442"/>
        <color rgb="FF5A8AC6"/>
      </colorScale>
    </cfRule>
  </conditionalFormatting>
  <conditionalFormatting sqref="Z165 AC165">
    <cfRule type="expression" dxfId="5857" priority="6602" stopIfTrue="1">
      <formula>Z155=""</formula>
    </cfRule>
  </conditionalFormatting>
  <conditionalFormatting sqref="Z165 AC165">
    <cfRule type="expression" dxfId="5856" priority="6603" stopIfTrue="1">
      <formula>Z165=1</formula>
    </cfRule>
    <cfRule type="colorScale" priority="6604">
      <colorScale>
        <cfvo type="num" val="0"/>
        <cfvo type="num" val="0.5"/>
        <cfvo type="num" val="1"/>
        <color rgb="FFF8696B"/>
        <color theme="4" tint="0.79998168889431442"/>
        <color rgb="FF5A8AC6"/>
      </colorScale>
    </cfRule>
  </conditionalFormatting>
  <conditionalFormatting sqref="Z187 AC187">
    <cfRule type="expression" dxfId="5855" priority="6599" stopIfTrue="1">
      <formula>Z183=""</formula>
    </cfRule>
  </conditionalFormatting>
  <conditionalFormatting sqref="AC187 Z187">
    <cfRule type="expression" dxfId="5854" priority="6600" stopIfTrue="1">
      <formula>Z187=1</formula>
    </cfRule>
    <cfRule type="colorScale" priority="6601">
      <colorScale>
        <cfvo type="num" val="0"/>
        <cfvo type="num" val="0.5"/>
        <cfvo type="num" val="1"/>
        <color rgb="FFF8696B"/>
        <color theme="4" tint="0.79998168889431442"/>
        <color rgb="FF5A8AC6"/>
      </colorScale>
    </cfRule>
  </conditionalFormatting>
  <conditionalFormatting sqref="Z193 AC193">
    <cfRule type="expression" dxfId="5853" priority="6596" stopIfTrue="1">
      <formula>Z189=""</formula>
    </cfRule>
  </conditionalFormatting>
  <conditionalFormatting sqref="AC193 Z193">
    <cfRule type="expression" dxfId="5852" priority="6597" stopIfTrue="1">
      <formula>Z193=1</formula>
    </cfRule>
    <cfRule type="colorScale" priority="6598">
      <colorScale>
        <cfvo type="num" val="0"/>
        <cfvo type="num" val="0.5"/>
        <cfvo type="num" val="1"/>
        <color rgb="FFF8696B"/>
        <color theme="4" tint="0.79998168889431442"/>
        <color rgb="FF5A8AC6"/>
      </colorScale>
    </cfRule>
  </conditionalFormatting>
  <conditionalFormatting sqref="Z181 AC181">
    <cfRule type="expression" dxfId="5851" priority="6593" stopIfTrue="1">
      <formula>Z167=""</formula>
    </cfRule>
  </conditionalFormatting>
  <conditionalFormatting sqref="AC181 Z181">
    <cfRule type="expression" dxfId="5850" priority="6594" stopIfTrue="1">
      <formula>Z181=1</formula>
    </cfRule>
    <cfRule type="colorScale" priority="6595">
      <colorScale>
        <cfvo type="num" val="0"/>
        <cfvo type="num" val="0.5"/>
        <cfvo type="num" val="1"/>
        <color rgb="FFF8696B"/>
        <color theme="4" tint="0.79998168889431442"/>
        <color rgb="FF5A8AC6"/>
      </colorScale>
    </cfRule>
  </conditionalFormatting>
  <conditionalFormatting sqref="Z209 AC209">
    <cfRule type="expression" dxfId="5849" priority="6590" stopIfTrue="1">
      <formula>Z195=""</formula>
    </cfRule>
  </conditionalFormatting>
  <conditionalFormatting sqref="AC209 Z209">
    <cfRule type="expression" dxfId="5848" priority="6591" stopIfTrue="1">
      <formula>Z209=1</formula>
    </cfRule>
    <cfRule type="colorScale" priority="6592">
      <colorScale>
        <cfvo type="num" val="0"/>
        <cfvo type="num" val="0.5"/>
        <cfvo type="num" val="1"/>
        <color rgb="FFF8696B"/>
        <color theme="4" tint="0.79998168889431442"/>
        <color rgb="FF5A8AC6"/>
      </colorScale>
    </cfRule>
  </conditionalFormatting>
  <conditionalFormatting sqref="Z225 AC225">
    <cfRule type="expression" dxfId="5847" priority="6587" stopIfTrue="1">
      <formula>Z211=""</formula>
    </cfRule>
  </conditionalFormatting>
  <conditionalFormatting sqref="Z225 AC225">
    <cfRule type="expression" dxfId="5846" priority="6588" stopIfTrue="1">
      <formula>Z225=1</formula>
    </cfRule>
    <cfRule type="colorScale" priority="6589">
      <colorScale>
        <cfvo type="num" val="0"/>
        <cfvo type="num" val="0.5"/>
        <cfvo type="num" val="1"/>
        <color rgb="FFF8696B"/>
        <color theme="4" tint="0.79998168889431442"/>
        <color rgb="FF5A8AC6"/>
      </colorScale>
    </cfRule>
  </conditionalFormatting>
  <conditionalFormatting sqref="AC71 Z71">
    <cfRule type="expression" dxfId="5845" priority="6579" stopIfTrue="1">
      <formula>Z71=1</formula>
    </cfRule>
    <cfRule type="colorScale" priority="6580">
      <colorScale>
        <cfvo type="num" val="0"/>
        <cfvo type="num" val="0.5"/>
        <cfvo type="num" val="1"/>
        <color rgb="FFF8696B"/>
        <color theme="4" tint="0.79998168889431442"/>
        <color rgb="FF5A8AC6"/>
      </colorScale>
    </cfRule>
  </conditionalFormatting>
  <conditionalFormatting sqref="Z147 AC147">
    <cfRule type="expression" dxfId="5844" priority="6584" stopIfTrue="1">
      <formula>Z134=""</formula>
    </cfRule>
  </conditionalFormatting>
  <conditionalFormatting sqref="Z147 AC147">
    <cfRule type="expression" dxfId="5843" priority="6585" stopIfTrue="1">
      <formula>Z147=1</formula>
    </cfRule>
    <cfRule type="colorScale" priority="6586">
      <colorScale>
        <cfvo type="num" val="0"/>
        <cfvo type="num" val="0.5"/>
        <cfvo type="num" val="1"/>
        <color rgb="FFF8696B"/>
        <color theme="4" tint="0.79998168889431442"/>
        <color rgb="FF5A8AC6"/>
      </colorScale>
    </cfRule>
  </conditionalFormatting>
  <conditionalFormatting sqref="Z131 AC131">
    <cfRule type="expression" dxfId="5842" priority="6581" stopIfTrue="1">
      <formula>Z74=""</formula>
    </cfRule>
  </conditionalFormatting>
  <conditionalFormatting sqref="AC131 Z131">
    <cfRule type="expression" dxfId="5841" priority="6582" stopIfTrue="1">
      <formula>Z131=1</formula>
    </cfRule>
    <cfRule type="colorScale" priority="6583">
      <colorScale>
        <cfvo type="num" val="0"/>
        <cfvo type="num" val="0.5"/>
        <cfvo type="num" val="1"/>
        <color rgb="FFF8696B"/>
        <color theme="4" tint="0.79998168889431442"/>
        <color rgb="FF5A8AC6"/>
      </colorScale>
    </cfRule>
  </conditionalFormatting>
  <conditionalFormatting sqref="Z71 AC71">
    <cfRule type="expression" dxfId="5840" priority="6578" stopIfTrue="1">
      <formula>Z65=""</formula>
    </cfRule>
  </conditionalFormatting>
  <conditionalFormatting sqref="Z195 AC195">
    <cfRule type="expression" dxfId="5839" priority="6575">
      <formula>Z195="X"</formula>
    </cfRule>
    <cfRule type="expression" dxfId="5838" priority="6576">
      <formula>Z195="A"</formula>
    </cfRule>
    <cfRule type="expression" dxfId="5837" priority="6577">
      <formula>Z195="T"</formula>
    </cfRule>
  </conditionalFormatting>
  <conditionalFormatting sqref="Z203 AC203">
    <cfRule type="expression" dxfId="5836" priority="6572">
      <formula>Z203="X"</formula>
    </cfRule>
    <cfRule type="expression" dxfId="5835" priority="6573">
      <formula>Z203="A"</formula>
    </cfRule>
    <cfRule type="expression" dxfId="5834" priority="6574">
      <formula>Z203="T"</formula>
    </cfRule>
  </conditionalFormatting>
  <conditionalFormatting sqref="Z205 AC205">
    <cfRule type="expression" dxfId="5833" priority="6569">
      <formula>Z205="X"</formula>
    </cfRule>
    <cfRule type="expression" dxfId="5832" priority="6570">
      <formula>Z205="A"</formula>
    </cfRule>
    <cfRule type="expression" dxfId="5831" priority="6571">
      <formula>Z205="T"</formula>
    </cfRule>
  </conditionalFormatting>
  <conditionalFormatting sqref="Z207 AC207">
    <cfRule type="expression" dxfId="5830" priority="6566">
      <formula>Z207="X"</formula>
    </cfRule>
    <cfRule type="expression" dxfId="5829" priority="6567">
      <formula>Z207="A"</formula>
    </cfRule>
    <cfRule type="expression" dxfId="5828" priority="6568">
      <formula>Z207="T"</formula>
    </cfRule>
  </conditionalFormatting>
  <conditionalFormatting sqref="Z204 AC204">
    <cfRule type="expression" dxfId="5827" priority="6563">
      <formula>Z203="X"</formula>
    </cfRule>
    <cfRule type="expression" dxfId="5826" priority="6564">
      <formula>Z203="A"</formula>
    </cfRule>
    <cfRule type="expression" dxfId="5825" priority="6565">
      <formula>Z203="T"</formula>
    </cfRule>
  </conditionalFormatting>
  <conditionalFormatting sqref="Z206 AC206">
    <cfRule type="expression" dxfId="5824" priority="6560">
      <formula>Z205="X"</formula>
    </cfRule>
    <cfRule type="expression" dxfId="5823" priority="6561">
      <formula>Z205="A"</formula>
    </cfRule>
    <cfRule type="expression" dxfId="5822" priority="6562">
      <formula>Z205="T"</formula>
    </cfRule>
  </conditionalFormatting>
  <conditionalFormatting sqref="Z196 AC196">
    <cfRule type="expression" dxfId="5821" priority="6557">
      <formula>Z195="X"</formula>
    </cfRule>
    <cfRule type="expression" dxfId="5820" priority="6558">
      <formula>Z195="A"</formula>
    </cfRule>
    <cfRule type="expression" dxfId="5819" priority="6559">
      <formula>Z195="T"</formula>
    </cfRule>
  </conditionalFormatting>
  <conditionalFormatting sqref="Z197 AC197">
    <cfRule type="expression" dxfId="5818" priority="6554">
      <formula>Z197="X"</formula>
    </cfRule>
    <cfRule type="expression" dxfId="5817" priority="6555">
      <formula>Z197="A"</formula>
    </cfRule>
    <cfRule type="expression" dxfId="5816" priority="6556">
      <formula>Z197="T"</formula>
    </cfRule>
  </conditionalFormatting>
  <conditionalFormatting sqref="Z198 AC198">
    <cfRule type="expression" dxfId="5815" priority="6551">
      <formula>Z197="X"</formula>
    </cfRule>
    <cfRule type="expression" dxfId="5814" priority="6552">
      <formula>Z197="A"</formula>
    </cfRule>
    <cfRule type="expression" dxfId="5813" priority="6553">
      <formula>Z197="T"</formula>
    </cfRule>
  </conditionalFormatting>
  <conditionalFormatting sqref="Z199 AC199">
    <cfRule type="expression" dxfId="5812" priority="6548">
      <formula>Z199="X"</formula>
    </cfRule>
    <cfRule type="expression" dxfId="5811" priority="6549">
      <formula>Z199="A"</formula>
    </cfRule>
    <cfRule type="expression" dxfId="5810" priority="6550">
      <formula>Z199="T"</formula>
    </cfRule>
  </conditionalFormatting>
  <conditionalFormatting sqref="Z200 AC200">
    <cfRule type="expression" dxfId="5809" priority="6545">
      <formula>Z199="X"</formula>
    </cfRule>
    <cfRule type="expression" dxfId="5808" priority="6546">
      <formula>Z199="A"</formula>
    </cfRule>
    <cfRule type="expression" dxfId="5807" priority="6547">
      <formula>Z199="T"</formula>
    </cfRule>
  </conditionalFormatting>
  <conditionalFormatting sqref="Z201 AC201">
    <cfRule type="expression" dxfId="5806" priority="6542">
      <formula>Z201="X"</formula>
    </cfRule>
    <cfRule type="expression" dxfId="5805" priority="6543">
      <formula>Z201="A"</formula>
    </cfRule>
    <cfRule type="expression" dxfId="5804" priority="6544">
      <formula>Z201="T"</formula>
    </cfRule>
  </conditionalFormatting>
  <conditionalFormatting sqref="Z202 AC202">
    <cfRule type="expression" dxfId="5803" priority="6539">
      <formula>Z201="X"</formula>
    </cfRule>
    <cfRule type="expression" dxfId="5802" priority="6540">
      <formula>Z201="A"</formula>
    </cfRule>
    <cfRule type="expression" dxfId="5801" priority="6541">
      <formula>Z201="T"</formula>
    </cfRule>
  </conditionalFormatting>
  <conditionalFormatting sqref="Z72">
    <cfRule type="expression" dxfId="5800" priority="6536" stopIfTrue="1">
      <formula>Z4=""</formula>
    </cfRule>
  </conditionalFormatting>
  <conditionalFormatting sqref="AC72 Z72">
    <cfRule type="expression" dxfId="5799" priority="6537" stopIfTrue="1">
      <formula>Z72=1</formula>
    </cfRule>
    <cfRule type="colorScale" priority="6538">
      <colorScale>
        <cfvo type="num" val="0"/>
        <cfvo type="num" val="0.5"/>
        <cfvo type="num" val="1"/>
        <color rgb="FFF8696B"/>
        <color theme="4" tint="0.79998168889431442"/>
        <color rgb="FF5A8AC6"/>
      </colorScale>
    </cfRule>
  </conditionalFormatting>
  <conditionalFormatting sqref="AC132 Z132">
    <cfRule type="expression" dxfId="5798" priority="6534" stopIfTrue="1">
      <formula>Z132=1</formula>
    </cfRule>
    <cfRule type="colorScale" priority="6535">
      <colorScale>
        <cfvo type="num" val="0"/>
        <cfvo type="num" val="0.5"/>
        <cfvo type="num" val="1"/>
        <color rgb="FFF8696B"/>
        <color theme="4" tint="0.79998168889431442"/>
        <color rgb="FF5A8AC6"/>
      </colorScale>
    </cfRule>
  </conditionalFormatting>
  <conditionalFormatting sqref="Z132 AC132">
    <cfRule type="expression" dxfId="5797" priority="6533" stopIfTrue="1">
      <formula>Z74=""</formula>
    </cfRule>
  </conditionalFormatting>
  <conditionalFormatting sqref="Z237:Z238 AC237:AC238">
    <cfRule type="expression" dxfId="5796" priority="6529" stopIfTrue="1">
      <formula>Z237=_xlfn.UNICHAR(10003)</formula>
    </cfRule>
    <cfRule type="colorScale" priority="6530">
      <colorScale>
        <cfvo type="num" val="0"/>
        <cfvo type="num" val="0.5"/>
        <cfvo type="num" val="1"/>
        <color rgb="FFF8696B"/>
        <color theme="4" tint="0.79998168889431442"/>
        <color rgb="FF5A8AC6"/>
      </colorScale>
    </cfRule>
  </conditionalFormatting>
  <conditionalFormatting sqref="Z230:Z236 AC230:AC236">
    <cfRule type="expression" dxfId="5795" priority="6527" stopIfTrue="1">
      <formula>Z230=_xlfn.UNICHAR(10003)</formula>
    </cfRule>
    <cfRule type="colorScale" priority="6528">
      <colorScale>
        <cfvo type="num" val="0"/>
        <cfvo type="num" val="0.5"/>
        <cfvo type="num" val="1"/>
        <color rgb="FFF8696B"/>
        <color theme="4" tint="0.79998168889431442"/>
        <color rgb="FF5A8AC6"/>
      </colorScale>
    </cfRule>
  </conditionalFormatting>
  <conditionalFormatting sqref="AC239 Z239">
    <cfRule type="expression" dxfId="5794" priority="6525" stopIfTrue="1">
      <formula>Z239=_xlfn.UNICHAR(10003)</formula>
    </cfRule>
    <cfRule type="colorScale" priority="6526">
      <colorScale>
        <cfvo type="num" val="0"/>
        <cfvo type="num" val="0.5"/>
        <cfvo type="num" val="1"/>
        <color rgb="FFF8696B"/>
        <color theme="4" tint="0.79998168889431442"/>
        <color rgb="FF5A8AC6"/>
      </colorScale>
    </cfRule>
  </conditionalFormatting>
  <conditionalFormatting sqref="AC239 Z239">
    <cfRule type="expression" dxfId="5793" priority="6523" stopIfTrue="1">
      <formula>Z239=1</formula>
    </cfRule>
    <cfRule type="colorScale" priority="6524">
      <colorScale>
        <cfvo type="num" val="0"/>
        <cfvo type="num" val="0.5"/>
        <cfvo type="num" val="1"/>
        <color rgb="FFF8696B"/>
        <color theme="4" tint="0.79998168889431442"/>
        <color rgb="FF5A8AC6"/>
      </colorScale>
    </cfRule>
  </conditionalFormatting>
  <conditionalFormatting sqref="AC228 Z228">
    <cfRule type="expression" dxfId="5792" priority="6522" stopIfTrue="1">
      <formula>Z228=UNICAHR(10003)</formula>
    </cfRule>
    <cfRule type="expression" dxfId="5791" priority="6531" stopIfTrue="1">
      <formula>Z228=CONCATENATE(_xlfn.UNICHAR(10003),_xlfn.UNICHAR(10003))</formula>
    </cfRule>
    <cfRule type="colorScale" priority="6532">
      <colorScale>
        <cfvo type="num" val="0"/>
        <cfvo type="num" val="0.5"/>
        <cfvo type="num" val="1"/>
        <color rgb="FFF8696B"/>
        <color theme="4" tint="0.79998168889431442"/>
        <color rgb="FF5A8AC6"/>
      </colorScale>
    </cfRule>
  </conditionalFormatting>
  <conditionalFormatting sqref="Z229 Z238 AC229 AC238">
    <cfRule type="expression" dxfId="5790" priority="6519" stopIfTrue="1">
      <formula>Z229=_xlfn.UNICHAR(10003)</formula>
    </cfRule>
    <cfRule type="expression" dxfId="5789" priority="6520" stopIfTrue="1">
      <formula>Z229=CONCATENATE(_xlfn.UNICHAR(10003),_xlfn.UNICHAR(10003))</formula>
    </cfRule>
    <cfRule type="colorScale" priority="6521">
      <colorScale>
        <cfvo type="num" val="0"/>
        <cfvo type="num" val="0.5"/>
        <cfvo type="num" val="1"/>
        <color rgb="FFF8696B"/>
        <color theme="4" tint="0.79998168889431442"/>
        <color rgb="FF5A8AC6"/>
      </colorScale>
    </cfRule>
  </conditionalFormatting>
  <conditionalFormatting sqref="Z160 AC160">
    <cfRule type="expression" dxfId="5788" priority="6516">
      <formula>Z159="X"</formula>
    </cfRule>
    <cfRule type="expression" dxfId="5787" priority="6517">
      <formula>Z159="A"</formula>
    </cfRule>
    <cfRule type="expression" dxfId="5786" priority="6518">
      <formula>Z159="T"</formula>
    </cfRule>
  </conditionalFormatting>
  <conditionalFormatting sqref="Z159 AC159">
    <cfRule type="expression" dxfId="5785" priority="6513">
      <formula>Z159="X"</formula>
    </cfRule>
    <cfRule type="expression" dxfId="5784" priority="6514">
      <formula>Z159="A"</formula>
    </cfRule>
    <cfRule type="expression" dxfId="5783" priority="6515">
      <formula>Z159="T"</formula>
    </cfRule>
  </conditionalFormatting>
  <conditionalFormatting sqref="Z162 AC162">
    <cfRule type="expression" dxfId="5782" priority="6510">
      <formula>Z161="X"</formula>
    </cfRule>
    <cfRule type="expression" dxfId="5781" priority="6511">
      <formula>Z161="A"</formula>
    </cfRule>
    <cfRule type="expression" dxfId="5780" priority="6512">
      <formula>Z161="T"</formula>
    </cfRule>
  </conditionalFormatting>
  <conditionalFormatting sqref="Z161 AC161">
    <cfRule type="expression" dxfId="5779" priority="6507">
      <formula>Z161="X"</formula>
    </cfRule>
    <cfRule type="expression" dxfId="5778" priority="6508">
      <formula>Z161="A"</formula>
    </cfRule>
    <cfRule type="expression" dxfId="5777" priority="6509">
      <formula>Z161="T"</formula>
    </cfRule>
  </conditionalFormatting>
  <conditionalFormatting sqref="Z164 AC164">
    <cfRule type="expression" dxfId="5776" priority="6504">
      <formula>Z163="X"</formula>
    </cfRule>
    <cfRule type="expression" dxfId="5775" priority="6505">
      <formula>Z163="A"</formula>
    </cfRule>
    <cfRule type="expression" dxfId="5774" priority="6506">
      <formula>Z163="T"</formula>
    </cfRule>
  </conditionalFormatting>
  <conditionalFormatting sqref="Z163 AC163">
    <cfRule type="expression" dxfId="5773" priority="6501">
      <formula>Z163="X"</formula>
    </cfRule>
    <cfRule type="expression" dxfId="5772" priority="6502">
      <formula>Z163="A"</formula>
    </cfRule>
    <cfRule type="expression" dxfId="5771" priority="6503">
      <formula>Z163="T"</formula>
    </cfRule>
  </conditionalFormatting>
  <conditionalFormatting sqref="M158">
    <cfRule type="expression" dxfId="5770" priority="6498">
      <formula>M157="X"</formula>
    </cfRule>
    <cfRule type="expression" dxfId="5769" priority="6499">
      <formula>M157="A"</formula>
    </cfRule>
    <cfRule type="expression" dxfId="5768" priority="6500">
      <formula>M157="T"</formula>
    </cfRule>
  </conditionalFormatting>
  <conditionalFormatting sqref="M20 M22 M26 M39 M41 M43 M45 M48 M81 M88 M90 M92 M94 M96 M98 M100 M102 M116">
    <cfRule type="expression" dxfId="5767" priority="6495">
      <formula>M20="X"</formula>
    </cfRule>
    <cfRule type="expression" dxfId="5766" priority="6496">
      <formula>M20="A"</formula>
    </cfRule>
    <cfRule type="expression" dxfId="5765" priority="6497">
      <formula>M20="T"</formula>
    </cfRule>
  </conditionalFormatting>
  <conditionalFormatting sqref="M52">
    <cfRule type="expression" dxfId="5764" priority="6480">
      <formula>M52="X"</formula>
    </cfRule>
    <cfRule type="expression" dxfId="5763" priority="6481">
      <formula>M52="A"</formula>
    </cfRule>
    <cfRule type="expression" dxfId="5762" priority="6482">
      <formula>M52="T"</formula>
    </cfRule>
  </conditionalFormatting>
  <conditionalFormatting sqref="M50">
    <cfRule type="expression" dxfId="5761" priority="6477">
      <formula>M50="X"</formula>
    </cfRule>
    <cfRule type="expression" dxfId="5760" priority="6478">
      <formula>M50="A"</formula>
    </cfRule>
    <cfRule type="expression" dxfId="5759" priority="6479">
      <formula>M50="T"</formula>
    </cfRule>
  </conditionalFormatting>
  <conditionalFormatting sqref="M54">
    <cfRule type="expression" dxfId="5758" priority="6474">
      <formula>M54="X"</formula>
    </cfRule>
    <cfRule type="expression" dxfId="5757" priority="6475">
      <formula>M54="A"</formula>
    </cfRule>
    <cfRule type="expression" dxfId="5756" priority="6476">
      <formula>M54="T"</formula>
    </cfRule>
  </conditionalFormatting>
  <conditionalFormatting sqref="M56">
    <cfRule type="expression" dxfId="5755" priority="6471">
      <formula>M56="X"</formula>
    </cfRule>
    <cfRule type="expression" dxfId="5754" priority="6472">
      <formula>M56="A"</formula>
    </cfRule>
    <cfRule type="expression" dxfId="5753" priority="6473">
      <formula>M56="T"</formula>
    </cfRule>
  </conditionalFormatting>
  <conditionalFormatting sqref="M58">
    <cfRule type="expression" dxfId="5752" priority="6468">
      <formula>M58="X"</formula>
    </cfRule>
    <cfRule type="expression" dxfId="5751" priority="6469">
      <formula>M58="A"</formula>
    </cfRule>
    <cfRule type="expression" dxfId="5750" priority="6470">
      <formula>M58="T"</formula>
    </cfRule>
  </conditionalFormatting>
  <conditionalFormatting sqref="M63">
    <cfRule type="expression" dxfId="5749" priority="6465">
      <formula>M63="X"</formula>
    </cfRule>
    <cfRule type="expression" dxfId="5748" priority="6466">
      <formula>M63="A"</formula>
    </cfRule>
    <cfRule type="expression" dxfId="5747" priority="6467">
      <formula>M63="T"</formula>
    </cfRule>
  </conditionalFormatting>
  <conditionalFormatting sqref="M65">
    <cfRule type="expression" dxfId="5746" priority="6462">
      <formula>M65="X"</formula>
    </cfRule>
    <cfRule type="expression" dxfId="5745" priority="6463">
      <formula>M65="A"</formula>
    </cfRule>
    <cfRule type="expression" dxfId="5744" priority="6464">
      <formula>M65="T"</formula>
    </cfRule>
  </conditionalFormatting>
  <conditionalFormatting sqref="M83">
    <cfRule type="expression" dxfId="5743" priority="6459">
      <formula>M83="X"</formula>
    </cfRule>
    <cfRule type="expression" dxfId="5742" priority="6460">
      <formula>M83="A"</formula>
    </cfRule>
    <cfRule type="expression" dxfId="5741" priority="6461">
      <formula>M83="T"</formula>
    </cfRule>
  </conditionalFormatting>
  <conditionalFormatting sqref="M85">
    <cfRule type="expression" dxfId="5740" priority="6456">
      <formula>M85="X"</formula>
    </cfRule>
    <cfRule type="expression" dxfId="5739" priority="6457">
      <formula>M85="A"</formula>
    </cfRule>
    <cfRule type="expression" dxfId="5738" priority="6458">
      <formula>M85="T"</formula>
    </cfRule>
  </conditionalFormatting>
  <conditionalFormatting sqref="M67">
    <cfRule type="expression" dxfId="5737" priority="6453">
      <formula>M67="X"</formula>
    </cfRule>
    <cfRule type="expression" dxfId="5736" priority="6454">
      <formula>M67="A"</formula>
    </cfRule>
    <cfRule type="expression" dxfId="5735" priority="6455">
      <formula>M67="T"</formula>
    </cfRule>
  </conditionalFormatting>
  <conditionalFormatting sqref="M122">
    <cfRule type="expression" dxfId="5734" priority="6441">
      <formula>M122="X"</formula>
    </cfRule>
    <cfRule type="expression" dxfId="5733" priority="6442">
      <formula>M122="A"</formula>
    </cfRule>
    <cfRule type="expression" dxfId="5732" priority="6443">
      <formula>M122="T"</formula>
    </cfRule>
  </conditionalFormatting>
  <conditionalFormatting sqref="M125">
    <cfRule type="expression" dxfId="5731" priority="6438">
      <formula>M125="X"</formula>
    </cfRule>
    <cfRule type="expression" dxfId="5730" priority="6439">
      <formula>M125="A"</formula>
    </cfRule>
    <cfRule type="expression" dxfId="5729" priority="6440">
      <formula>M125="T"</formula>
    </cfRule>
  </conditionalFormatting>
  <conditionalFormatting sqref="M127">
    <cfRule type="expression" dxfId="5728" priority="6435">
      <formula>M127="X"</formula>
    </cfRule>
    <cfRule type="expression" dxfId="5727" priority="6436">
      <formula>M127="A"</formula>
    </cfRule>
    <cfRule type="expression" dxfId="5726" priority="6437">
      <formula>M127="T"</formula>
    </cfRule>
  </conditionalFormatting>
  <conditionalFormatting sqref="M141">
    <cfRule type="expression" dxfId="5725" priority="6432">
      <formula>M141="X"</formula>
    </cfRule>
    <cfRule type="expression" dxfId="5724" priority="6433">
      <formula>M141="A"</formula>
    </cfRule>
    <cfRule type="expression" dxfId="5723" priority="6434">
      <formula>M141="T"</formula>
    </cfRule>
  </conditionalFormatting>
  <conditionalFormatting sqref="M143">
    <cfRule type="expression" dxfId="5722" priority="6429">
      <formula>M143="X"</formula>
    </cfRule>
    <cfRule type="expression" dxfId="5721" priority="6430">
      <formula>M143="A"</formula>
    </cfRule>
    <cfRule type="expression" dxfId="5720" priority="6431">
      <formula>M143="T"</formula>
    </cfRule>
  </conditionalFormatting>
  <conditionalFormatting sqref="M149">
    <cfRule type="expression" dxfId="5719" priority="6426">
      <formula>M149="X"</formula>
    </cfRule>
    <cfRule type="expression" dxfId="5718" priority="6427">
      <formula>M149="A"</formula>
    </cfRule>
    <cfRule type="expression" dxfId="5717" priority="6428">
      <formula>M149="T"</formula>
    </cfRule>
  </conditionalFormatting>
  <conditionalFormatting sqref="M151">
    <cfRule type="expression" dxfId="5716" priority="6423">
      <formula>M151="X"</formula>
    </cfRule>
    <cfRule type="expression" dxfId="5715" priority="6424">
      <formula>M151="A"</formula>
    </cfRule>
    <cfRule type="expression" dxfId="5714" priority="6425">
      <formula>M151="T"</formula>
    </cfRule>
  </conditionalFormatting>
  <conditionalFormatting sqref="M155">
    <cfRule type="expression" dxfId="5713" priority="6420">
      <formula>M155="X"</formula>
    </cfRule>
    <cfRule type="expression" dxfId="5712" priority="6421">
      <formula>M155="A"</formula>
    </cfRule>
    <cfRule type="expression" dxfId="5711" priority="6422">
      <formula>M155="T"</formula>
    </cfRule>
  </conditionalFormatting>
  <conditionalFormatting sqref="M157">
    <cfRule type="expression" dxfId="5710" priority="6417">
      <formula>M157="X"</formula>
    </cfRule>
    <cfRule type="expression" dxfId="5709" priority="6418">
      <formula>M157="A"</formula>
    </cfRule>
    <cfRule type="expression" dxfId="5708" priority="6419">
      <formula>M157="T"</formula>
    </cfRule>
  </conditionalFormatting>
  <conditionalFormatting sqref="M173">
    <cfRule type="expression" dxfId="5707" priority="6411">
      <formula>M173="X"</formula>
    </cfRule>
    <cfRule type="expression" dxfId="5706" priority="6412">
      <formula>M173="A"</formula>
    </cfRule>
    <cfRule type="expression" dxfId="5705" priority="6413">
      <formula>M173="T"</formula>
    </cfRule>
  </conditionalFormatting>
  <conditionalFormatting sqref="M183">
    <cfRule type="expression" dxfId="5704" priority="6393">
      <formula>M183="X"</formula>
    </cfRule>
    <cfRule type="expression" dxfId="5703" priority="6394">
      <formula>M183="A"</formula>
    </cfRule>
    <cfRule type="expression" dxfId="5702" priority="6395">
      <formula>M183="T"</formula>
    </cfRule>
  </conditionalFormatting>
  <conditionalFormatting sqref="M185">
    <cfRule type="expression" dxfId="5701" priority="6390">
      <formula>M185="X"</formula>
    </cfRule>
    <cfRule type="expression" dxfId="5700" priority="6391">
      <formula>M185="A"</formula>
    </cfRule>
    <cfRule type="expression" dxfId="5699" priority="6392">
      <formula>M185="T"</formula>
    </cfRule>
  </conditionalFormatting>
  <conditionalFormatting sqref="M189">
    <cfRule type="expression" dxfId="5698" priority="6387">
      <formula>M189="X"</formula>
    </cfRule>
    <cfRule type="expression" dxfId="5697" priority="6388">
      <formula>M189="A"</formula>
    </cfRule>
    <cfRule type="expression" dxfId="5696" priority="6389">
      <formula>M189="T"</formula>
    </cfRule>
  </conditionalFormatting>
  <conditionalFormatting sqref="M191">
    <cfRule type="expression" dxfId="5695" priority="6384">
      <formula>M191="X"</formula>
    </cfRule>
    <cfRule type="expression" dxfId="5694" priority="6385">
      <formula>M191="A"</formula>
    </cfRule>
    <cfRule type="expression" dxfId="5693" priority="6386">
      <formula>M191="T"</formula>
    </cfRule>
  </conditionalFormatting>
  <conditionalFormatting sqref="M12">
    <cfRule type="expression" dxfId="5692" priority="6378">
      <formula>M11="X"</formula>
    </cfRule>
    <cfRule type="expression" dxfId="5691" priority="6379">
      <formula>M11="A"</formula>
    </cfRule>
    <cfRule type="expression" dxfId="5690" priority="6380">
      <formula>M11="T"</formula>
    </cfRule>
  </conditionalFormatting>
  <conditionalFormatting sqref="M13">
    <cfRule type="expression" dxfId="5689" priority="6375">
      <formula>M13="X"</formula>
    </cfRule>
    <cfRule type="expression" dxfId="5688" priority="6376">
      <formula>M13="A"</formula>
    </cfRule>
    <cfRule type="expression" dxfId="5687" priority="6377">
      <formula>M13="T"</formula>
    </cfRule>
  </conditionalFormatting>
  <conditionalFormatting sqref="M14">
    <cfRule type="expression" dxfId="5686" priority="6372">
      <formula>M13="X"</formula>
    </cfRule>
    <cfRule type="expression" dxfId="5685" priority="6373">
      <formula>M13="A"</formula>
    </cfRule>
    <cfRule type="expression" dxfId="5684" priority="6374">
      <formula>M13="T"</formula>
    </cfRule>
  </conditionalFormatting>
  <conditionalFormatting sqref="M17">
    <cfRule type="expression" dxfId="5683" priority="6369">
      <formula>M16="X"</formula>
    </cfRule>
    <cfRule type="expression" dxfId="5682" priority="6370">
      <formula>M16="A"</formula>
    </cfRule>
    <cfRule type="expression" dxfId="5681" priority="6371">
      <formula>M16="T"</formula>
    </cfRule>
  </conditionalFormatting>
  <conditionalFormatting sqref="M40">
    <cfRule type="expression" dxfId="5680" priority="6333">
      <formula>M39="X"</formula>
    </cfRule>
    <cfRule type="expression" dxfId="5679" priority="6334">
      <formula>M39="A"</formula>
    </cfRule>
    <cfRule type="expression" dxfId="5678" priority="6335">
      <formula>M39="T"</formula>
    </cfRule>
  </conditionalFormatting>
  <conditionalFormatting sqref="M42">
    <cfRule type="expression" dxfId="5677" priority="6330">
      <formula>M41="X"</formula>
    </cfRule>
    <cfRule type="expression" dxfId="5676" priority="6331">
      <formula>M41="A"</formula>
    </cfRule>
    <cfRule type="expression" dxfId="5675" priority="6332">
      <formula>M41="T"</formula>
    </cfRule>
  </conditionalFormatting>
  <conditionalFormatting sqref="M44">
    <cfRule type="expression" dxfId="5674" priority="6327">
      <formula>M43="X"</formula>
    </cfRule>
    <cfRule type="expression" dxfId="5673" priority="6328">
      <formula>M43="A"</formula>
    </cfRule>
    <cfRule type="expression" dxfId="5672" priority="6329">
      <formula>M43="T"</formula>
    </cfRule>
  </conditionalFormatting>
  <conditionalFormatting sqref="M46">
    <cfRule type="expression" dxfId="5671" priority="6324">
      <formula>M45="X"</formula>
    </cfRule>
    <cfRule type="expression" dxfId="5670" priority="6325">
      <formula>M45="A"</formula>
    </cfRule>
    <cfRule type="expression" dxfId="5669" priority="6326">
      <formula>M45="T"</formula>
    </cfRule>
  </conditionalFormatting>
  <conditionalFormatting sqref="M49">
    <cfRule type="expression" dxfId="5668" priority="6321">
      <formula>M48="X"</formula>
    </cfRule>
    <cfRule type="expression" dxfId="5667" priority="6322">
      <formula>M48="A"</formula>
    </cfRule>
    <cfRule type="expression" dxfId="5666" priority="6323">
      <formula>M48="T"</formula>
    </cfRule>
  </conditionalFormatting>
  <conditionalFormatting sqref="M51">
    <cfRule type="expression" dxfId="5665" priority="6318">
      <formula>M50="X"</formula>
    </cfRule>
    <cfRule type="expression" dxfId="5664" priority="6319">
      <formula>M50="A"</formula>
    </cfRule>
    <cfRule type="expression" dxfId="5663" priority="6320">
      <formula>M50="T"</formula>
    </cfRule>
  </conditionalFormatting>
  <conditionalFormatting sqref="M53">
    <cfRule type="expression" dxfId="5662" priority="6315">
      <formula>M52="X"</formula>
    </cfRule>
    <cfRule type="expression" dxfId="5661" priority="6316">
      <formula>M52="A"</formula>
    </cfRule>
    <cfRule type="expression" dxfId="5660" priority="6317">
      <formula>M52="T"</formula>
    </cfRule>
  </conditionalFormatting>
  <conditionalFormatting sqref="M55">
    <cfRule type="expression" dxfId="5659" priority="6312">
      <formula>M54="X"</formula>
    </cfRule>
    <cfRule type="expression" dxfId="5658" priority="6313">
      <formula>M54="A"</formula>
    </cfRule>
    <cfRule type="expression" dxfId="5657" priority="6314">
      <formula>M54="T"</formula>
    </cfRule>
  </conditionalFormatting>
  <conditionalFormatting sqref="M57">
    <cfRule type="expression" dxfId="5656" priority="6309">
      <formula>M56="X"</formula>
    </cfRule>
    <cfRule type="expression" dxfId="5655" priority="6310">
      <formula>M56="A"</formula>
    </cfRule>
    <cfRule type="expression" dxfId="5654" priority="6311">
      <formula>M56="T"</formula>
    </cfRule>
  </conditionalFormatting>
  <conditionalFormatting sqref="M59">
    <cfRule type="expression" dxfId="5653" priority="6306">
      <formula>M58="X"</formula>
    </cfRule>
    <cfRule type="expression" dxfId="5652" priority="6307">
      <formula>M58="A"</formula>
    </cfRule>
    <cfRule type="expression" dxfId="5651" priority="6308">
      <formula>M58="T"</formula>
    </cfRule>
  </conditionalFormatting>
  <conditionalFormatting sqref="M64">
    <cfRule type="expression" dxfId="5650" priority="6303">
      <formula>M63="X"</formula>
    </cfRule>
    <cfRule type="expression" dxfId="5649" priority="6304">
      <formula>M63="A"</formula>
    </cfRule>
    <cfRule type="expression" dxfId="5648" priority="6305">
      <formula>M63="T"</formula>
    </cfRule>
  </conditionalFormatting>
  <conditionalFormatting sqref="M66">
    <cfRule type="expression" dxfId="5647" priority="6300">
      <formula>M65="X"</formula>
    </cfRule>
    <cfRule type="expression" dxfId="5646" priority="6301">
      <formula>M65="A"</formula>
    </cfRule>
    <cfRule type="expression" dxfId="5645" priority="6302">
      <formula>M65="T"</formula>
    </cfRule>
  </conditionalFormatting>
  <conditionalFormatting sqref="M68">
    <cfRule type="expression" dxfId="5644" priority="6297">
      <formula>M67="X"</formula>
    </cfRule>
    <cfRule type="expression" dxfId="5643" priority="6298">
      <formula>M67="A"</formula>
    </cfRule>
    <cfRule type="expression" dxfId="5642" priority="6299">
      <formula>M67="T"</formula>
    </cfRule>
  </conditionalFormatting>
  <conditionalFormatting sqref="M82">
    <cfRule type="expression" dxfId="5641" priority="6294">
      <formula>M81="X"</formula>
    </cfRule>
    <cfRule type="expression" dxfId="5640" priority="6295">
      <formula>M81="A"</formula>
    </cfRule>
    <cfRule type="expression" dxfId="5639" priority="6296">
      <formula>M81="T"</formula>
    </cfRule>
  </conditionalFormatting>
  <conditionalFormatting sqref="M84">
    <cfRule type="expression" dxfId="5638" priority="6291">
      <formula>M83="X"</formula>
    </cfRule>
    <cfRule type="expression" dxfId="5637" priority="6292">
      <formula>M83="A"</formula>
    </cfRule>
    <cfRule type="expression" dxfId="5636" priority="6293">
      <formula>M83="T"</formula>
    </cfRule>
  </conditionalFormatting>
  <conditionalFormatting sqref="M86">
    <cfRule type="expression" dxfId="5635" priority="6288">
      <formula>M85="X"</formula>
    </cfRule>
    <cfRule type="expression" dxfId="5634" priority="6289">
      <formula>M85="A"</formula>
    </cfRule>
    <cfRule type="expression" dxfId="5633" priority="6290">
      <formula>M85="T"</formula>
    </cfRule>
  </conditionalFormatting>
  <conditionalFormatting sqref="M89">
    <cfRule type="expression" dxfId="5632" priority="6285">
      <formula>M88="X"</formula>
    </cfRule>
    <cfRule type="expression" dxfId="5631" priority="6286">
      <formula>M88="A"</formula>
    </cfRule>
    <cfRule type="expression" dxfId="5630" priority="6287">
      <formula>M88="T"</formula>
    </cfRule>
  </conditionalFormatting>
  <conditionalFormatting sqref="M91">
    <cfRule type="expression" dxfId="5629" priority="6282">
      <formula>M90="X"</formula>
    </cfRule>
    <cfRule type="expression" dxfId="5628" priority="6283">
      <formula>M90="A"</formula>
    </cfRule>
    <cfRule type="expression" dxfId="5627" priority="6284">
      <formula>M90="T"</formula>
    </cfRule>
  </conditionalFormatting>
  <conditionalFormatting sqref="M93">
    <cfRule type="expression" dxfId="5626" priority="6279">
      <formula>M92="X"</formula>
    </cfRule>
    <cfRule type="expression" dxfId="5625" priority="6280">
      <formula>M92="A"</formula>
    </cfRule>
    <cfRule type="expression" dxfId="5624" priority="6281">
      <formula>M92="T"</formula>
    </cfRule>
  </conditionalFormatting>
  <conditionalFormatting sqref="M95">
    <cfRule type="expression" dxfId="5623" priority="6276">
      <formula>M94="X"</formula>
    </cfRule>
    <cfRule type="expression" dxfId="5622" priority="6277">
      <formula>M94="A"</formula>
    </cfRule>
    <cfRule type="expression" dxfId="5621" priority="6278">
      <formula>M94="T"</formula>
    </cfRule>
  </conditionalFormatting>
  <conditionalFormatting sqref="M97">
    <cfRule type="expression" dxfId="5620" priority="6273">
      <formula>M96="X"</formula>
    </cfRule>
    <cfRule type="expression" dxfId="5619" priority="6274">
      <formula>M96="A"</formula>
    </cfRule>
    <cfRule type="expression" dxfId="5618" priority="6275">
      <formula>M96="T"</formula>
    </cfRule>
  </conditionalFormatting>
  <conditionalFormatting sqref="M99">
    <cfRule type="expression" dxfId="5617" priority="6270">
      <formula>M98="X"</formula>
    </cfRule>
    <cfRule type="expression" dxfId="5616" priority="6271">
      <formula>M98="A"</formula>
    </cfRule>
    <cfRule type="expression" dxfId="5615" priority="6272">
      <formula>M98="T"</formula>
    </cfRule>
  </conditionalFormatting>
  <conditionalFormatting sqref="M101">
    <cfRule type="expression" dxfId="5614" priority="6267">
      <formula>M100="X"</formula>
    </cfRule>
    <cfRule type="expression" dxfId="5613" priority="6268">
      <formula>M100="A"</formula>
    </cfRule>
    <cfRule type="expression" dxfId="5612" priority="6269">
      <formula>M100="T"</formula>
    </cfRule>
  </conditionalFormatting>
  <conditionalFormatting sqref="M103">
    <cfRule type="expression" dxfId="5611" priority="6264">
      <formula>M102="X"</formula>
    </cfRule>
    <cfRule type="expression" dxfId="5610" priority="6265">
      <formula>M102="A"</formula>
    </cfRule>
    <cfRule type="expression" dxfId="5609" priority="6266">
      <formula>M102="T"</formula>
    </cfRule>
  </conditionalFormatting>
  <conditionalFormatting sqref="M106">
    <cfRule type="expression" dxfId="5608" priority="6261">
      <formula>M105="X"</formula>
    </cfRule>
    <cfRule type="expression" dxfId="5607" priority="6262">
      <formula>M105="A"</formula>
    </cfRule>
    <cfRule type="expression" dxfId="5606" priority="6263">
      <formula>M105="T"</formula>
    </cfRule>
  </conditionalFormatting>
  <conditionalFormatting sqref="M108">
    <cfRule type="expression" dxfId="5605" priority="6258">
      <formula>M107="X"</formula>
    </cfRule>
    <cfRule type="expression" dxfId="5604" priority="6259">
      <formula>M107="A"</formula>
    </cfRule>
    <cfRule type="expression" dxfId="5603" priority="6260">
      <formula>M107="T"</formula>
    </cfRule>
  </conditionalFormatting>
  <conditionalFormatting sqref="M110">
    <cfRule type="expression" dxfId="5602" priority="6255">
      <formula>M109="X"</formula>
    </cfRule>
    <cfRule type="expression" dxfId="5601" priority="6256">
      <formula>M109="A"</formula>
    </cfRule>
    <cfRule type="expression" dxfId="5600" priority="6257">
      <formula>M109="T"</formula>
    </cfRule>
  </conditionalFormatting>
  <conditionalFormatting sqref="M112">
    <cfRule type="expression" dxfId="5599" priority="6252">
      <formula>M111="X"</formula>
    </cfRule>
    <cfRule type="expression" dxfId="5598" priority="6253">
      <formula>M111="A"</formula>
    </cfRule>
    <cfRule type="expression" dxfId="5597" priority="6254">
      <formula>M111="T"</formula>
    </cfRule>
  </conditionalFormatting>
  <conditionalFormatting sqref="M114">
    <cfRule type="expression" dxfId="5596" priority="6249">
      <formula>M113="X"</formula>
    </cfRule>
    <cfRule type="expression" dxfId="5595" priority="6250">
      <formula>M113="A"</formula>
    </cfRule>
    <cfRule type="expression" dxfId="5594" priority="6251">
      <formula>M113="T"</formula>
    </cfRule>
  </conditionalFormatting>
  <conditionalFormatting sqref="M117">
    <cfRule type="expression" dxfId="5593" priority="6246">
      <formula>M116="X"</formula>
    </cfRule>
    <cfRule type="expression" dxfId="5592" priority="6247">
      <formula>M116="A"</formula>
    </cfRule>
    <cfRule type="expression" dxfId="5591" priority="6248">
      <formula>M116="T"</formula>
    </cfRule>
  </conditionalFormatting>
  <conditionalFormatting sqref="M119">
    <cfRule type="expression" dxfId="5590" priority="6243">
      <formula>M118="X"</formula>
    </cfRule>
    <cfRule type="expression" dxfId="5589" priority="6244">
      <formula>M118="A"</formula>
    </cfRule>
    <cfRule type="expression" dxfId="5588" priority="6245">
      <formula>M118="T"</formula>
    </cfRule>
  </conditionalFormatting>
  <conditionalFormatting sqref="M121">
    <cfRule type="expression" dxfId="5587" priority="6240">
      <formula>M120="X"</formula>
    </cfRule>
    <cfRule type="expression" dxfId="5586" priority="6241">
      <formula>M120="A"</formula>
    </cfRule>
    <cfRule type="expression" dxfId="5585" priority="6242">
      <formula>M120="T"</formula>
    </cfRule>
  </conditionalFormatting>
  <conditionalFormatting sqref="M123">
    <cfRule type="expression" dxfId="5584" priority="6237">
      <formula>M122="X"</formula>
    </cfRule>
    <cfRule type="expression" dxfId="5583" priority="6238">
      <formula>M122="A"</formula>
    </cfRule>
    <cfRule type="expression" dxfId="5582" priority="6239">
      <formula>M122="T"</formula>
    </cfRule>
  </conditionalFormatting>
  <conditionalFormatting sqref="M126">
    <cfRule type="expression" dxfId="5581" priority="6234">
      <formula>M125="X"</formula>
    </cfRule>
    <cfRule type="expression" dxfId="5580" priority="6235">
      <formula>M125="A"</formula>
    </cfRule>
    <cfRule type="expression" dxfId="5579" priority="6236">
      <formula>M125="T"</formula>
    </cfRule>
  </conditionalFormatting>
  <conditionalFormatting sqref="M128">
    <cfRule type="expression" dxfId="5578" priority="6231">
      <formula>M127="X"</formula>
    </cfRule>
    <cfRule type="expression" dxfId="5577" priority="6232">
      <formula>M127="A"</formula>
    </cfRule>
    <cfRule type="expression" dxfId="5576" priority="6233">
      <formula>M127="T"</formula>
    </cfRule>
  </conditionalFormatting>
  <conditionalFormatting sqref="M142">
    <cfRule type="expression" dxfId="5575" priority="6228">
      <formula>M141="X"</formula>
    </cfRule>
    <cfRule type="expression" dxfId="5574" priority="6229">
      <formula>M141="A"</formula>
    </cfRule>
    <cfRule type="expression" dxfId="5573" priority="6230">
      <formula>M141="T"</formula>
    </cfRule>
  </conditionalFormatting>
  <conditionalFormatting sqref="M144">
    <cfRule type="expression" dxfId="5572" priority="6225">
      <formula>M143="X"</formula>
    </cfRule>
    <cfRule type="expression" dxfId="5571" priority="6226">
      <formula>M143="A"</formula>
    </cfRule>
    <cfRule type="expression" dxfId="5570" priority="6227">
      <formula>M143="T"</formula>
    </cfRule>
  </conditionalFormatting>
  <conditionalFormatting sqref="M150">
    <cfRule type="expression" dxfId="5569" priority="6222">
      <formula>M149="X"</formula>
    </cfRule>
    <cfRule type="expression" dxfId="5568" priority="6223">
      <formula>M149="A"</formula>
    </cfRule>
    <cfRule type="expression" dxfId="5567" priority="6224">
      <formula>M149="T"</formula>
    </cfRule>
  </conditionalFormatting>
  <conditionalFormatting sqref="M152">
    <cfRule type="expression" dxfId="5566" priority="6219">
      <formula>M151="X"</formula>
    </cfRule>
    <cfRule type="expression" dxfId="5565" priority="6220">
      <formula>M151="A"</formula>
    </cfRule>
    <cfRule type="expression" dxfId="5564" priority="6221">
      <formula>M151="T"</formula>
    </cfRule>
  </conditionalFormatting>
  <conditionalFormatting sqref="M156">
    <cfRule type="expression" dxfId="5563" priority="6216">
      <formula>M155="X"</formula>
    </cfRule>
    <cfRule type="expression" dxfId="5562" priority="6217">
      <formula>M155="A"</formula>
    </cfRule>
    <cfRule type="expression" dxfId="5561" priority="6218">
      <formula>M155="T"</formula>
    </cfRule>
  </conditionalFormatting>
  <conditionalFormatting sqref="M168">
    <cfRule type="expression" dxfId="5560" priority="6213">
      <formula>M167="X"</formula>
    </cfRule>
    <cfRule type="expression" dxfId="5559" priority="6214">
      <formula>M167="A"</formula>
    </cfRule>
    <cfRule type="expression" dxfId="5558" priority="6215">
      <formula>M167="T"</formula>
    </cfRule>
  </conditionalFormatting>
  <conditionalFormatting sqref="M170">
    <cfRule type="expression" dxfId="5557" priority="6210">
      <formula>M169="X"</formula>
    </cfRule>
    <cfRule type="expression" dxfId="5556" priority="6211">
      <formula>M169="A"</formula>
    </cfRule>
    <cfRule type="expression" dxfId="5555" priority="6212">
      <formula>M169="T"</formula>
    </cfRule>
  </conditionalFormatting>
  <conditionalFormatting sqref="M172">
    <cfRule type="expression" dxfId="5554" priority="6207">
      <formula>M171="X"</formula>
    </cfRule>
    <cfRule type="expression" dxfId="5553" priority="6208">
      <formula>M171="A"</formula>
    </cfRule>
    <cfRule type="expression" dxfId="5552" priority="6209">
      <formula>M171="T"</formula>
    </cfRule>
  </conditionalFormatting>
  <conditionalFormatting sqref="M174">
    <cfRule type="expression" dxfId="5551" priority="6204">
      <formula>M173="X"</formula>
    </cfRule>
    <cfRule type="expression" dxfId="5550" priority="6205">
      <formula>M173="A"</formula>
    </cfRule>
    <cfRule type="expression" dxfId="5549" priority="6206">
      <formula>M173="T"</formula>
    </cfRule>
  </conditionalFormatting>
  <conditionalFormatting sqref="M176">
    <cfRule type="expression" dxfId="5548" priority="6201">
      <formula>M175="X"</formula>
    </cfRule>
    <cfRule type="expression" dxfId="5547" priority="6202">
      <formula>M175="A"</formula>
    </cfRule>
    <cfRule type="expression" dxfId="5546" priority="6203">
      <formula>M175="T"</formula>
    </cfRule>
  </conditionalFormatting>
  <conditionalFormatting sqref="M178">
    <cfRule type="expression" dxfId="5545" priority="6198">
      <formula>M177="X"</formula>
    </cfRule>
    <cfRule type="expression" dxfId="5544" priority="6199">
      <formula>M177="A"</formula>
    </cfRule>
    <cfRule type="expression" dxfId="5543" priority="6200">
      <formula>M177="T"</formula>
    </cfRule>
  </conditionalFormatting>
  <conditionalFormatting sqref="M180">
    <cfRule type="expression" dxfId="5542" priority="6195">
      <formula>M179="X"</formula>
    </cfRule>
    <cfRule type="expression" dxfId="5541" priority="6196">
      <formula>M179="A"</formula>
    </cfRule>
    <cfRule type="expression" dxfId="5540" priority="6197">
      <formula>M179="T"</formula>
    </cfRule>
  </conditionalFormatting>
  <conditionalFormatting sqref="M184">
    <cfRule type="expression" dxfId="5539" priority="6192">
      <formula>M183="X"</formula>
    </cfRule>
    <cfRule type="expression" dxfId="5538" priority="6193">
      <formula>M183="A"</formula>
    </cfRule>
    <cfRule type="expression" dxfId="5537" priority="6194">
      <formula>M183="T"</formula>
    </cfRule>
  </conditionalFormatting>
  <conditionalFormatting sqref="M186">
    <cfRule type="expression" dxfId="5536" priority="6189">
      <formula>M185="X"</formula>
    </cfRule>
    <cfRule type="expression" dxfId="5535" priority="6190">
      <formula>M185="A"</formula>
    </cfRule>
    <cfRule type="expression" dxfId="5534" priority="6191">
      <formula>M185="T"</formula>
    </cfRule>
  </conditionalFormatting>
  <conditionalFormatting sqref="M190">
    <cfRule type="expression" dxfId="5533" priority="6186">
      <formula>M189="X"</formula>
    </cfRule>
    <cfRule type="expression" dxfId="5532" priority="6187">
      <formula>M189="A"</formula>
    </cfRule>
    <cfRule type="expression" dxfId="5531" priority="6188">
      <formula>M189="T"</formula>
    </cfRule>
  </conditionalFormatting>
  <conditionalFormatting sqref="M192">
    <cfRule type="expression" dxfId="5530" priority="6183">
      <formula>M191="X"</formula>
    </cfRule>
    <cfRule type="expression" dxfId="5529" priority="6184">
      <formula>M191="A"</formula>
    </cfRule>
    <cfRule type="expression" dxfId="5528" priority="6185">
      <formula>M191="T"</formula>
    </cfRule>
  </conditionalFormatting>
  <conditionalFormatting sqref="M208">
    <cfRule type="expression" dxfId="5527" priority="6180">
      <formula>M207="X"</formula>
    </cfRule>
    <cfRule type="expression" dxfId="5526" priority="6181">
      <formula>M207="A"</formula>
    </cfRule>
    <cfRule type="expression" dxfId="5525" priority="6182">
      <formula>M207="T"</formula>
    </cfRule>
  </conditionalFormatting>
  <conditionalFormatting sqref="M212">
    <cfRule type="expression" dxfId="5524" priority="6174">
      <formula>M211="X"</formula>
    </cfRule>
    <cfRule type="expression" dxfId="5523" priority="6175">
      <formula>M211="A"</formula>
    </cfRule>
    <cfRule type="expression" dxfId="5522" priority="6176">
      <formula>M211="T"</formula>
    </cfRule>
  </conditionalFormatting>
  <conditionalFormatting sqref="M213">
    <cfRule type="expression" dxfId="5521" priority="6171">
      <formula>M213="X"</formula>
    </cfRule>
    <cfRule type="expression" dxfId="5520" priority="6172">
      <formula>M213="A"</formula>
    </cfRule>
    <cfRule type="expression" dxfId="5519" priority="6173">
      <formula>M213="T"</formula>
    </cfRule>
  </conditionalFormatting>
  <conditionalFormatting sqref="M214">
    <cfRule type="expression" dxfId="5518" priority="6168">
      <formula>M213="X"</formula>
    </cfRule>
    <cfRule type="expression" dxfId="5517" priority="6169">
      <formula>M213="A"</formula>
    </cfRule>
    <cfRule type="expression" dxfId="5516" priority="6170">
      <formula>M213="T"</formula>
    </cfRule>
  </conditionalFormatting>
  <conditionalFormatting sqref="M216">
    <cfRule type="expression" dxfId="5515" priority="6162">
      <formula>M215="X"</formula>
    </cfRule>
    <cfRule type="expression" dxfId="5514" priority="6163">
      <formula>M215="A"</formula>
    </cfRule>
    <cfRule type="expression" dxfId="5513" priority="6164">
      <formula>M215="T"</formula>
    </cfRule>
  </conditionalFormatting>
  <conditionalFormatting sqref="M217">
    <cfRule type="expression" dxfId="5512" priority="6159">
      <formula>M217="X"</formula>
    </cfRule>
    <cfRule type="expression" dxfId="5511" priority="6160">
      <formula>M217="A"</formula>
    </cfRule>
    <cfRule type="expression" dxfId="5510" priority="6161">
      <formula>M217="T"</formula>
    </cfRule>
  </conditionalFormatting>
  <conditionalFormatting sqref="M218">
    <cfRule type="expression" dxfId="5509" priority="6156">
      <formula>M217="X"</formula>
    </cfRule>
    <cfRule type="expression" dxfId="5508" priority="6157">
      <formula>M217="A"</formula>
    </cfRule>
    <cfRule type="expression" dxfId="5507" priority="6158">
      <formula>M217="T"</formula>
    </cfRule>
  </conditionalFormatting>
  <conditionalFormatting sqref="M219">
    <cfRule type="expression" dxfId="5506" priority="6153">
      <formula>M219="X"</formula>
    </cfRule>
    <cfRule type="expression" dxfId="5505" priority="6154">
      <formula>M219="A"</formula>
    </cfRule>
    <cfRule type="expression" dxfId="5504" priority="6155">
      <formula>M219="T"</formula>
    </cfRule>
  </conditionalFormatting>
  <conditionalFormatting sqref="M220">
    <cfRule type="expression" dxfId="5503" priority="6150">
      <formula>M219="X"</formula>
    </cfRule>
    <cfRule type="expression" dxfId="5502" priority="6151">
      <formula>M219="A"</formula>
    </cfRule>
    <cfRule type="expression" dxfId="5501" priority="6152">
      <formula>M219="T"</formula>
    </cfRule>
  </conditionalFormatting>
  <conditionalFormatting sqref="M221">
    <cfRule type="expression" dxfId="5500" priority="6147">
      <formula>M221="X"</formula>
    </cfRule>
    <cfRule type="expression" dxfId="5499" priority="6148">
      <formula>M221="A"</formula>
    </cfRule>
    <cfRule type="expression" dxfId="5498" priority="6149">
      <formula>M221="T"</formula>
    </cfRule>
  </conditionalFormatting>
  <conditionalFormatting sqref="M222">
    <cfRule type="expression" dxfId="5497" priority="6144">
      <formula>M221="X"</formula>
    </cfRule>
    <cfRule type="expression" dxfId="5496" priority="6145">
      <formula>M221="A"</formula>
    </cfRule>
    <cfRule type="expression" dxfId="5495" priority="6146">
      <formula>M221="T"</formula>
    </cfRule>
  </conditionalFormatting>
  <conditionalFormatting sqref="M223">
    <cfRule type="expression" dxfId="5494" priority="6141">
      <formula>M223="X"</formula>
    </cfRule>
    <cfRule type="expression" dxfId="5493" priority="6142">
      <formula>M223="A"</formula>
    </cfRule>
    <cfRule type="expression" dxfId="5492" priority="6143">
      <formula>M223="T"</formula>
    </cfRule>
  </conditionalFormatting>
  <conditionalFormatting sqref="M224">
    <cfRule type="expression" dxfId="5491" priority="6138">
      <formula>M223="X"</formula>
    </cfRule>
    <cfRule type="expression" dxfId="5490" priority="6139">
      <formula>M223="A"</formula>
    </cfRule>
    <cfRule type="expression" dxfId="5489" priority="6140">
      <formula>M223="T"</formula>
    </cfRule>
  </conditionalFormatting>
  <conditionalFormatting sqref="M4">
    <cfRule type="expression" dxfId="5488" priority="6135">
      <formula>M4="X"</formula>
    </cfRule>
    <cfRule type="expression" dxfId="5487" priority="6136">
      <formula>M4="A"</formula>
    </cfRule>
    <cfRule type="expression" dxfId="5486" priority="6137">
      <formula>M4="T"</formula>
    </cfRule>
  </conditionalFormatting>
  <conditionalFormatting sqref="M5">
    <cfRule type="expression" dxfId="5485" priority="6132">
      <formula>M4="X"</formula>
    </cfRule>
    <cfRule type="expression" dxfId="5484" priority="6133">
      <formula>M4="A"</formula>
    </cfRule>
    <cfRule type="expression" dxfId="5483" priority="6134">
      <formula>M4="T"</formula>
    </cfRule>
  </conditionalFormatting>
  <conditionalFormatting sqref="M7">
    <cfRule type="expression" dxfId="5482" priority="6126">
      <formula>M6="X"</formula>
    </cfRule>
    <cfRule type="expression" dxfId="5481" priority="6127">
      <formula>M6="A"</formula>
    </cfRule>
    <cfRule type="expression" dxfId="5480" priority="6128">
      <formula>M6="T"</formula>
    </cfRule>
  </conditionalFormatting>
  <conditionalFormatting sqref="M9">
    <cfRule type="expression" dxfId="5479" priority="6120">
      <formula>M8="X"</formula>
    </cfRule>
    <cfRule type="expression" dxfId="5478" priority="6121">
      <formula>M8="A"</formula>
    </cfRule>
    <cfRule type="expression" dxfId="5477" priority="6122">
      <formula>M8="T"</formula>
    </cfRule>
  </conditionalFormatting>
  <conditionalFormatting sqref="M74">
    <cfRule type="expression" dxfId="5476" priority="6117">
      <formula>M74="X"</formula>
    </cfRule>
    <cfRule type="expression" dxfId="5475" priority="6118">
      <formula>M74="A"</formula>
    </cfRule>
    <cfRule type="expression" dxfId="5474" priority="6119">
      <formula>M74="T"</formula>
    </cfRule>
  </conditionalFormatting>
  <conditionalFormatting sqref="M75">
    <cfRule type="expression" dxfId="5473" priority="6114">
      <formula>M74="X"</formula>
    </cfRule>
    <cfRule type="expression" dxfId="5472" priority="6115">
      <formula>M74="A"</formula>
    </cfRule>
    <cfRule type="expression" dxfId="5471" priority="6116">
      <formula>M74="T"</formula>
    </cfRule>
  </conditionalFormatting>
  <conditionalFormatting sqref="M76">
    <cfRule type="expression" dxfId="5470" priority="6111">
      <formula>M76="X"</formula>
    </cfRule>
    <cfRule type="expression" dxfId="5469" priority="6112">
      <formula>M76="A"</formula>
    </cfRule>
    <cfRule type="expression" dxfId="5468" priority="6113">
      <formula>M76="T"</formula>
    </cfRule>
  </conditionalFormatting>
  <conditionalFormatting sqref="M77">
    <cfRule type="expression" dxfId="5467" priority="6108">
      <formula>M76="X"</formula>
    </cfRule>
    <cfRule type="expression" dxfId="5466" priority="6109">
      <formula>M76="A"</formula>
    </cfRule>
    <cfRule type="expression" dxfId="5465" priority="6110">
      <formula>M76="T"</formula>
    </cfRule>
  </conditionalFormatting>
  <conditionalFormatting sqref="M78">
    <cfRule type="expression" dxfId="5464" priority="6105">
      <formula>M78="X"</formula>
    </cfRule>
    <cfRule type="expression" dxfId="5463" priority="6106">
      <formula>M78="A"</formula>
    </cfRule>
    <cfRule type="expression" dxfId="5462" priority="6107">
      <formula>M78="T"</formula>
    </cfRule>
  </conditionalFormatting>
  <conditionalFormatting sqref="M79">
    <cfRule type="expression" dxfId="5461" priority="6102">
      <formula>M78="X"</formula>
    </cfRule>
    <cfRule type="expression" dxfId="5460" priority="6103">
      <formula>M78="A"</formula>
    </cfRule>
    <cfRule type="expression" dxfId="5459" priority="6104">
      <formula>M78="T"</formula>
    </cfRule>
  </conditionalFormatting>
  <conditionalFormatting sqref="M134">
    <cfRule type="expression" dxfId="5458" priority="6099">
      <formula>M134="X"</formula>
    </cfRule>
    <cfRule type="expression" dxfId="5457" priority="6100">
      <formula>M134="A"</formula>
    </cfRule>
    <cfRule type="expression" dxfId="5456" priority="6101">
      <formula>M134="T"</formula>
    </cfRule>
  </conditionalFormatting>
  <conditionalFormatting sqref="M135">
    <cfRule type="expression" dxfId="5455" priority="6096">
      <formula>M134="X"</formula>
    </cfRule>
    <cfRule type="expression" dxfId="5454" priority="6097">
      <formula>M134="A"</formula>
    </cfRule>
    <cfRule type="expression" dxfId="5453" priority="6098">
      <formula>M134="T"</formula>
    </cfRule>
  </conditionalFormatting>
  <conditionalFormatting sqref="M136">
    <cfRule type="expression" dxfId="5452" priority="6093">
      <formula>M136="X"</formula>
    </cfRule>
    <cfRule type="expression" dxfId="5451" priority="6094">
      <formula>M136="A"</formula>
    </cfRule>
    <cfRule type="expression" dxfId="5450" priority="6095">
      <formula>M136="T"</formula>
    </cfRule>
  </conditionalFormatting>
  <conditionalFormatting sqref="M137">
    <cfRule type="expression" dxfId="5449" priority="6090">
      <formula>M136="X"</formula>
    </cfRule>
    <cfRule type="expression" dxfId="5448" priority="6091">
      <formula>M136="A"</formula>
    </cfRule>
    <cfRule type="expression" dxfId="5447" priority="6092">
      <formula>M136="T"</formula>
    </cfRule>
  </conditionalFormatting>
  <conditionalFormatting sqref="M138">
    <cfRule type="expression" dxfId="5446" priority="6087">
      <formula>M138="X"</formula>
    </cfRule>
    <cfRule type="expression" dxfId="5445" priority="6088">
      <formula>M138="A"</formula>
    </cfRule>
    <cfRule type="expression" dxfId="5444" priority="6089">
      <formula>M138="T"</formula>
    </cfRule>
  </conditionalFormatting>
  <conditionalFormatting sqref="M139">
    <cfRule type="expression" dxfId="5443" priority="6084">
      <formula>M138="X"</formula>
    </cfRule>
    <cfRule type="expression" dxfId="5442" priority="6085">
      <formula>M138="A"</formula>
    </cfRule>
    <cfRule type="expression" dxfId="5441" priority="6086">
      <formula>M138="T"</formula>
    </cfRule>
  </conditionalFormatting>
  <conditionalFormatting sqref="M10">
    <cfRule type="expression" dxfId="5440" priority="6081" stopIfTrue="1">
      <formula>M4=""</formula>
    </cfRule>
  </conditionalFormatting>
  <conditionalFormatting sqref="M10">
    <cfRule type="expression" dxfId="5439" priority="6082" stopIfTrue="1">
      <formula>M10=1</formula>
    </cfRule>
    <cfRule type="colorScale" priority="6083">
      <colorScale>
        <cfvo type="num" val="0"/>
        <cfvo type="num" val="0.5"/>
        <cfvo type="num" val="1"/>
        <color rgb="FFF8696B"/>
        <color theme="4" tint="0.79998168889431442"/>
        <color rgb="FF5A8AC6"/>
      </colorScale>
    </cfRule>
  </conditionalFormatting>
  <conditionalFormatting sqref="M15">
    <cfRule type="expression" dxfId="5438" priority="6078" stopIfTrue="1">
      <formula>M11=""</formula>
    </cfRule>
  </conditionalFormatting>
  <conditionalFormatting sqref="M15">
    <cfRule type="expression" dxfId="5437" priority="6079" stopIfTrue="1">
      <formula>M15=1</formula>
    </cfRule>
    <cfRule type="colorScale" priority="6080">
      <colorScale>
        <cfvo type="num" val="0"/>
        <cfvo type="num" val="0.5"/>
        <cfvo type="num" val="1"/>
        <color rgb="FFF8696B"/>
        <color theme="4" tint="0.79998168889431442"/>
        <color rgb="FF5A8AC6"/>
      </colorScale>
    </cfRule>
  </conditionalFormatting>
  <conditionalFormatting sqref="M38">
    <cfRule type="expression" dxfId="5436" priority="6075" stopIfTrue="1">
      <formula>M16=""</formula>
    </cfRule>
  </conditionalFormatting>
  <conditionalFormatting sqref="M38">
    <cfRule type="expression" dxfId="5435" priority="6076" stopIfTrue="1">
      <formula>M38=1</formula>
    </cfRule>
    <cfRule type="colorScale" priority="6077">
      <colorScale>
        <cfvo type="num" val="0"/>
        <cfvo type="num" val="0.5"/>
        <cfvo type="num" val="1"/>
        <color rgb="FFF8696B"/>
        <color theme="4" tint="0.79998168889431442"/>
        <color rgb="FF5A8AC6"/>
      </colorScale>
    </cfRule>
  </conditionalFormatting>
  <conditionalFormatting sqref="M47">
    <cfRule type="expression" dxfId="5434" priority="6072" stopIfTrue="1">
      <formula>M39=""</formula>
    </cfRule>
  </conditionalFormatting>
  <conditionalFormatting sqref="M47">
    <cfRule type="expression" dxfId="5433" priority="6073" stopIfTrue="1">
      <formula>M47=1</formula>
    </cfRule>
    <cfRule type="colorScale" priority="6074">
      <colorScale>
        <cfvo type="num" val="0"/>
        <cfvo type="num" val="0.5"/>
        <cfvo type="num" val="1"/>
        <color rgb="FFF8696B"/>
        <color theme="4" tint="0.79998168889431442"/>
        <color rgb="FF5A8AC6"/>
      </colorScale>
    </cfRule>
  </conditionalFormatting>
  <conditionalFormatting sqref="M69">
    <cfRule type="expression" dxfId="5432" priority="6066" stopIfTrue="1">
      <formula>M63=""</formula>
    </cfRule>
  </conditionalFormatting>
  <conditionalFormatting sqref="M69">
    <cfRule type="expression" dxfId="5431" priority="6067" stopIfTrue="1">
      <formula>M69=1</formula>
    </cfRule>
    <cfRule type="colorScale" priority="6068">
      <colorScale>
        <cfvo type="num" val="0"/>
        <cfvo type="num" val="0.5"/>
        <cfvo type="num" val="1"/>
        <color rgb="FFF8696B"/>
        <color theme="4" tint="0.79998168889431442"/>
        <color rgb="FF5A8AC6"/>
      </colorScale>
    </cfRule>
  </conditionalFormatting>
  <conditionalFormatting sqref="M80">
    <cfRule type="expression" dxfId="5430" priority="6063" stopIfTrue="1">
      <formula>M74=""</formula>
    </cfRule>
  </conditionalFormatting>
  <conditionalFormatting sqref="M80">
    <cfRule type="expression" dxfId="5429" priority="6064" stopIfTrue="1">
      <formula>M80=1</formula>
    </cfRule>
    <cfRule type="colorScale" priority="6065">
      <colorScale>
        <cfvo type="num" val="0"/>
        <cfvo type="num" val="0.5"/>
        <cfvo type="num" val="1"/>
        <color rgb="FFF8696B"/>
        <color theme="4" tint="0.79998168889431442"/>
        <color rgb="FF5A8AC6"/>
      </colorScale>
    </cfRule>
  </conditionalFormatting>
  <conditionalFormatting sqref="M87">
    <cfRule type="expression" dxfId="5428" priority="6060" stopIfTrue="1">
      <formula>M81=""</formula>
    </cfRule>
  </conditionalFormatting>
  <conditionalFormatting sqref="M87">
    <cfRule type="expression" dxfId="5427" priority="6061" stopIfTrue="1">
      <formula>M87=1</formula>
    </cfRule>
    <cfRule type="colorScale" priority="6062">
      <colorScale>
        <cfvo type="num" val="0"/>
        <cfvo type="num" val="0.5"/>
        <cfvo type="num" val="1"/>
        <color rgb="FFF8696B"/>
        <color theme="4" tint="0.79998168889431442"/>
        <color rgb="FF5A8AC6"/>
      </colorScale>
    </cfRule>
  </conditionalFormatting>
  <conditionalFormatting sqref="M104">
    <cfRule type="expression" dxfId="5426" priority="6057" stopIfTrue="1">
      <formula>M88=""</formula>
    </cfRule>
  </conditionalFormatting>
  <conditionalFormatting sqref="M104">
    <cfRule type="expression" dxfId="5425" priority="6058" stopIfTrue="1">
      <formula>M104=1</formula>
    </cfRule>
    <cfRule type="colorScale" priority="6059">
      <colorScale>
        <cfvo type="num" val="0"/>
        <cfvo type="num" val="0.5"/>
        <cfvo type="num" val="1"/>
        <color rgb="FFF8696B"/>
        <color theme="4" tint="0.79998168889431442"/>
        <color rgb="FF5A8AC6"/>
      </colorScale>
    </cfRule>
  </conditionalFormatting>
  <conditionalFormatting sqref="M115">
    <cfRule type="expression" dxfId="5424" priority="6054" stopIfTrue="1">
      <formula>M105=""</formula>
    </cfRule>
  </conditionalFormatting>
  <conditionalFormatting sqref="M115">
    <cfRule type="expression" dxfId="5423" priority="6055" stopIfTrue="1">
      <formula>M115=1</formula>
    </cfRule>
    <cfRule type="colorScale" priority="6056">
      <colorScale>
        <cfvo type="num" val="0"/>
        <cfvo type="num" val="0.5"/>
        <cfvo type="num" val="1"/>
        <color rgb="FFF8696B"/>
        <color theme="4" tint="0.79998168889431442"/>
        <color rgb="FF5A8AC6"/>
      </colorScale>
    </cfRule>
  </conditionalFormatting>
  <conditionalFormatting sqref="M124">
    <cfRule type="expression" dxfId="5422" priority="6051" stopIfTrue="1">
      <formula>M116=""</formula>
    </cfRule>
  </conditionalFormatting>
  <conditionalFormatting sqref="M124">
    <cfRule type="expression" dxfId="5421" priority="6052" stopIfTrue="1">
      <formula>M124=1</formula>
    </cfRule>
    <cfRule type="colorScale" priority="6053">
      <colorScale>
        <cfvo type="num" val="0"/>
        <cfvo type="num" val="0.5"/>
        <cfvo type="num" val="1"/>
        <color rgb="FFF8696B"/>
        <color theme="4" tint="0.79998168889431442"/>
        <color rgb="FF5A8AC6"/>
      </colorScale>
    </cfRule>
  </conditionalFormatting>
  <conditionalFormatting sqref="M129">
    <cfRule type="expression" dxfId="5420" priority="6048" stopIfTrue="1">
      <formula>M125=""</formula>
    </cfRule>
  </conditionalFormatting>
  <conditionalFormatting sqref="M129">
    <cfRule type="expression" dxfId="5419" priority="6049" stopIfTrue="1">
      <formula>M129=1</formula>
    </cfRule>
    <cfRule type="colorScale" priority="6050">
      <colorScale>
        <cfvo type="num" val="0"/>
        <cfvo type="num" val="0.5"/>
        <cfvo type="num" val="1"/>
        <color rgb="FFF8696B"/>
        <color theme="4" tint="0.79998168889431442"/>
        <color rgb="FF5A8AC6"/>
      </colorScale>
    </cfRule>
  </conditionalFormatting>
  <conditionalFormatting sqref="M140">
    <cfRule type="expression" dxfId="5418" priority="6045" stopIfTrue="1">
      <formula>M134=""</formula>
    </cfRule>
  </conditionalFormatting>
  <conditionalFormatting sqref="M140">
    <cfRule type="expression" dxfId="5417" priority="6046" stopIfTrue="1">
      <formula>M140=1</formula>
    </cfRule>
    <cfRule type="colorScale" priority="6047">
      <colorScale>
        <cfvo type="num" val="0"/>
        <cfvo type="num" val="0.5"/>
        <cfvo type="num" val="1"/>
        <color rgb="FFF8696B"/>
        <color theme="4" tint="0.79998168889431442"/>
        <color rgb="FF5A8AC6"/>
      </colorScale>
    </cfRule>
  </conditionalFormatting>
  <conditionalFormatting sqref="M145">
    <cfRule type="expression" dxfId="5416" priority="6042" stopIfTrue="1">
      <formula>M141=""</formula>
    </cfRule>
  </conditionalFormatting>
  <conditionalFormatting sqref="M145">
    <cfRule type="expression" dxfId="5415" priority="6043" stopIfTrue="1">
      <formula>M145=1</formula>
    </cfRule>
    <cfRule type="colorScale" priority="6044">
      <colorScale>
        <cfvo type="num" val="0"/>
        <cfvo type="num" val="0.5"/>
        <cfvo type="num" val="1"/>
        <color rgb="FFF8696B"/>
        <color theme="4" tint="0.79998168889431442"/>
        <color rgb="FF5A8AC6"/>
      </colorScale>
    </cfRule>
  </conditionalFormatting>
  <conditionalFormatting sqref="M153">
    <cfRule type="expression" dxfId="5414" priority="6039" stopIfTrue="1">
      <formula>M149=""</formula>
    </cfRule>
  </conditionalFormatting>
  <conditionalFormatting sqref="M153">
    <cfRule type="expression" dxfId="5413" priority="6040" stopIfTrue="1">
      <formula>M153=1</formula>
    </cfRule>
    <cfRule type="colorScale" priority="6041">
      <colorScale>
        <cfvo type="num" val="0"/>
        <cfvo type="num" val="0.5"/>
        <cfvo type="num" val="1"/>
        <color rgb="FFF8696B"/>
        <color theme="4" tint="0.79998168889431442"/>
        <color rgb="FF5A8AC6"/>
      </colorScale>
    </cfRule>
  </conditionalFormatting>
  <conditionalFormatting sqref="M165">
    <cfRule type="expression" dxfId="5412" priority="6036" stopIfTrue="1">
      <formula>M155=""</formula>
    </cfRule>
  </conditionalFormatting>
  <conditionalFormatting sqref="M165">
    <cfRule type="expression" dxfId="5411" priority="6037" stopIfTrue="1">
      <formula>M165=1</formula>
    </cfRule>
    <cfRule type="colorScale" priority="6038">
      <colorScale>
        <cfvo type="num" val="0"/>
        <cfvo type="num" val="0.5"/>
        <cfvo type="num" val="1"/>
        <color rgb="FFF8696B"/>
        <color theme="4" tint="0.79998168889431442"/>
        <color rgb="FF5A8AC6"/>
      </colorScale>
    </cfRule>
  </conditionalFormatting>
  <conditionalFormatting sqref="M187">
    <cfRule type="expression" dxfId="5410" priority="6033" stopIfTrue="1">
      <formula>M183=""</formula>
    </cfRule>
  </conditionalFormatting>
  <conditionalFormatting sqref="M187">
    <cfRule type="expression" dxfId="5409" priority="6034" stopIfTrue="1">
      <formula>M187=1</formula>
    </cfRule>
    <cfRule type="colorScale" priority="6035">
      <colorScale>
        <cfvo type="num" val="0"/>
        <cfvo type="num" val="0.5"/>
        <cfvo type="num" val="1"/>
        <color rgb="FFF8696B"/>
        <color theme="4" tint="0.79998168889431442"/>
        <color rgb="FF5A8AC6"/>
      </colorScale>
    </cfRule>
  </conditionalFormatting>
  <conditionalFormatting sqref="M193">
    <cfRule type="expression" dxfId="5408" priority="6030" stopIfTrue="1">
      <formula>M189=""</formula>
    </cfRule>
  </conditionalFormatting>
  <conditionalFormatting sqref="M193">
    <cfRule type="expression" dxfId="5407" priority="6031" stopIfTrue="1">
      <formula>M193=1</formula>
    </cfRule>
    <cfRule type="colorScale" priority="6032">
      <colorScale>
        <cfvo type="num" val="0"/>
        <cfvo type="num" val="0.5"/>
        <cfvo type="num" val="1"/>
        <color rgb="FFF8696B"/>
        <color theme="4" tint="0.79998168889431442"/>
        <color rgb="FF5A8AC6"/>
      </colorScale>
    </cfRule>
  </conditionalFormatting>
  <conditionalFormatting sqref="M181">
    <cfRule type="expression" dxfId="5406" priority="6027" stopIfTrue="1">
      <formula>M167=""</formula>
    </cfRule>
  </conditionalFormatting>
  <conditionalFormatting sqref="M181">
    <cfRule type="expression" dxfId="5405" priority="6028" stopIfTrue="1">
      <formula>M181=1</formula>
    </cfRule>
    <cfRule type="colorScale" priority="6029">
      <colorScale>
        <cfvo type="num" val="0"/>
        <cfvo type="num" val="0.5"/>
        <cfvo type="num" val="1"/>
        <color rgb="FFF8696B"/>
        <color theme="4" tint="0.79998168889431442"/>
        <color rgb="FF5A8AC6"/>
      </colorScale>
    </cfRule>
  </conditionalFormatting>
  <conditionalFormatting sqref="M209">
    <cfRule type="expression" dxfId="5404" priority="6024" stopIfTrue="1">
      <formula>M195=""</formula>
    </cfRule>
  </conditionalFormatting>
  <conditionalFormatting sqref="M209">
    <cfRule type="expression" dxfId="5403" priority="6025" stopIfTrue="1">
      <formula>M209=1</formula>
    </cfRule>
    <cfRule type="colorScale" priority="6026">
      <colorScale>
        <cfvo type="num" val="0"/>
        <cfvo type="num" val="0.5"/>
        <cfvo type="num" val="1"/>
        <color rgb="FFF8696B"/>
        <color theme="4" tint="0.79998168889431442"/>
        <color rgb="FF5A8AC6"/>
      </colorScale>
    </cfRule>
  </conditionalFormatting>
  <conditionalFormatting sqref="M225">
    <cfRule type="expression" dxfId="5402" priority="6021" stopIfTrue="1">
      <formula>M211=""</formula>
    </cfRule>
  </conditionalFormatting>
  <conditionalFormatting sqref="M225">
    <cfRule type="expression" dxfId="5401" priority="6022" stopIfTrue="1">
      <formula>M225=1</formula>
    </cfRule>
    <cfRule type="colorScale" priority="6023">
      <colorScale>
        <cfvo type="num" val="0"/>
        <cfvo type="num" val="0.5"/>
        <cfvo type="num" val="1"/>
        <color rgb="FFF8696B"/>
        <color theme="4" tint="0.79998168889431442"/>
        <color rgb="FF5A8AC6"/>
      </colorScale>
    </cfRule>
  </conditionalFormatting>
  <conditionalFormatting sqref="M71">
    <cfRule type="expression" dxfId="5400" priority="6013" stopIfTrue="1">
      <formula>M71=1</formula>
    </cfRule>
    <cfRule type="colorScale" priority="6014">
      <colorScale>
        <cfvo type="num" val="0"/>
        <cfvo type="num" val="0.5"/>
        <cfvo type="num" val="1"/>
        <color rgb="FFF8696B"/>
        <color theme="4" tint="0.79998168889431442"/>
        <color rgb="FF5A8AC6"/>
      </colorScale>
    </cfRule>
  </conditionalFormatting>
  <conditionalFormatting sqref="M147">
    <cfRule type="expression" dxfId="5399" priority="6018" stopIfTrue="1">
      <formula>M134=""</formula>
    </cfRule>
  </conditionalFormatting>
  <conditionalFormatting sqref="M147">
    <cfRule type="expression" dxfId="5398" priority="6019" stopIfTrue="1">
      <formula>M147=1</formula>
    </cfRule>
    <cfRule type="colorScale" priority="6020">
      <colorScale>
        <cfvo type="num" val="0"/>
        <cfvo type="num" val="0.5"/>
        <cfvo type="num" val="1"/>
        <color rgb="FFF8696B"/>
        <color theme="4" tint="0.79998168889431442"/>
        <color rgb="FF5A8AC6"/>
      </colorScale>
    </cfRule>
  </conditionalFormatting>
  <conditionalFormatting sqref="M131">
    <cfRule type="expression" dxfId="5397" priority="6015" stopIfTrue="1">
      <formula>M74=""</formula>
    </cfRule>
  </conditionalFormatting>
  <conditionalFormatting sqref="M131">
    <cfRule type="expression" dxfId="5396" priority="6016" stopIfTrue="1">
      <formula>M131=1</formula>
    </cfRule>
    <cfRule type="colorScale" priority="6017">
      <colorScale>
        <cfvo type="num" val="0"/>
        <cfvo type="num" val="0.5"/>
        <cfvo type="num" val="1"/>
        <color rgb="FFF8696B"/>
        <color theme="4" tint="0.79998168889431442"/>
        <color rgb="FF5A8AC6"/>
      </colorScale>
    </cfRule>
  </conditionalFormatting>
  <conditionalFormatting sqref="M71">
    <cfRule type="expression" dxfId="5395" priority="6012" stopIfTrue="1">
      <formula>M65=""</formula>
    </cfRule>
  </conditionalFormatting>
  <conditionalFormatting sqref="M195">
    <cfRule type="expression" dxfId="5394" priority="6009">
      <formula>M195="X"</formula>
    </cfRule>
    <cfRule type="expression" dxfId="5393" priority="6010">
      <formula>M195="A"</formula>
    </cfRule>
    <cfRule type="expression" dxfId="5392" priority="6011">
      <formula>M195="T"</formula>
    </cfRule>
  </conditionalFormatting>
  <conditionalFormatting sqref="M203">
    <cfRule type="expression" dxfId="5391" priority="6006">
      <formula>M203="X"</formula>
    </cfRule>
    <cfRule type="expression" dxfId="5390" priority="6007">
      <formula>M203="A"</formula>
    </cfRule>
    <cfRule type="expression" dxfId="5389" priority="6008">
      <formula>M203="T"</formula>
    </cfRule>
  </conditionalFormatting>
  <conditionalFormatting sqref="M205">
    <cfRule type="expression" dxfId="5388" priority="6003">
      <formula>M205="X"</formula>
    </cfRule>
    <cfRule type="expression" dxfId="5387" priority="6004">
      <formula>M205="A"</formula>
    </cfRule>
    <cfRule type="expression" dxfId="5386" priority="6005">
      <formula>M205="T"</formula>
    </cfRule>
  </conditionalFormatting>
  <conditionalFormatting sqref="M207">
    <cfRule type="expression" dxfId="5385" priority="6000">
      <formula>M207="X"</formula>
    </cfRule>
    <cfRule type="expression" dxfId="5384" priority="6001">
      <formula>M207="A"</formula>
    </cfRule>
    <cfRule type="expression" dxfId="5383" priority="6002">
      <formula>M207="T"</formula>
    </cfRule>
  </conditionalFormatting>
  <conditionalFormatting sqref="M204">
    <cfRule type="expression" dxfId="5382" priority="5997">
      <formula>M203="X"</formula>
    </cfRule>
    <cfRule type="expression" dxfId="5381" priority="5998">
      <formula>M203="A"</formula>
    </cfRule>
    <cfRule type="expression" dxfId="5380" priority="5999">
      <formula>M203="T"</formula>
    </cfRule>
  </conditionalFormatting>
  <conditionalFormatting sqref="M206">
    <cfRule type="expression" dxfId="5379" priority="5994">
      <formula>M205="X"</formula>
    </cfRule>
    <cfRule type="expression" dxfId="5378" priority="5995">
      <formula>M205="A"</formula>
    </cfRule>
    <cfRule type="expression" dxfId="5377" priority="5996">
      <formula>M205="T"</formula>
    </cfRule>
  </conditionalFormatting>
  <conditionalFormatting sqref="M196">
    <cfRule type="expression" dxfId="5376" priority="5991">
      <formula>M195="X"</formula>
    </cfRule>
    <cfRule type="expression" dxfId="5375" priority="5992">
      <formula>M195="A"</formula>
    </cfRule>
    <cfRule type="expression" dxfId="5374" priority="5993">
      <formula>M195="T"</formula>
    </cfRule>
  </conditionalFormatting>
  <conditionalFormatting sqref="M197">
    <cfRule type="expression" dxfId="5373" priority="5988">
      <formula>M197="X"</formula>
    </cfRule>
    <cfRule type="expression" dxfId="5372" priority="5989">
      <formula>M197="A"</formula>
    </cfRule>
    <cfRule type="expression" dxfId="5371" priority="5990">
      <formula>M197="T"</formula>
    </cfRule>
  </conditionalFormatting>
  <conditionalFormatting sqref="M198">
    <cfRule type="expression" dxfId="5370" priority="5985">
      <formula>M197="X"</formula>
    </cfRule>
    <cfRule type="expression" dxfId="5369" priority="5986">
      <formula>M197="A"</formula>
    </cfRule>
    <cfRule type="expression" dxfId="5368" priority="5987">
      <formula>M197="T"</formula>
    </cfRule>
  </conditionalFormatting>
  <conditionalFormatting sqref="M199">
    <cfRule type="expression" dxfId="5367" priority="5982">
      <formula>M199="X"</formula>
    </cfRule>
    <cfRule type="expression" dxfId="5366" priority="5983">
      <formula>M199="A"</formula>
    </cfRule>
    <cfRule type="expression" dxfId="5365" priority="5984">
      <formula>M199="T"</formula>
    </cfRule>
  </conditionalFormatting>
  <conditionalFormatting sqref="M200">
    <cfRule type="expression" dxfId="5364" priority="5979">
      <formula>M199="X"</formula>
    </cfRule>
    <cfRule type="expression" dxfId="5363" priority="5980">
      <formula>M199="A"</formula>
    </cfRule>
    <cfRule type="expression" dxfId="5362" priority="5981">
      <formula>M199="T"</formula>
    </cfRule>
  </conditionalFormatting>
  <conditionalFormatting sqref="M201">
    <cfRule type="expression" dxfId="5361" priority="5976">
      <formula>M201="X"</formula>
    </cfRule>
    <cfRule type="expression" dxfId="5360" priority="5977">
      <formula>M201="A"</formula>
    </cfRule>
    <cfRule type="expression" dxfId="5359" priority="5978">
      <formula>M201="T"</formula>
    </cfRule>
  </conditionalFormatting>
  <conditionalFormatting sqref="M202">
    <cfRule type="expression" dxfId="5358" priority="5973">
      <formula>M201="X"</formula>
    </cfRule>
    <cfRule type="expression" dxfId="5357" priority="5974">
      <formula>M201="A"</formula>
    </cfRule>
    <cfRule type="expression" dxfId="5356" priority="5975">
      <formula>M201="T"</formula>
    </cfRule>
  </conditionalFormatting>
  <conditionalFormatting sqref="M72">
    <cfRule type="expression" dxfId="5355" priority="5970" stopIfTrue="1">
      <formula>M4=""</formula>
    </cfRule>
  </conditionalFormatting>
  <conditionalFormatting sqref="M72">
    <cfRule type="expression" dxfId="5354" priority="5971" stopIfTrue="1">
      <formula>M72=1</formula>
    </cfRule>
    <cfRule type="colorScale" priority="5972">
      <colorScale>
        <cfvo type="num" val="0"/>
        <cfvo type="num" val="0.5"/>
        <cfvo type="num" val="1"/>
        <color rgb="FFF8696B"/>
        <color theme="4" tint="0.79998168889431442"/>
        <color rgb="FF5A8AC6"/>
      </colorScale>
    </cfRule>
  </conditionalFormatting>
  <conditionalFormatting sqref="M132">
    <cfRule type="expression" dxfId="5353" priority="5968" stopIfTrue="1">
      <formula>M132=1</formula>
    </cfRule>
    <cfRule type="colorScale" priority="5969">
      <colorScale>
        <cfvo type="num" val="0"/>
        <cfvo type="num" val="0.5"/>
        <cfvo type="num" val="1"/>
        <color rgb="FFF8696B"/>
        <color theme="4" tint="0.79998168889431442"/>
        <color rgb="FF5A8AC6"/>
      </colorScale>
    </cfRule>
  </conditionalFormatting>
  <conditionalFormatting sqref="M132">
    <cfRule type="expression" dxfId="5352" priority="5967" stopIfTrue="1">
      <formula>M74=""</formula>
    </cfRule>
  </conditionalFormatting>
  <conditionalFormatting sqref="M237:M238">
    <cfRule type="expression" dxfId="5351" priority="5963" stopIfTrue="1">
      <formula>M237=_xlfn.UNICHAR(10003)</formula>
    </cfRule>
    <cfRule type="colorScale" priority="5964">
      <colorScale>
        <cfvo type="num" val="0"/>
        <cfvo type="num" val="0.5"/>
        <cfvo type="num" val="1"/>
        <color rgb="FFF8696B"/>
        <color theme="4" tint="0.79998168889431442"/>
        <color rgb="FF5A8AC6"/>
      </colorScale>
    </cfRule>
  </conditionalFormatting>
  <conditionalFormatting sqref="M230:M236">
    <cfRule type="expression" dxfId="5350" priority="5961" stopIfTrue="1">
      <formula>M230=_xlfn.UNICHAR(10003)</formula>
    </cfRule>
    <cfRule type="colorScale" priority="5962">
      <colorScale>
        <cfvo type="num" val="0"/>
        <cfvo type="num" val="0.5"/>
        <cfvo type="num" val="1"/>
        <color rgb="FFF8696B"/>
        <color theme="4" tint="0.79998168889431442"/>
        <color rgb="FF5A8AC6"/>
      </colorScale>
    </cfRule>
  </conditionalFormatting>
  <conditionalFormatting sqref="M239">
    <cfRule type="expression" dxfId="5349" priority="5959" stopIfTrue="1">
      <formula>M239=_xlfn.UNICHAR(10003)</formula>
    </cfRule>
    <cfRule type="colorScale" priority="5960">
      <colorScale>
        <cfvo type="num" val="0"/>
        <cfvo type="num" val="0.5"/>
        <cfvo type="num" val="1"/>
        <color rgb="FFF8696B"/>
        <color theme="4" tint="0.79998168889431442"/>
        <color rgb="FF5A8AC6"/>
      </colorScale>
    </cfRule>
  </conditionalFormatting>
  <conditionalFormatting sqref="M239">
    <cfRule type="expression" dxfId="5348" priority="5957" stopIfTrue="1">
      <formula>M239=1</formula>
    </cfRule>
    <cfRule type="colorScale" priority="5958">
      <colorScale>
        <cfvo type="num" val="0"/>
        <cfvo type="num" val="0.5"/>
        <cfvo type="num" val="1"/>
        <color rgb="FFF8696B"/>
        <color theme="4" tint="0.79998168889431442"/>
        <color rgb="FF5A8AC6"/>
      </colorScale>
    </cfRule>
  </conditionalFormatting>
  <conditionalFormatting sqref="M228">
    <cfRule type="expression" dxfId="5347" priority="5956" stopIfTrue="1">
      <formula>M228=UNICAHR(10003)</formula>
    </cfRule>
    <cfRule type="expression" dxfId="5346" priority="5965" stopIfTrue="1">
      <formula>M228=CONCATENATE(_xlfn.UNICHAR(10003),_xlfn.UNICHAR(10003))</formula>
    </cfRule>
    <cfRule type="colorScale" priority="5966">
      <colorScale>
        <cfvo type="num" val="0"/>
        <cfvo type="num" val="0.5"/>
        <cfvo type="num" val="1"/>
        <color rgb="FFF8696B"/>
        <color theme="4" tint="0.79998168889431442"/>
        <color rgb="FF5A8AC6"/>
      </colorScale>
    </cfRule>
  </conditionalFormatting>
  <conditionalFormatting sqref="M238 M229">
    <cfRule type="expression" dxfId="5345" priority="5953" stopIfTrue="1">
      <formula>M229=_xlfn.UNICHAR(10003)</formula>
    </cfRule>
    <cfRule type="expression" dxfId="5344" priority="5954" stopIfTrue="1">
      <formula>M229=CONCATENATE(_xlfn.UNICHAR(10003),_xlfn.UNICHAR(10003))</formula>
    </cfRule>
    <cfRule type="colorScale" priority="5955">
      <colorScale>
        <cfvo type="num" val="0"/>
        <cfvo type="num" val="0.5"/>
        <cfvo type="num" val="1"/>
        <color rgb="FFF8696B"/>
        <color theme="4" tint="0.79998168889431442"/>
        <color rgb="FF5A8AC6"/>
      </colorScale>
    </cfRule>
  </conditionalFormatting>
  <conditionalFormatting sqref="M160">
    <cfRule type="expression" dxfId="5343" priority="5950">
      <formula>M159="X"</formula>
    </cfRule>
    <cfRule type="expression" dxfId="5342" priority="5951">
      <formula>M159="A"</formula>
    </cfRule>
    <cfRule type="expression" dxfId="5341" priority="5952">
      <formula>M159="T"</formula>
    </cfRule>
  </conditionalFormatting>
  <conditionalFormatting sqref="M159">
    <cfRule type="expression" dxfId="5340" priority="5947">
      <formula>M159="X"</formula>
    </cfRule>
    <cfRule type="expression" dxfId="5339" priority="5948">
      <formula>M159="A"</formula>
    </cfRule>
    <cfRule type="expression" dxfId="5338" priority="5949">
      <formula>M159="T"</formula>
    </cfRule>
  </conditionalFormatting>
  <conditionalFormatting sqref="M162">
    <cfRule type="expression" dxfId="5337" priority="5944">
      <formula>M161="X"</formula>
    </cfRule>
    <cfRule type="expression" dxfId="5336" priority="5945">
      <formula>M161="A"</formula>
    </cfRule>
    <cfRule type="expression" dxfId="5335" priority="5946">
      <formula>M161="T"</formula>
    </cfRule>
  </conditionalFormatting>
  <conditionalFormatting sqref="M161">
    <cfRule type="expression" dxfId="5334" priority="5941">
      <formula>M161="X"</formula>
    </cfRule>
    <cfRule type="expression" dxfId="5333" priority="5942">
      <formula>M161="A"</formula>
    </cfRule>
    <cfRule type="expression" dxfId="5332" priority="5943">
      <formula>M161="T"</formula>
    </cfRule>
  </conditionalFormatting>
  <conditionalFormatting sqref="M164">
    <cfRule type="expression" dxfId="5331" priority="5938">
      <formula>M163="X"</formula>
    </cfRule>
    <cfRule type="expression" dxfId="5330" priority="5939">
      <formula>M163="A"</formula>
    </cfRule>
    <cfRule type="expression" dxfId="5329" priority="5940">
      <formula>M163="T"</formula>
    </cfRule>
  </conditionalFormatting>
  <conditionalFormatting sqref="Z217 AC217">
    <cfRule type="expression" dxfId="5328" priority="5932">
      <formula>Z217="X"</formula>
    </cfRule>
    <cfRule type="expression" dxfId="5327" priority="5933">
      <formula>Z217="A"</formula>
    </cfRule>
    <cfRule type="expression" dxfId="5326" priority="5934">
      <formula>Z217="T"</formula>
    </cfRule>
  </conditionalFormatting>
  <conditionalFormatting sqref="X63 X65">
    <cfRule type="expression" dxfId="5325" priority="5929">
      <formula>X63="X"</formula>
    </cfRule>
    <cfRule type="expression" dxfId="5324" priority="5930">
      <formula>X63="A"</formula>
    </cfRule>
    <cfRule type="expression" dxfId="5323" priority="5931">
      <formula>X63="T"</formula>
    </cfRule>
  </conditionalFormatting>
  <conditionalFormatting sqref="X64">
    <cfRule type="expression" dxfId="5322" priority="5926">
      <formula>X63="X"</formula>
    </cfRule>
    <cfRule type="expression" dxfId="5321" priority="5927">
      <formula>X63="A"</formula>
    </cfRule>
    <cfRule type="expression" dxfId="5320" priority="5928">
      <formula>X63="T"</formula>
    </cfRule>
  </conditionalFormatting>
  <conditionalFormatting sqref="X69">
    <cfRule type="expression" dxfId="5319" priority="5923" stopIfTrue="1">
      <formula>X63=""</formula>
    </cfRule>
  </conditionalFormatting>
  <conditionalFormatting sqref="X69">
    <cfRule type="expression" dxfId="5318" priority="5924" stopIfTrue="1">
      <formula>X69=1</formula>
    </cfRule>
    <cfRule type="colorScale" priority="5925">
      <colorScale>
        <cfvo type="num" val="0"/>
        <cfvo type="num" val="0.5"/>
        <cfvo type="num" val="1"/>
        <color rgb="FFF8696B"/>
        <color theme="4" tint="0.79998168889431442"/>
        <color rgb="FF5A8AC6"/>
      </colorScale>
    </cfRule>
  </conditionalFormatting>
  <conditionalFormatting sqref="X69">
    <cfRule type="expression" dxfId="5317" priority="5920" stopIfTrue="1">
      <formula>X63=""</formula>
    </cfRule>
  </conditionalFormatting>
  <conditionalFormatting sqref="X69">
    <cfRule type="expression" dxfId="5316" priority="5921" stopIfTrue="1">
      <formula>X69=1</formula>
    </cfRule>
    <cfRule type="colorScale" priority="5922">
      <colorScale>
        <cfvo type="num" val="0"/>
        <cfvo type="num" val="0.5"/>
        <cfvo type="num" val="1"/>
        <color rgb="FFF8696B"/>
        <color theme="4" tint="0.79998168889431442"/>
        <color rgb="FF5A8AC6"/>
      </colorScale>
    </cfRule>
  </conditionalFormatting>
  <conditionalFormatting sqref="X125">
    <cfRule type="expression" dxfId="5315" priority="5917">
      <formula>X125="X"</formula>
    </cfRule>
    <cfRule type="expression" dxfId="5314" priority="5918">
      <formula>X125="A"</formula>
    </cfRule>
    <cfRule type="expression" dxfId="5313" priority="5919">
      <formula>X125="T"</formula>
    </cfRule>
  </conditionalFormatting>
  <conditionalFormatting sqref="R160 R158">
    <cfRule type="expression" dxfId="5312" priority="5914">
      <formula>R157="X"</formula>
    </cfRule>
    <cfRule type="expression" dxfId="5311" priority="5915">
      <formula>R157="A"</formula>
    </cfRule>
    <cfRule type="expression" dxfId="5310" priority="5916">
      <formula>R157="T"</formula>
    </cfRule>
  </conditionalFormatting>
  <conditionalFormatting sqref="R16 R18 R20 R22 R24 R26 R28 R39 R41 R43 R45 R48 R81 R88 R90 R92 R94 R96 R98 R100 R102 R105 R107 R109 R111 R116">
    <cfRule type="expression" dxfId="5309" priority="5911">
      <formula>R16="X"</formula>
    </cfRule>
    <cfRule type="expression" dxfId="5308" priority="5912">
      <formula>R16="A"</formula>
    </cfRule>
    <cfRule type="expression" dxfId="5307" priority="5913">
      <formula>R16="T"</formula>
    </cfRule>
  </conditionalFormatting>
  <conditionalFormatting sqref="R36">
    <cfRule type="expression" dxfId="5306" priority="5908">
      <formula>R36="X"</formula>
    </cfRule>
    <cfRule type="expression" dxfId="5305" priority="5909">
      <formula>R36="A"</formula>
    </cfRule>
    <cfRule type="expression" dxfId="5304" priority="5910">
      <formula>R36="T"</formula>
    </cfRule>
  </conditionalFormatting>
  <conditionalFormatting sqref="R34">
    <cfRule type="expression" dxfId="5303" priority="5905">
      <formula>R34="X"</formula>
    </cfRule>
    <cfRule type="expression" dxfId="5302" priority="5906">
      <formula>R34="A"</formula>
    </cfRule>
    <cfRule type="expression" dxfId="5301" priority="5907">
      <formula>R34="T"</formula>
    </cfRule>
  </conditionalFormatting>
  <conditionalFormatting sqref="R32">
    <cfRule type="expression" dxfId="5300" priority="5902">
      <formula>R32="X"</formula>
    </cfRule>
    <cfRule type="expression" dxfId="5299" priority="5903">
      <formula>R32="A"</formula>
    </cfRule>
    <cfRule type="expression" dxfId="5298" priority="5904">
      <formula>R32="T"</formula>
    </cfRule>
  </conditionalFormatting>
  <conditionalFormatting sqref="R30">
    <cfRule type="expression" dxfId="5297" priority="5899">
      <formula>R30="X"</formula>
    </cfRule>
    <cfRule type="expression" dxfId="5296" priority="5900">
      <formula>R30="A"</formula>
    </cfRule>
    <cfRule type="expression" dxfId="5295" priority="5901">
      <formula>R30="T"</formula>
    </cfRule>
  </conditionalFormatting>
  <conditionalFormatting sqref="R52">
    <cfRule type="expression" dxfId="5294" priority="5896">
      <formula>R52="X"</formula>
    </cfRule>
    <cfRule type="expression" dxfId="5293" priority="5897">
      <formula>R52="A"</formula>
    </cfRule>
    <cfRule type="expression" dxfId="5292" priority="5898">
      <formula>R52="T"</formula>
    </cfRule>
  </conditionalFormatting>
  <conditionalFormatting sqref="R50">
    <cfRule type="expression" dxfId="5291" priority="5893">
      <formula>R50="X"</formula>
    </cfRule>
    <cfRule type="expression" dxfId="5290" priority="5894">
      <formula>R50="A"</formula>
    </cfRule>
    <cfRule type="expression" dxfId="5289" priority="5895">
      <formula>R50="T"</formula>
    </cfRule>
  </conditionalFormatting>
  <conditionalFormatting sqref="R54">
    <cfRule type="expression" dxfId="5288" priority="5890">
      <formula>R54="X"</formula>
    </cfRule>
    <cfRule type="expression" dxfId="5287" priority="5891">
      <formula>R54="A"</formula>
    </cfRule>
    <cfRule type="expression" dxfId="5286" priority="5892">
      <formula>R54="T"</formula>
    </cfRule>
  </conditionalFormatting>
  <conditionalFormatting sqref="R56">
    <cfRule type="expression" dxfId="5285" priority="5887">
      <formula>R56="X"</formula>
    </cfRule>
    <cfRule type="expression" dxfId="5284" priority="5888">
      <formula>R56="A"</formula>
    </cfRule>
    <cfRule type="expression" dxfId="5283" priority="5889">
      <formula>R56="T"</formula>
    </cfRule>
  </conditionalFormatting>
  <conditionalFormatting sqref="R58">
    <cfRule type="expression" dxfId="5282" priority="5884">
      <formula>R58="X"</formula>
    </cfRule>
    <cfRule type="expression" dxfId="5281" priority="5885">
      <formula>R58="A"</formula>
    </cfRule>
    <cfRule type="expression" dxfId="5280" priority="5886">
      <formula>R58="T"</formula>
    </cfRule>
  </conditionalFormatting>
  <conditionalFormatting sqref="R63">
    <cfRule type="expression" dxfId="5279" priority="5881">
      <formula>R63="X"</formula>
    </cfRule>
    <cfRule type="expression" dxfId="5278" priority="5882">
      <formula>R63="A"</formula>
    </cfRule>
    <cfRule type="expression" dxfId="5277" priority="5883">
      <formula>R63="T"</formula>
    </cfRule>
  </conditionalFormatting>
  <conditionalFormatting sqref="R65">
    <cfRule type="expression" dxfId="5276" priority="5878">
      <formula>R65="X"</formula>
    </cfRule>
    <cfRule type="expression" dxfId="5275" priority="5879">
      <formula>R65="A"</formula>
    </cfRule>
    <cfRule type="expression" dxfId="5274" priority="5880">
      <formula>R65="T"</formula>
    </cfRule>
  </conditionalFormatting>
  <conditionalFormatting sqref="R83">
    <cfRule type="expression" dxfId="5273" priority="5875">
      <formula>R83="X"</formula>
    </cfRule>
    <cfRule type="expression" dxfId="5272" priority="5876">
      <formula>R83="A"</formula>
    </cfRule>
    <cfRule type="expression" dxfId="5271" priority="5877">
      <formula>R83="T"</formula>
    </cfRule>
  </conditionalFormatting>
  <conditionalFormatting sqref="R85">
    <cfRule type="expression" dxfId="5270" priority="5872">
      <formula>R85="X"</formula>
    </cfRule>
    <cfRule type="expression" dxfId="5269" priority="5873">
      <formula>R85="A"</formula>
    </cfRule>
    <cfRule type="expression" dxfId="5268" priority="5874">
      <formula>R85="T"</formula>
    </cfRule>
  </conditionalFormatting>
  <conditionalFormatting sqref="R67">
    <cfRule type="expression" dxfId="5267" priority="5869">
      <formula>R67="X"</formula>
    </cfRule>
    <cfRule type="expression" dxfId="5266" priority="5870">
      <formula>R67="A"</formula>
    </cfRule>
    <cfRule type="expression" dxfId="5265" priority="5871">
      <formula>R67="T"</formula>
    </cfRule>
  </conditionalFormatting>
  <conditionalFormatting sqref="R113">
    <cfRule type="expression" dxfId="5264" priority="5866">
      <formula>R113="X"</formula>
    </cfRule>
    <cfRule type="expression" dxfId="5263" priority="5867">
      <formula>R113="A"</formula>
    </cfRule>
    <cfRule type="expression" dxfId="5262" priority="5868">
      <formula>R113="T"</formula>
    </cfRule>
  </conditionalFormatting>
  <conditionalFormatting sqref="R118">
    <cfRule type="expression" dxfId="5261" priority="5863">
      <formula>R118="X"</formula>
    </cfRule>
    <cfRule type="expression" dxfId="5260" priority="5864">
      <formula>R118="A"</formula>
    </cfRule>
    <cfRule type="expression" dxfId="5259" priority="5865">
      <formula>R118="T"</formula>
    </cfRule>
  </conditionalFormatting>
  <conditionalFormatting sqref="R120">
    <cfRule type="expression" dxfId="5258" priority="5860">
      <formula>R120="X"</formula>
    </cfRule>
    <cfRule type="expression" dxfId="5257" priority="5861">
      <formula>R120="A"</formula>
    </cfRule>
    <cfRule type="expression" dxfId="5256" priority="5862">
      <formula>R120="T"</formula>
    </cfRule>
  </conditionalFormatting>
  <conditionalFormatting sqref="R122">
    <cfRule type="expression" dxfId="5255" priority="5857">
      <formula>R122="X"</formula>
    </cfRule>
    <cfRule type="expression" dxfId="5254" priority="5858">
      <formula>R122="A"</formula>
    </cfRule>
    <cfRule type="expression" dxfId="5253" priority="5859">
      <formula>R122="T"</formula>
    </cfRule>
  </conditionalFormatting>
  <conditionalFormatting sqref="R125">
    <cfRule type="expression" dxfId="5252" priority="5854">
      <formula>R125="X"</formula>
    </cfRule>
    <cfRule type="expression" dxfId="5251" priority="5855">
      <formula>R125="A"</formula>
    </cfRule>
    <cfRule type="expression" dxfId="5250" priority="5856">
      <formula>R125="T"</formula>
    </cfRule>
  </conditionalFormatting>
  <conditionalFormatting sqref="R127">
    <cfRule type="expression" dxfId="5249" priority="5851">
      <formula>R127="X"</formula>
    </cfRule>
    <cfRule type="expression" dxfId="5248" priority="5852">
      <formula>R127="A"</formula>
    </cfRule>
    <cfRule type="expression" dxfId="5247" priority="5853">
      <formula>R127="T"</formula>
    </cfRule>
  </conditionalFormatting>
  <conditionalFormatting sqref="R141">
    <cfRule type="expression" dxfId="5246" priority="5848">
      <formula>R141="X"</formula>
    </cfRule>
    <cfRule type="expression" dxfId="5245" priority="5849">
      <formula>R141="A"</formula>
    </cfRule>
    <cfRule type="expression" dxfId="5244" priority="5850">
      <formula>R141="T"</formula>
    </cfRule>
  </conditionalFormatting>
  <conditionalFormatting sqref="R143">
    <cfRule type="expression" dxfId="5243" priority="5845">
      <formula>R143="X"</formula>
    </cfRule>
    <cfRule type="expression" dxfId="5242" priority="5846">
      <formula>R143="A"</formula>
    </cfRule>
    <cfRule type="expression" dxfId="5241" priority="5847">
      <formula>R143="T"</formula>
    </cfRule>
  </conditionalFormatting>
  <conditionalFormatting sqref="R149">
    <cfRule type="expression" dxfId="5240" priority="5842">
      <formula>R149="X"</formula>
    </cfRule>
    <cfRule type="expression" dxfId="5239" priority="5843">
      <formula>R149="A"</formula>
    </cfRule>
    <cfRule type="expression" dxfId="5238" priority="5844">
      <formula>R149="T"</formula>
    </cfRule>
  </conditionalFormatting>
  <conditionalFormatting sqref="R151">
    <cfRule type="expression" dxfId="5237" priority="5839">
      <formula>R151="X"</formula>
    </cfRule>
    <cfRule type="expression" dxfId="5236" priority="5840">
      <formula>R151="A"</formula>
    </cfRule>
    <cfRule type="expression" dxfId="5235" priority="5841">
      <formula>R151="T"</formula>
    </cfRule>
  </conditionalFormatting>
  <conditionalFormatting sqref="R155">
    <cfRule type="expression" dxfId="5234" priority="5836">
      <formula>R155="X"</formula>
    </cfRule>
    <cfRule type="expression" dxfId="5233" priority="5837">
      <formula>R155="A"</formula>
    </cfRule>
    <cfRule type="expression" dxfId="5232" priority="5838">
      <formula>R155="T"</formula>
    </cfRule>
  </conditionalFormatting>
  <conditionalFormatting sqref="R157">
    <cfRule type="expression" dxfId="5231" priority="5833">
      <formula>R157="X"</formula>
    </cfRule>
    <cfRule type="expression" dxfId="5230" priority="5834">
      <formula>R157="A"</formula>
    </cfRule>
    <cfRule type="expression" dxfId="5229" priority="5835">
      <formula>R157="T"</formula>
    </cfRule>
  </conditionalFormatting>
  <conditionalFormatting sqref="R167">
    <cfRule type="expression" dxfId="5228" priority="5830">
      <formula>R167="X"</formula>
    </cfRule>
    <cfRule type="expression" dxfId="5227" priority="5831">
      <formula>R167="A"</formula>
    </cfRule>
    <cfRule type="expression" dxfId="5226" priority="5832">
      <formula>R167="T"</formula>
    </cfRule>
  </conditionalFormatting>
  <conditionalFormatting sqref="R173">
    <cfRule type="expression" dxfId="5225" priority="5827">
      <formula>R173="X"</formula>
    </cfRule>
    <cfRule type="expression" dxfId="5224" priority="5828">
      <formula>R173="A"</formula>
    </cfRule>
    <cfRule type="expression" dxfId="5223" priority="5829">
      <formula>R173="T"</formula>
    </cfRule>
  </conditionalFormatting>
  <conditionalFormatting sqref="R175">
    <cfRule type="expression" dxfId="5222" priority="5824">
      <formula>R175="X"</formula>
    </cfRule>
    <cfRule type="expression" dxfId="5221" priority="5825">
      <formula>R175="A"</formula>
    </cfRule>
    <cfRule type="expression" dxfId="5220" priority="5826">
      <formula>R175="T"</formula>
    </cfRule>
  </conditionalFormatting>
  <conditionalFormatting sqref="R177">
    <cfRule type="expression" dxfId="5219" priority="5821">
      <formula>R177="X"</formula>
    </cfRule>
    <cfRule type="expression" dxfId="5218" priority="5822">
      <formula>R177="A"</formula>
    </cfRule>
    <cfRule type="expression" dxfId="5217" priority="5823">
      <formula>R177="T"</formula>
    </cfRule>
  </conditionalFormatting>
  <conditionalFormatting sqref="R179">
    <cfRule type="expression" dxfId="5216" priority="5818">
      <formula>R179="X"</formula>
    </cfRule>
    <cfRule type="expression" dxfId="5215" priority="5819">
      <formula>R179="A"</formula>
    </cfRule>
    <cfRule type="expression" dxfId="5214" priority="5820">
      <formula>R179="T"</formula>
    </cfRule>
  </conditionalFormatting>
  <conditionalFormatting sqref="R169">
    <cfRule type="expression" dxfId="5213" priority="5815">
      <formula>R169="X"</formula>
    </cfRule>
    <cfRule type="expression" dxfId="5212" priority="5816">
      <formula>R169="A"</formula>
    </cfRule>
    <cfRule type="expression" dxfId="5211" priority="5817">
      <formula>R169="T"</formula>
    </cfRule>
  </conditionalFormatting>
  <conditionalFormatting sqref="R171">
    <cfRule type="expression" dxfId="5210" priority="5812">
      <formula>R171="X"</formula>
    </cfRule>
    <cfRule type="expression" dxfId="5209" priority="5813">
      <formula>R171="A"</formula>
    </cfRule>
    <cfRule type="expression" dxfId="5208" priority="5814">
      <formula>R171="T"</formula>
    </cfRule>
  </conditionalFormatting>
  <conditionalFormatting sqref="R183">
    <cfRule type="expression" dxfId="5207" priority="5809">
      <formula>R183="X"</formula>
    </cfRule>
    <cfRule type="expression" dxfId="5206" priority="5810">
      <formula>R183="A"</formula>
    </cfRule>
    <cfRule type="expression" dxfId="5205" priority="5811">
      <formula>R183="T"</formula>
    </cfRule>
  </conditionalFormatting>
  <conditionalFormatting sqref="R185">
    <cfRule type="expression" dxfId="5204" priority="5806">
      <formula>R185="X"</formula>
    </cfRule>
    <cfRule type="expression" dxfId="5203" priority="5807">
      <formula>R185="A"</formula>
    </cfRule>
    <cfRule type="expression" dxfId="5202" priority="5808">
      <formula>R185="T"</formula>
    </cfRule>
  </conditionalFormatting>
  <conditionalFormatting sqref="R189">
    <cfRule type="expression" dxfId="5201" priority="5803">
      <formula>R189="X"</formula>
    </cfRule>
    <cfRule type="expression" dxfId="5200" priority="5804">
      <formula>R189="A"</formula>
    </cfRule>
    <cfRule type="expression" dxfId="5199" priority="5805">
      <formula>R189="T"</formula>
    </cfRule>
  </conditionalFormatting>
  <conditionalFormatting sqref="R191">
    <cfRule type="expression" dxfId="5198" priority="5800">
      <formula>R191="X"</formula>
    </cfRule>
    <cfRule type="expression" dxfId="5197" priority="5801">
      <formula>R191="A"</formula>
    </cfRule>
    <cfRule type="expression" dxfId="5196" priority="5802">
      <formula>R191="T"</formula>
    </cfRule>
  </conditionalFormatting>
  <conditionalFormatting sqref="R12">
    <cfRule type="expression" dxfId="5195" priority="5794">
      <formula>R11="X"</formula>
    </cfRule>
    <cfRule type="expression" dxfId="5194" priority="5795">
      <formula>R11="A"</formula>
    </cfRule>
    <cfRule type="expression" dxfId="5193" priority="5796">
      <formula>R11="T"</formula>
    </cfRule>
  </conditionalFormatting>
  <conditionalFormatting sqref="R13">
    <cfRule type="expression" dxfId="5192" priority="5791">
      <formula>R13="X"</formula>
    </cfRule>
    <cfRule type="expression" dxfId="5191" priority="5792">
      <formula>R13="A"</formula>
    </cfRule>
    <cfRule type="expression" dxfId="5190" priority="5793">
      <formula>R13="T"</formula>
    </cfRule>
  </conditionalFormatting>
  <conditionalFormatting sqref="R14">
    <cfRule type="expression" dxfId="5189" priority="5788">
      <formula>R13="X"</formula>
    </cfRule>
    <cfRule type="expression" dxfId="5188" priority="5789">
      <formula>R13="A"</formula>
    </cfRule>
    <cfRule type="expression" dxfId="5187" priority="5790">
      <formula>R13="T"</formula>
    </cfRule>
  </conditionalFormatting>
  <conditionalFormatting sqref="R17">
    <cfRule type="expression" dxfId="5186" priority="5785">
      <formula>R16="X"</formula>
    </cfRule>
    <cfRule type="expression" dxfId="5185" priority="5786">
      <formula>R16="A"</formula>
    </cfRule>
    <cfRule type="expression" dxfId="5184" priority="5787">
      <formula>R16="T"</formula>
    </cfRule>
  </conditionalFormatting>
  <conditionalFormatting sqref="R19">
    <cfRule type="expression" dxfId="5183" priority="5779">
      <formula>R18="X"</formula>
    </cfRule>
    <cfRule type="expression" dxfId="5182" priority="5780">
      <formula>R18="A"</formula>
    </cfRule>
    <cfRule type="expression" dxfId="5181" priority="5781">
      <formula>R18="T"</formula>
    </cfRule>
  </conditionalFormatting>
  <conditionalFormatting sqref="R21">
    <cfRule type="expression" dxfId="5180" priority="5776">
      <formula>R20="X"</formula>
    </cfRule>
    <cfRule type="expression" dxfId="5179" priority="5777">
      <formula>R20="A"</formula>
    </cfRule>
    <cfRule type="expression" dxfId="5178" priority="5778">
      <formula>R20="T"</formula>
    </cfRule>
  </conditionalFormatting>
  <conditionalFormatting sqref="R23">
    <cfRule type="expression" dxfId="5177" priority="5773">
      <formula>R22="X"</formula>
    </cfRule>
    <cfRule type="expression" dxfId="5176" priority="5774">
      <formula>R22="A"</formula>
    </cfRule>
    <cfRule type="expression" dxfId="5175" priority="5775">
      <formula>R22="T"</formula>
    </cfRule>
  </conditionalFormatting>
  <conditionalFormatting sqref="R25">
    <cfRule type="expression" dxfId="5174" priority="5770">
      <formula>R24="X"</formula>
    </cfRule>
    <cfRule type="expression" dxfId="5173" priority="5771">
      <formula>R24="A"</formula>
    </cfRule>
    <cfRule type="expression" dxfId="5172" priority="5772">
      <formula>R24="T"</formula>
    </cfRule>
  </conditionalFormatting>
  <conditionalFormatting sqref="R27">
    <cfRule type="expression" dxfId="5171" priority="5767">
      <formula>R26="X"</formula>
    </cfRule>
    <cfRule type="expression" dxfId="5170" priority="5768">
      <formula>R26="A"</formula>
    </cfRule>
    <cfRule type="expression" dxfId="5169" priority="5769">
      <formula>R26="T"</formula>
    </cfRule>
  </conditionalFormatting>
  <conditionalFormatting sqref="R29">
    <cfRule type="expression" dxfId="5168" priority="5764">
      <formula>R28="X"</formula>
    </cfRule>
    <cfRule type="expression" dxfId="5167" priority="5765">
      <formula>R28="A"</formula>
    </cfRule>
    <cfRule type="expression" dxfId="5166" priority="5766">
      <formula>R28="T"</formula>
    </cfRule>
  </conditionalFormatting>
  <conditionalFormatting sqref="R31">
    <cfRule type="expression" dxfId="5165" priority="5761">
      <formula>R30="X"</formula>
    </cfRule>
    <cfRule type="expression" dxfId="5164" priority="5762">
      <formula>R30="A"</formula>
    </cfRule>
    <cfRule type="expression" dxfId="5163" priority="5763">
      <formula>R30="T"</formula>
    </cfRule>
  </conditionalFormatting>
  <conditionalFormatting sqref="R33">
    <cfRule type="expression" dxfId="5162" priority="5758">
      <formula>R32="X"</formula>
    </cfRule>
    <cfRule type="expression" dxfId="5161" priority="5759">
      <formula>R32="A"</formula>
    </cfRule>
    <cfRule type="expression" dxfId="5160" priority="5760">
      <formula>R32="T"</formula>
    </cfRule>
  </conditionalFormatting>
  <conditionalFormatting sqref="R35">
    <cfRule type="expression" dxfId="5159" priority="5755">
      <formula>R34="X"</formula>
    </cfRule>
    <cfRule type="expression" dxfId="5158" priority="5756">
      <formula>R34="A"</formula>
    </cfRule>
    <cfRule type="expression" dxfId="5157" priority="5757">
      <formula>R34="T"</formula>
    </cfRule>
  </conditionalFormatting>
  <conditionalFormatting sqref="R37">
    <cfRule type="expression" dxfId="5156" priority="5752">
      <formula>R36="X"</formula>
    </cfRule>
    <cfRule type="expression" dxfId="5155" priority="5753">
      <formula>R36="A"</formula>
    </cfRule>
    <cfRule type="expression" dxfId="5154" priority="5754">
      <formula>R36="T"</formula>
    </cfRule>
  </conditionalFormatting>
  <conditionalFormatting sqref="R40">
    <cfRule type="expression" dxfId="5153" priority="5749">
      <formula>R39="X"</formula>
    </cfRule>
    <cfRule type="expression" dxfId="5152" priority="5750">
      <formula>R39="A"</formula>
    </cfRule>
    <cfRule type="expression" dxfId="5151" priority="5751">
      <formula>R39="T"</formula>
    </cfRule>
  </conditionalFormatting>
  <conditionalFormatting sqref="R42">
    <cfRule type="expression" dxfId="5150" priority="5746">
      <formula>R41="X"</formula>
    </cfRule>
    <cfRule type="expression" dxfId="5149" priority="5747">
      <formula>R41="A"</formula>
    </cfRule>
    <cfRule type="expression" dxfId="5148" priority="5748">
      <formula>R41="T"</formula>
    </cfRule>
  </conditionalFormatting>
  <conditionalFormatting sqref="R44">
    <cfRule type="expression" dxfId="5147" priority="5743">
      <formula>R43="X"</formula>
    </cfRule>
    <cfRule type="expression" dxfId="5146" priority="5744">
      <formula>R43="A"</formula>
    </cfRule>
    <cfRule type="expression" dxfId="5145" priority="5745">
      <formula>R43="T"</formula>
    </cfRule>
  </conditionalFormatting>
  <conditionalFormatting sqref="R46">
    <cfRule type="expression" dxfId="5144" priority="5740">
      <formula>R45="X"</formula>
    </cfRule>
    <cfRule type="expression" dxfId="5143" priority="5741">
      <formula>R45="A"</formula>
    </cfRule>
    <cfRule type="expression" dxfId="5142" priority="5742">
      <formula>R45="T"</formula>
    </cfRule>
  </conditionalFormatting>
  <conditionalFormatting sqref="R49">
    <cfRule type="expression" dxfId="5141" priority="5737">
      <formula>R48="X"</formula>
    </cfRule>
    <cfRule type="expression" dxfId="5140" priority="5738">
      <formula>R48="A"</formula>
    </cfRule>
    <cfRule type="expression" dxfId="5139" priority="5739">
      <formula>R48="T"</formula>
    </cfRule>
  </conditionalFormatting>
  <conditionalFormatting sqref="R51">
    <cfRule type="expression" dxfId="5138" priority="5734">
      <formula>R50="X"</formula>
    </cfRule>
    <cfRule type="expression" dxfId="5137" priority="5735">
      <formula>R50="A"</formula>
    </cfRule>
    <cfRule type="expression" dxfId="5136" priority="5736">
      <formula>R50="T"</formula>
    </cfRule>
  </conditionalFormatting>
  <conditionalFormatting sqref="R53">
    <cfRule type="expression" dxfId="5135" priority="5731">
      <formula>R52="X"</formula>
    </cfRule>
    <cfRule type="expression" dxfId="5134" priority="5732">
      <formula>R52="A"</formula>
    </cfRule>
    <cfRule type="expression" dxfId="5133" priority="5733">
      <formula>R52="T"</formula>
    </cfRule>
  </conditionalFormatting>
  <conditionalFormatting sqref="R55">
    <cfRule type="expression" dxfId="5132" priority="5728">
      <formula>R54="X"</formula>
    </cfRule>
    <cfRule type="expression" dxfId="5131" priority="5729">
      <formula>R54="A"</formula>
    </cfRule>
    <cfRule type="expression" dxfId="5130" priority="5730">
      <formula>R54="T"</formula>
    </cfRule>
  </conditionalFormatting>
  <conditionalFormatting sqref="R57">
    <cfRule type="expression" dxfId="5129" priority="5725">
      <formula>R56="X"</formula>
    </cfRule>
    <cfRule type="expression" dxfId="5128" priority="5726">
      <formula>R56="A"</formula>
    </cfRule>
    <cfRule type="expression" dxfId="5127" priority="5727">
      <formula>R56="T"</formula>
    </cfRule>
  </conditionalFormatting>
  <conditionalFormatting sqref="R59">
    <cfRule type="expression" dxfId="5126" priority="5722">
      <formula>R58="X"</formula>
    </cfRule>
    <cfRule type="expression" dxfId="5125" priority="5723">
      <formula>R58="A"</formula>
    </cfRule>
    <cfRule type="expression" dxfId="5124" priority="5724">
      <formula>R58="T"</formula>
    </cfRule>
  </conditionalFormatting>
  <conditionalFormatting sqref="R64">
    <cfRule type="expression" dxfId="5123" priority="5719">
      <formula>R63="X"</formula>
    </cfRule>
    <cfRule type="expression" dxfId="5122" priority="5720">
      <formula>R63="A"</formula>
    </cfRule>
    <cfRule type="expression" dxfId="5121" priority="5721">
      <formula>R63="T"</formula>
    </cfRule>
  </conditionalFormatting>
  <conditionalFormatting sqref="R66">
    <cfRule type="expression" dxfId="5120" priority="5716">
      <formula>R65="X"</formula>
    </cfRule>
    <cfRule type="expression" dxfId="5119" priority="5717">
      <formula>R65="A"</formula>
    </cfRule>
    <cfRule type="expression" dxfId="5118" priority="5718">
      <formula>R65="T"</formula>
    </cfRule>
  </conditionalFormatting>
  <conditionalFormatting sqref="R68">
    <cfRule type="expression" dxfId="5117" priority="5713">
      <formula>R67="X"</formula>
    </cfRule>
    <cfRule type="expression" dxfId="5116" priority="5714">
      <formula>R67="A"</formula>
    </cfRule>
    <cfRule type="expression" dxfId="5115" priority="5715">
      <formula>R67="T"</formula>
    </cfRule>
  </conditionalFormatting>
  <conditionalFormatting sqref="R82">
    <cfRule type="expression" dxfId="5114" priority="5710">
      <formula>R81="X"</formula>
    </cfRule>
    <cfRule type="expression" dxfId="5113" priority="5711">
      <formula>R81="A"</formula>
    </cfRule>
    <cfRule type="expression" dxfId="5112" priority="5712">
      <formula>R81="T"</formula>
    </cfRule>
  </conditionalFormatting>
  <conditionalFormatting sqref="R84">
    <cfRule type="expression" dxfId="5111" priority="5707">
      <formula>R83="X"</formula>
    </cfRule>
    <cfRule type="expression" dxfId="5110" priority="5708">
      <formula>R83="A"</formula>
    </cfRule>
    <cfRule type="expression" dxfId="5109" priority="5709">
      <formula>R83="T"</formula>
    </cfRule>
  </conditionalFormatting>
  <conditionalFormatting sqref="R86">
    <cfRule type="expression" dxfId="5108" priority="5704">
      <formula>R85="X"</formula>
    </cfRule>
    <cfRule type="expression" dxfId="5107" priority="5705">
      <formula>R85="A"</formula>
    </cfRule>
    <cfRule type="expression" dxfId="5106" priority="5706">
      <formula>R85="T"</formula>
    </cfRule>
  </conditionalFormatting>
  <conditionalFormatting sqref="R89">
    <cfRule type="expression" dxfId="5105" priority="5701">
      <formula>R88="X"</formula>
    </cfRule>
    <cfRule type="expression" dxfId="5104" priority="5702">
      <formula>R88="A"</formula>
    </cfRule>
    <cfRule type="expression" dxfId="5103" priority="5703">
      <formula>R88="T"</formula>
    </cfRule>
  </conditionalFormatting>
  <conditionalFormatting sqref="R91">
    <cfRule type="expression" dxfId="5102" priority="5698">
      <formula>R90="X"</formula>
    </cfRule>
    <cfRule type="expression" dxfId="5101" priority="5699">
      <formula>R90="A"</formula>
    </cfRule>
    <cfRule type="expression" dxfId="5100" priority="5700">
      <formula>R90="T"</formula>
    </cfRule>
  </conditionalFormatting>
  <conditionalFormatting sqref="R93">
    <cfRule type="expression" dxfId="5099" priority="5695">
      <formula>R92="X"</formula>
    </cfRule>
    <cfRule type="expression" dxfId="5098" priority="5696">
      <formula>R92="A"</formula>
    </cfRule>
    <cfRule type="expression" dxfId="5097" priority="5697">
      <formula>R92="T"</formula>
    </cfRule>
  </conditionalFormatting>
  <conditionalFormatting sqref="R95">
    <cfRule type="expression" dxfId="5096" priority="5692">
      <formula>R94="X"</formula>
    </cfRule>
    <cfRule type="expression" dxfId="5095" priority="5693">
      <formula>R94="A"</formula>
    </cfRule>
    <cfRule type="expression" dxfId="5094" priority="5694">
      <formula>R94="T"</formula>
    </cfRule>
  </conditionalFormatting>
  <conditionalFormatting sqref="R97">
    <cfRule type="expression" dxfId="5093" priority="5689">
      <formula>R96="X"</formula>
    </cfRule>
    <cfRule type="expression" dxfId="5092" priority="5690">
      <formula>R96="A"</formula>
    </cfRule>
    <cfRule type="expression" dxfId="5091" priority="5691">
      <formula>R96="T"</formula>
    </cfRule>
  </conditionalFormatting>
  <conditionalFormatting sqref="R99">
    <cfRule type="expression" dxfId="5090" priority="5686">
      <formula>R98="X"</formula>
    </cfRule>
    <cfRule type="expression" dxfId="5089" priority="5687">
      <formula>R98="A"</formula>
    </cfRule>
    <cfRule type="expression" dxfId="5088" priority="5688">
      <formula>R98="T"</formula>
    </cfRule>
  </conditionalFormatting>
  <conditionalFormatting sqref="R101">
    <cfRule type="expression" dxfId="5087" priority="5683">
      <formula>R100="X"</formula>
    </cfRule>
    <cfRule type="expression" dxfId="5086" priority="5684">
      <formula>R100="A"</formula>
    </cfRule>
    <cfRule type="expression" dxfId="5085" priority="5685">
      <formula>R100="T"</formula>
    </cfRule>
  </conditionalFormatting>
  <conditionalFormatting sqref="R103">
    <cfRule type="expression" dxfId="5084" priority="5680">
      <formula>R102="X"</formula>
    </cfRule>
    <cfRule type="expression" dxfId="5083" priority="5681">
      <formula>R102="A"</formula>
    </cfRule>
    <cfRule type="expression" dxfId="5082" priority="5682">
      <formula>R102="T"</formula>
    </cfRule>
  </conditionalFormatting>
  <conditionalFormatting sqref="R106">
    <cfRule type="expression" dxfId="5081" priority="5677">
      <formula>R105="X"</formula>
    </cfRule>
    <cfRule type="expression" dxfId="5080" priority="5678">
      <formula>R105="A"</formula>
    </cfRule>
    <cfRule type="expression" dxfId="5079" priority="5679">
      <formula>R105="T"</formula>
    </cfRule>
  </conditionalFormatting>
  <conditionalFormatting sqref="R108">
    <cfRule type="expression" dxfId="5078" priority="5674">
      <formula>R107="X"</formula>
    </cfRule>
    <cfRule type="expression" dxfId="5077" priority="5675">
      <formula>R107="A"</formula>
    </cfRule>
    <cfRule type="expression" dxfId="5076" priority="5676">
      <formula>R107="T"</formula>
    </cfRule>
  </conditionalFormatting>
  <conditionalFormatting sqref="R110">
    <cfRule type="expression" dxfId="5075" priority="5671">
      <formula>R109="X"</formula>
    </cfRule>
    <cfRule type="expression" dxfId="5074" priority="5672">
      <formula>R109="A"</formula>
    </cfRule>
    <cfRule type="expression" dxfId="5073" priority="5673">
      <formula>R109="T"</formula>
    </cfRule>
  </conditionalFormatting>
  <conditionalFormatting sqref="R112">
    <cfRule type="expression" dxfId="5072" priority="5668">
      <formula>R111="X"</formula>
    </cfRule>
    <cfRule type="expression" dxfId="5071" priority="5669">
      <formula>R111="A"</formula>
    </cfRule>
    <cfRule type="expression" dxfId="5070" priority="5670">
      <formula>R111="T"</formula>
    </cfRule>
  </conditionalFormatting>
  <conditionalFormatting sqref="R114">
    <cfRule type="expression" dxfId="5069" priority="5665">
      <formula>R113="X"</formula>
    </cfRule>
    <cfRule type="expression" dxfId="5068" priority="5666">
      <formula>R113="A"</formula>
    </cfRule>
    <cfRule type="expression" dxfId="5067" priority="5667">
      <formula>R113="T"</formula>
    </cfRule>
  </conditionalFormatting>
  <conditionalFormatting sqref="R117">
    <cfRule type="expression" dxfId="5066" priority="5662">
      <formula>R116="X"</formula>
    </cfRule>
    <cfRule type="expression" dxfId="5065" priority="5663">
      <formula>R116="A"</formula>
    </cfRule>
    <cfRule type="expression" dxfId="5064" priority="5664">
      <formula>R116="T"</formula>
    </cfRule>
  </conditionalFormatting>
  <conditionalFormatting sqref="R119">
    <cfRule type="expression" dxfId="5063" priority="5659">
      <formula>R118="X"</formula>
    </cfRule>
    <cfRule type="expression" dxfId="5062" priority="5660">
      <formula>R118="A"</formula>
    </cfRule>
    <cfRule type="expression" dxfId="5061" priority="5661">
      <formula>R118="T"</formula>
    </cfRule>
  </conditionalFormatting>
  <conditionalFormatting sqref="R121">
    <cfRule type="expression" dxfId="5060" priority="5656">
      <formula>R120="X"</formula>
    </cfRule>
    <cfRule type="expression" dxfId="5059" priority="5657">
      <formula>R120="A"</formula>
    </cfRule>
    <cfRule type="expression" dxfId="5058" priority="5658">
      <formula>R120="T"</formula>
    </cfRule>
  </conditionalFormatting>
  <conditionalFormatting sqref="R123">
    <cfRule type="expression" dxfId="5057" priority="5653">
      <formula>R122="X"</formula>
    </cfRule>
    <cfRule type="expression" dxfId="5056" priority="5654">
      <formula>R122="A"</formula>
    </cfRule>
    <cfRule type="expression" dxfId="5055" priority="5655">
      <formula>R122="T"</formula>
    </cfRule>
  </conditionalFormatting>
  <conditionalFormatting sqref="R126">
    <cfRule type="expression" dxfId="5054" priority="5650">
      <formula>R125="X"</formula>
    </cfRule>
    <cfRule type="expression" dxfId="5053" priority="5651">
      <formula>R125="A"</formula>
    </cfRule>
    <cfRule type="expression" dxfId="5052" priority="5652">
      <formula>R125="T"</formula>
    </cfRule>
  </conditionalFormatting>
  <conditionalFormatting sqref="R128">
    <cfRule type="expression" dxfId="5051" priority="5647">
      <formula>R127="X"</formula>
    </cfRule>
    <cfRule type="expression" dxfId="5050" priority="5648">
      <formula>R127="A"</formula>
    </cfRule>
    <cfRule type="expression" dxfId="5049" priority="5649">
      <formula>R127="T"</formula>
    </cfRule>
  </conditionalFormatting>
  <conditionalFormatting sqref="R142">
    <cfRule type="expression" dxfId="5048" priority="5644">
      <formula>R141="X"</formula>
    </cfRule>
    <cfRule type="expression" dxfId="5047" priority="5645">
      <formula>R141="A"</formula>
    </cfRule>
    <cfRule type="expression" dxfId="5046" priority="5646">
      <formula>R141="T"</formula>
    </cfRule>
  </conditionalFormatting>
  <conditionalFormatting sqref="R144">
    <cfRule type="expression" dxfId="5045" priority="5641">
      <formula>R143="X"</formula>
    </cfRule>
    <cfRule type="expression" dxfId="5044" priority="5642">
      <formula>R143="A"</formula>
    </cfRule>
    <cfRule type="expression" dxfId="5043" priority="5643">
      <formula>R143="T"</formula>
    </cfRule>
  </conditionalFormatting>
  <conditionalFormatting sqref="R150">
    <cfRule type="expression" dxfId="5042" priority="5638">
      <formula>R149="X"</formula>
    </cfRule>
    <cfRule type="expression" dxfId="5041" priority="5639">
      <formula>R149="A"</formula>
    </cfRule>
    <cfRule type="expression" dxfId="5040" priority="5640">
      <formula>R149="T"</formula>
    </cfRule>
  </conditionalFormatting>
  <conditionalFormatting sqref="R152">
    <cfRule type="expression" dxfId="5039" priority="5635">
      <formula>R151="X"</formula>
    </cfRule>
    <cfRule type="expression" dxfId="5038" priority="5636">
      <formula>R151="A"</formula>
    </cfRule>
    <cfRule type="expression" dxfId="5037" priority="5637">
      <formula>R151="T"</formula>
    </cfRule>
  </conditionalFormatting>
  <conditionalFormatting sqref="R156">
    <cfRule type="expression" dxfId="5036" priority="5632">
      <formula>R155="X"</formula>
    </cfRule>
    <cfRule type="expression" dxfId="5035" priority="5633">
      <formula>R155="A"</formula>
    </cfRule>
    <cfRule type="expression" dxfId="5034" priority="5634">
      <formula>R155="T"</formula>
    </cfRule>
  </conditionalFormatting>
  <conditionalFormatting sqref="R168">
    <cfRule type="expression" dxfId="5033" priority="5629">
      <formula>R167="X"</formula>
    </cfRule>
    <cfRule type="expression" dxfId="5032" priority="5630">
      <formula>R167="A"</formula>
    </cfRule>
    <cfRule type="expression" dxfId="5031" priority="5631">
      <formula>R167="T"</formula>
    </cfRule>
  </conditionalFormatting>
  <conditionalFormatting sqref="R170">
    <cfRule type="expression" dxfId="5030" priority="5626">
      <formula>R169="X"</formula>
    </cfRule>
    <cfRule type="expression" dxfId="5029" priority="5627">
      <formula>R169="A"</formula>
    </cfRule>
    <cfRule type="expression" dxfId="5028" priority="5628">
      <formula>R169="T"</formula>
    </cfRule>
  </conditionalFormatting>
  <conditionalFormatting sqref="R172">
    <cfRule type="expression" dxfId="5027" priority="5623">
      <formula>R171="X"</formula>
    </cfRule>
    <cfRule type="expression" dxfId="5026" priority="5624">
      <formula>R171="A"</formula>
    </cfRule>
    <cfRule type="expression" dxfId="5025" priority="5625">
      <formula>R171="T"</formula>
    </cfRule>
  </conditionalFormatting>
  <conditionalFormatting sqref="R174">
    <cfRule type="expression" dxfId="5024" priority="5620">
      <formula>R173="X"</formula>
    </cfRule>
    <cfRule type="expression" dxfId="5023" priority="5621">
      <formula>R173="A"</formula>
    </cfRule>
    <cfRule type="expression" dxfId="5022" priority="5622">
      <formula>R173="T"</formula>
    </cfRule>
  </conditionalFormatting>
  <conditionalFormatting sqref="R176">
    <cfRule type="expression" dxfId="5021" priority="5617">
      <formula>R175="X"</formula>
    </cfRule>
    <cfRule type="expression" dxfId="5020" priority="5618">
      <formula>R175="A"</formula>
    </cfRule>
    <cfRule type="expression" dxfId="5019" priority="5619">
      <formula>R175="T"</formula>
    </cfRule>
  </conditionalFormatting>
  <conditionalFormatting sqref="R178">
    <cfRule type="expression" dxfId="5018" priority="5614">
      <formula>R177="X"</formula>
    </cfRule>
    <cfRule type="expression" dxfId="5017" priority="5615">
      <formula>R177="A"</formula>
    </cfRule>
    <cfRule type="expression" dxfId="5016" priority="5616">
      <formula>R177="T"</formula>
    </cfRule>
  </conditionalFormatting>
  <conditionalFormatting sqref="R180">
    <cfRule type="expression" dxfId="5015" priority="5611">
      <formula>R179="X"</formula>
    </cfRule>
    <cfRule type="expression" dxfId="5014" priority="5612">
      <formula>R179="A"</formula>
    </cfRule>
    <cfRule type="expression" dxfId="5013" priority="5613">
      <formula>R179="T"</formula>
    </cfRule>
  </conditionalFormatting>
  <conditionalFormatting sqref="R184">
    <cfRule type="expression" dxfId="5012" priority="5608">
      <formula>R183="X"</formula>
    </cfRule>
    <cfRule type="expression" dxfId="5011" priority="5609">
      <formula>R183="A"</formula>
    </cfRule>
    <cfRule type="expression" dxfId="5010" priority="5610">
      <formula>R183="T"</formula>
    </cfRule>
  </conditionalFormatting>
  <conditionalFormatting sqref="R186">
    <cfRule type="expression" dxfId="5009" priority="5605">
      <formula>R185="X"</formula>
    </cfRule>
    <cfRule type="expression" dxfId="5008" priority="5606">
      <formula>R185="A"</formula>
    </cfRule>
    <cfRule type="expression" dxfId="5007" priority="5607">
      <formula>R185="T"</formula>
    </cfRule>
  </conditionalFormatting>
  <conditionalFormatting sqref="R190">
    <cfRule type="expression" dxfId="5006" priority="5602">
      <formula>R189="X"</formula>
    </cfRule>
    <cfRule type="expression" dxfId="5005" priority="5603">
      <formula>R189="A"</formula>
    </cfRule>
    <cfRule type="expression" dxfId="5004" priority="5604">
      <formula>R189="T"</formula>
    </cfRule>
  </conditionalFormatting>
  <conditionalFormatting sqref="R192">
    <cfRule type="expression" dxfId="5003" priority="5599">
      <formula>R191="X"</formula>
    </cfRule>
    <cfRule type="expression" dxfId="5002" priority="5600">
      <formula>R191="A"</formula>
    </cfRule>
    <cfRule type="expression" dxfId="5001" priority="5601">
      <formula>R191="T"</formula>
    </cfRule>
  </conditionalFormatting>
  <conditionalFormatting sqref="R208">
    <cfRule type="expression" dxfId="5000" priority="5596">
      <formula>R207="X"</formula>
    </cfRule>
    <cfRule type="expression" dxfId="4999" priority="5597">
      <formula>R207="A"</formula>
    </cfRule>
    <cfRule type="expression" dxfId="4998" priority="5598">
      <formula>R207="T"</formula>
    </cfRule>
  </conditionalFormatting>
  <conditionalFormatting sqref="R211">
    <cfRule type="expression" dxfId="4997" priority="5593">
      <formula>R211="X"</formula>
    </cfRule>
    <cfRule type="expression" dxfId="4996" priority="5594">
      <formula>R211="A"</formula>
    </cfRule>
    <cfRule type="expression" dxfId="4995" priority="5595">
      <formula>R211="T"</formula>
    </cfRule>
  </conditionalFormatting>
  <conditionalFormatting sqref="R212">
    <cfRule type="expression" dxfId="4994" priority="5590">
      <formula>R211="X"</formula>
    </cfRule>
    <cfRule type="expression" dxfId="4993" priority="5591">
      <formula>R211="A"</formula>
    </cfRule>
    <cfRule type="expression" dxfId="4992" priority="5592">
      <formula>R211="T"</formula>
    </cfRule>
  </conditionalFormatting>
  <conditionalFormatting sqref="R213">
    <cfRule type="expression" dxfId="4991" priority="5587">
      <formula>R213="X"</formula>
    </cfRule>
    <cfRule type="expression" dxfId="4990" priority="5588">
      <formula>R213="A"</formula>
    </cfRule>
    <cfRule type="expression" dxfId="4989" priority="5589">
      <formula>R213="T"</formula>
    </cfRule>
  </conditionalFormatting>
  <conditionalFormatting sqref="R214">
    <cfRule type="expression" dxfId="4988" priority="5584">
      <formula>R213="X"</formula>
    </cfRule>
    <cfRule type="expression" dxfId="4987" priority="5585">
      <formula>R213="A"</formula>
    </cfRule>
    <cfRule type="expression" dxfId="4986" priority="5586">
      <formula>R213="T"</formula>
    </cfRule>
  </conditionalFormatting>
  <conditionalFormatting sqref="R215">
    <cfRule type="expression" dxfId="4985" priority="5581">
      <formula>R215="X"</formula>
    </cfRule>
    <cfRule type="expression" dxfId="4984" priority="5582">
      <formula>R215="A"</formula>
    </cfRule>
    <cfRule type="expression" dxfId="4983" priority="5583">
      <formula>R215="T"</formula>
    </cfRule>
  </conditionalFormatting>
  <conditionalFormatting sqref="R216">
    <cfRule type="expression" dxfId="4982" priority="5578">
      <formula>R215="X"</formula>
    </cfRule>
    <cfRule type="expression" dxfId="4981" priority="5579">
      <formula>R215="A"</formula>
    </cfRule>
    <cfRule type="expression" dxfId="4980" priority="5580">
      <formula>R215="T"</formula>
    </cfRule>
  </conditionalFormatting>
  <conditionalFormatting sqref="R217">
    <cfRule type="expression" dxfId="4979" priority="5575">
      <formula>R217="X"</formula>
    </cfRule>
    <cfRule type="expression" dxfId="4978" priority="5576">
      <formula>R217="A"</formula>
    </cfRule>
    <cfRule type="expression" dxfId="4977" priority="5577">
      <formula>R217="T"</formula>
    </cfRule>
  </conditionalFormatting>
  <conditionalFormatting sqref="R218">
    <cfRule type="expression" dxfId="4976" priority="5572">
      <formula>R217="X"</formula>
    </cfRule>
    <cfRule type="expression" dxfId="4975" priority="5573">
      <formula>R217="A"</formula>
    </cfRule>
    <cfRule type="expression" dxfId="4974" priority="5574">
      <formula>R217="T"</formula>
    </cfRule>
  </conditionalFormatting>
  <conditionalFormatting sqref="R219">
    <cfRule type="expression" dxfId="4973" priority="5569">
      <formula>R219="X"</formula>
    </cfRule>
    <cfRule type="expression" dxfId="4972" priority="5570">
      <formula>R219="A"</formula>
    </cfRule>
    <cfRule type="expression" dxfId="4971" priority="5571">
      <formula>R219="T"</formula>
    </cfRule>
  </conditionalFormatting>
  <conditionalFormatting sqref="R220">
    <cfRule type="expression" dxfId="4970" priority="5566">
      <formula>R219="X"</formula>
    </cfRule>
    <cfRule type="expression" dxfId="4969" priority="5567">
      <formula>R219="A"</formula>
    </cfRule>
    <cfRule type="expression" dxfId="4968" priority="5568">
      <formula>R219="T"</formula>
    </cfRule>
  </conditionalFormatting>
  <conditionalFormatting sqref="R221">
    <cfRule type="expression" dxfId="4967" priority="5563">
      <formula>R221="X"</formula>
    </cfRule>
    <cfRule type="expression" dxfId="4966" priority="5564">
      <formula>R221="A"</formula>
    </cfRule>
    <cfRule type="expression" dxfId="4965" priority="5565">
      <formula>R221="T"</formula>
    </cfRule>
  </conditionalFormatting>
  <conditionalFormatting sqref="R222">
    <cfRule type="expression" dxfId="4964" priority="5560">
      <formula>R221="X"</formula>
    </cfRule>
    <cfRule type="expression" dxfId="4963" priority="5561">
      <formula>R221="A"</formula>
    </cfRule>
    <cfRule type="expression" dxfId="4962" priority="5562">
      <formula>R221="T"</formula>
    </cfRule>
  </conditionalFormatting>
  <conditionalFormatting sqref="R223">
    <cfRule type="expression" dxfId="4961" priority="5557">
      <formula>R223="X"</formula>
    </cfRule>
    <cfRule type="expression" dxfId="4960" priority="5558">
      <formula>R223="A"</formula>
    </cfRule>
    <cfRule type="expression" dxfId="4959" priority="5559">
      <formula>R223="T"</formula>
    </cfRule>
  </conditionalFormatting>
  <conditionalFormatting sqref="R224">
    <cfRule type="expression" dxfId="4958" priority="5554">
      <formula>R223="X"</formula>
    </cfRule>
    <cfRule type="expression" dxfId="4957" priority="5555">
      <formula>R223="A"</formula>
    </cfRule>
    <cfRule type="expression" dxfId="4956" priority="5556">
      <formula>R223="T"</formula>
    </cfRule>
  </conditionalFormatting>
  <conditionalFormatting sqref="R4">
    <cfRule type="expression" dxfId="4955" priority="5551">
      <formula>R4="X"</formula>
    </cfRule>
    <cfRule type="expression" dxfId="4954" priority="5552">
      <formula>R4="A"</formula>
    </cfRule>
    <cfRule type="expression" dxfId="4953" priority="5553">
      <formula>R4="T"</formula>
    </cfRule>
  </conditionalFormatting>
  <conditionalFormatting sqref="R5">
    <cfRule type="expression" dxfId="4952" priority="5548">
      <formula>R4="X"</formula>
    </cfRule>
    <cfRule type="expression" dxfId="4951" priority="5549">
      <formula>R4="A"</formula>
    </cfRule>
    <cfRule type="expression" dxfId="4950" priority="5550">
      <formula>R4="T"</formula>
    </cfRule>
  </conditionalFormatting>
  <conditionalFormatting sqref="R8">
    <cfRule type="expression" dxfId="4949" priority="5539">
      <formula>R8="X"</formula>
    </cfRule>
    <cfRule type="expression" dxfId="4948" priority="5540">
      <formula>R8="A"</formula>
    </cfRule>
    <cfRule type="expression" dxfId="4947" priority="5541">
      <formula>R8="T"</formula>
    </cfRule>
  </conditionalFormatting>
  <conditionalFormatting sqref="R9">
    <cfRule type="expression" dxfId="4946" priority="5536">
      <formula>R8="X"</formula>
    </cfRule>
    <cfRule type="expression" dxfId="4945" priority="5537">
      <formula>R8="A"</formula>
    </cfRule>
    <cfRule type="expression" dxfId="4944" priority="5538">
      <formula>R8="T"</formula>
    </cfRule>
  </conditionalFormatting>
  <conditionalFormatting sqref="R74">
    <cfRule type="expression" dxfId="4943" priority="5533">
      <formula>R74="X"</formula>
    </cfRule>
    <cfRule type="expression" dxfId="4942" priority="5534">
      <formula>R74="A"</formula>
    </cfRule>
    <cfRule type="expression" dxfId="4941" priority="5535">
      <formula>R74="T"</formula>
    </cfRule>
  </conditionalFormatting>
  <conditionalFormatting sqref="R75">
    <cfRule type="expression" dxfId="4940" priority="5530">
      <formula>R74="X"</formula>
    </cfRule>
    <cfRule type="expression" dxfId="4939" priority="5531">
      <formula>R74="A"</formula>
    </cfRule>
    <cfRule type="expression" dxfId="4938" priority="5532">
      <formula>R74="T"</formula>
    </cfRule>
  </conditionalFormatting>
  <conditionalFormatting sqref="R76">
    <cfRule type="expression" dxfId="4937" priority="5527">
      <formula>R76="X"</formula>
    </cfRule>
    <cfRule type="expression" dxfId="4936" priority="5528">
      <formula>R76="A"</formula>
    </cfRule>
    <cfRule type="expression" dxfId="4935" priority="5529">
      <formula>R76="T"</formula>
    </cfRule>
  </conditionalFormatting>
  <conditionalFormatting sqref="R77">
    <cfRule type="expression" dxfId="4934" priority="5524">
      <formula>R76="X"</formula>
    </cfRule>
    <cfRule type="expression" dxfId="4933" priority="5525">
      <formula>R76="A"</formula>
    </cfRule>
    <cfRule type="expression" dxfId="4932" priority="5526">
      <formula>R76="T"</formula>
    </cfRule>
  </conditionalFormatting>
  <conditionalFormatting sqref="R78">
    <cfRule type="expression" dxfId="4931" priority="5521">
      <formula>R78="X"</formula>
    </cfRule>
    <cfRule type="expression" dxfId="4930" priority="5522">
      <formula>R78="A"</formula>
    </cfRule>
    <cfRule type="expression" dxfId="4929" priority="5523">
      <formula>R78="T"</formula>
    </cfRule>
  </conditionalFormatting>
  <conditionalFormatting sqref="R79">
    <cfRule type="expression" dxfId="4928" priority="5518">
      <formula>R78="X"</formula>
    </cfRule>
    <cfRule type="expression" dxfId="4927" priority="5519">
      <formula>R78="A"</formula>
    </cfRule>
    <cfRule type="expression" dxfId="4926" priority="5520">
      <formula>R78="T"</formula>
    </cfRule>
  </conditionalFormatting>
  <conditionalFormatting sqref="R134">
    <cfRule type="expression" dxfId="4925" priority="5515">
      <formula>R134="X"</formula>
    </cfRule>
    <cfRule type="expression" dxfId="4924" priority="5516">
      <formula>R134="A"</formula>
    </cfRule>
    <cfRule type="expression" dxfId="4923" priority="5517">
      <formula>R134="T"</formula>
    </cfRule>
  </conditionalFormatting>
  <conditionalFormatting sqref="R135">
    <cfRule type="expression" dxfId="4922" priority="5512">
      <formula>R134="X"</formula>
    </cfRule>
    <cfRule type="expression" dxfId="4921" priority="5513">
      <formula>R134="A"</formula>
    </cfRule>
    <cfRule type="expression" dxfId="4920" priority="5514">
      <formula>R134="T"</formula>
    </cfRule>
  </conditionalFormatting>
  <conditionalFormatting sqref="R137">
    <cfRule type="expression" dxfId="4919" priority="5506">
      <formula>R136="X"</formula>
    </cfRule>
    <cfRule type="expression" dxfId="4918" priority="5507">
      <formula>R136="A"</formula>
    </cfRule>
    <cfRule type="expression" dxfId="4917" priority="5508">
      <formula>R136="T"</formula>
    </cfRule>
  </conditionalFormatting>
  <conditionalFormatting sqref="R138">
    <cfRule type="expression" dxfId="4916" priority="5503">
      <formula>R138="X"</formula>
    </cfRule>
    <cfRule type="expression" dxfId="4915" priority="5504">
      <formula>R138="A"</formula>
    </cfRule>
    <cfRule type="expression" dxfId="4914" priority="5505">
      <formula>R138="T"</formula>
    </cfRule>
  </conditionalFormatting>
  <conditionalFormatting sqref="R139">
    <cfRule type="expression" dxfId="4913" priority="5500">
      <formula>R138="X"</formula>
    </cfRule>
    <cfRule type="expression" dxfId="4912" priority="5501">
      <formula>R138="A"</formula>
    </cfRule>
    <cfRule type="expression" dxfId="4911" priority="5502">
      <formula>R138="T"</formula>
    </cfRule>
  </conditionalFormatting>
  <conditionalFormatting sqref="R10">
    <cfRule type="expression" dxfId="4910" priority="5497" stopIfTrue="1">
      <formula>R4=""</formula>
    </cfRule>
  </conditionalFormatting>
  <conditionalFormatting sqref="R10">
    <cfRule type="expression" dxfId="4909" priority="5498" stopIfTrue="1">
      <formula>R10=1</formula>
    </cfRule>
    <cfRule type="colorScale" priority="5499">
      <colorScale>
        <cfvo type="num" val="0"/>
        <cfvo type="num" val="0.5"/>
        <cfvo type="num" val="1"/>
        <color rgb="FFF8696B"/>
        <color theme="4" tint="0.79998168889431442"/>
        <color rgb="FF5A8AC6"/>
      </colorScale>
    </cfRule>
  </conditionalFormatting>
  <conditionalFormatting sqref="R15">
    <cfRule type="expression" dxfId="4908" priority="5494" stopIfTrue="1">
      <formula>R11=""</formula>
    </cfRule>
  </conditionalFormatting>
  <conditionalFormatting sqref="R15">
    <cfRule type="expression" dxfId="4907" priority="5495" stopIfTrue="1">
      <formula>R15=1</formula>
    </cfRule>
    <cfRule type="colorScale" priority="5496">
      <colorScale>
        <cfvo type="num" val="0"/>
        <cfvo type="num" val="0.5"/>
        <cfvo type="num" val="1"/>
        <color rgb="FFF8696B"/>
        <color theme="4" tint="0.79998168889431442"/>
        <color rgb="FF5A8AC6"/>
      </colorScale>
    </cfRule>
  </conditionalFormatting>
  <conditionalFormatting sqref="R38">
    <cfRule type="expression" dxfId="4906" priority="5491" stopIfTrue="1">
      <formula>R16=""</formula>
    </cfRule>
  </conditionalFormatting>
  <conditionalFormatting sqref="R38">
    <cfRule type="expression" dxfId="4905" priority="5492" stopIfTrue="1">
      <formula>R38=1</formula>
    </cfRule>
    <cfRule type="colorScale" priority="5493">
      <colorScale>
        <cfvo type="num" val="0"/>
        <cfvo type="num" val="0.5"/>
        <cfvo type="num" val="1"/>
        <color rgb="FFF8696B"/>
        <color theme="4" tint="0.79998168889431442"/>
        <color rgb="FF5A8AC6"/>
      </colorScale>
    </cfRule>
  </conditionalFormatting>
  <conditionalFormatting sqref="R47">
    <cfRule type="expression" dxfId="4904" priority="5488" stopIfTrue="1">
      <formula>R39=""</formula>
    </cfRule>
  </conditionalFormatting>
  <conditionalFormatting sqref="R47">
    <cfRule type="expression" dxfId="4903" priority="5489" stopIfTrue="1">
      <formula>R47=1</formula>
    </cfRule>
    <cfRule type="colorScale" priority="5490">
      <colorScale>
        <cfvo type="num" val="0"/>
        <cfvo type="num" val="0.5"/>
        <cfvo type="num" val="1"/>
        <color rgb="FFF8696B"/>
        <color theme="4" tint="0.79998168889431442"/>
        <color rgb="FF5A8AC6"/>
      </colorScale>
    </cfRule>
  </conditionalFormatting>
  <conditionalFormatting sqref="R69">
    <cfRule type="expression" dxfId="4902" priority="5482" stopIfTrue="1">
      <formula>R63=""</formula>
    </cfRule>
  </conditionalFormatting>
  <conditionalFormatting sqref="R69">
    <cfRule type="expression" dxfId="4901" priority="5483" stopIfTrue="1">
      <formula>R69=1</formula>
    </cfRule>
    <cfRule type="colorScale" priority="5484">
      <colorScale>
        <cfvo type="num" val="0"/>
        <cfvo type="num" val="0.5"/>
        <cfvo type="num" val="1"/>
        <color rgb="FFF8696B"/>
        <color theme="4" tint="0.79998168889431442"/>
        <color rgb="FF5A8AC6"/>
      </colorScale>
    </cfRule>
  </conditionalFormatting>
  <conditionalFormatting sqref="R80">
    <cfRule type="expression" dxfId="4900" priority="5479" stopIfTrue="1">
      <formula>R74=""</formula>
    </cfRule>
  </conditionalFormatting>
  <conditionalFormatting sqref="R80">
    <cfRule type="expression" dxfId="4899" priority="5480" stopIfTrue="1">
      <formula>R80=1</formula>
    </cfRule>
    <cfRule type="colorScale" priority="5481">
      <colorScale>
        <cfvo type="num" val="0"/>
        <cfvo type="num" val="0.5"/>
        <cfvo type="num" val="1"/>
        <color rgb="FFF8696B"/>
        <color theme="4" tint="0.79998168889431442"/>
        <color rgb="FF5A8AC6"/>
      </colorScale>
    </cfRule>
  </conditionalFormatting>
  <conditionalFormatting sqref="R87">
    <cfRule type="expression" dxfId="4898" priority="5476" stopIfTrue="1">
      <formula>R81=""</formula>
    </cfRule>
  </conditionalFormatting>
  <conditionalFormatting sqref="R87">
    <cfRule type="expression" dxfId="4897" priority="5477" stopIfTrue="1">
      <formula>R87=1</formula>
    </cfRule>
    <cfRule type="colorScale" priority="5478">
      <colorScale>
        <cfvo type="num" val="0"/>
        <cfvo type="num" val="0.5"/>
        <cfvo type="num" val="1"/>
        <color rgb="FFF8696B"/>
        <color theme="4" tint="0.79998168889431442"/>
        <color rgb="FF5A8AC6"/>
      </colorScale>
    </cfRule>
  </conditionalFormatting>
  <conditionalFormatting sqref="R104">
    <cfRule type="expression" dxfId="4896" priority="5473" stopIfTrue="1">
      <formula>R88=""</formula>
    </cfRule>
  </conditionalFormatting>
  <conditionalFormatting sqref="R104">
    <cfRule type="expression" dxfId="4895" priority="5474" stopIfTrue="1">
      <formula>R104=1</formula>
    </cfRule>
    <cfRule type="colorScale" priority="5475">
      <colorScale>
        <cfvo type="num" val="0"/>
        <cfvo type="num" val="0.5"/>
        <cfvo type="num" val="1"/>
        <color rgb="FFF8696B"/>
        <color theme="4" tint="0.79998168889431442"/>
        <color rgb="FF5A8AC6"/>
      </colorScale>
    </cfRule>
  </conditionalFormatting>
  <conditionalFormatting sqref="R115">
    <cfRule type="expression" dxfId="4894" priority="5470" stopIfTrue="1">
      <formula>R105=""</formula>
    </cfRule>
  </conditionalFormatting>
  <conditionalFormatting sqref="R115">
    <cfRule type="expression" dxfId="4893" priority="5471" stopIfTrue="1">
      <formula>R115=1</formula>
    </cfRule>
    <cfRule type="colorScale" priority="5472">
      <colorScale>
        <cfvo type="num" val="0"/>
        <cfvo type="num" val="0.5"/>
        <cfvo type="num" val="1"/>
        <color rgb="FFF8696B"/>
        <color theme="4" tint="0.79998168889431442"/>
        <color rgb="FF5A8AC6"/>
      </colorScale>
    </cfRule>
  </conditionalFormatting>
  <conditionalFormatting sqref="R124">
    <cfRule type="expression" dxfId="4892" priority="5467" stopIfTrue="1">
      <formula>R116=""</formula>
    </cfRule>
  </conditionalFormatting>
  <conditionalFormatting sqref="R124">
    <cfRule type="expression" dxfId="4891" priority="5468" stopIfTrue="1">
      <formula>R124=1</formula>
    </cfRule>
    <cfRule type="colorScale" priority="5469">
      <colorScale>
        <cfvo type="num" val="0"/>
        <cfvo type="num" val="0.5"/>
        <cfvo type="num" val="1"/>
        <color rgb="FFF8696B"/>
        <color theme="4" tint="0.79998168889431442"/>
        <color rgb="FF5A8AC6"/>
      </colorScale>
    </cfRule>
  </conditionalFormatting>
  <conditionalFormatting sqref="R129">
    <cfRule type="expression" dxfId="4890" priority="5464" stopIfTrue="1">
      <formula>R125=""</formula>
    </cfRule>
  </conditionalFormatting>
  <conditionalFormatting sqref="R129">
    <cfRule type="expression" dxfId="4889" priority="5465" stopIfTrue="1">
      <formula>R129=1</formula>
    </cfRule>
    <cfRule type="colorScale" priority="5466">
      <colorScale>
        <cfvo type="num" val="0"/>
        <cfvo type="num" val="0.5"/>
        <cfvo type="num" val="1"/>
        <color rgb="FFF8696B"/>
        <color theme="4" tint="0.79998168889431442"/>
        <color rgb="FF5A8AC6"/>
      </colorScale>
    </cfRule>
  </conditionalFormatting>
  <conditionalFormatting sqref="R140">
    <cfRule type="expression" dxfId="4888" priority="5461" stopIfTrue="1">
      <formula>R134=""</formula>
    </cfRule>
  </conditionalFormatting>
  <conditionalFormatting sqref="R140">
    <cfRule type="expression" dxfId="4887" priority="5462" stopIfTrue="1">
      <formula>R140=1</formula>
    </cfRule>
    <cfRule type="colorScale" priority="5463">
      <colorScale>
        <cfvo type="num" val="0"/>
        <cfvo type="num" val="0.5"/>
        <cfvo type="num" val="1"/>
        <color rgb="FFF8696B"/>
        <color theme="4" tint="0.79998168889431442"/>
        <color rgb="FF5A8AC6"/>
      </colorScale>
    </cfRule>
  </conditionalFormatting>
  <conditionalFormatting sqref="R145">
    <cfRule type="expression" dxfId="4886" priority="5458" stopIfTrue="1">
      <formula>R141=""</formula>
    </cfRule>
  </conditionalFormatting>
  <conditionalFormatting sqref="R145">
    <cfRule type="expression" dxfId="4885" priority="5459" stopIfTrue="1">
      <formula>R145=1</formula>
    </cfRule>
    <cfRule type="colorScale" priority="5460">
      <colorScale>
        <cfvo type="num" val="0"/>
        <cfvo type="num" val="0.5"/>
        <cfvo type="num" val="1"/>
        <color rgb="FFF8696B"/>
        <color theme="4" tint="0.79998168889431442"/>
        <color rgb="FF5A8AC6"/>
      </colorScale>
    </cfRule>
  </conditionalFormatting>
  <conditionalFormatting sqref="R153">
    <cfRule type="expression" dxfId="4884" priority="5455" stopIfTrue="1">
      <formula>R149=""</formula>
    </cfRule>
  </conditionalFormatting>
  <conditionalFormatting sqref="R153">
    <cfRule type="expression" dxfId="4883" priority="5456" stopIfTrue="1">
      <formula>R153=1</formula>
    </cfRule>
    <cfRule type="colorScale" priority="5457">
      <colorScale>
        <cfvo type="num" val="0"/>
        <cfvo type="num" val="0.5"/>
        <cfvo type="num" val="1"/>
        <color rgb="FFF8696B"/>
        <color theme="4" tint="0.79998168889431442"/>
        <color rgb="FF5A8AC6"/>
      </colorScale>
    </cfRule>
  </conditionalFormatting>
  <conditionalFormatting sqref="R165">
    <cfRule type="expression" dxfId="4882" priority="5452" stopIfTrue="1">
      <formula>R155=""</formula>
    </cfRule>
  </conditionalFormatting>
  <conditionalFormatting sqref="R165">
    <cfRule type="expression" dxfId="4881" priority="5453" stopIfTrue="1">
      <formula>R165=1</formula>
    </cfRule>
    <cfRule type="colorScale" priority="5454">
      <colorScale>
        <cfvo type="num" val="0"/>
        <cfvo type="num" val="0.5"/>
        <cfvo type="num" val="1"/>
        <color rgb="FFF8696B"/>
        <color theme="4" tint="0.79998168889431442"/>
        <color rgb="FF5A8AC6"/>
      </colorScale>
    </cfRule>
  </conditionalFormatting>
  <conditionalFormatting sqref="R187">
    <cfRule type="expression" dxfId="4880" priority="5449" stopIfTrue="1">
      <formula>R183=""</formula>
    </cfRule>
  </conditionalFormatting>
  <conditionalFormatting sqref="R187">
    <cfRule type="expression" dxfId="4879" priority="5450" stopIfTrue="1">
      <formula>R187=1</formula>
    </cfRule>
    <cfRule type="colorScale" priority="5451">
      <colorScale>
        <cfvo type="num" val="0"/>
        <cfvo type="num" val="0.5"/>
        <cfvo type="num" val="1"/>
        <color rgb="FFF8696B"/>
        <color theme="4" tint="0.79998168889431442"/>
        <color rgb="FF5A8AC6"/>
      </colorScale>
    </cfRule>
  </conditionalFormatting>
  <conditionalFormatting sqref="R193">
    <cfRule type="expression" dxfId="4878" priority="5446" stopIfTrue="1">
      <formula>R189=""</formula>
    </cfRule>
  </conditionalFormatting>
  <conditionalFormatting sqref="R193">
    <cfRule type="expression" dxfId="4877" priority="5447" stopIfTrue="1">
      <formula>R193=1</formula>
    </cfRule>
    <cfRule type="colorScale" priority="5448">
      <colorScale>
        <cfvo type="num" val="0"/>
        <cfvo type="num" val="0.5"/>
        <cfvo type="num" val="1"/>
        <color rgb="FFF8696B"/>
        <color theme="4" tint="0.79998168889431442"/>
        <color rgb="FF5A8AC6"/>
      </colorScale>
    </cfRule>
  </conditionalFormatting>
  <conditionalFormatting sqref="R181">
    <cfRule type="expression" dxfId="4876" priority="5443" stopIfTrue="1">
      <formula>R167=""</formula>
    </cfRule>
  </conditionalFormatting>
  <conditionalFormatting sqref="R181">
    <cfRule type="expression" dxfId="4875" priority="5444" stopIfTrue="1">
      <formula>R181=1</formula>
    </cfRule>
    <cfRule type="colorScale" priority="5445">
      <colorScale>
        <cfvo type="num" val="0"/>
        <cfvo type="num" val="0.5"/>
        <cfvo type="num" val="1"/>
        <color rgb="FFF8696B"/>
        <color theme="4" tint="0.79998168889431442"/>
        <color rgb="FF5A8AC6"/>
      </colorScale>
    </cfRule>
  </conditionalFormatting>
  <conditionalFormatting sqref="R209">
    <cfRule type="expression" dxfId="4874" priority="5440" stopIfTrue="1">
      <formula>R195=""</formula>
    </cfRule>
  </conditionalFormatting>
  <conditionalFormatting sqref="R209">
    <cfRule type="expression" dxfId="4873" priority="5441" stopIfTrue="1">
      <formula>R209=1</formula>
    </cfRule>
    <cfRule type="colorScale" priority="5442">
      <colorScale>
        <cfvo type="num" val="0"/>
        <cfvo type="num" val="0.5"/>
        <cfvo type="num" val="1"/>
        <color rgb="FFF8696B"/>
        <color theme="4" tint="0.79998168889431442"/>
        <color rgb="FF5A8AC6"/>
      </colorScale>
    </cfRule>
  </conditionalFormatting>
  <conditionalFormatting sqref="R225">
    <cfRule type="expression" dxfId="4872" priority="5437" stopIfTrue="1">
      <formula>R211=""</formula>
    </cfRule>
  </conditionalFormatting>
  <conditionalFormatting sqref="R225">
    <cfRule type="expression" dxfId="4871" priority="5438" stopIfTrue="1">
      <formula>R225=1</formula>
    </cfRule>
    <cfRule type="colorScale" priority="5439">
      <colorScale>
        <cfvo type="num" val="0"/>
        <cfvo type="num" val="0.5"/>
        <cfvo type="num" val="1"/>
        <color rgb="FFF8696B"/>
        <color theme="4" tint="0.79998168889431442"/>
        <color rgb="FF5A8AC6"/>
      </colorScale>
    </cfRule>
  </conditionalFormatting>
  <conditionalFormatting sqref="R71">
    <cfRule type="expression" dxfId="4870" priority="5429" stopIfTrue="1">
      <formula>R71=1</formula>
    </cfRule>
    <cfRule type="colorScale" priority="5430">
      <colorScale>
        <cfvo type="num" val="0"/>
        <cfvo type="num" val="0.5"/>
        <cfvo type="num" val="1"/>
        <color rgb="FFF8696B"/>
        <color theme="4" tint="0.79998168889431442"/>
        <color rgb="FF5A8AC6"/>
      </colorScale>
    </cfRule>
  </conditionalFormatting>
  <conditionalFormatting sqref="R147">
    <cfRule type="expression" dxfId="4869" priority="5434" stopIfTrue="1">
      <formula>R134=""</formula>
    </cfRule>
  </conditionalFormatting>
  <conditionalFormatting sqref="R147">
    <cfRule type="expression" dxfId="4868" priority="5435" stopIfTrue="1">
      <formula>R147=1</formula>
    </cfRule>
    <cfRule type="colorScale" priority="5436">
      <colorScale>
        <cfvo type="num" val="0"/>
        <cfvo type="num" val="0.5"/>
        <cfvo type="num" val="1"/>
        <color rgb="FFF8696B"/>
        <color theme="4" tint="0.79998168889431442"/>
        <color rgb="FF5A8AC6"/>
      </colorScale>
    </cfRule>
  </conditionalFormatting>
  <conditionalFormatting sqref="R131">
    <cfRule type="expression" dxfId="4867" priority="5431" stopIfTrue="1">
      <formula>R74=""</formula>
    </cfRule>
  </conditionalFormatting>
  <conditionalFormatting sqref="R131">
    <cfRule type="expression" dxfId="4866" priority="5432" stopIfTrue="1">
      <formula>R131=1</formula>
    </cfRule>
    <cfRule type="colorScale" priority="5433">
      <colorScale>
        <cfvo type="num" val="0"/>
        <cfvo type="num" val="0.5"/>
        <cfvo type="num" val="1"/>
        <color rgb="FFF8696B"/>
        <color theme="4" tint="0.79998168889431442"/>
        <color rgb="FF5A8AC6"/>
      </colorScale>
    </cfRule>
  </conditionalFormatting>
  <conditionalFormatting sqref="R71">
    <cfRule type="expression" dxfId="4865" priority="5428" stopIfTrue="1">
      <formula>R65=""</formula>
    </cfRule>
  </conditionalFormatting>
  <conditionalFormatting sqref="R195">
    <cfRule type="expression" dxfId="4864" priority="5425">
      <formula>R195="X"</formula>
    </cfRule>
    <cfRule type="expression" dxfId="4863" priority="5426">
      <formula>R195="A"</formula>
    </cfRule>
    <cfRule type="expression" dxfId="4862" priority="5427">
      <formula>R195="T"</formula>
    </cfRule>
  </conditionalFormatting>
  <conditionalFormatting sqref="R203">
    <cfRule type="expression" dxfId="4861" priority="5422">
      <formula>R203="X"</formula>
    </cfRule>
    <cfRule type="expression" dxfId="4860" priority="5423">
      <formula>R203="A"</formula>
    </cfRule>
    <cfRule type="expression" dxfId="4859" priority="5424">
      <formula>R203="T"</formula>
    </cfRule>
  </conditionalFormatting>
  <conditionalFormatting sqref="R205">
    <cfRule type="expression" dxfId="4858" priority="5419">
      <formula>R205="X"</formula>
    </cfRule>
    <cfRule type="expression" dxfId="4857" priority="5420">
      <formula>R205="A"</formula>
    </cfRule>
    <cfRule type="expression" dxfId="4856" priority="5421">
      <formula>R205="T"</formula>
    </cfRule>
  </conditionalFormatting>
  <conditionalFormatting sqref="R207">
    <cfRule type="expression" dxfId="4855" priority="5416">
      <formula>R207="X"</formula>
    </cfRule>
    <cfRule type="expression" dxfId="4854" priority="5417">
      <formula>R207="A"</formula>
    </cfRule>
    <cfRule type="expression" dxfId="4853" priority="5418">
      <formula>R207="T"</formula>
    </cfRule>
  </conditionalFormatting>
  <conditionalFormatting sqref="R204">
    <cfRule type="expression" dxfId="4852" priority="5413">
      <formula>R203="X"</formula>
    </cfRule>
    <cfRule type="expression" dxfId="4851" priority="5414">
      <formula>R203="A"</formula>
    </cfRule>
    <cfRule type="expression" dxfId="4850" priority="5415">
      <formula>R203="T"</formula>
    </cfRule>
  </conditionalFormatting>
  <conditionalFormatting sqref="R206">
    <cfRule type="expression" dxfId="4849" priority="5410">
      <formula>R205="X"</formula>
    </cfRule>
    <cfRule type="expression" dxfId="4848" priority="5411">
      <formula>R205="A"</formula>
    </cfRule>
    <cfRule type="expression" dxfId="4847" priority="5412">
      <formula>R205="T"</formula>
    </cfRule>
  </conditionalFormatting>
  <conditionalFormatting sqref="R196">
    <cfRule type="expression" dxfId="4846" priority="5407">
      <formula>R195="X"</formula>
    </cfRule>
    <cfRule type="expression" dxfId="4845" priority="5408">
      <formula>R195="A"</formula>
    </cfRule>
    <cfRule type="expression" dxfId="4844" priority="5409">
      <formula>R195="T"</formula>
    </cfRule>
  </conditionalFormatting>
  <conditionalFormatting sqref="R197">
    <cfRule type="expression" dxfId="4843" priority="5404">
      <formula>R197="X"</formula>
    </cfRule>
    <cfRule type="expression" dxfId="4842" priority="5405">
      <formula>R197="A"</formula>
    </cfRule>
    <cfRule type="expression" dxfId="4841" priority="5406">
      <formula>R197="T"</formula>
    </cfRule>
  </conditionalFormatting>
  <conditionalFormatting sqref="R198">
    <cfRule type="expression" dxfId="4840" priority="5401">
      <formula>R197="X"</formula>
    </cfRule>
    <cfRule type="expression" dxfId="4839" priority="5402">
      <formula>R197="A"</formula>
    </cfRule>
    <cfRule type="expression" dxfId="4838" priority="5403">
      <formula>R197="T"</formula>
    </cfRule>
  </conditionalFormatting>
  <conditionalFormatting sqref="R199">
    <cfRule type="expression" dxfId="4837" priority="5398">
      <formula>R199="X"</formula>
    </cfRule>
    <cfRule type="expression" dxfId="4836" priority="5399">
      <formula>R199="A"</formula>
    </cfRule>
    <cfRule type="expression" dxfId="4835" priority="5400">
      <formula>R199="T"</formula>
    </cfRule>
  </conditionalFormatting>
  <conditionalFormatting sqref="R200">
    <cfRule type="expression" dxfId="4834" priority="5395">
      <formula>R199="X"</formula>
    </cfRule>
    <cfRule type="expression" dxfId="4833" priority="5396">
      <formula>R199="A"</formula>
    </cfRule>
    <cfRule type="expression" dxfId="4832" priority="5397">
      <formula>R199="T"</formula>
    </cfRule>
  </conditionalFormatting>
  <conditionalFormatting sqref="R201">
    <cfRule type="expression" dxfId="4831" priority="5392">
      <formula>R201="X"</formula>
    </cfRule>
    <cfRule type="expression" dxfId="4830" priority="5393">
      <formula>R201="A"</formula>
    </cfRule>
    <cfRule type="expression" dxfId="4829" priority="5394">
      <formula>R201="T"</formula>
    </cfRule>
  </conditionalFormatting>
  <conditionalFormatting sqref="R202">
    <cfRule type="expression" dxfId="4828" priority="5389">
      <formula>R201="X"</formula>
    </cfRule>
    <cfRule type="expression" dxfId="4827" priority="5390">
      <formula>R201="A"</formula>
    </cfRule>
    <cfRule type="expression" dxfId="4826" priority="5391">
      <formula>R201="T"</formula>
    </cfRule>
  </conditionalFormatting>
  <conditionalFormatting sqref="R72">
    <cfRule type="expression" dxfId="4825" priority="5386" stopIfTrue="1">
      <formula>R4=""</formula>
    </cfRule>
  </conditionalFormatting>
  <conditionalFormatting sqref="R72">
    <cfRule type="expression" dxfId="4824" priority="5387" stopIfTrue="1">
      <formula>R72=1</formula>
    </cfRule>
    <cfRule type="colorScale" priority="5388">
      <colorScale>
        <cfvo type="num" val="0"/>
        <cfvo type="num" val="0.5"/>
        <cfvo type="num" val="1"/>
        <color rgb="FFF8696B"/>
        <color theme="4" tint="0.79998168889431442"/>
        <color rgb="FF5A8AC6"/>
      </colorScale>
    </cfRule>
  </conditionalFormatting>
  <conditionalFormatting sqref="R132">
    <cfRule type="expression" dxfId="4823" priority="5384" stopIfTrue="1">
      <formula>R132=1</formula>
    </cfRule>
    <cfRule type="colorScale" priority="5385">
      <colorScale>
        <cfvo type="num" val="0"/>
        <cfvo type="num" val="0.5"/>
        <cfvo type="num" val="1"/>
        <color rgb="FFF8696B"/>
        <color theme="4" tint="0.79998168889431442"/>
        <color rgb="FF5A8AC6"/>
      </colorScale>
    </cfRule>
  </conditionalFormatting>
  <conditionalFormatting sqref="R132">
    <cfRule type="expression" dxfId="4822" priority="5383" stopIfTrue="1">
      <formula>R74=""</formula>
    </cfRule>
  </conditionalFormatting>
  <conditionalFormatting sqref="R230:R237">
    <cfRule type="expression" dxfId="4821" priority="5379" stopIfTrue="1">
      <formula>R230=_xlfn.UNICHAR(10003)</formula>
    </cfRule>
    <cfRule type="colorScale" priority="5380">
      <colorScale>
        <cfvo type="num" val="0"/>
        <cfvo type="num" val="0.5"/>
        <cfvo type="num" val="1"/>
        <color rgb="FFF8696B"/>
        <color theme="4" tint="0.79998168889431442"/>
        <color rgb="FF5A8AC6"/>
      </colorScale>
    </cfRule>
  </conditionalFormatting>
  <conditionalFormatting sqref="R239">
    <cfRule type="expression" dxfId="4820" priority="5377" stopIfTrue="1">
      <formula>R239=_xlfn.UNICHAR(10003)</formula>
    </cfRule>
    <cfRule type="colorScale" priority="5378">
      <colorScale>
        <cfvo type="num" val="0"/>
        <cfvo type="num" val="0.5"/>
        <cfvo type="num" val="1"/>
        <color rgb="FFF8696B"/>
        <color theme="4" tint="0.79998168889431442"/>
        <color rgb="FF5A8AC6"/>
      </colorScale>
    </cfRule>
  </conditionalFormatting>
  <conditionalFormatting sqref="R239">
    <cfRule type="expression" dxfId="4819" priority="5375" stopIfTrue="1">
      <formula>R239=1</formula>
    </cfRule>
    <cfRule type="colorScale" priority="5376">
      <colorScale>
        <cfvo type="num" val="0"/>
        <cfvo type="num" val="0.5"/>
        <cfvo type="num" val="1"/>
        <color rgb="FFF8696B"/>
        <color theme="4" tint="0.79998168889431442"/>
        <color rgb="FF5A8AC6"/>
      </colorScale>
    </cfRule>
  </conditionalFormatting>
  <conditionalFormatting sqref="R228">
    <cfRule type="expression" dxfId="4818" priority="5374" stopIfTrue="1">
      <formula>R228=UNICAHR(10003)</formula>
    </cfRule>
    <cfRule type="expression" dxfId="4817" priority="5381" stopIfTrue="1">
      <formula>R228=CONCATENATE(_xlfn.UNICHAR(10003),_xlfn.UNICHAR(10003))</formula>
    </cfRule>
    <cfRule type="colorScale" priority="5382">
      <colorScale>
        <cfvo type="num" val="0"/>
        <cfvo type="num" val="0.5"/>
        <cfvo type="num" val="1"/>
        <color rgb="FFF8696B"/>
        <color theme="4" tint="0.79998168889431442"/>
        <color rgb="FF5A8AC6"/>
      </colorScale>
    </cfRule>
  </conditionalFormatting>
  <conditionalFormatting sqref="R229 R238">
    <cfRule type="expression" dxfId="4816" priority="5371" stopIfTrue="1">
      <formula>R229=_xlfn.UNICHAR(10003)</formula>
    </cfRule>
    <cfRule type="expression" dxfId="4815" priority="5372" stopIfTrue="1">
      <formula>R229=CONCATENATE(_xlfn.UNICHAR(10003),_xlfn.UNICHAR(10003))</formula>
    </cfRule>
    <cfRule type="colorScale" priority="5373">
      <colorScale>
        <cfvo type="num" val="0"/>
        <cfvo type="num" val="0.5"/>
        <cfvo type="num" val="1"/>
        <color rgb="FFF8696B"/>
        <color theme="4" tint="0.79998168889431442"/>
        <color rgb="FF5A8AC6"/>
      </colorScale>
    </cfRule>
  </conditionalFormatting>
  <conditionalFormatting sqref="R238">
    <cfRule type="expression" dxfId="4814" priority="5368" stopIfTrue="1">
      <formula>R238=_xlfn.UNICHAR(10003)</formula>
    </cfRule>
    <cfRule type="expression" dxfId="4813" priority="5369" stopIfTrue="1">
      <formula>R238=CONCATENATE(_xlfn.UNICHAR(10003),_xlfn.UNICHAR(10003))</formula>
    </cfRule>
    <cfRule type="colorScale" priority="5370">
      <colorScale>
        <cfvo type="num" val="0"/>
        <cfvo type="num" val="0.5"/>
        <cfvo type="num" val="1"/>
        <color rgb="FFF8696B"/>
        <color theme="4" tint="0.79998168889431442"/>
        <color rgb="FF5A8AC6"/>
      </colorScale>
    </cfRule>
  </conditionalFormatting>
  <conditionalFormatting sqref="R159">
    <cfRule type="expression" dxfId="4812" priority="5365">
      <formula>R159="X"</formula>
    </cfRule>
    <cfRule type="expression" dxfId="4811" priority="5366">
      <formula>R159="A"</formula>
    </cfRule>
    <cfRule type="expression" dxfId="4810" priority="5367">
      <formula>R159="T"</formula>
    </cfRule>
  </conditionalFormatting>
  <conditionalFormatting sqref="R162">
    <cfRule type="expression" dxfId="4809" priority="5362">
      <formula>R161="X"</formula>
    </cfRule>
    <cfRule type="expression" dxfId="4808" priority="5363">
      <formula>R161="A"</formula>
    </cfRule>
    <cfRule type="expression" dxfId="4807" priority="5364">
      <formula>R161="T"</formula>
    </cfRule>
  </conditionalFormatting>
  <conditionalFormatting sqref="R161">
    <cfRule type="expression" dxfId="4806" priority="5359">
      <formula>R161="X"</formula>
    </cfRule>
    <cfRule type="expression" dxfId="4805" priority="5360">
      <formula>R161="A"</formula>
    </cfRule>
    <cfRule type="expression" dxfId="4804" priority="5361">
      <formula>R161="T"</formula>
    </cfRule>
  </conditionalFormatting>
  <conditionalFormatting sqref="R164">
    <cfRule type="expression" dxfId="4803" priority="5356">
      <formula>R163="X"</formula>
    </cfRule>
    <cfRule type="expression" dxfId="4802" priority="5357">
      <formula>R163="A"</formula>
    </cfRule>
    <cfRule type="expression" dxfId="4801" priority="5358">
      <formula>R163="T"</formula>
    </cfRule>
  </conditionalFormatting>
  <conditionalFormatting sqref="R163">
    <cfRule type="expression" dxfId="4800" priority="5353">
      <formula>R163="X"</formula>
    </cfRule>
    <cfRule type="expression" dxfId="4799" priority="5354">
      <formula>R163="A"</formula>
    </cfRule>
    <cfRule type="expression" dxfId="4798" priority="5355">
      <formula>R163="T"</formula>
    </cfRule>
  </conditionalFormatting>
  <conditionalFormatting sqref="R6">
    <cfRule type="expression" dxfId="4797" priority="5350">
      <formula>R6="X"</formula>
    </cfRule>
    <cfRule type="expression" dxfId="4796" priority="5351">
      <formula>R6="A"</formula>
    </cfRule>
    <cfRule type="expression" dxfId="4795" priority="5352">
      <formula>R6="T"</formula>
    </cfRule>
  </conditionalFormatting>
  <conditionalFormatting sqref="R7">
    <cfRule type="expression" dxfId="4794" priority="5347">
      <formula>R6="X"</formula>
    </cfRule>
    <cfRule type="expression" dxfId="4793" priority="5348">
      <formula>R6="A"</formula>
    </cfRule>
    <cfRule type="expression" dxfId="4792" priority="5349">
      <formula>R6="T"</formula>
    </cfRule>
  </conditionalFormatting>
  <conditionalFormatting sqref="R11">
    <cfRule type="expression" dxfId="4791" priority="5344">
      <formula>R11="X"</formula>
    </cfRule>
    <cfRule type="expression" dxfId="4790" priority="5345">
      <formula>R11="A"</formula>
    </cfRule>
    <cfRule type="expression" dxfId="4789" priority="5346">
      <formula>R11="T"</formula>
    </cfRule>
  </conditionalFormatting>
  <conditionalFormatting sqref="R136">
    <cfRule type="expression" dxfId="4788" priority="5341">
      <formula>R136="X"</formula>
    </cfRule>
    <cfRule type="expression" dxfId="4787" priority="5342">
      <formula>R136="A"</formula>
    </cfRule>
    <cfRule type="expression" dxfId="4786" priority="5343">
      <formula>R136="T"</formula>
    </cfRule>
  </conditionalFormatting>
  <conditionalFormatting sqref="N158">
    <cfRule type="expression" dxfId="4785" priority="5338">
      <formula>N157="X"</formula>
    </cfRule>
    <cfRule type="expression" dxfId="4784" priority="5339">
      <formula>N157="A"</formula>
    </cfRule>
    <cfRule type="expression" dxfId="4783" priority="5340">
      <formula>N157="T"</formula>
    </cfRule>
  </conditionalFormatting>
  <conditionalFormatting sqref="N16 N18 N20 N22 N24 N26 N28 N39 N41 N43 N45 N48 N81 N88 N90 N92 N94 N96 N98 N100 N102 N105 N107 N109 N111 N116">
    <cfRule type="expression" dxfId="4782" priority="5335">
      <formula>N16="X"</formula>
    </cfRule>
    <cfRule type="expression" dxfId="4781" priority="5336">
      <formula>N16="A"</formula>
    </cfRule>
    <cfRule type="expression" dxfId="4780" priority="5337">
      <formula>N16="T"</formula>
    </cfRule>
  </conditionalFormatting>
  <conditionalFormatting sqref="N36">
    <cfRule type="expression" dxfId="4779" priority="5332">
      <formula>N36="X"</formula>
    </cfRule>
    <cfRule type="expression" dxfId="4778" priority="5333">
      <formula>N36="A"</formula>
    </cfRule>
    <cfRule type="expression" dxfId="4777" priority="5334">
      <formula>N36="T"</formula>
    </cfRule>
  </conditionalFormatting>
  <conditionalFormatting sqref="N34">
    <cfRule type="expression" dxfId="4776" priority="5329">
      <formula>N34="X"</formula>
    </cfRule>
    <cfRule type="expression" dxfId="4775" priority="5330">
      <formula>N34="A"</formula>
    </cfRule>
    <cfRule type="expression" dxfId="4774" priority="5331">
      <formula>N34="T"</formula>
    </cfRule>
  </conditionalFormatting>
  <conditionalFormatting sqref="N32">
    <cfRule type="expression" dxfId="4773" priority="5326">
      <formula>N32="X"</formula>
    </cfRule>
    <cfRule type="expression" dxfId="4772" priority="5327">
      <formula>N32="A"</formula>
    </cfRule>
    <cfRule type="expression" dxfId="4771" priority="5328">
      <formula>N32="T"</formula>
    </cfRule>
  </conditionalFormatting>
  <conditionalFormatting sqref="N30">
    <cfRule type="expression" dxfId="4770" priority="5323">
      <formula>N30="X"</formula>
    </cfRule>
    <cfRule type="expression" dxfId="4769" priority="5324">
      <formula>N30="A"</formula>
    </cfRule>
    <cfRule type="expression" dxfId="4768" priority="5325">
      <formula>N30="T"</formula>
    </cfRule>
  </conditionalFormatting>
  <conditionalFormatting sqref="N52">
    <cfRule type="expression" dxfId="4767" priority="5320">
      <formula>N52="X"</formula>
    </cfRule>
    <cfRule type="expression" dxfId="4766" priority="5321">
      <formula>N52="A"</formula>
    </cfRule>
    <cfRule type="expression" dxfId="4765" priority="5322">
      <formula>N52="T"</formula>
    </cfRule>
  </conditionalFormatting>
  <conditionalFormatting sqref="N50">
    <cfRule type="expression" dxfId="4764" priority="5317">
      <formula>N50="X"</formula>
    </cfRule>
    <cfRule type="expression" dxfId="4763" priority="5318">
      <formula>N50="A"</formula>
    </cfRule>
    <cfRule type="expression" dxfId="4762" priority="5319">
      <formula>N50="T"</formula>
    </cfRule>
  </conditionalFormatting>
  <conditionalFormatting sqref="N54">
    <cfRule type="expression" dxfId="4761" priority="5314">
      <formula>N54="X"</formula>
    </cfRule>
    <cfRule type="expression" dxfId="4760" priority="5315">
      <formula>N54="A"</formula>
    </cfRule>
    <cfRule type="expression" dxfId="4759" priority="5316">
      <formula>N54="T"</formula>
    </cfRule>
  </conditionalFormatting>
  <conditionalFormatting sqref="N56">
    <cfRule type="expression" dxfId="4758" priority="5311">
      <formula>N56="X"</formula>
    </cfRule>
    <cfRule type="expression" dxfId="4757" priority="5312">
      <formula>N56="A"</formula>
    </cfRule>
    <cfRule type="expression" dxfId="4756" priority="5313">
      <formula>N56="T"</formula>
    </cfRule>
  </conditionalFormatting>
  <conditionalFormatting sqref="N58">
    <cfRule type="expression" dxfId="4755" priority="5308">
      <formula>N58="X"</formula>
    </cfRule>
    <cfRule type="expression" dxfId="4754" priority="5309">
      <formula>N58="A"</formula>
    </cfRule>
    <cfRule type="expression" dxfId="4753" priority="5310">
      <formula>N58="T"</formula>
    </cfRule>
  </conditionalFormatting>
  <conditionalFormatting sqref="N63">
    <cfRule type="expression" dxfId="4752" priority="5305">
      <formula>N63="X"</formula>
    </cfRule>
    <cfRule type="expression" dxfId="4751" priority="5306">
      <formula>N63="A"</formula>
    </cfRule>
    <cfRule type="expression" dxfId="4750" priority="5307">
      <formula>N63="T"</formula>
    </cfRule>
  </conditionalFormatting>
  <conditionalFormatting sqref="N65">
    <cfRule type="expression" dxfId="4749" priority="5302">
      <formula>N65="X"</formula>
    </cfRule>
    <cfRule type="expression" dxfId="4748" priority="5303">
      <formula>N65="A"</formula>
    </cfRule>
    <cfRule type="expression" dxfId="4747" priority="5304">
      <formula>N65="T"</formula>
    </cfRule>
  </conditionalFormatting>
  <conditionalFormatting sqref="N83">
    <cfRule type="expression" dxfId="4746" priority="5299">
      <formula>N83="X"</formula>
    </cfRule>
    <cfRule type="expression" dxfId="4745" priority="5300">
      <formula>N83="A"</formula>
    </cfRule>
    <cfRule type="expression" dxfId="4744" priority="5301">
      <formula>N83="T"</formula>
    </cfRule>
  </conditionalFormatting>
  <conditionalFormatting sqref="N85">
    <cfRule type="expression" dxfId="4743" priority="5296">
      <formula>N85="X"</formula>
    </cfRule>
    <cfRule type="expression" dxfId="4742" priority="5297">
      <formula>N85="A"</formula>
    </cfRule>
    <cfRule type="expression" dxfId="4741" priority="5298">
      <formula>N85="T"</formula>
    </cfRule>
  </conditionalFormatting>
  <conditionalFormatting sqref="N67">
    <cfRule type="expression" dxfId="4740" priority="5293">
      <formula>N67="X"</formula>
    </cfRule>
    <cfRule type="expression" dxfId="4739" priority="5294">
      <formula>N67="A"</formula>
    </cfRule>
    <cfRule type="expression" dxfId="4738" priority="5295">
      <formula>N67="T"</formula>
    </cfRule>
  </conditionalFormatting>
  <conditionalFormatting sqref="N113">
    <cfRule type="expression" dxfId="4737" priority="5290">
      <formula>N113="X"</formula>
    </cfRule>
    <cfRule type="expression" dxfId="4736" priority="5291">
      <formula>N113="A"</formula>
    </cfRule>
    <cfRule type="expression" dxfId="4735" priority="5292">
      <formula>N113="T"</formula>
    </cfRule>
  </conditionalFormatting>
  <conditionalFormatting sqref="N118">
    <cfRule type="expression" dxfId="4734" priority="5287">
      <formula>N118="X"</formula>
    </cfRule>
    <cfRule type="expression" dxfId="4733" priority="5288">
      <formula>N118="A"</formula>
    </cfRule>
    <cfRule type="expression" dxfId="4732" priority="5289">
      <formula>N118="T"</formula>
    </cfRule>
  </conditionalFormatting>
  <conditionalFormatting sqref="N120">
    <cfRule type="expression" dxfId="4731" priority="5284">
      <formula>N120="X"</formula>
    </cfRule>
    <cfRule type="expression" dxfId="4730" priority="5285">
      <formula>N120="A"</formula>
    </cfRule>
    <cfRule type="expression" dxfId="4729" priority="5286">
      <formula>N120="T"</formula>
    </cfRule>
  </conditionalFormatting>
  <conditionalFormatting sqref="N122">
    <cfRule type="expression" dxfId="4728" priority="5281">
      <formula>N122="X"</formula>
    </cfRule>
    <cfRule type="expression" dxfId="4727" priority="5282">
      <formula>N122="A"</formula>
    </cfRule>
    <cfRule type="expression" dxfId="4726" priority="5283">
      <formula>N122="T"</formula>
    </cfRule>
  </conditionalFormatting>
  <conditionalFormatting sqref="N125">
    <cfRule type="expression" dxfId="4725" priority="5278">
      <formula>N125="X"</formula>
    </cfRule>
    <cfRule type="expression" dxfId="4724" priority="5279">
      <formula>N125="A"</formula>
    </cfRule>
    <cfRule type="expression" dxfId="4723" priority="5280">
      <formula>N125="T"</formula>
    </cfRule>
  </conditionalFormatting>
  <conditionalFormatting sqref="N127">
    <cfRule type="expression" dxfId="4722" priority="5275">
      <formula>N127="X"</formula>
    </cfRule>
    <cfRule type="expression" dxfId="4721" priority="5276">
      <formula>N127="A"</formula>
    </cfRule>
    <cfRule type="expression" dxfId="4720" priority="5277">
      <formula>N127="T"</formula>
    </cfRule>
  </conditionalFormatting>
  <conditionalFormatting sqref="N141">
    <cfRule type="expression" dxfId="4719" priority="5272">
      <formula>N141="X"</formula>
    </cfRule>
    <cfRule type="expression" dxfId="4718" priority="5273">
      <formula>N141="A"</formula>
    </cfRule>
    <cfRule type="expression" dxfId="4717" priority="5274">
      <formula>N141="T"</formula>
    </cfRule>
  </conditionalFormatting>
  <conditionalFormatting sqref="N143">
    <cfRule type="expression" dxfId="4716" priority="5269">
      <formula>N143="X"</formula>
    </cfRule>
    <cfRule type="expression" dxfId="4715" priority="5270">
      <formula>N143="A"</formula>
    </cfRule>
    <cfRule type="expression" dxfId="4714" priority="5271">
      <formula>N143="T"</formula>
    </cfRule>
  </conditionalFormatting>
  <conditionalFormatting sqref="N149">
    <cfRule type="expression" dxfId="4713" priority="5266">
      <formula>N149="X"</formula>
    </cfRule>
    <cfRule type="expression" dxfId="4712" priority="5267">
      <formula>N149="A"</formula>
    </cfRule>
    <cfRule type="expression" dxfId="4711" priority="5268">
      <formula>N149="T"</formula>
    </cfRule>
  </conditionalFormatting>
  <conditionalFormatting sqref="N151">
    <cfRule type="expression" dxfId="4710" priority="5263">
      <formula>N151="X"</formula>
    </cfRule>
    <cfRule type="expression" dxfId="4709" priority="5264">
      <formula>N151="A"</formula>
    </cfRule>
    <cfRule type="expression" dxfId="4708" priority="5265">
      <formula>N151="T"</formula>
    </cfRule>
  </conditionalFormatting>
  <conditionalFormatting sqref="N155">
    <cfRule type="expression" dxfId="4707" priority="5260">
      <formula>N155="X"</formula>
    </cfRule>
    <cfRule type="expression" dxfId="4706" priority="5261">
      <formula>N155="A"</formula>
    </cfRule>
    <cfRule type="expression" dxfId="4705" priority="5262">
      <formula>N155="T"</formula>
    </cfRule>
  </conditionalFormatting>
  <conditionalFormatting sqref="N157">
    <cfRule type="expression" dxfId="4704" priority="5257">
      <formula>N157="X"</formula>
    </cfRule>
    <cfRule type="expression" dxfId="4703" priority="5258">
      <formula>N157="A"</formula>
    </cfRule>
    <cfRule type="expression" dxfId="4702" priority="5259">
      <formula>N157="T"</formula>
    </cfRule>
  </conditionalFormatting>
  <conditionalFormatting sqref="N167">
    <cfRule type="expression" dxfId="4701" priority="5254">
      <formula>N167="X"</formula>
    </cfRule>
    <cfRule type="expression" dxfId="4700" priority="5255">
      <formula>N167="A"</formula>
    </cfRule>
    <cfRule type="expression" dxfId="4699" priority="5256">
      <formula>N167="T"</formula>
    </cfRule>
  </conditionalFormatting>
  <conditionalFormatting sqref="N173">
    <cfRule type="expression" dxfId="4698" priority="5251">
      <formula>N173="X"</formula>
    </cfRule>
    <cfRule type="expression" dxfId="4697" priority="5252">
      <formula>N173="A"</formula>
    </cfRule>
    <cfRule type="expression" dxfId="4696" priority="5253">
      <formula>N173="T"</formula>
    </cfRule>
  </conditionalFormatting>
  <conditionalFormatting sqref="N175">
    <cfRule type="expression" dxfId="4695" priority="5248">
      <formula>N175="X"</formula>
    </cfRule>
    <cfRule type="expression" dxfId="4694" priority="5249">
      <formula>N175="A"</formula>
    </cfRule>
    <cfRule type="expression" dxfId="4693" priority="5250">
      <formula>N175="T"</formula>
    </cfRule>
  </conditionalFormatting>
  <conditionalFormatting sqref="N177">
    <cfRule type="expression" dxfId="4692" priority="5245">
      <formula>N177="X"</formula>
    </cfRule>
    <cfRule type="expression" dxfId="4691" priority="5246">
      <formula>N177="A"</formula>
    </cfRule>
    <cfRule type="expression" dxfId="4690" priority="5247">
      <formula>N177="T"</formula>
    </cfRule>
  </conditionalFormatting>
  <conditionalFormatting sqref="N179">
    <cfRule type="expression" dxfId="4689" priority="5242">
      <formula>N179="X"</formula>
    </cfRule>
    <cfRule type="expression" dxfId="4688" priority="5243">
      <formula>N179="A"</formula>
    </cfRule>
    <cfRule type="expression" dxfId="4687" priority="5244">
      <formula>N179="T"</formula>
    </cfRule>
  </conditionalFormatting>
  <conditionalFormatting sqref="N169">
    <cfRule type="expression" dxfId="4686" priority="5239">
      <formula>N169="X"</formula>
    </cfRule>
    <cfRule type="expression" dxfId="4685" priority="5240">
      <formula>N169="A"</formula>
    </cfRule>
    <cfRule type="expression" dxfId="4684" priority="5241">
      <formula>N169="T"</formula>
    </cfRule>
  </conditionalFormatting>
  <conditionalFormatting sqref="N171">
    <cfRule type="expression" dxfId="4683" priority="5236">
      <formula>N171="X"</formula>
    </cfRule>
    <cfRule type="expression" dxfId="4682" priority="5237">
      <formula>N171="A"</formula>
    </cfRule>
    <cfRule type="expression" dxfId="4681" priority="5238">
      <formula>N171="T"</formula>
    </cfRule>
  </conditionalFormatting>
  <conditionalFormatting sqref="N183">
    <cfRule type="expression" dxfId="4680" priority="5233">
      <formula>N183="X"</formula>
    </cfRule>
    <cfRule type="expression" dxfId="4679" priority="5234">
      <formula>N183="A"</formula>
    </cfRule>
    <cfRule type="expression" dxfId="4678" priority="5235">
      <formula>N183="T"</formula>
    </cfRule>
  </conditionalFormatting>
  <conditionalFormatting sqref="N185">
    <cfRule type="expression" dxfId="4677" priority="5230">
      <formula>N185="X"</formula>
    </cfRule>
    <cfRule type="expression" dxfId="4676" priority="5231">
      <formula>N185="A"</formula>
    </cfRule>
    <cfRule type="expression" dxfId="4675" priority="5232">
      <formula>N185="T"</formula>
    </cfRule>
  </conditionalFormatting>
  <conditionalFormatting sqref="N189">
    <cfRule type="expression" dxfId="4674" priority="5227">
      <formula>N189="X"</formula>
    </cfRule>
    <cfRule type="expression" dxfId="4673" priority="5228">
      <formula>N189="A"</formula>
    </cfRule>
    <cfRule type="expression" dxfId="4672" priority="5229">
      <formula>N189="T"</formula>
    </cfRule>
  </conditionalFormatting>
  <conditionalFormatting sqref="N191">
    <cfRule type="expression" dxfId="4671" priority="5224">
      <formula>N191="X"</formula>
    </cfRule>
    <cfRule type="expression" dxfId="4670" priority="5225">
      <formula>N191="A"</formula>
    </cfRule>
    <cfRule type="expression" dxfId="4669" priority="5226">
      <formula>N191="T"</formula>
    </cfRule>
  </conditionalFormatting>
  <conditionalFormatting sqref="N11">
    <cfRule type="expression" dxfId="4668" priority="5221">
      <formula>N11="X"</formula>
    </cfRule>
    <cfRule type="expression" dxfId="4667" priority="5222">
      <formula>N11="A"</formula>
    </cfRule>
    <cfRule type="expression" dxfId="4666" priority="5223">
      <formula>N11="T"</formula>
    </cfRule>
  </conditionalFormatting>
  <conditionalFormatting sqref="N12">
    <cfRule type="expression" dxfId="4665" priority="5218">
      <formula>N11="X"</formula>
    </cfRule>
    <cfRule type="expression" dxfId="4664" priority="5219">
      <formula>N11="A"</formula>
    </cfRule>
    <cfRule type="expression" dxfId="4663" priority="5220">
      <formula>N11="T"</formula>
    </cfRule>
  </conditionalFormatting>
  <conditionalFormatting sqref="N13">
    <cfRule type="expression" dxfId="4662" priority="5215">
      <formula>N13="X"</formula>
    </cfRule>
    <cfRule type="expression" dxfId="4661" priority="5216">
      <formula>N13="A"</formula>
    </cfRule>
    <cfRule type="expression" dxfId="4660" priority="5217">
      <formula>N13="T"</formula>
    </cfRule>
  </conditionalFormatting>
  <conditionalFormatting sqref="N14">
    <cfRule type="expression" dxfId="4659" priority="5212">
      <formula>N13="X"</formula>
    </cfRule>
    <cfRule type="expression" dxfId="4658" priority="5213">
      <formula>N13="A"</formula>
    </cfRule>
    <cfRule type="expression" dxfId="4657" priority="5214">
      <formula>N13="T"</formula>
    </cfRule>
  </conditionalFormatting>
  <conditionalFormatting sqref="N17">
    <cfRule type="expression" dxfId="4656" priority="5209">
      <formula>N16="X"</formula>
    </cfRule>
    <cfRule type="expression" dxfId="4655" priority="5210">
      <formula>N16="A"</formula>
    </cfRule>
    <cfRule type="expression" dxfId="4654" priority="5211">
      <formula>N16="T"</formula>
    </cfRule>
  </conditionalFormatting>
  <conditionalFormatting sqref="N19">
    <cfRule type="expression" dxfId="4653" priority="5203">
      <formula>N18="X"</formula>
    </cfRule>
    <cfRule type="expression" dxfId="4652" priority="5204">
      <formula>N18="A"</formula>
    </cfRule>
    <cfRule type="expression" dxfId="4651" priority="5205">
      <formula>N18="T"</formula>
    </cfRule>
  </conditionalFormatting>
  <conditionalFormatting sqref="N21">
    <cfRule type="expression" dxfId="4650" priority="5200">
      <formula>N20="X"</formula>
    </cfRule>
    <cfRule type="expression" dxfId="4649" priority="5201">
      <formula>N20="A"</formula>
    </cfRule>
    <cfRule type="expression" dxfId="4648" priority="5202">
      <formula>N20="T"</formula>
    </cfRule>
  </conditionalFormatting>
  <conditionalFormatting sqref="N23">
    <cfRule type="expression" dxfId="4647" priority="5197">
      <formula>N22="X"</formula>
    </cfRule>
    <cfRule type="expression" dxfId="4646" priority="5198">
      <formula>N22="A"</formula>
    </cfRule>
    <cfRule type="expression" dxfId="4645" priority="5199">
      <formula>N22="T"</formula>
    </cfRule>
  </conditionalFormatting>
  <conditionalFormatting sqref="N25">
    <cfRule type="expression" dxfId="4644" priority="5194">
      <formula>N24="X"</formula>
    </cfRule>
    <cfRule type="expression" dxfId="4643" priority="5195">
      <formula>N24="A"</formula>
    </cfRule>
    <cfRule type="expression" dxfId="4642" priority="5196">
      <formula>N24="T"</formula>
    </cfRule>
  </conditionalFormatting>
  <conditionalFormatting sqref="N27">
    <cfRule type="expression" dxfId="4641" priority="5191">
      <formula>N26="X"</formula>
    </cfRule>
    <cfRule type="expression" dxfId="4640" priority="5192">
      <formula>N26="A"</formula>
    </cfRule>
    <cfRule type="expression" dxfId="4639" priority="5193">
      <formula>N26="T"</formula>
    </cfRule>
  </conditionalFormatting>
  <conditionalFormatting sqref="N29">
    <cfRule type="expression" dxfId="4638" priority="5188">
      <formula>N28="X"</formula>
    </cfRule>
    <cfRule type="expression" dxfId="4637" priority="5189">
      <formula>N28="A"</formula>
    </cfRule>
    <cfRule type="expression" dxfId="4636" priority="5190">
      <formula>N28="T"</formula>
    </cfRule>
  </conditionalFormatting>
  <conditionalFormatting sqref="N31">
    <cfRule type="expression" dxfId="4635" priority="5185">
      <formula>N30="X"</formula>
    </cfRule>
    <cfRule type="expression" dxfId="4634" priority="5186">
      <formula>N30="A"</formula>
    </cfRule>
    <cfRule type="expression" dxfId="4633" priority="5187">
      <formula>N30="T"</formula>
    </cfRule>
  </conditionalFormatting>
  <conditionalFormatting sqref="N33">
    <cfRule type="expression" dxfId="4632" priority="5182">
      <formula>N32="X"</formula>
    </cfRule>
    <cfRule type="expression" dxfId="4631" priority="5183">
      <formula>N32="A"</formula>
    </cfRule>
    <cfRule type="expression" dxfId="4630" priority="5184">
      <formula>N32="T"</formula>
    </cfRule>
  </conditionalFormatting>
  <conditionalFormatting sqref="N35">
    <cfRule type="expression" dxfId="4629" priority="5179">
      <formula>N34="X"</formula>
    </cfRule>
    <cfRule type="expression" dxfId="4628" priority="5180">
      <formula>N34="A"</formula>
    </cfRule>
    <cfRule type="expression" dxfId="4627" priority="5181">
      <formula>N34="T"</formula>
    </cfRule>
  </conditionalFormatting>
  <conditionalFormatting sqref="N37">
    <cfRule type="expression" dxfId="4626" priority="5176">
      <formula>N36="X"</formula>
    </cfRule>
    <cfRule type="expression" dxfId="4625" priority="5177">
      <formula>N36="A"</formula>
    </cfRule>
    <cfRule type="expression" dxfId="4624" priority="5178">
      <formula>N36="T"</formula>
    </cfRule>
  </conditionalFormatting>
  <conditionalFormatting sqref="N40">
    <cfRule type="expression" dxfId="4623" priority="5173">
      <formula>N39="X"</formula>
    </cfRule>
    <cfRule type="expression" dxfId="4622" priority="5174">
      <formula>N39="A"</formula>
    </cfRule>
    <cfRule type="expression" dxfId="4621" priority="5175">
      <formula>N39="T"</formula>
    </cfRule>
  </conditionalFormatting>
  <conditionalFormatting sqref="N42">
    <cfRule type="expression" dxfId="4620" priority="5170">
      <formula>N41="X"</formula>
    </cfRule>
    <cfRule type="expression" dxfId="4619" priority="5171">
      <formula>N41="A"</formula>
    </cfRule>
    <cfRule type="expression" dxfId="4618" priority="5172">
      <formula>N41="T"</formula>
    </cfRule>
  </conditionalFormatting>
  <conditionalFormatting sqref="N44">
    <cfRule type="expression" dxfId="4617" priority="5167">
      <formula>N43="X"</formula>
    </cfRule>
    <cfRule type="expression" dxfId="4616" priority="5168">
      <formula>N43="A"</formula>
    </cfRule>
    <cfRule type="expression" dxfId="4615" priority="5169">
      <formula>N43="T"</formula>
    </cfRule>
  </conditionalFormatting>
  <conditionalFormatting sqref="N46">
    <cfRule type="expression" dxfId="4614" priority="5164">
      <formula>N45="X"</formula>
    </cfRule>
    <cfRule type="expression" dxfId="4613" priority="5165">
      <formula>N45="A"</formula>
    </cfRule>
    <cfRule type="expression" dxfId="4612" priority="5166">
      <formula>N45="T"</formula>
    </cfRule>
  </conditionalFormatting>
  <conditionalFormatting sqref="N49">
    <cfRule type="expression" dxfId="4611" priority="5161">
      <formula>N48="X"</formula>
    </cfRule>
    <cfRule type="expression" dxfId="4610" priority="5162">
      <formula>N48="A"</formula>
    </cfRule>
    <cfRule type="expression" dxfId="4609" priority="5163">
      <formula>N48="T"</formula>
    </cfRule>
  </conditionalFormatting>
  <conditionalFormatting sqref="N51">
    <cfRule type="expression" dxfId="4608" priority="5158">
      <formula>N50="X"</formula>
    </cfRule>
    <cfRule type="expression" dxfId="4607" priority="5159">
      <formula>N50="A"</formula>
    </cfRule>
    <cfRule type="expression" dxfId="4606" priority="5160">
      <formula>N50="T"</formula>
    </cfRule>
  </conditionalFormatting>
  <conditionalFormatting sqref="N53">
    <cfRule type="expression" dxfId="4605" priority="5155">
      <formula>N52="X"</formula>
    </cfRule>
    <cfRule type="expression" dxfId="4604" priority="5156">
      <formula>N52="A"</formula>
    </cfRule>
    <cfRule type="expression" dxfId="4603" priority="5157">
      <formula>N52="T"</formula>
    </cfRule>
  </conditionalFormatting>
  <conditionalFormatting sqref="N55">
    <cfRule type="expression" dxfId="4602" priority="5152">
      <formula>N54="X"</formula>
    </cfRule>
    <cfRule type="expression" dxfId="4601" priority="5153">
      <formula>N54="A"</formula>
    </cfRule>
    <cfRule type="expression" dxfId="4600" priority="5154">
      <formula>N54="T"</formula>
    </cfRule>
  </conditionalFormatting>
  <conditionalFormatting sqref="N57">
    <cfRule type="expression" dxfId="4599" priority="5149">
      <formula>N56="X"</formula>
    </cfRule>
    <cfRule type="expression" dxfId="4598" priority="5150">
      <formula>N56="A"</formula>
    </cfRule>
    <cfRule type="expression" dxfId="4597" priority="5151">
      <formula>N56="T"</formula>
    </cfRule>
  </conditionalFormatting>
  <conditionalFormatting sqref="N59">
    <cfRule type="expression" dxfId="4596" priority="5146">
      <formula>N58="X"</formula>
    </cfRule>
    <cfRule type="expression" dxfId="4595" priority="5147">
      <formula>N58="A"</formula>
    </cfRule>
    <cfRule type="expression" dxfId="4594" priority="5148">
      <formula>N58="T"</formula>
    </cfRule>
  </conditionalFormatting>
  <conditionalFormatting sqref="N64">
    <cfRule type="expression" dxfId="4593" priority="5143">
      <formula>N63="X"</formula>
    </cfRule>
    <cfRule type="expression" dxfId="4592" priority="5144">
      <formula>N63="A"</formula>
    </cfRule>
    <cfRule type="expression" dxfId="4591" priority="5145">
      <formula>N63="T"</formula>
    </cfRule>
  </conditionalFormatting>
  <conditionalFormatting sqref="N66">
    <cfRule type="expression" dxfId="4590" priority="5140">
      <formula>N65="X"</formula>
    </cfRule>
    <cfRule type="expression" dxfId="4589" priority="5141">
      <formula>N65="A"</formula>
    </cfRule>
    <cfRule type="expression" dxfId="4588" priority="5142">
      <formula>N65="T"</formula>
    </cfRule>
  </conditionalFormatting>
  <conditionalFormatting sqref="N68">
    <cfRule type="expression" dxfId="4587" priority="5137">
      <formula>N67="X"</formula>
    </cfRule>
    <cfRule type="expression" dxfId="4586" priority="5138">
      <formula>N67="A"</formula>
    </cfRule>
    <cfRule type="expression" dxfId="4585" priority="5139">
      <formula>N67="T"</formula>
    </cfRule>
  </conditionalFormatting>
  <conditionalFormatting sqref="N82">
    <cfRule type="expression" dxfId="4584" priority="5134">
      <formula>N81="X"</formula>
    </cfRule>
    <cfRule type="expression" dxfId="4583" priority="5135">
      <formula>N81="A"</formula>
    </cfRule>
    <cfRule type="expression" dxfId="4582" priority="5136">
      <formula>N81="T"</formula>
    </cfRule>
  </conditionalFormatting>
  <conditionalFormatting sqref="N84">
    <cfRule type="expression" dxfId="4581" priority="5131">
      <formula>N83="X"</formula>
    </cfRule>
    <cfRule type="expression" dxfId="4580" priority="5132">
      <formula>N83="A"</formula>
    </cfRule>
    <cfRule type="expression" dxfId="4579" priority="5133">
      <formula>N83="T"</formula>
    </cfRule>
  </conditionalFormatting>
  <conditionalFormatting sqref="N86">
    <cfRule type="expression" dxfId="4578" priority="5128">
      <formula>N85="X"</formula>
    </cfRule>
    <cfRule type="expression" dxfId="4577" priority="5129">
      <formula>N85="A"</formula>
    </cfRule>
    <cfRule type="expression" dxfId="4576" priority="5130">
      <formula>N85="T"</formula>
    </cfRule>
  </conditionalFormatting>
  <conditionalFormatting sqref="N89">
    <cfRule type="expression" dxfId="4575" priority="5125">
      <formula>N88="X"</formula>
    </cfRule>
    <cfRule type="expression" dxfId="4574" priority="5126">
      <formula>N88="A"</formula>
    </cfRule>
    <cfRule type="expression" dxfId="4573" priority="5127">
      <formula>N88="T"</formula>
    </cfRule>
  </conditionalFormatting>
  <conditionalFormatting sqref="N91">
    <cfRule type="expression" dxfId="4572" priority="5122">
      <formula>N90="X"</formula>
    </cfRule>
    <cfRule type="expression" dxfId="4571" priority="5123">
      <formula>N90="A"</formula>
    </cfRule>
    <cfRule type="expression" dxfId="4570" priority="5124">
      <formula>N90="T"</formula>
    </cfRule>
  </conditionalFormatting>
  <conditionalFormatting sqref="N93">
    <cfRule type="expression" dxfId="4569" priority="5119">
      <formula>N92="X"</formula>
    </cfRule>
    <cfRule type="expression" dxfId="4568" priority="5120">
      <formula>N92="A"</formula>
    </cfRule>
    <cfRule type="expression" dxfId="4567" priority="5121">
      <formula>N92="T"</formula>
    </cfRule>
  </conditionalFormatting>
  <conditionalFormatting sqref="N95">
    <cfRule type="expression" dxfId="4566" priority="5116">
      <formula>N94="X"</formula>
    </cfRule>
    <cfRule type="expression" dxfId="4565" priority="5117">
      <formula>N94="A"</formula>
    </cfRule>
    <cfRule type="expression" dxfId="4564" priority="5118">
      <formula>N94="T"</formula>
    </cfRule>
  </conditionalFormatting>
  <conditionalFormatting sqref="N97">
    <cfRule type="expression" dxfId="4563" priority="5113">
      <formula>N96="X"</formula>
    </cfRule>
    <cfRule type="expression" dxfId="4562" priority="5114">
      <formula>N96="A"</formula>
    </cfRule>
    <cfRule type="expression" dxfId="4561" priority="5115">
      <formula>N96="T"</formula>
    </cfRule>
  </conditionalFormatting>
  <conditionalFormatting sqref="N99">
    <cfRule type="expression" dxfId="4560" priority="5110">
      <formula>N98="X"</formula>
    </cfRule>
    <cfRule type="expression" dxfId="4559" priority="5111">
      <formula>N98="A"</formula>
    </cfRule>
    <cfRule type="expression" dxfId="4558" priority="5112">
      <formula>N98="T"</formula>
    </cfRule>
  </conditionalFormatting>
  <conditionalFormatting sqref="N101">
    <cfRule type="expression" dxfId="4557" priority="5107">
      <formula>N100="X"</formula>
    </cfRule>
    <cfRule type="expression" dxfId="4556" priority="5108">
      <formula>N100="A"</formula>
    </cfRule>
    <cfRule type="expression" dxfId="4555" priority="5109">
      <formula>N100="T"</formula>
    </cfRule>
  </conditionalFormatting>
  <conditionalFormatting sqref="N103">
    <cfRule type="expression" dxfId="4554" priority="5104">
      <formula>N102="X"</formula>
    </cfRule>
    <cfRule type="expression" dxfId="4553" priority="5105">
      <formula>N102="A"</formula>
    </cfRule>
    <cfRule type="expression" dxfId="4552" priority="5106">
      <formula>N102="T"</formula>
    </cfRule>
  </conditionalFormatting>
  <conditionalFormatting sqref="N106">
    <cfRule type="expression" dxfId="4551" priority="5101">
      <formula>N105="X"</formula>
    </cfRule>
    <cfRule type="expression" dxfId="4550" priority="5102">
      <formula>N105="A"</formula>
    </cfRule>
    <cfRule type="expression" dxfId="4549" priority="5103">
      <formula>N105="T"</formula>
    </cfRule>
  </conditionalFormatting>
  <conditionalFormatting sqref="N108">
    <cfRule type="expression" dxfId="4548" priority="5098">
      <formula>N107="X"</formula>
    </cfRule>
    <cfRule type="expression" dxfId="4547" priority="5099">
      <formula>N107="A"</formula>
    </cfRule>
    <cfRule type="expression" dxfId="4546" priority="5100">
      <formula>N107="T"</formula>
    </cfRule>
  </conditionalFormatting>
  <conditionalFormatting sqref="N110">
    <cfRule type="expression" dxfId="4545" priority="5095">
      <formula>N109="X"</formula>
    </cfRule>
    <cfRule type="expression" dxfId="4544" priority="5096">
      <formula>N109="A"</formula>
    </cfRule>
    <cfRule type="expression" dxfId="4543" priority="5097">
      <formula>N109="T"</formula>
    </cfRule>
  </conditionalFormatting>
  <conditionalFormatting sqref="N112">
    <cfRule type="expression" dxfId="4542" priority="5092">
      <formula>N111="X"</formula>
    </cfRule>
    <cfRule type="expression" dxfId="4541" priority="5093">
      <formula>N111="A"</formula>
    </cfRule>
    <cfRule type="expression" dxfId="4540" priority="5094">
      <formula>N111="T"</formula>
    </cfRule>
  </conditionalFormatting>
  <conditionalFormatting sqref="N114">
    <cfRule type="expression" dxfId="4539" priority="5089">
      <formula>N113="X"</formula>
    </cfRule>
    <cfRule type="expression" dxfId="4538" priority="5090">
      <formula>N113="A"</formula>
    </cfRule>
    <cfRule type="expression" dxfId="4537" priority="5091">
      <formula>N113="T"</formula>
    </cfRule>
  </conditionalFormatting>
  <conditionalFormatting sqref="N117">
    <cfRule type="expression" dxfId="4536" priority="5086">
      <formula>N116="X"</formula>
    </cfRule>
    <cfRule type="expression" dxfId="4535" priority="5087">
      <formula>N116="A"</formula>
    </cfRule>
    <cfRule type="expression" dxfId="4534" priority="5088">
      <formula>N116="T"</formula>
    </cfRule>
  </conditionalFormatting>
  <conditionalFormatting sqref="N119">
    <cfRule type="expression" dxfId="4533" priority="5083">
      <formula>N118="X"</formula>
    </cfRule>
    <cfRule type="expression" dxfId="4532" priority="5084">
      <formula>N118="A"</formula>
    </cfRule>
    <cfRule type="expression" dxfId="4531" priority="5085">
      <formula>N118="T"</formula>
    </cfRule>
  </conditionalFormatting>
  <conditionalFormatting sqref="N121">
    <cfRule type="expression" dxfId="4530" priority="5080">
      <formula>N120="X"</formula>
    </cfRule>
    <cfRule type="expression" dxfId="4529" priority="5081">
      <formula>N120="A"</formula>
    </cfRule>
    <cfRule type="expression" dxfId="4528" priority="5082">
      <formula>N120="T"</formula>
    </cfRule>
  </conditionalFormatting>
  <conditionalFormatting sqref="N123">
    <cfRule type="expression" dxfId="4527" priority="5077">
      <formula>N122="X"</formula>
    </cfRule>
    <cfRule type="expression" dxfId="4526" priority="5078">
      <formula>N122="A"</formula>
    </cfRule>
    <cfRule type="expression" dxfId="4525" priority="5079">
      <formula>N122="T"</formula>
    </cfRule>
  </conditionalFormatting>
  <conditionalFormatting sqref="N126">
    <cfRule type="expression" dxfId="4524" priority="5074">
      <formula>N125="X"</formula>
    </cfRule>
    <cfRule type="expression" dxfId="4523" priority="5075">
      <formula>N125="A"</formula>
    </cfRule>
    <cfRule type="expression" dxfId="4522" priority="5076">
      <formula>N125="T"</formula>
    </cfRule>
  </conditionalFormatting>
  <conditionalFormatting sqref="N128">
    <cfRule type="expression" dxfId="4521" priority="5071">
      <formula>N127="X"</formula>
    </cfRule>
    <cfRule type="expression" dxfId="4520" priority="5072">
      <formula>N127="A"</formula>
    </cfRule>
    <cfRule type="expression" dxfId="4519" priority="5073">
      <formula>N127="T"</formula>
    </cfRule>
  </conditionalFormatting>
  <conditionalFormatting sqref="N142">
    <cfRule type="expression" dxfId="4518" priority="5068">
      <formula>N141="X"</formula>
    </cfRule>
    <cfRule type="expression" dxfId="4517" priority="5069">
      <formula>N141="A"</formula>
    </cfRule>
    <cfRule type="expression" dxfId="4516" priority="5070">
      <formula>N141="T"</formula>
    </cfRule>
  </conditionalFormatting>
  <conditionalFormatting sqref="N144">
    <cfRule type="expression" dxfId="4515" priority="5065">
      <formula>N143="X"</formula>
    </cfRule>
    <cfRule type="expression" dxfId="4514" priority="5066">
      <formula>N143="A"</formula>
    </cfRule>
    <cfRule type="expression" dxfId="4513" priority="5067">
      <formula>N143="T"</formula>
    </cfRule>
  </conditionalFormatting>
  <conditionalFormatting sqref="N150">
    <cfRule type="expression" dxfId="4512" priority="5062">
      <formula>N149="X"</formula>
    </cfRule>
    <cfRule type="expression" dxfId="4511" priority="5063">
      <formula>N149="A"</formula>
    </cfRule>
    <cfRule type="expression" dxfId="4510" priority="5064">
      <formula>N149="T"</formula>
    </cfRule>
  </conditionalFormatting>
  <conditionalFormatting sqref="N152">
    <cfRule type="expression" dxfId="4509" priority="5059">
      <formula>N151="X"</formula>
    </cfRule>
    <cfRule type="expression" dxfId="4508" priority="5060">
      <formula>N151="A"</formula>
    </cfRule>
    <cfRule type="expression" dxfId="4507" priority="5061">
      <formula>N151="T"</formula>
    </cfRule>
  </conditionalFormatting>
  <conditionalFormatting sqref="N156">
    <cfRule type="expression" dxfId="4506" priority="5056">
      <formula>N155="X"</formula>
    </cfRule>
    <cfRule type="expression" dxfId="4505" priority="5057">
      <formula>N155="A"</formula>
    </cfRule>
    <cfRule type="expression" dxfId="4504" priority="5058">
      <formula>N155="T"</formula>
    </cfRule>
  </conditionalFormatting>
  <conditionalFormatting sqref="N168">
    <cfRule type="expression" dxfId="4503" priority="5053">
      <formula>N167="X"</formula>
    </cfRule>
    <cfRule type="expression" dxfId="4502" priority="5054">
      <formula>N167="A"</formula>
    </cfRule>
    <cfRule type="expression" dxfId="4501" priority="5055">
      <formula>N167="T"</formula>
    </cfRule>
  </conditionalFormatting>
  <conditionalFormatting sqref="N170">
    <cfRule type="expression" dxfId="4500" priority="5050">
      <formula>N169="X"</formula>
    </cfRule>
    <cfRule type="expression" dxfId="4499" priority="5051">
      <formula>N169="A"</formula>
    </cfRule>
    <cfRule type="expression" dxfId="4498" priority="5052">
      <formula>N169="T"</formula>
    </cfRule>
  </conditionalFormatting>
  <conditionalFormatting sqref="N172">
    <cfRule type="expression" dxfId="4497" priority="5047">
      <formula>N171="X"</formula>
    </cfRule>
    <cfRule type="expression" dxfId="4496" priority="5048">
      <formula>N171="A"</formula>
    </cfRule>
    <cfRule type="expression" dxfId="4495" priority="5049">
      <formula>N171="T"</formula>
    </cfRule>
  </conditionalFormatting>
  <conditionalFormatting sqref="N174">
    <cfRule type="expression" dxfId="4494" priority="5044">
      <formula>N173="X"</formula>
    </cfRule>
    <cfRule type="expression" dxfId="4493" priority="5045">
      <formula>N173="A"</formula>
    </cfRule>
    <cfRule type="expression" dxfId="4492" priority="5046">
      <formula>N173="T"</formula>
    </cfRule>
  </conditionalFormatting>
  <conditionalFormatting sqref="N176">
    <cfRule type="expression" dxfId="4491" priority="5041">
      <formula>N175="X"</formula>
    </cfRule>
    <cfRule type="expression" dxfId="4490" priority="5042">
      <formula>N175="A"</formula>
    </cfRule>
    <cfRule type="expression" dxfId="4489" priority="5043">
      <formula>N175="T"</formula>
    </cfRule>
  </conditionalFormatting>
  <conditionalFormatting sqref="N178">
    <cfRule type="expression" dxfId="4488" priority="5038">
      <formula>N177="X"</formula>
    </cfRule>
    <cfRule type="expression" dxfId="4487" priority="5039">
      <formula>N177="A"</formula>
    </cfRule>
    <cfRule type="expression" dxfId="4486" priority="5040">
      <formula>N177="T"</formula>
    </cfRule>
  </conditionalFormatting>
  <conditionalFormatting sqref="N180">
    <cfRule type="expression" dxfId="4485" priority="5035">
      <formula>N179="X"</formula>
    </cfRule>
    <cfRule type="expression" dxfId="4484" priority="5036">
      <formula>N179="A"</formula>
    </cfRule>
    <cfRule type="expression" dxfId="4483" priority="5037">
      <formula>N179="T"</formula>
    </cfRule>
  </conditionalFormatting>
  <conditionalFormatting sqref="N184">
    <cfRule type="expression" dxfId="4482" priority="5032">
      <formula>N183="X"</formula>
    </cfRule>
    <cfRule type="expression" dxfId="4481" priority="5033">
      <formula>N183="A"</formula>
    </cfRule>
    <cfRule type="expression" dxfId="4480" priority="5034">
      <formula>N183="T"</formula>
    </cfRule>
  </conditionalFormatting>
  <conditionalFormatting sqref="N186">
    <cfRule type="expression" dxfId="4479" priority="5029">
      <formula>N185="X"</formula>
    </cfRule>
    <cfRule type="expression" dxfId="4478" priority="5030">
      <formula>N185="A"</formula>
    </cfRule>
    <cfRule type="expression" dxfId="4477" priority="5031">
      <formula>N185="T"</formula>
    </cfRule>
  </conditionalFormatting>
  <conditionalFormatting sqref="N190">
    <cfRule type="expression" dxfId="4476" priority="5026">
      <formula>N189="X"</formula>
    </cfRule>
    <cfRule type="expression" dxfId="4475" priority="5027">
      <formula>N189="A"</formula>
    </cfRule>
    <cfRule type="expression" dxfId="4474" priority="5028">
      <formula>N189="T"</formula>
    </cfRule>
  </conditionalFormatting>
  <conditionalFormatting sqref="N192">
    <cfRule type="expression" dxfId="4473" priority="5023">
      <formula>N191="X"</formula>
    </cfRule>
    <cfRule type="expression" dxfId="4472" priority="5024">
      <formula>N191="A"</formula>
    </cfRule>
    <cfRule type="expression" dxfId="4471" priority="5025">
      <formula>N191="T"</formula>
    </cfRule>
  </conditionalFormatting>
  <conditionalFormatting sqref="N208">
    <cfRule type="expression" dxfId="4470" priority="5020">
      <formula>N207="X"</formula>
    </cfRule>
    <cfRule type="expression" dxfId="4469" priority="5021">
      <formula>N207="A"</formula>
    </cfRule>
    <cfRule type="expression" dxfId="4468" priority="5022">
      <formula>N207="T"</formula>
    </cfRule>
  </conditionalFormatting>
  <conditionalFormatting sqref="N211">
    <cfRule type="expression" dxfId="4467" priority="5017">
      <formula>N211="X"</formula>
    </cfRule>
    <cfRule type="expression" dxfId="4466" priority="5018">
      <formula>N211="A"</formula>
    </cfRule>
    <cfRule type="expression" dxfId="4465" priority="5019">
      <formula>N211="T"</formula>
    </cfRule>
  </conditionalFormatting>
  <conditionalFormatting sqref="N212">
    <cfRule type="expression" dxfId="4464" priority="5014">
      <formula>N211="X"</formula>
    </cfRule>
    <cfRule type="expression" dxfId="4463" priority="5015">
      <formula>N211="A"</formula>
    </cfRule>
    <cfRule type="expression" dxfId="4462" priority="5016">
      <formula>N211="T"</formula>
    </cfRule>
  </conditionalFormatting>
  <conditionalFormatting sqref="N213">
    <cfRule type="expression" dxfId="4461" priority="5011">
      <formula>N213="X"</formula>
    </cfRule>
    <cfRule type="expression" dxfId="4460" priority="5012">
      <formula>N213="A"</formula>
    </cfRule>
    <cfRule type="expression" dxfId="4459" priority="5013">
      <formula>N213="T"</formula>
    </cfRule>
  </conditionalFormatting>
  <conditionalFormatting sqref="N214">
    <cfRule type="expression" dxfId="4458" priority="5008">
      <formula>N213="X"</formula>
    </cfRule>
    <cfRule type="expression" dxfId="4457" priority="5009">
      <formula>N213="A"</formula>
    </cfRule>
    <cfRule type="expression" dxfId="4456" priority="5010">
      <formula>N213="T"</formula>
    </cfRule>
  </conditionalFormatting>
  <conditionalFormatting sqref="N215">
    <cfRule type="expression" dxfId="4455" priority="5005">
      <formula>N215="X"</formula>
    </cfRule>
    <cfRule type="expression" dxfId="4454" priority="5006">
      <formula>N215="A"</formula>
    </cfRule>
    <cfRule type="expression" dxfId="4453" priority="5007">
      <formula>N215="T"</formula>
    </cfRule>
  </conditionalFormatting>
  <conditionalFormatting sqref="N216">
    <cfRule type="expression" dxfId="4452" priority="5002">
      <formula>N215="X"</formula>
    </cfRule>
    <cfRule type="expression" dxfId="4451" priority="5003">
      <formula>N215="A"</formula>
    </cfRule>
    <cfRule type="expression" dxfId="4450" priority="5004">
      <formula>N215="T"</formula>
    </cfRule>
  </conditionalFormatting>
  <conditionalFormatting sqref="N217">
    <cfRule type="expression" dxfId="4449" priority="4999">
      <formula>N217="X"</formula>
    </cfRule>
    <cfRule type="expression" dxfId="4448" priority="5000">
      <formula>N217="A"</formula>
    </cfRule>
    <cfRule type="expression" dxfId="4447" priority="5001">
      <formula>N217="T"</formula>
    </cfRule>
  </conditionalFormatting>
  <conditionalFormatting sqref="N218">
    <cfRule type="expression" dxfId="4446" priority="4996">
      <formula>N217="X"</formula>
    </cfRule>
    <cfRule type="expression" dxfId="4445" priority="4997">
      <formula>N217="A"</formula>
    </cfRule>
    <cfRule type="expression" dxfId="4444" priority="4998">
      <formula>N217="T"</formula>
    </cfRule>
  </conditionalFormatting>
  <conditionalFormatting sqref="N219">
    <cfRule type="expression" dxfId="4443" priority="4993">
      <formula>N219="X"</formula>
    </cfRule>
    <cfRule type="expression" dxfId="4442" priority="4994">
      <formula>N219="A"</formula>
    </cfRule>
    <cfRule type="expression" dxfId="4441" priority="4995">
      <formula>N219="T"</formula>
    </cfRule>
  </conditionalFormatting>
  <conditionalFormatting sqref="N220">
    <cfRule type="expression" dxfId="4440" priority="4990">
      <formula>N219="X"</formula>
    </cfRule>
    <cfRule type="expression" dxfId="4439" priority="4991">
      <formula>N219="A"</formula>
    </cfRule>
    <cfRule type="expression" dxfId="4438" priority="4992">
      <formula>N219="T"</formula>
    </cfRule>
  </conditionalFormatting>
  <conditionalFormatting sqref="N221">
    <cfRule type="expression" dxfId="4437" priority="4987">
      <formula>N221="X"</formula>
    </cfRule>
    <cfRule type="expression" dxfId="4436" priority="4988">
      <formula>N221="A"</formula>
    </cfRule>
    <cfRule type="expression" dxfId="4435" priority="4989">
      <formula>N221="T"</formula>
    </cfRule>
  </conditionalFormatting>
  <conditionalFormatting sqref="N222">
    <cfRule type="expression" dxfId="4434" priority="4984">
      <formula>N221="X"</formula>
    </cfRule>
    <cfRule type="expression" dxfId="4433" priority="4985">
      <formula>N221="A"</formula>
    </cfRule>
    <cfRule type="expression" dxfId="4432" priority="4986">
      <formula>N221="T"</formula>
    </cfRule>
  </conditionalFormatting>
  <conditionalFormatting sqref="N223">
    <cfRule type="expression" dxfId="4431" priority="4981">
      <formula>N223="X"</formula>
    </cfRule>
    <cfRule type="expression" dxfId="4430" priority="4982">
      <formula>N223="A"</formula>
    </cfRule>
    <cfRule type="expression" dxfId="4429" priority="4983">
      <formula>N223="T"</formula>
    </cfRule>
  </conditionalFormatting>
  <conditionalFormatting sqref="N224">
    <cfRule type="expression" dxfId="4428" priority="4978">
      <formula>N223="X"</formula>
    </cfRule>
    <cfRule type="expression" dxfId="4427" priority="4979">
      <formula>N223="A"</formula>
    </cfRule>
    <cfRule type="expression" dxfId="4426" priority="4980">
      <formula>N223="T"</formula>
    </cfRule>
  </conditionalFormatting>
  <conditionalFormatting sqref="N4">
    <cfRule type="expression" dxfId="4425" priority="4975">
      <formula>N4="X"</formula>
    </cfRule>
    <cfRule type="expression" dxfId="4424" priority="4976">
      <formula>N4="A"</formula>
    </cfRule>
    <cfRule type="expression" dxfId="4423" priority="4977">
      <formula>N4="T"</formula>
    </cfRule>
  </conditionalFormatting>
  <conditionalFormatting sqref="N5">
    <cfRule type="expression" dxfId="4422" priority="4972">
      <formula>N4="X"</formula>
    </cfRule>
    <cfRule type="expression" dxfId="4421" priority="4973">
      <formula>N4="A"</formula>
    </cfRule>
    <cfRule type="expression" dxfId="4420" priority="4974">
      <formula>N4="T"</formula>
    </cfRule>
  </conditionalFormatting>
  <conditionalFormatting sqref="N6">
    <cfRule type="expression" dxfId="4419" priority="4969">
      <formula>N6="X"</formula>
    </cfRule>
    <cfRule type="expression" dxfId="4418" priority="4970">
      <formula>N6="A"</formula>
    </cfRule>
    <cfRule type="expression" dxfId="4417" priority="4971">
      <formula>N6="T"</formula>
    </cfRule>
  </conditionalFormatting>
  <conditionalFormatting sqref="N7">
    <cfRule type="expression" dxfId="4416" priority="4966">
      <formula>N6="X"</formula>
    </cfRule>
    <cfRule type="expression" dxfId="4415" priority="4967">
      <formula>N6="A"</formula>
    </cfRule>
    <cfRule type="expression" dxfId="4414" priority="4968">
      <formula>N6="T"</formula>
    </cfRule>
  </conditionalFormatting>
  <conditionalFormatting sqref="N8">
    <cfRule type="expression" dxfId="4413" priority="4963">
      <formula>N8="X"</formula>
    </cfRule>
    <cfRule type="expression" dxfId="4412" priority="4964">
      <formula>N8="A"</formula>
    </cfRule>
    <cfRule type="expression" dxfId="4411" priority="4965">
      <formula>N8="T"</formula>
    </cfRule>
  </conditionalFormatting>
  <conditionalFormatting sqref="N9">
    <cfRule type="expression" dxfId="4410" priority="4960">
      <formula>N8="X"</formula>
    </cfRule>
    <cfRule type="expression" dxfId="4409" priority="4961">
      <formula>N8="A"</formula>
    </cfRule>
    <cfRule type="expression" dxfId="4408" priority="4962">
      <formula>N8="T"</formula>
    </cfRule>
  </conditionalFormatting>
  <conditionalFormatting sqref="N74">
    <cfRule type="expression" dxfId="4407" priority="4957">
      <formula>N74="X"</formula>
    </cfRule>
    <cfRule type="expression" dxfId="4406" priority="4958">
      <formula>N74="A"</formula>
    </cfRule>
    <cfRule type="expression" dxfId="4405" priority="4959">
      <formula>N74="T"</formula>
    </cfRule>
  </conditionalFormatting>
  <conditionalFormatting sqref="N75">
    <cfRule type="expression" dxfId="4404" priority="4954">
      <formula>N74="X"</formula>
    </cfRule>
    <cfRule type="expression" dxfId="4403" priority="4955">
      <formula>N74="A"</formula>
    </cfRule>
    <cfRule type="expression" dxfId="4402" priority="4956">
      <formula>N74="T"</formula>
    </cfRule>
  </conditionalFormatting>
  <conditionalFormatting sqref="N76">
    <cfRule type="expression" dxfId="4401" priority="4951">
      <formula>N76="X"</formula>
    </cfRule>
    <cfRule type="expression" dxfId="4400" priority="4952">
      <formula>N76="A"</formula>
    </cfRule>
    <cfRule type="expression" dxfId="4399" priority="4953">
      <formula>N76="T"</formula>
    </cfRule>
  </conditionalFormatting>
  <conditionalFormatting sqref="N77">
    <cfRule type="expression" dxfId="4398" priority="4948">
      <formula>N76="X"</formula>
    </cfRule>
    <cfRule type="expression" dxfId="4397" priority="4949">
      <formula>N76="A"</formula>
    </cfRule>
    <cfRule type="expression" dxfId="4396" priority="4950">
      <formula>N76="T"</formula>
    </cfRule>
  </conditionalFormatting>
  <conditionalFormatting sqref="N78">
    <cfRule type="expression" dxfId="4395" priority="4945">
      <formula>N78="X"</formula>
    </cfRule>
    <cfRule type="expression" dxfId="4394" priority="4946">
      <formula>N78="A"</formula>
    </cfRule>
    <cfRule type="expression" dxfId="4393" priority="4947">
      <formula>N78="T"</formula>
    </cfRule>
  </conditionalFormatting>
  <conditionalFormatting sqref="N79">
    <cfRule type="expression" dxfId="4392" priority="4942">
      <formula>N78="X"</formula>
    </cfRule>
    <cfRule type="expression" dxfId="4391" priority="4943">
      <formula>N78="A"</formula>
    </cfRule>
    <cfRule type="expression" dxfId="4390" priority="4944">
      <formula>N78="T"</formula>
    </cfRule>
  </conditionalFormatting>
  <conditionalFormatting sqref="N134">
    <cfRule type="expression" dxfId="4389" priority="4939">
      <formula>N134="X"</formula>
    </cfRule>
    <cfRule type="expression" dxfId="4388" priority="4940">
      <formula>N134="A"</formula>
    </cfRule>
    <cfRule type="expression" dxfId="4387" priority="4941">
      <formula>N134="T"</formula>
    </cfRule>
  </conditionalFormatting>
  <conditionalFormatting sqref="N135">
    <cfRule type="expression" dxfId="4386" priority="4936">
      <formula>N134="X"</formula>
    </cfRule>
    <cfRule type="expression" dxfId="4385" priority="4937">
      <formula>N134="A"</formula>
    </cfRule>
    <cfRule type="expression" dxfId="4384" priority="4938">
      <formula>N134="T"</formula>
    </cfRule>
  </conditionalFormatting>
  <conditionalFormatting sqref="N136">
    <cfRule type="expression" dxfId="4383" priority="4933">
      <formula>N136="X"</formula>
    </cfRule>
    <cfRule type="expression" dxfId="4382" priority="4934">
      <formula>N136="A"</formula>
    </cfRule>
    <cfRule type="expression" dxfId="4381" priority="4935">
      <formula>N136="T"</formula>
    </cfRule>
  </conditionalFormatting>
  <conditionalFormatting sqref="N137">
    <cfRule type="expression" dxfId="4380" priority="4930">
      <formula>N136="X"</formula>
    </cfRule>
    <cfRule type="expression" dxfId="4379" priority="4931">
      <formula>N136="A"</formula>
    </cfRule>
    <cfRule type="expression" dxfId="4378" priority="4932">
      <formula>N136="T"</formula>
    </cfRule>
  </conditionalFormatting>
  <conditionalFormatting sqref="N138">
    <cfRule type="expression" dxfId="4377" priority="4927">
      <formula>N138="X"</formula>
    </cfRule>
    <cfRule type="expression" dxfId="4376" priority="4928">
      <formula>N138="A"</formula>
    </cfRule>
    <cfRule type="expression" dxfId="4375" priority="4929">
      <formula>N138="T"</formula>
    </cfRule>
  </conditionalFormatting>
  <conditionalFormatting sqref="N139">
    <cfRule type="expression" dxfId="4374" priority="4924">
      <formula>N138="X"</formula>
    </cfRule>
    <cfRule type="expression" dxfId="4373" priority="4925">
      <formula>N138="A"</formula>
    </cfRule>
    <cfRule type="expression" dxfId="4372" priority="4926">
      <formula>N138="T"</formula>
    </cfRule>
  </conditionalFormatting>
  <conditionalFormatting sqref="N10">
    <cfRule type="expression" dxfId="4371" priority="4921" stopIfTrue="1">
      <formula>N4=""</formula>
    </cfRule>
  </conditionalFormatting>
  <conditionalFormatting sqref="N10">
    <cfRule type="expression" dxfId="4370" priority="4922" stopIfTrue="1">
      <formula>N10=1</formula>
    </cfRule>
    <cfRule type="colorScale" priority="4923">
      <colorScale>
        <cfvo type="num" val="0"/>
        <cfvo type="num" val="0.5"/>
        <cfvo type="num" val="1"/>
        <color rgb="FFF8696B"/>
        <color theme="4" tint="0.79998168889431442"/>
        <color rgb="FF5A8AC6"/>
      </colorScale>
    </cfRule>
  </conditionalFormatting>
  <conditionalFormatting sqref="N15">
    <cfRule type="expression" dxfId="4369" priority="4918" stopIfTrue="1">
      <formula>N11=""</formula>
    </cfRule>
  </conditionalFormatting>
  <conditionalFormatting sqref="N15">
    <cfRule type="expression" dxfId="4368" priority="4919" stopIfTrue="1">
      <formula>N15=1</formula>
    </cfRule>
    <cfRule type="colorScale" priority="4920">
      <colorScale>
        <cfvo type="num" val="0"/>
        <cfvo type="num" val="0.5"/>
        <cfvo type="num" val="1"/>
        <color rgb="FFF8696B"/>
        <color theme="4" tint="0.79998168889431442"/>
        <color rgb="FF5A8AC6"/>
      </colorScale>
    </cfRule>
  </conditionalFormatting>
  <conditionalFormatting sqref="N38">
    <cfRule type="expression" dxfId="4367" priority="4915" stopIfTrue="1">
      <formula>N16=""</formula>
    </cfRule>
  </conditionalFormatting>
  <conditionalFormatting sqref="N38">
    <cfRule type="expression" dxfId="4366" priority="4916" stopIfTrue="1">
      <formula>N38=1</formula>
    </cfRule>
    <cfRule type="colorScale" priority="4917">
      <colorScale>
        <cfvo type="num" val="0"/>
        <cfvo type="num" val="0.5"/>
        <cfvo type="num" val="1"/>
        <color rgb="FFF8696B"/>
        <color theme="4" tint="0.79998168889431442"/>
        <color rgb="FF5A8AC6"/>
      </colorScale>
    </cfRule>
  </conditionalFormatting>
  <conditionalFormatting sqref="N47">
    <cfRule type="expression" dxfId="4365" priority="4912" stopIfTrue="1">
      <formula>N39=""</formula>
    </cfRule>
  </conditionalFormatting>
  <conditionalFormatting sqref="N47">
    <cfRule type="expression" dxfId="4364" priority="4913" stopIfTrue="1">
      <formula>N47=1</formula>
    </cfRule>
    <cfRule type="colorScale" priority="4914">
      <colorScale>
        <cfvo type="num" val="0"/>
        <cfvo type="num" val="0.5"/>
        <cfvo type="num" val="1"/>
        <color rgb="FFF8696B"/>
        <color theme="4" tint="0.79998168889431442"/>
        <color rgb="FF5A8AC6"/>
      </colorScale>
    </cfRule>
  </conditionalFormatting>
  <conditionalFormatting sqref="N69">
    <cfRule type="expression" dxfId="4363" priority="4906" stopIfTrue="1">
      <formula>N63=""</formula>
    </cfRule>
  </conditionalFormatting>
  <conditionalFormatting sqref="N69">
    <cfRule type="expression" dxfId="4362" priority="4907" stopIfTrue="1">
      <formula>N69=1</formula>
    </cfRule>
    <cfRule type="colorScale" priority="4908">
      <colorScale>
        <cfvo type="num" val="0"/>
        <cfvo type="num" val="0.5"/>
        <cfvo type="num" val="1"/>
        <color rgb="FFF8696B"/>
        <color theme="4" tint="0.79998168889431442"/>
        <color rgb="FF5A8AC6"/>
      </colorScale>
    </cfRule>
  </conditionalFormatting>
  <conditionalFormatting sqref="N80">
    <cfRule type="expression" dxfId="4361" priority="4903" stopIfTrue="1">
      <formula>N74=""</formula>
    </cfRule>
  </conditionalFormatting>
  <conditionalFormatting sqref="N80">
    <cfRule type="expression" dxfId="4360" priority="4904" stopIfTrue="1">
      <formula>N80=1</formula>
    </cfRule>
    <cfRule type="colorScale" priority="4905">
      <colorScale>
        <cfvo type="num" val="0"/>
        <cfvo type="num" val="0.5"/>
        <cfvo type="num" val="1"/>
        <color rgb="FFF8696B"/>
        <color theme="4" tint="0.79998168889431442"/>
        <color rgb="FF5A8AC6"/>
      </colorScale>
    </cfRule>
  </conditionalFormatting>
  <conditionalFormatting sqref="N87">
    <cfRule type="expression" dxfId="4359" priority="4900" stopIfTrue="1">
      <formula>N81=""</formula>
    </cfRule>
  </conditionalFormatting>
  <conditionalFormatting sqref="N87">
    <cfRule type="expression" dxfId="4358" priority="4901" stopIfTrue="1">
      <formula>N87=1</formula>
    </cfRule>
    <cfRule type="colorScale" priority="4902">
      <colorScale>
        <cfvo type="num" val="0"/>
        <cfvo type="num" val="0.5"/>
        <cfvo type="num" val="1"/>
        <color rgb="FFF8696B"/>
        <color theme="4" tint="0.79998168889431442"/>
        <color rgb="FF5A8AC6"/>
      </colorScale>
    </cfRule>
  </conditionalFormatting>
  <conditionalFormatting sqref="N104">
    <cfRule type="expression" dxfId="4357" priority="4897" stopIfTrue="1">
      <formula>N88=""</formula>
    </cfRule>
  </conditionalFormatting>
  <conditionalFormatting sqref="N104">
    <cfRule type="expression" dxfId="4356" priority="4898" stopIfTrue="1">
      <formula>N104=1</formula>
    </cfRule>
    <cfRule type="colorScale" priority="4899">
      <colorScale>
        <cfvo type="num" val="0"/>
        <cfvo type="num" val="0.5"/>
        <cfvo type="num" val="1"/>
        <color rgb="FFF8696B"/>
        <color theme="4" tint="0.79998168889431442"/>
        <color rgb="FF5A8AC6"/>
      </colorScale>
    </cfRule>
  </conditionalFormatting>
  <conditionalFormatting sqref="N115">
    <cfRule type="expression" dxfId="4355" priority="4894" stopIfTrue="1">
      <formula>N105=""</formula>
    </cfRule>
  </conditionalFormatting>
  <conditionalFormatting sqref="N115">
    <cfRule type="expression" dxfId="4354" priority="4895" stopIfTrue="1">
      <formula>N115=1</formula>
    </cfRule>
    <cfRule type="colorScale" priority="4896">
      <colorScale>
        <cfvo type="num" val="0"/>
        <cfvo type="num" val="0.5"/>
        <cfvo type="num" val="1"/>
        <color rgb="FFF8696B"/>
        <color theme="4" tint="0.79998168889431442"/>
        <color rgb="FF5A8AC6"/>
      </colorScale>
    </cfRule>
  </conditionalFormatting>
  <conditionalFormatting sqref="N124">
    <cfRule type="expression" dxfId="4353" priority="4891" stopIfTrue="1">
      <formula>N116=""</formula>
    </cfRule>
  </conditionalFormatting>
  <conditionalFormatting sqref="N124">
    <cfRule type="expression" dxfId="4352" priority="4892" stopIfTrue="1">
      <formula>N124=1</formula>
    </cfRule>
    <cfRule type="colorScale" priority="4893">
      <colorScale>
        <cfvo type="num" val="0"/>
        <cfvo type="num" val="0.5"/>
        <cfvo type="num" val="1"/>
        <color rgb="FFF8696B"/>
        <color theme="4" tint="0.79998168889431442"/>
        <color rgb="FF5A8AC6"/>
      </colorScale>
    </cfRule>
  </conditionalFormatting>
  <conditionalFormatting sqref="N129">
    <cfRule type="expression" dxfId="4351" priority="4888" stopIfTrue="1">
      <formula>N125=""</formula>
    </cfRule>
  </conditionalFormatting>
  <conditionalFormatting sqref="N129">
    <cfRule type="expression" dxfId="4350" priority="4889" stopIfTrue="1">
      <formula>N129=1</formula>
    </cfRule>
    <cfRule type="colorScale" priority="4890">
      <colorScale>
        <cfvo type="num" val="0"/>
        <cfvo type="num" val="0.5"/>
        <cfvo type="num" val="1"/>
        <color rgb="FFF8696B"/>
        <color theme="4" tint="0.79998168889431442"/>
        <color rgb="FF5A8AC6"/>
      </colorScale>
    </cfRule>
  </conditionalFormatting>
  <conditionalFormatting sqref="N140">
    <cfRule type="expression" dxfId="4349" priority="4885" stopIfTrue="1">
      <formula>N134=""</formula>
    </cfRule>
  </conditionalFormatting>
  <conditionalFormatting sqref="N140">
    <cfRule type="expression" dxfId="4348" priority="4886" stopIfTrue="1">
      <formula>N140=1</formula>
    </cfRule>
    <cfRule type="colorScale" priority="4887">
      <colorScale>
        <cfvo type="num" val="0"/>
        <cfvo type="num" val="0.5"/>
        <cfvo type="num" val="1"/>
        <color rgb="FFF8696B"/>
        <color theme="4" tint="0.79998168889431442"/>
        <color rgb="FF5A8AC6"/>
      </colorScale>
    </cfRule>
  </conditionalFormatting>
  <conditionalFormatting sqref="N145">
    <cfRule type="expression" dxfId="4347" priority="4882" stopIfTrue="1">
      <formula>N141=""</formula>
    </cfRule>
  </conditionalFormatting>
  <conditionalFormatting sqref="N145">
    <cfRule type="expression" dxfId="4346" priority="4883" stopIfTrue="1">
      <formula>N145=1</formula>
    </cfRule>
    <cfRule type="colorScale" priority="4884">
      <colorScale>
        <cfvo type="num" val="0"/>
        <cfvo type="num" val="0.5"/>
        <cfvo type="num" val="1"/>
        <color rgb="FFF8696B"/>
        <color theme="4" tint="0.79998168889431442"/>
        <color rgb="FF5A8AC6"/>
      </colorScale>
    </cfRule>
  </conditionalFormatting>
  <conditionalFormatting sqref="N153">
    <cfRule type="expression" dxfId="4345" priority="4879" stopIfTrue="1">
      <formula>N149=""</formula>
    </cfRule>
  </conditionalFormatting>
  <conditionalFormatting sqref="N153">
    <cfRule type="expression" dxfId="4344" priority="4880" stopIfTrue="1">
      <formula>N153=1</formula>
    </cfRule>
    <cfRule type="colorScale" priority="4881">
      <colorScale>
        <cfvo type="num" val="0"/>
        <cfvo type="num" val="0.5"/>
        <cfvo type="num" val="1"/>
        <color rgb="FFF8696B"/>
        <color theme="4" tint="0.79998168889431442"/>
        <color rgb="FF5A8AC6"/>
      </colorScale>
    </cfRule>
  </conditionalFormatting>
  <conditionalFormatting sqref="N165">
    <cfRule type="expression" dxfId="4343" priority="4876" stopIfTrue="1">
      <formula>N155=""</formula>
    </cfRule>
  </conditionalFormatting>
  <conditionalFormatting sqref="N165">
    <cfRule type="expression" dxfId="4342" priority="4877" stopIfTrue="1">
      <formula>N165=1</formula>
    </cfRule>
    <cfRule type="colorScale" priority="4878">
      <colorScale>
        <cfvo type="num" val="0"/>
        <cfvo type="num" val="0.5"/>
        <cfvo type="num" val="1"/>
        <color rgb="FFF8696B"/>
        <color theme="4" tint="0.79998168889431442"/>
        <color rgb="FF5A8AC6"/>
      </colorScale>
    </cfRule>
  </conditionalFormatting>
  <conditionalFormatting sqref="N187">
    <cfRule type="expression" dxfId="4341" priority="4873" stopIfTrue="1">
      <formula>N183=""</formula>
    </cfRule>
  </conditionalFormatting>
  <conditionalFormatting sqref="N187">
    <cfRule type="expression" dxfId="4340" priority="4874" stopIfTrue="1">
      <formula>N187=1</formula>
    </cfRule>
    <cfRule type="colorScale" priority="4875">
      <colorScale>
        <cfvo type="num" val="0"/>
        <cfvo type="num" val="0.5"/>
        <cfvo type="num" val="1"/>
        <color rgb="FFF8696B"/>
        <color theme="4" tint="0.79998168889431442"/>
        <color rgb="FF5A8AC6"/>
      </colorScale>
    </cfRule>
  </conditionalFormatting>
  <conditionalFormatting sqref="N193">
    <cfRule type="expression" dxfId="4339" priority="4870" stopIfTrue="1">
      <formula>N189=""</formula>
    </cfRule>
  </conditionalFormatting>
  <conditionalFormatting sqref="N193">
    <cfRule type="expression" dxfId="4338" priority="4871" stopIfTrue="1">
      <formula>N193=1</formula>
    </cfRule>
    <cfRule type="colorScale" priority="4872">
      <colorScale>
        <cfvo type="num" val="0"/>
        <cfvo type="num" val="0.5"/>
        <cfvo type="num" val="1"/>
        <color rgb="FFF8696B"/>
        <color theme="4" tint="0.79998168889431442"/>
        <color rgb="FF5A8AC6"/>
      </colorScale>
    </cfRule>
  </conditionalFormatting>
  <conditionalFormatting sqref="N181">
    <cfRule type="expression" dxfId="4337" priority="4867" stopIfTrue="1">
      <formula>N167=""</formula>
    </cfRule>
  </conditionalFormatting>
  <conditionalFormatting sqref="N181">
    <cfRule type="expression" dxfId="4336" priority="4868" stopIfTrue="1">
      <formula>N181=1</formula>
    </cfRule>
    <cfRule type="colorScale" priority="4869">
      <colorScale>
        <cfvo type="num" val="0"/>
        <cfvo type="num" val="0.5"/>
        <cfvo type="num" val="1"/>
        <color rgb="FFF8696B"/>
        <color theme="4" tint="0.79998168889431442"/>
        <color rgb="FF5A8AC6"/>
      </colorScale>
    </cfRule>
  </conditionalFormatting>
  <conditionalFormatting sqref="N209">
    <cfRule type="expression" dxfId="4335" priority="4864" stopIfTrue="1">
      <formula>N195=""</formula>
    </cfRule>
  </conditionalFormatting>
  <conditionalFormatting sqref="N209">
    <cfRule type="expression" dxfId="4334" priority="4865" stopIfTrue="1">
      <formula>N209=1</formula>
    </cfRule>
    <cfRule type="colorScale" priority="4866">
      <colorScale>
        <cfvo type="num" val="0"/>
        <cfvo type="num" val="0.5"/>
        <cfvo type="num" val="1"/>
        <color rgb="FFF8696B"/>
        <color theme="4" tint="0.79998168889431442"/>
        <color rgb="FF5A8AC6"/>
      </colorScale>
    </cfRule>
  </conditionalFormatting>
  <conditionalFormatting sqref="N225">
    <cfRule type="expression" dxfId="4333" priority="4861" stopIfTrue="1">
      <formula>N211=""</formula>
    </cfRule>
  </conditionalFormatting>
  <conditionalFormatting sqref="N225">
    <cfRule type="expression" dxfId="4332" priority="4862" stopIfTrue="1">
      <formula>N225=1</formula>
    </cfRule>
    <cfRule type="colorScale" priority="4863">
      <colorScale>
        <cfvo type="num" val="0"/>
        <cfvo type="num" val="0.5"/>
        <cfvo type="num" val="1"/>
        <color rgb="FFF8696B"/>
        <color theme="4" tint="0.79998168889431442"/>
        <color rgb="FF5A8AC6"/>
      </colorScale>
    </cfRule>
  </conditionalFormatting>
  <conditionalFormatting sqref="N71">
    <cfRule type="expression" dxfId="4331" priority="4853" stopIfTrue="1">
      <formula>N71=1</formula>
    </cfRule>
    <cfRule type="colorScale" priority="4854">
      <colorScale>
        <cfvo type="num" val="0"/>
        <cfvo type="num" val="0.5"/>
        <cfvo type="num" val="1"/>
        <color rgb="FFF8696B"/>
        <color theme="4" tint="0.79998168889431442"/>
        <color rgb="FF5A8AC6"/>
      </colorScale>
    </cfRule>
  </conditionalFormatting>
  <conditionalFormatting sqref="N147">
    <cfRule type="expression" dxfId="4330" priority="4858" stopIfTrue="1">
      <formula>N134=""</formula>
    </cfRule>
  </conditionalFormatting>
  <conditionalFormatting sqref="N147">
    <cfRule type="expression" dxfId="4329" priority="4859" stopIfTrue="1">
      <formula>N147=1</formula>
    </cfRule>
    <cfRule type="colorScale" priority="4860">
      <colorScale>
        <cfvo type="num" val="0"/>
        <cfvo type="num" val="0.5"/>
        <cfvo type="num" val="1"/>
        <color rgb="FFF8696B"/>
        <color theme="4" tint="0.79998168889431442"/>
        <color rgb="FF5A8AC6"/>
      </colorScale>
    </cfRule>
  </conditionalFormatting>
  <conditionalFormatting sqref="N131">
    <cfRule type="expression" dxfId="4328" priority="4855" stopIfTrue="1">
      <formula>N74=""</formula>
    </cfRule>
  </conditionalFormatting>
  <conditionalFormatting sqref="N131">
    <cfRule type="expression" dxfId="4327" priority="4856" stopIfTrue="1">
      <formula>N131=1</formula>
    </cfRule>
    <cfRule type="colorScale" priority="4857">
      <colorScale>
        <cfvo type="num" val="0"/>
        <cfvo type="num" val="0.5"/>
        <cfvo type="num" val="1"/>
        <color rgb="FFF8696B"/>
        <color theme="4" tint="0.79998168889431442"/>
        <color rgb="FF5A8AC6"/>
      </colorScale>
    </cfRule>
  </conditionalFormatting>
  <conditionalFormatting sqref="N71">
    <cfRule type="expression" dxfId="4326" priority="4852" stopIfTrue="1">
      <formula>N65=""</formula>
    </cfRule>
  </conditionalFormatting>
  <conditionalFormatting sqref="N195">
    <cfRule type="expression" dxfId="4325" priority="4849">
      <formula>N195="X"</formula>
    </cfRule>
    <cfRule type="expression" dxfId="4324" priority="4850">
      <formula>N195="A"</formula>
    </cfRule>
    <cfRule type="expression" dxfId="4323" priority="4851">
      <formula>N195="T"</formula>
    </cfRule>
  </conditionalFormatting>
  <conditionalFormatting sqref="N203">
    <cfRule type="expression" dxfId="4322" priority="4846">
      <formula>N203="X"</formula>
    </cfRule>
    <cfRule type="expression" dxfId="4321" priority="4847">
      <formula>N203="A"</formula>
    </cfRule>
    <cfRule type="expression" dxfId="4320" priority="4848">
      <formula>N203="T"</formula>
    </cfRule>
  </conditionalFormatting>
  <conditionalFormatting sqref="N205">
    <cfRule type="expression" dxfId="4319" priority="4843">
      <formula>N205="X"</formula>
    </cfRule>
    <cfRule type="expression" dxfId="4318" priority="4844">
      <formula>N205="A"</formula>
    </cfRule>
    <cfRule type="expression" dxfId="4317" priority="4845">
      <formula>N205="T"</formula>
    </cfRule>
  </conditionalFormatting>
  <conditionalFormatting sqref="N207">
    <cfRule type="expression" dxfId="4316" priority="4840">
      <formula>N207="X"</formula>
    </cfRule>
    <cfRule type="expression" dxfId="4315" priority="4841">
      <formula>N207="A"</formula>
    </cfRule>
    <cfRule type="expression" dxfId="4314" priority="4842">
      <formula>N207="T"</formula>
    </cfRule>
  </conditionalFormatting>
  <conditionalFormatting sqref="N204">
    <cfRule type="expression" dxfId="4313" priority="4837">
      <formula>N203="X"</formula>
    </cfRule>
    <cfRule type="expression" dxfId="4312" priority="4838">
      <formula>N203="A"</formula>
    </cfRule>
    <cfRule type="expression" dxfId="4311" priority="4839">
      <formula>N203="T"</formula>
    </cfRule>
  </conditionalFormatting>
  <conditionalFormatting sqref="N206">
    <cfRule type="expression" dxfId="4310" priority="4834">
      <formula>N205="X"</formula>
    </cfRule>
    <cfRule type="expression" dxfId="4309" priority="4835">
      <formula>N205="A"</formula>
    </cfRule>
    <cfRule type="expression" dxfId="4308" priority="4836">
      <formula>N205="T"</formula>
    </cfRule>
  </conditionalFormatting>
  <conditionalFormatting sqref="N196">
    <cfRule type="expression" dxfId="4307" priority="4831">
      <formula>N195="X"</formula>
    </cfRule>
    <cfRule type="expression" dxfId="4306" priority="4832">
      <formula>N195="A"</formula>
    </cfRule>
    <cfRule type="expression" dxfId="4305" priority="4833">
      <formula>N195="T"</formula>
    </cfRule>
  </conditionalFormatting>
  <conditionalFormatting sqref="N197">
    <cfRule type="expression" dxfId="4304" priority="4828">
      <formula>N197="X"</formula>
    </cfRule>
    <cfRule type="expression" dxfId="4303" priority="4829">
      <formula>N197="A"</formula>
    </cfRule>
    <cfRule type="expression" dxfId="4302" priority="4830">
      <formula>N197="T"</formula>
    </cfRule>
  </conditionalFormatting>
  <conditionalFormatting sqref="N198">
    <cfRule type="expression" dxfId="4301" priority="4825">
      <formula>N197="X"</formula>
    </cfRule>
    <cfRule type="expression" dxfId="4300" priority="4826">
      <formula>N197="A"</formula>
    </cfRule>
    <cfRule type="expression" dxfId="4299" priority="4827">
      <formula>N197="T"</formula>
    </cfRule>
  </conditionalFormatting>
  <conditionalFormatting sqref="N199">
    <cfRule type="expression" dxfId="4298" priority="4822">
      <formula>N199="X"</formula>
    </cfRule>
    <cfRule type="expression" dxfId="4297" priority="4823">
      <formula>N199="A"</formula>
    </cfRule>
    <cfRule type="expression" dxfId="4296" priority="4824">
      <formula>N199="T"</formula>
    </cfRule>
  </conditionalFormatting>
  <conditionalFormatting sqref="N200">
    <cfRule type="expression" dxfId="4295" priority="4819">
      <formula>N199="X"</formula>
    </cfRule>
    <cfRule type="expression" dxfId="4294" priority="4820">
      <formula>N199="A"</formula>
    </cfRule>
    <cfRule type="expression" dxfId="4293" priority="4821">
      <formula>N199="T"</formula>
    </cfRule>
  </conditionalFormatting>
  <conditionalFormatting sqref="N201">
    <cfRule type="expression" dxfId="4292" priority="4816">
      <formula>N201="X"</formula>
    </cfRule>
    <cfRule type="expression" dxfId="4291" priority="4817">
      <formula>N201="A"</formula>
    </cfRule>
    <cfRule type="expression" dxfId="4290" priority="4818">
      <formula>N201="T"</formula>
    </cfRule>
  </conditionalFormatting>
  <conditionalFormatting sqref="N202">
    <cfRule type="expression" dxfId="4289" priority="4813">
      <formula>N201="X"</formula>
    </cfRule>
    <cfRule type="expression" dxfId="4288" priority="4814">
      <formula>N201="A"</formula>
    </cfRule>
    <cfRule type="expression" dxfId="4287" priority="4815">
      <formula>N201="T"</formula>
    </cfRule>
  </conditionalFormatting>
  <conditionalFormatting sqref="N72">
    <cfRule type="expression" dxfId="4286" priority="4810" stopIfTrue="1">
      <formula>N4=""</formula>
    </cfRule>
  </conditionalFormatting>
  <conditionalFormatting sqref="N72">
    <cfRule type="expression" dxfId="4285" priority="4811" stopIfTrue="1">
      <formula>N72=1</formula>
    </cfRule>
    <cfRule type="colorScale" priority="4812">
      <colorScale>
        <cfvo type="num" val="0"/>
        <cfvo type="num" val="0.5"/>
        <cfvo type="num" val="1"/>
        <color rgb="FFF8696B"/>
        <color theme="4" tint="0.79998168889431442"/>
        <color rgb="FF5A8AC6"/>
      </colorScale>
    </cfRule>
  </conditionalFormatting>
  <conditionalFormatting sqref="N132">
    <cfRule type="expression" dxfId="4284" priority="4808" stopIfTrue="1">
      <formula>N132=1</formula>
    </cfRule>
    <cfRule type="colorScale" priority="4809">
      <colorScale>
        <cfvo type="num" val="0"/>
        <cfvo type="num" val="0.5"/>
        <cfvo type="num" val="1"/>
        <color rgb="FFF8696B"/>
        <color theme="4" tint="0.79998168889431442"/>
        <color rgb="FF5A8AC6"/>
      </colorScale>
    </cfRule>
  </conditionalFormatting>
  <conditionalFormatting sqref="N132">
    <cfRule type="expression" dxfId="4283" priority="4807" stopIfTrue="1">
      <formula>N74=""</formula>
    </cfRule>
  </conditionalFormatting>
  <conditionalFormatting sqref="N237:N238">
    <cfRule type="expression" dxfId="4282" priority="4803" stopIfTrue="1">
      <formula>N237=_xlfn.UNICHAR(10003)</formula>
    </cfRule>
    <cfRule type="colorScale" priority="4804">
      <colorScale>
        <cfvo type="num" val="0"/>
        <cfvo type="num" val="0.5"/>
        <cfvo type="num" val="1"/>
        <color rgb="FFF8696B"/>
        <color theme="4" tint="0.79998168889431442"/>
        <color rgb="FF5A8AC6"/>
      </colorScale>
    </cfRule>
  </conditionalFormatting>
  <conditionalFormatting sqref="N230:N236">
    <cfRule type="expression" dxfId="4281" priority="4801" stopIfTrue="1">
      <formula>N230=_xlfn.UNICHAR(10003)</formula>
    </cfRule>
    <cfRule type="colorScale" priority="4802">
      <colorScale>
        <cfvo type="num" val="0"/>
        <cfvo type="num" val="0.5"/>
        <cfvo type="num" val="1"/>
        <color rgb="FFF8696B"/>
        <color theme="4" tint="0.79998168889431442"/>
        <color rgb="FF5A8AC6"/>
      </colorScale>
    </cfRule>
  </conditionalFormatting>
  <conditionalFormatting sqref="N239">
    <cfRule type="expression" dxfId="4280" priority="4799" stopIfTrue="1">
      <formula>N239=_xlfn.UNICHAR(10003)</formula>
    </cfRule>
    <cfRule type="colorScale" priority="4800">
      <colorScale>
        <cfvo type="num" val="0"/>
        <cfvo type="num" val="0.5"/>
        <cfvo type="num" val="1"/>
        <color rgb="FFF8696B"/>
        <color theme="4" tint="0.79998168889431442"/>
        <color rgb="FF5A8AC6"/>
      </colorScale>
    </cfRule>
  </conditionalFormatting>
  <conditionalFormatting sqref="N239">
    <cfRule type="expression" dxfId="4279" priority="4797" stopIfTrue="1">
      <formula>N239=1</formula>
    </cfRule>
    <cfRule type="colorScale" priority="4798">
      <colorScale>
        <cfvo type="num" val="0"/>
        <cfvo type="num" val="0.5"/>
        <cfvo type="num" val="1"/>
        <color rgb="FFF8696B"/>
        <color theme="4" tint="0.79998168889431442"/>
        <color rgb="FF5A8AC6"/>
      </colorScale>
    </cfRule>
  </conditionalFormatting>
  <conditionalFormatting sqref="N228">
    <cfRule type="expression" dxfId="4278" priority="4796" stopIfTrue="1">
      <formula>N228=UNICAHR(10003)</formula>
    </cfRule>
    <cfRule type="expression" dxfId="4277" priority="4805" stopIfTrue="1">
      <formula>N228=CONCATENATE(_xlfn.UNICHAR(10003),_xlfn.UNICHAR(10003))</formula>
    </cfRule>
    <cfRule type="colorScale" priority="4806">
      <colorScale>
        <cfvo type="num" val="0"/>
        <cfvo type="num" val="0.5"/>
        <cfvo type="num" val="1"/>
        <color rgb="FFF8696B"/>
        <color theme="4" tint="0.79998168889431442"/>
        <color rgb="FF5A8AC6"/>
      </colorScale>
    </cfRule>
  </conditionalFormatting>
  <conditionalFormatting sqref="N238 N229">
    <cfRule type="expression" dxfId="4276" priority="4793" stopIfTrue="1">
      <formula>N229=_xlfn.UNICHAR(10003)</formula>
    </cfRule>
    <cfRule type="expression" dxfId="4275" priority="4794" stopIfTrue="1">
      <formula>N229=CONCATENATE(_xlfn.UNICHAR(10003),_xlfn.UNICHAR(10003))</formula>
    </cfRule>
    <cfRule type="colorScale" priority="4795">
      <colorScale>
        <cfvo type="num" val="0"/>
        <cfvo type="num" val="0.5"/>
        <cfvo type="num" val="1"/>
        <color rgb="FFF8696B"/>
        <color theme="4" tint="0.79998168889431442"/>
        <color rgb="FF5A8AC6"/>
      </colorScale>
    </cfRule>
  </conditionalFormatting>
  <conditionalFormatting sqref="N160">
    <cfRule type="expression" dxfId="4274" priority="4790">
      <formula>N159="X"</formula>
    </cfRule>
    <cfRule type="expression" dxfId="4273" priority="4791">
      <formula>N159="A"</formula>
    </cfRule>
    <cfRule type="expression" dxfId="4272" priority="4792">
      <formula>N159="T"</formula>
    </cfRule>
  </conditionalFormatting>
  <conditionalFormatting sqref="N159">
    <cfRule type="expression" dxfId="4271" priority="4787">
      <formula>N159="X"</formula>
    </cfRule>
    <cfRule type="expression" dxfId="4270" priority="4788">
      <formula>N159="A"</formula>
    </cfRule>
    <cfRule type="expression" dxfId="4269" priority="4789">
      <formula>N159="T"</formula>
    </cfRule>
  </conditionalFormatting>
  <conditionalFormatting sqref="N162">
    <cfRule type="expression" dxfId="4268" priority="4784">
      <formula>N161="X"</formula>
    </cfRule>
    <cfRule type="expression" dxfId="4267" priority="4785">
      <formula>N161="A"</formula>
    </cfRule>
    <cfRule type="expression" dxfId="4266" priority="4786">
      <formula>N161="T"</formula>
    </cfRule>
  </conditionalFormatting>
  <conditionalFormatting sqref="N161">
    <cfRule type="expression" dxfId="4265" priority="4781">
      <formula>N161="X"</formula>
    </cfRule>
    <cfRule type="expression" dxfId="4264" priority="4782">
      <formula>N161="A"</formula>
    </cfRule>
    <cfRule type="expression" dxfId="4263" priority="4783">
      <formula>N161="T"</formula>
    </cfRule>
  </conditionalFormatting>
  <conditionalFormatting sqref="N164">
    <cfRule type="expression" dxfId="4262" priority="4778">
      <formula>N163="X"</formula>
    </cfRule>
    <cfRule type="expression" dxfId="4261" priority="4779">
      <formula>N163="A"</formula>
    </cfRule>
    <cfRule type="expression" dxfId="4260" priority="4780">
      <formula>N163="T"</formula>
    </cfRule>
  </conditionalFormatting>
  <conditionalFormatting sqref="N163">
    <cfRule type="expression" dxfId="4259" priority="4775">
      <formula>N163="X"</formula>
    </cfRule>
    <cfRule type="expression" dxfId="4258" priority="4776">
      <formula>N163="A"</formula>
    </cfRule>
    <cfRule type="expression" dxfId="4257" priority="4777">
      <formula>N163="T"</formula>
    </cfRule>
  </conditionalFormatting>
  <conditionalFormatting sqref="K221">
    <cfRule type="expression" dxfId="4256" priority="4772">
      <formula>K221="X"</formula>
    </cfRule>
    <cfRule type="expression" dxfId="4255" priority="4773">
      <formula>K221="A"</formula>
    </cfRule>
    <cfRule type="expression" dxfId="4254" priority="4774">
      <formula>K221="T"</formula>
    </cfRule>
  </conditionalFormatting>
  <conditionalFormatting sqref="Q160 Q158">
    <cfRule type="expression" dxfId="4253" priority="4769">
      <formula>Q157="X"</formula>
    </cfRule>
    <cfRule type="expression" dxfId="4252" priority="4770">
      <formula>Q157="A"</formula>
    </cfRule>
    <cfRule type="expression" dxfId="4251" priority="4771">
      <formula>Q157="T"</formula>
    </cfRule>
  </conditionalFormatting>
  <conditionalFormatting sqref="Q16 Q18 Q20 Q22 Q24 Q26 Q28 Q39 Q41 Q43 Q45 Q48 Q81 Q88 Q90 Q92 Q94 Q96 Q98 Q100 Q102 Q105 Q107 Q109 Q111 Q116">
    <cfRule type="expression" dxfId="4250" priority="4766">
      <formula>Q16="X"</formula>
    </cfRule>
    <cfRule type="expression" dxfId="4249" priority="4767">
      <formula>Q16="A"</formula>
    </cfRule>
    <cfRule type="expression" dxfId="4248" priority="4768">
      <formula>Q16="T"</formula>
    </cfRule>
  </conditionalFormatting>
  <conditionalFormatting sqref="Q36">
    <cfRule type="expression" dxfId="4247" priority="4763">
      <formula>Q36="X"</formula>
    </cfRule>
    <cfRule type="expression" dxfId="4246" priority="4764">
      <formula>Q36="A"</formula>
    </cfRule>
    <cfRule type="expression" dxfId="4245" priority="4765">
      <formula>Q36="T"</formula>
    </cfRule>
  </conditionalFormatting>
  <conditionalFormatting sqref="Q34">
    <cfRule type="expression" dxfId="4244" priority="4760">
      <formula>Q34="X"</formula>
    </cfRule>
    <cfRule type="expression" dxfId="4243" priority="4761">
      <formula>Q34="A"</formula>
    </cfRule>
    <cfRule type="expression" dxfId="4242" priority="4762">
      <formula>Q34="T"</formula>
    </cfRule>
  </conditionalFormatting>
  <conditionalFormatting sqref="Q32">
    <cfRule type="expression" dxfId="4241" priority="4757">
      <formula>Q32="X"</formula>
    </cfRule>
    <cfRule type="expression" dxfId="4240" priority="4758">
      <formula>Q32="A"</formula>
    </cfRule>
    <cfRule type="expression" dxfId="4239" priority="4759">
      <formula>Q32="T"</formula>
    </cfRule>
  </conditionalFormatting>
  <conditionalFormatting sqref="Q30">
    <cfRule type="expression" dxfId="4238" priority="4754">
      <formula>Q30="X"</formula>
    </cfRule>
    <cfRule type="expression" dxfId="4237" priority="4755">
      <formula>Q30="A"</formula>
    </cfRule>
    <cfRule type="expression" dxfId="4236" priority="4756">
      <formula>Q30="T"</formula>
    </cfRule>
  </conditionalFormatting>
  <conditionalFormatting sqref="Q52">
    <cfRule type="expression" dxfId="4235" priority="4751">
      <formula>Q52="X"</formula>
    </cfRule>
    <cfRule type="expression" dxfId="4234" priority="4752">
      <formula>Q52="A"</formula>
    </cfRule>
    <cfRule type="expression" dxfId="4233" priority="4753">
      <formula>Q52="T"</formula>
    </cfRule>
  </conditionalFormatting>
  <conditionalFormatting sqref="Q50">
    <cfRule type="expression" dxfId="4232" priority="4748">
      <formula>Q50="X"</formula>
    </cfRule>
    <cfRule type="expression" dxfId="4231" priority="4749">
      <formula>Q50="A"</formula>
    </cfRule>
    <cfRule type="expression" dxfId="4230" priority="4750">
      <formula>Q50="T"</formula>
    </cfRule>
  </conditionalFormatting>
  <conditionalFormatting sqref="Q54">
    <cfRule type="expression" dxfId="4229" priority="4745">
      <formula>Q54="X"</formula>
    </cfRule>
    <cfRule type="expression" dxfId="4228" priority="4746">
      <formula>Q54="A"</formula>
    </cfRule>
    <cfRule type="expression" dxfId="4227" priority="4747">
      <formula>Q54="T"</formula>
    </cfRule>
  </conditionalFormatting>
  <conditionalFormatting sqref="Q56">
    <cfRule type="expression" dxfId="4226" priority="4742">
      <formula>Q56="X"</formula>
    </cfRule>
    <cfRule type="expression" dxfId="4225" priority="4743">
      <formula>Q56="A"</formula>
    </cfRule>
    <cfRule type="expression" dxfId="4224" priority="4744">
      <formula>Q56="T"</formula>
    </cfRule>
  </conditionalFormatting>
  <conditionalFormatting sqref="Q58">
    <cfRule type="expression" dxfId="4223" priority="4739">
      <formula>Q58="X"</formula>
    </cfRule>
    <cfRule type="expression" dxfId="4222" priority="4740">
      <formula>Q58="A"</formula>
    </cfRule>
    <cfRule type="expression" dxfId="4221" priority="4741">
      <formula>Q58="T"</formula>
    </cfRule>
  </conditionalFormatting>
  <conditionalFormatting sqref="Q63">
    <cfRule type="expression" dxfId="4220" priority="4736">
      <formula>Q63="X"</formula>
    </cfRule>
    <cfRule type="expression" dxfId="4219" priority="4737">
      <formula>Q63="A"</formula>
    </cfRule>
    <cfRule type="expression" dxfId="4218" priority="4738">
      <formula>Q63="T"</formula>
    </cfRule>
  </conditionalFormatting>
  <conditionalFormatting sqref="Q65">
    <cfRule type="expression" dxfId="4217" priority="4733">
      <formula>Q65="X"</formula>
    </cfRule>
    <cfRule type="expression" dxfId="4216" priority="4734">
      <formula>Q65="A"</formula>
    </cfRule>
    <cfRule type="expression" dxfId="4215" priority="4735">
      <formula>Q65="T"</formula>
    </cfRule>
  </conditionalFormatting>
  <conditionalFormatting sqref="Q83">
    <cfRule type="expression" dxfId="4214" priority="4730">
      <formula>Q83="X"</formula>
    </cfRule>
    <cfRule type="expression" dxfId="4213" priority="4731">
      <formula>Q83="A"</formula>
    </cfRule>
    <cfRule type="expression" dxfId="4212" priority="4732">
      <formula>Q83="T"</formula>
    </cfRule>
  </conditionalFormatting>
  <conditionalFormatting sqref="Q85">
    <cfRule type="expression" dxfId="4211" priority="4727">
      <formula>Q85="X"</formula>
    </cfRule>
    <cfRule type="expression" dxfId="4210" priority="4728">
      <formula>Q85="A"</formula>
    </cfRule>
    <cfRule type="expression" dxfId="4209" priority="4729">
      <formula>Q85="T"</formula>
    </cfRule>
  </conditionalFormatting>
  <conditionalFormatting sqref="Q67">
    <cfRule type="expression" dxfId="4208" priority="4724">
      <formula>Q67="X"</formula>
    </cfRule>
    <cfRule type="expression" dxfId="4207" priority="4725">
      <formula>Q67="A"</formula>
    </cfRule>
    <cfRule type="expression" dxfId="4206" priority="4726">
      <formula>Q67="T"</formula>
    </cfRule>
  </conditionalFormatting>
  <conditionalFormatting sqref="Q113">
    <cfRule type="expression" dxfId="4205" priority="4721">
      <formula>Q113="X"</formula>
    </cfRule>
    <cfRule type="expression" dxfId="4204" priority="4722">
      <formula>Q113="A"</formula>
    </cfRule>
    <cfRule type="expression" dxfId="4203" priority="4723">
      <formula>Q113="T"</formula>
    </cfRule>
  </conditionalFormatting>
  <conditionalFormatting sqref="Q118">
    <cfRule type="expression" dxfId="4202" priority="4718">
      <formula>Q118="X"</formula>
    </cfRule>
    <cfRule type="expression" dxfId="4201" priority="4719">
      <formula>Q118="A"</formula>
    </cfRule>
    <cfRule type="expression" dxfId="4200" priority="4720">
      <formula>Q118="T"</formula>
    </cfRule>
  </conditionalFormatting>
  <conditionalFormatting sqref="Q120">
    <cfRule type="expression" dxfId="4199" priority="4715">
      <formula>Q120="X"</formula>
    </cfRule>
    <cfRule type="expression" dxfId="4198" priority="4716">
      <formula>Q120="A"</formula>
    </cfRule>
    <cfRule type="expression" dxfId="4197" priority="4717">
      <formula>Q120="T"</formula>
    </cfRule>
  </conditionalFormatting>
  <conditionalFormatting sqref="Q122">
    <cfRule type="expression" dxfId="4196" priority="4712">
      <formula>Q122="X"</formula>
    </cfRule>
    <cfRule type="expression" dxfId="4195" priority="4713">
      <formula>Q122="A"</formula>
    </cfRule>
    <cfRule type="expression" dxfId="4194" priority="4714">
      <formula>Q122="T"</formula>
    </cfRule>
  </conditionalFormatting>
  <conditionalFormatting sqref="Q125">
    <cfRule type="expression" dxfId="4193" priority="4709">
      <formula>Q125="X"</formula>
    </cfRule>
    <cfRule type="expression" dxfId="4192" priority="4710">
      <formula>Q125="A"</formula>
    </cfRule>
    <cfRule type="expression" dxfId="4191" priority="4711">
      <formula>Q125="T"</formula>
    </cfRule>
  </conditionalFormatting>
  <conditionalFormatting sqref="Q127">
    <cfRule type="expression" dxfId="4190" priority="4706">
      <formula>Q127="X"</formula>
    </cfRule>
    <cfRule type="expression" dxfId="4189" priority="4707">
      <formula>Q127="A"</formula>
    </cfRule>
    <cfRule type="expression" dxfId="4188" priority="4708">
      <formula>Q127="T"</formula>
    </cfRule>
  </conditionalFormatting>
  <conditionalFormatting sqref="Q141">
    <cfRule type="expression" dxfId="4187" priority="4703">
      <formula>Q141="X"</formula>
    </cfRule>
    <cfRule type="expression" dxfId="4186" priority="4704">
      <formula>Q141="A"</formula>
    </cfRule>
    <cfRule type="expression" dxfId="4185" priority="4705">
      <formula>Q141="T"</formula>
    </cfRule>
  </conditionalFormatting>
  <conditionalFormatting sqref="Q143">
    <cfRule type="expression" dxfId="4184" priority="4700">
      <formula>Q143="X"</formula>
    </cfRule>
    <cfRule type="expression" dxfId="4183" priority="4701">
      <formula>Q143="A"</formula>
    </cfRule>
    <cfRule type="expression" dxfId="4182" priority="4702">
      <formula>Q143="T"</formula>
    </cfRule>
  </conditionalFormatting>
  <conditionalFormatting sqref="Q149">
    <cfRule type="expression" dxfId="4181" priority="4697">
      <formula>Q149="X"</formula>
    </cfRule>
    <cfRule type="expression" dxfId="4180" priority="4698">
      <formula>Q149="A"</formula>
    </cfRule>
    <cfRule type="expression" dxfId="4179" priority="4699">
      <formula>Q149="T"</formula>
    </cfRule>
  </conditionalFormatting>
  <conditionalFormatting sqref="Q151">
    <cfRule type="expression" dxfId="4178" priority="4694">
      <formula>Q151="X"</formula>
    </cfRule>
    <cfRule type="expression" dxfId="4177" priority="4695">
      <formula>Q151="A"</formula>
    </cfRule>
    <cfRule type="expression" dxfId="4176" priority="4696">
      <formula>Q151="T"</formula>
    </cfRule>
  </conditionalFormatting>
  <conditionalFormatting sqref="Q155">
    <cfRule type="expression" dxfId="4175" priority="4691">
      <formula>Q155="X"</formula>
    </cfRule>
    <cfRule type="expression" dxfId="4174" priority="4692">
      <formula>Q155="A"</formula>
    </cfRule>
    <cfRule type="expression" dxfId="4173" priority="4693">
      <formula>Q155="T"</formula>
    </cfRule>
  </conditionalFormatting>
  <conditionalFormatting sqref="Q157">
    <cfRule type="expression" dxfId="4172" priority="4688">
      <formula>Q157="X"</formula>
    </cfRule>
    <cfRule type="expression" dxfId="4171" priority="4689">
      <formula>Q157="A"</formula>
    </cfRule>
    <cfRule type="expression" dxfId="4170" priority="4690">
      <formula>Q157="T"</formula>
    </cfRule>
  </conditionalFormatting>
  <conditionalFormatting sqref="Q167">
    <cfRule type="expression" dxfId="4169" priority="4685">
      <formula>Q167="X"</formula>
    </cfRule>
    <cfRule type="expression" dxfId="4168" priority="4686">
      <formula>Q167="A"</formula>
    </cfRule>
    <cfRule type="expression" dxfId="4167" priority="4687">
      <formula>Q167="T"</formula>
    </cfRule>
  </conditionalFormatting>
  <conditionalFormatting sqref="Q173">
    <cfRule type="expression" dxfId="4166" priority="4682">
      <formula>Q173="X"</formula>
    </cfRule>
    <cfRule type="expression" dxfId="4165" priority="4683">
      <formula>Q173="A"</formula>
    </cfRule>
    <cfRule type="expression" dxfId="4164" priority="4684">
      <formula>Q173="T"</formula>
    </cfRule>
  </conditionalFormatting>
  <conditionalFormatting sqref="Q175">
    <cfRule type="expression" dxfId="4163" priority="4679">
      <formula>Q175="X"</formula>
    </cfRule>
    <cfRule type="expression" dxfId="4162" priority="4680">
      <formula>Q175="A"</formula>
    </cfRule>
    <cfRule type="expression" dxfId="4161" priority="4681">
      <formula>Q175="T"</formula>
    </cfRule>
  </conditionalFormatting>
  <conditionalFormatting sqref="Q177">
    <cfRule type="expression" dxfId="4160" priority="4676">
      <formula>Q177="X"</formula>
    </cfRule>
    <cfRule type="expression" dxfId="4159" priority="4677">
      <formula>Q177="A"</formula>
    </cfRule>
    <cfRule type="expression" dxfId="4158" priority="4678">
      <formula>Q177="T"</formula>
    </cfRule>
  </conditionalFormatting>
  <conditionalFormatting sqref="Q179">
    <cfRule type="expression" dxfId="4157" priority="4673">
      <formula>Q179="X"</formula>
    </cfRule>
    <cfRule type="expression" dxfId="4156" priority="4674">
      <formula>Q179="A"</formula>
    </cfRule>
    <cfRule type="expression" dxfId="4155" priority="4675">
      <formula>Q179="T"</formula>
    </cfRule>
  </conditionalFormatting>
  <conditionalFormatting sqref="Q169">
    <cfRule type="expression" dxfId="4154" priority="4670">
      <formula>Q169="X"</formula>
    </cfRule>
    <cfRule type="expression" dxfId="4153" priority="4671">
      <formula>Q169="A"</formula>
    </cfRule>
    <cfRule type="expression" dxfId="4152" priority="4672">
      <formula>Q169="T"</formula>
    </cfRule>
  </conditionalFormatting>
  <conditionalFormatting sqref="Q171">
    <cfRule type="expression" dxfId="4151" priority="4667">
      <formula>Q171="X"</formula>
    </cfRule>
    <cfRule type="expression" dxfId="4150" priority="4668">
      <formula>Q171="A"</formula>
    </cfRule>
    <cfRule type="expression" dxfId="4149" priority="4669">
      <formula>Q171="T"</formula>
    </cfRule>
  </conditionalFormatting>
  <conditionalFormatting sqref="Q183">
    <cfRule type="expression" dxfId="4148" priority="4664">
      <formula>Q183="X"</formula>
    </cfRule>
    <cfRule type="expression" dxfId="4147" priority="4665">
      <formula>Q183="A"</formula>
    </cfRule>
    <cfRule type="expression" dxfId="4146" priority="4666">
      <formula>Q183="T"</formula>
    </cfRule>
  </conditionalFormatting>
  <conditionalFormatting sqref="Q185">
    <cfRule type="expression" dxfId="4145" priority="4661">
      <formula>Q185="X"</formula>
    </cfRule>
    <cfRule type="expression" dxfId="4144" priority="4662">
      <formula>Q185="A"</formula>
    </cfRule>
    <cfRule type="expression" dxfId="4143" priority="4663">
      <formula>Q185="T"</formula>
    </cfRule>
  </conditionalFormatting>
  <conditionalFormatting sqref="Q189">
    <cfRule type="expression" dxfId="4142" priority="4658">
      <formula>Q189="X"</formula>
    </cfRule>
    <cfRule type="expression" dxfId="4141" priority="4659">
      <formula>Q189="A"</formula>
    </cfRule>
    <cfRule type="expression" dxfId="4140" priority="4660">
      <formula>Q189="T"</formula>
    </cfRule>
  </conditionalFormatting>
  <conditionalFormatting sqref="Q191">
    <cfRule type="expression" dxfId="4139" priority="4655">
      <formula>Q191="X"</formula>
    </cfRule>
    <cfRule type="expression" dxfId="4138" priority="4656">
      <formula>Q191="A"</formula>
    </cfRule>
    <cfRule type="expression" dxfId="4137" priority="4657">
      <formula>Q191="T"</formula>
    </cfRule>
  </conditionalFormatting>
  <conditionalFormatting sqref="Q11">
    <cfRule type="expression" dxfId="4136" priority="4652">
      <formula>Q11="X"</formula>
    </cfRule>
    <cfRule type="expression" dxfId="4135" priority="4653">
      <formula>Q11="A"</formula>
    </cfRule>
    <cfRule type="expression" dxfId="4134" priority="4654">
      <formula>Q11="T"</formula>
    </cfRule>
  </conditionalFormatting>
  <conditionalFormatting sqref="Q12">
    <cfRule type="expression" dxfId="4133" priority="4649">
      <formula>Q11="X"</formula>
    </cfRule>
    <cfRule type="expression" dxfId="4132" priority="4650">
      <formula>Q11="A"</formula>
    </cfRule>
    <cfRule type="expression" dxfId="4131" priority="4651">
      <formula>Q11="T"</formula>
    </cfRule>
  </conditionalFormatting>
  <conditionalFormatting sqref="Q13">
    <cfRule type="expression" dxfId="4130" priority="4646">
      <formula>Q13="X"</formula>
    </cfRule>
    <cfRule type="expression" dxfId="4129" priority="4647">
      <formula>Q13="A"</formula>
    </cfRule>
    <cfRule type="expression" dxfId="4128" priority="4648">
      <formula>Q13="T"</formula>
    </cfRule>
  </conditionalFormatting>
  <conditionalFormatting sqref="Q14">
    <cfRule type="expression" dxfId="4127" priority="4643">
      <formula>Q13="X"</formula>
    </cfRule>
    <cfRule type="expression" dxfId="4126" priority="4644">
      <formula>Q13="A"</formula>
    </cfRule>
    <cfRule type="expression" dxfId="4125" priority="4645">
      <formula>Q13="T"</formula>
    </cfRule>
  </conditionalFormatting>
  <conditionalFormatting sqref="Q17">
    <cfRule type="expression" dxfId="4124" priority="4640">
      <formula>Q16="X"</formula>
    </cfRule>
    <cfRule type="expression" dxfId="4123" priority="4641">
      <formula>Q16="A"</formula>
    </cfRule>
    <cfRule type="expression" dxfId="4122" priority="4642">
      <formula>Q16="T"</formula>
    </cfRule>
  </conditionalFormatting>
  <conditionalFormatting sqref="Q19">
    <cfRule type="expression" dxfId="4121" priority="4634">
      <formula>Q18="X"</formula>
    </cfRule>
    <cfRule type="expression" dxfId="4120" priority="4635">
      <formula>Q18="A"</formula>
    </cfRule>
    <cfRule type="expression" dxfId="4119" priority="4636">
      <formula>Q18="T"</formula>
    </cfRule>
  </conditionalFormatting>
  <conditionalFormatting sqref="Q21">
    <cfRule type="expression" dxfId="4118" priority="4631">
      <formula>Q20="X"</formula>
    </cfRule>
    <cfRule type="expression" dxfId="4117" priority="4632">
      <formula>Q20="A"</formula>
    </cfRule>
    <cfRule type="expression" dxfId="4116" priority="4633">
      <formula>Q20="T"</formula>
    </cfRule>
  </conditionalFormatting>
  <conditionalFormatting sqref="Q23">
    <cfRule type="expression" dxfId="4115" priority="4628">
      <formula>Q22="X"</formula>
    </cfRule>
    <cfRule type="expression" dxfId="4114" priority="4629">
      <formula>Q22="A"</formula>
    </cfRule>
    <cfRule type="expression" dxfId="4113" priority="4630">
      <formula>Q22="T"</formula>
    </cfRule>
  </conditionalFormatting>
  <conditionalFormatting sqref="Q25">
    <cfRule type="expression" dxfId="4112" priority="4625">
      <formula>Q24="X"</formula>
    </cfRule>
    <cfRule type="expression" dxfId="4111" priority="4626">
      <formula>Q24="A"</formula>
    </cfRule>
    <cfRule type="expression" dxfId="4110" priority="4627">
      <formula>Q24="T"</formula>
    </cfRule>
  </conditionalFormatting>
  <conditionalFormatting sqref="Q27">
    <cfRule type="expression" dxfId="4109" priority="4622">
      <formula>Q26="X"</formula>
    </cfRule>
    <cfRule type="expression" dxfId="4108" priority="4623">
      <formula>Q26="A"</formula>
    </cfRule>
    <cfRule type="expression" dxfId="4107" priority="4624">
      <formula>Q26="T"</formula>
    </cfRule>
  </conditionalFormatting>
  <conditionalFormatting sqref="Q29">
    <cfRule type="expression" dxfId="4106" priority="4619">
      <formula>Q28="X"</formula>
    </cfRule>
    <cfRule type="expression" dxfId="4105" priority="4620">
      <formula>Q28="A"</formula>
    </cfRule>
    <cfRule type="expression" dxfId="4104" priority="4621">
      <formula>Q28="T"</formula>
    </cfRule>
  </conditionalFormatting>
  <conditionalFormatting sqref="Q31">
    <cfRule type="expression" dxfId="4103" priority="4616">
      <formula>Q30="X"</formula>
    </cfRule>
    <cfRule type="expression" dxfId="4102" priority="4617">
      <formula>Q30="A"</formula>
    </cfRule>
    <cfRule type="expression" dxfId="4101" priority="4618">
      <formula>Q30="T"</formula>
    </cfRule>
  </conditionalFormatting>
  <conditionalFormatting sqref="Q33">
    <cfRule type="expression" dxfId="4100" priority="4613">
      <formula>Q32="X"</formula>
    </cfRule>
    <cfRule type="expression" dxfId="4099" priority="4614">
      <formula>Q32="A"</formula>
    </cfRule>
    <cfRule type="expression" dxfId="4098" priority="4615">
      <formula>Q32="T"</formula>
    </cfRule>
  </conditionalFormatting>
  <conditionalFormatting sqref="Q35">
    <cfRule type="expression" dxfId="4097" priority="4610">
      <formula>Q34="X"</formula>
    </cfRule>
    <cfRule type="expression" dxfId="4096" priority="4611">
      <formula>Q34="A"</formula>
    </cfRule>
    <cfRule type="expression" dxfId="4095" priority="4612">
      <formula>Q34="T"</formula>
    </cfRule>
  </conditionalFormatting>
  <conditionalFormatting sqref="Q37">
    <cfRule type="expression" dxfId="4094" priority="4607">
      <formula>Q36="X"</formula>
    </cfRule>
    <cfRule type="expression" dxfId="4093" priority="4608">
      <formula>Q36="A"</formula>
    </cfRule>
    <cfRule type="expression" dxfId="4092" priority="4609">
      <formula>Q36="T"</formula>
    </cfRule>
  </conditionalFormatting>
  <conditionalFormatting sqref="Q40">
    <cfRule type="expression" dxfId="4091" priority="4604">
      <formula>Q39="X"</formula>
    </cfRule>
    <cfRule type="expression" dxfId="4090" priority="4605">
      <formula>Q39="A"</formula>
    </cfRule>
    <cfRule type="expression" dxfId="4089" priority="4606">
      <formula>Q39="T"</formula>
    </cfRule>
  </conditionalFormatting>
  <conditionalFormatting sqref="Q42">
    <cfRule type="expression" dxfId="4088" priority="4601">
      <formula>Q41="X"</formula>
    </cfRule>
    <cfRule type="expression" dxfId="4087" priority="4602">
      <formula>Q41="A"</formula>
    </cfRule>
    <cfRule type="expression" dxfId="4086" priority="4603">
      <formula>Q41="T"</formula>
    </cfRule>
  </conditionalFormatting>
  <conditionalFormatting sqref="Q44">
    <cfRule type="expression" dxfId="4085" priority="4598">
      <formula>Q43="X"</formula>
    </cfRule>
    <cfRule type="expression" dxfId="4084" priority="4599">
      <formula>Q43="A"</formula>
    </cfRule>
    <cfRule type="expression" dxfId="4083" priority="4600">
      <formula>Q43="T"</formula>
    </cfRule>
  </conditionalFormatting>
  <conditionalFormatting sqref="Q46">
    <cfRule type="expression" dxfId="4082" priority="4595">
      <formula>Q45="X"</formula>
    </cfRule>
    <cfRule type="expression" dxfId="4081" priority="4596">
      <formula>Q45="A"</formula>
    </cfRule>
    <cfRule type="expression" dxfId="4080" priority="4597">
      <formula>Q45="T"</formula>
    </cfRule>
  </conditionalFormatting>
  <conditionalFormatting sqref="Q49">
    <cfRule type="expression" dxfId="4079" priority="4592">
      <formula>Q48="X"</formula>
    </cfRule>
    <cfRule type="expression" dxfId="4078" priority="4593">
      <formula>Q48="A"</formula>
    </cfRule>
    <cfRule type="expression" dxfId="4077" priority="4594">
      <formula>Q48="T"</formula>
    </cfRule>
  </conditionalFormatting>
  <conditionalFormatting sqref="Q51">
    <cfRule type="expression" dxfId="4076" priority="4589">
      <formula>Q50="X"</formula>
    </cfRule>
    <cfRule type="expression" dxfId="4075" priority="4590">
      <formula>Q50="A"</formula>
    </cfRule>
    <cfRule type="expression" dxfId="4074" priority="4591">
      <formula>Q50="T"</formula>
    </cfRule>
  </conditionalFormatting>
  <conditionalFormatting sqref="Q53">
    <cfRule type="expression" dxfId="4073" priority="4586">
      <formula>Q52="X"</formula>
    </cfRule>
    <cfRule type="expression" dxfId="4072" priority="4587">
      <formula>Q52="A"</formula>
    </cfRule>
    <cfRule type="expression" dxfId="4071" priority="4588">
      <formula>Q52="T"</formula>
    </cfRule>
  </conditionalFormatting>
  <conditionalFormatting sqref="Q55">
    <cfRule type="expression" dxfId="4070" priority="4583">
      <formula>Q54="X"</formula>
    </cfRule>
    <cfRule type="expression" dxfId="4069" priority="4584">
      <formula>Q54="A"</formula>
    </cfRule>
    <cfRule type="expression" dxfId="4068" priority="4585">
      <formula>Q54="T"</formula>
    </cfRule>
  </conditionalFormatting>
  <conditionalFormatting sqref="Q57">
    <cfRule type="expression" dxfId="4067" priority="4580">
      <formula>Q56="X"</formula>
    </cfRule>
    <cfRule type="expression" dxfId="4066" priority="4581">
      <formula>Q56="A"</formula>
    </cfRule>
    <cfRule type="expression" dxfId="4065" priority="4582">
      <formula>Q56="T"</formula>
    </cfRule>
  </conditionalFormatting>
  <conditionalFormatting sqref="Q59">
    <cfRule type="expression" dxfId="4064" priority="4577">
      <formula>Q58="X"</formula>
    </cfRule>
    <cfRule type="expression" dxfId="4063" priority="4578">
      <formula>Q58="A"</formula>
    </cfRule>
    <cfRule type="expression" dxfId="4062" priority="4579">
      <formula>Q58="T"</formula>
    </cfRule>
  </conditionalFormatting>
  <conditionalFormatting sqref="Q64">
    <cfRule type="expression" dxfId="4061" priority="4574">
      <formula>Q63="X"</formula>
    </cfRule>
    <cfRule type="expression" dxfId="4060" priority="4575">
      <formula>Q63="A"</formula>
    </cfRule>
    <cfRule type="expression" dxfId="4059" priority="4576">
      <formula>Q63="T"</formula>
    </cfRule>
  </conditionalFormatting>
  <conditionalFormatting sqref="Q66">
    <cfRule type="expression" dxfId="4058" priority="4571">
      <formula>Q65="X"</formula>
    </cfRule>
    <cfRule type="expression" dxfId="4057" priority="4572">
      <formula>Q65="A"</formula>
    </cfRule>
    <cfRule type="expression" dxfId="4056" priority="4573">
      <formula>Q65="T"</formula>
    </cfRule>
  </conditionalFormatting>
  <conditionalFormatting sqref="Q68">
    <cfRule type="expression" dxfId="4055" priority="4568">
      <formula>Q67="X"</formula>
    </cfRule>
    <cfRule type="expression" dxfId="4054" priority="4569">
      <formula>Q67="A"</formula>
    </cfRule>
    <cfRule type="expression" dxfId="4053" priority="4570">
      <formula>Q67="T"</formula>
    </cfRule>
  </conditionalFormatting>
  <conditionalFormatting sqref="Q82">
    <cfRule type="expression" dxfId="4052" priority="4565">
      <formula>Q81="X"</formula>
    </cfRule>
    <cfRule type="expression" dxfId="4051" priority="4566">
      <formula>Q81="A"</formula>
    </cfRule>
    <cfRule type="expression" dxfId="4050" priority="4567">
      <formula>Q81="T"</formula>
    </cfRule>
  </conditionalFormatting>
  <conditionalFormatting sqref="Q84">
    <cfRule type="expression" dxfId="4049" priority="4562">
      <formula>Q83="X"</formula>
    </cfRule>
    <cfRule type="expression" dxfId="4048" priority="4563">
      <formula>Q83="A"</formula>
    </cfRule>
    <cfRule type="expression" dxfId="4047" priority="4564">
      <formula>Q83="T"</formula>
    </cfRule>
  </conditionalFormatting>
  <conditionalFormatting sqref="Q86">
    <cfRule type="expression" dxfId="4046" priority="4559">
      <formula>Q85="X"</formula>
    </cfRule>
    <cfRule type="expression" dxfId="4045" priority="4560">
      <formula>Q85="A"</formula>
    </cfRule>
    <cfRule type="expression" dxfId="4044" priority="4561">
      <formula>Q85="T"</formula>
    </cfRule>
  </conditionalFormatting>
  <conditionalFormatting sqref="Q89">
    <cfRule type="expression" dxfId="4043" priority="4556">
      <formula>Q88="X"</formula>
    </cfRule>
    <cfRule type="expression" dxfId="4042" priority="4557">
      <formula>Q88="A"</formula>
    </cfRule>
    <cfRule type="expression" dxfId="4041" priority="4558">
      <formula>Q88="T"</formula>
    </cfRule>
  </conditionalFormatting>
  <conditionalFormatting sqref="Q91">
    <cfRule type="expression" dxfId="4040" priority="4553">
      <formula>Q90="X"</formula>
    </cfRule>
    <cfRule type="expression" dxfId="4039" priority="4554">
      <formula>Q90="A"</formula>
    </cfRule>
    <cfRule type="expression" dxfId="4038" priority="4555">
      <formula>Q90="T"</formula>
    </cfRule>
  </conditionalFormatting>
  <conditionalFormatting sqref="Q93">
    <cfRule type="expression" dxfId="4037" priority="4550">
      <formula>Q92="X"</formula>
    </cfRule>
    <cfRule type="expression" dxfId="4036" priority="4551">
      <formula>Q92="A"</formula>
    </cfRule>
    <cfRule type="expression" dxfId="4035" priority="4552">
      <formula>Q92="T"</formula>
    </cfRule>
  </conditionalFormatting>
  <conditionalFormatting sqref="Q95">
    <cfRule type="expression" dxfId="4034" priority="4547">
      <formula>Q94="X"</formula>
    </cfRule>
    <cfRule type="expression" dxfId="4033" priority="4548">
      <formula>Q94="A"</formula>
    </cfRule>
    <cfRule type="expression" dxfId="4032" priority="4549">
      <formula>Q94="T"</formula>
    </cfRule>
  </conditionalFormatting>
  <conditionalFormatting sqref="Q97">
    <cfRule type="expression" dxfId="4031" priority="4544">
      <formula>Q96="X"</formula>
    </cfRule>
    <cfRule type="expression" dxfId="4030" priority="4545">
      <formula>Q96="A"</formula>
    </cfRule>
    <cfRule type="expression" dxfId="4029" priority="4546">
      <formula>Q96="T"</formula>
    </cfRule>
  </conditionalFormatting>
  <conditionalFormatting sqref="Q99">
    <cfRule type="expression" dxfId="4028" priority="4541">
      <formula>Q98="X"</formula>
    </cfRule>
    <cfRule type="expression" dxfId="4027" priority="4542">
      <formula>Q98="A"</formula>
    </cfRule>
    <cfRule type="expression" dxfId="4026" priority="4543">
      <formula>Q98="T"</formula>
    </cfRule>
  </conditionalFormatting>
  <conditionalFormatting sqref="Q101">
    <cfRule type="expression" dxfId="4025" priority="4538">
      <formula>Q100="X"</formula>
    </cfRule>
    <cfRule type="expression" dxfId="4024" priority="4539">
      <formula>Q100="A"</formula>
    </cfRule>
    <cfRule type="expression" dxfId="4023" priority="4540">
      <formula>Q100="T"</formula>
    </cfRule>
  </conditionalFormatting>
  <conditionalFormatting sqref="Q103">
    <cfRule type="expression" dxfId="4022" priority="4535">
      <formula>Q102="X"</formula>
    </cfRule>
    <cfRule type="expression" dxfId="4021" priority="4536">
      <formula>Q102="A"</formula>
    </cfRule>
    <cfRule type="expression" dxfId="4020" priority="4537">
      <formula>Q102="T"</formula>
    </cfRule>
  </conditionalFormatting>
  <conditionalFormatting sqref="Q106">
    <cfRule type="expression" dxfId="4019" priority="4532">
      <formula>Q105="X"</formula>
    </cfRule>
    <cfRule type="expression" dxfId="4018" priority="4533">
      <formula>Q105="A"</formula>
    </cfRule>
    <cfRule type="expression" dxfId="4017" priority="4534">
      <formula>Q105="T"</formula>
    </cfRule>
  </conditionalFormatting>
  <conditionalFormatting sqref="Q108">
    <cfRule type="expression" dxfId="4016" priority="4529">
      <formula>Q107="X"</formula>
    </cfRule>
    <cfRule type="expression" dxfId="4015" priority="4530">
      <formula>Q107="A"</formula>
    </cfRule>
    <cfRule type="expression" dxfId="4014" priority="4531">
      <formula>Q107="T"</formula>
    </cfRule>
  </conditionalFormatting>
  <conditionalFormatting sqref="Q110">
    <cfRule type="expression" dxfId="4013" priority="4526">
      <formula>Q109="X"</formula>
    </cfRule>
    <cfRule type="expression" dxfId="4012" priority="4527">
      <formula>Q109="A"</formula>
    </cfRule>
    <cfRule type="expression" dxfId="4011" priority="4528">
      <formula>Q109="T"</formula>
    </cfRule>
  </conditionalFormatting>
  <conditionalFormatting sqref="Q112">
    <cfRule type="expression" dxfId="4010" priority="4523">
      <formula>Q111="X"</formula>
    </cfRule>
    <cfRule type="expression" dxfId="4009" priority="4524">
      <formula>Q111="A"</formula>
    </cfRule>
    <cfRule type="expression" dxfId="4008" priority="4525">
      <formula>Q111="T"</formula>
    </cfRule>
  </conditionalFormatting>
  <conditionalFormatting sqref="Q114">
    <cfRule type="expression" dxfId="4007" priority="4520">
      <formula>Q113="X"</formula>
    </cfRule>
    <cfRule type="expression" dxfId="4006" priority="4521">
      <formula>Q113="A"</formula>
    </cfRule>
    <cfRule type="expression" dxfId="4005" priority="4522">
      <formula>Q113="T"</formula>
    </cfRule>
  </conditionalFormatting>
  <conditionalFormatting sqref="Q117">
    <cfRule type="expression" dxfId="4004" priority="4517">
      <formula>Q116="X"</formula>
    </cfRule>
    <cfRule type="expression" dxfId="4003" priority="4518">
      <formula>Q116="A"</formula>
    </cfRule>
    <cfRule type="expression" dxfId="4002" priority="4519">
      <formula>Q116="T"</formula>
    </cfRule>
  </conditionalFormatting>
  <conditionalFormatting sqref="Q119">
    <cfRule type="expression" dxfId="4001" priority="4514">
      <formula>Q118="X"</formula>
    </cfRule>
    <cfRule type="expression" dxfId="4000" priority="4515">
      <formula>Q118="A"</formula>
    </cfRule>
    <cfRule type="expression" dxfId="3999" priority="4516">
      <formula>Q118="T"</formula>
    </cfRule>
  </conditionalFormatting>
  <conditionalFormatting sqref="Q121">
    <cfRule type="expression" dxfId="3998" priority="4511">
      <formula>Q120="X"</formula>
    </cfRule>
    <cfRule type="expression" dxfId="3997" priority="4512">
      <formula>Q120="A"</formula>
    </cfRule>
    <cfRule type="expression" dxfId="3996" priority="4513">
      <formula>Q120="T"</formula>
    </cfRule>
  </conditionalFormatting>
  <conditionalFormatting sqref="Q123">
    <cfRule type="expression" dxfId="3995" priority="4508">
      <formula>Q122="X"</formula>
    </cfRule>
    <cfRule type="expression" dxfId="3994" priority="4509">
      <formula>Q122="A"</formula>
    </cfRule>
    <cfRule type="expression" dxfId="3993" priority="4510">
      <formula>Q122="T"</formula>
    </cfRule>
  </conditionalFormatting>
  <conditionalFormatting sqref="Q126">
    <cfRule type="expression" dxfId="3992" priority="4505">
      <formula>Q125="X"</formula>
    </cfRule>
    <cfRule type="expression" dxfId="3991" priority="4506">
      <formula>Q125="A"</formula>
    </cfRule>
    <cfRule type="expression" dxfId="3990" priority="4507">
      <formula>Q125="T"</formula>
    </cfRule>
  </conditionalFormatting>
  <conditionalFormatting sqref="Q128">
    <cfRule type="expression" dxfId="3989" priority="4502">
      <formula>Q127="X"</formula>
    </cfRule>
    <cfRule type="expression" dxfId="3988" priority="4503">
      <formula>Q127="A"</formula>
    </cfRule>
    <cfRule type="expression" dxfId="3987" priority="4504">
      <formula>Q127="T"</formula>
    </cfRule>
  </conditionalFormatting>
  <conditionalFormatting sqref="Q142">
    <cfRule type="expression" dxfId="3986" priority="4499">
      <formula>Q141="X"</formula>
    </cfRule>
    <cfRule type="expression" dxfId="3985" priority="4500">
      <formula>Q141="A"</formula>
    </cfRule>
    <cfRule type="expression" dxfId="3984" priority="4501">
      <formula>Q141="T"</formula>
    </cfRule>
  </conditionalFormatting>
  <conditionalFormatting sqref="Q144">
    <cfRule type="expression" dxfId="3983" priority="4496">
      <formula>Q143="X"</formula>
    </cfRule>
    <cfRule type="expression" dxfId="3982" priority="4497">
      <formula>Q143="A"</formula>
    </cfRule>
    <cfRule type="expression" dxfId="3981" priority="4498">
      <formula>Q143="T"</formula>
    </cfRule>
  </conditionalFormatting>
  <conditionalFormatting sqref="Q150">
    <cfRule type="expression" dxfId="3980" priority="4493">
      <formula>Q149="X"</formula>
    </cfRule>
    <cfRule type="expression" dxfId="3979" priority="4494">
      <formula>Q149="A"</formula>
    </cfRule>
    <cfRule type="expression" dxfId="3978" priority="4495">
      <formula>Q149="T"</formula>
    </cfRule>
  </conditionalFormatting>
  <conditionalFormatting sqref="Q152">
    <cfRule type="expression" dxfId="3977" priority="4490">
      <formula>Q151="X"</formula>
    </cfRule>
    <cfRule type="expression" dxfId="3976" priority="4491">
      <formula>Q151="A"</formula>
    </cfRule>
    <cfRule type="expression" dxfId="3975" priority="4492">
      <formula>Q151="T"</formula>
    </cfRule>
  </conditionalFormatting>
  <conditionalFormatting sqref="Q156">
    <cfRule type="expression" dxfId="3974" priority="4487">
      <formula>Q155="X"</formula>
    </cfRule>
    <cfRule type="expression" dxfId="3973" priority="4488">
      <formula>Q155="A"</formula>
    </cfRule>
    <cfRule type="expression" dxfId="3972" priority="4489">
      <formula>Q155="T"</formula>
    </cfRule>
  </conditionalFormatting>
  <conditionalFormatting sqref="Q168">
    <cfRule type="expression" dxfId="3971" priority="4484">
      <formula>Q167="X"</formula>
    </cfRule>
    <cfRule type="expression" dxfId="3970" priority="4485">
      <formula>Q167="A"</formula>
    </cfRule>
    <cfRule type="expression" dxfId="3969" priority="4486">
      <formula>Q167="T"</formula>
    </cfRule>
  </conditionalFormatting>
  <conditionalFormatting sqref="Q170">
    <cfRule type="expression" dxfId="3968" priority="4481">
      <formula>Q169="X"</formula>
    </cfRule>
    <cfRule type="expression" dxfId="3967" priority="4482">
      <formula>Q169="A"</formula>
    </cfRule>
    <cfRule type="expression" dxfId="3966" priority="4483">
      <formula>Q169="T"</formula>
    </cfRule>
  </conditionalFormatting>
  <conditionalFormatting sqref="Q172">
    <cfRule type="expression" dxfId="3965" priority="4478">
      <formula>Q171="X"</formula>
    </cfRule>
    <cfRule type="expression" dxfId="3964" priority="4479">
      <formula>Q171="A"</formula>
    </cfRule>
    <cfRule type="expression" dxfId="3963" priority="4480">
      <formula>Q171="T"</formula>
    </cfRule>
  </conditionalFormatting>
  <conditionalFormatting sqref="Q174">
    <cfRule type="expression" dxfId="3962" priority="4475">
      <formula>Q173="X"</formula>
    </cfRule>
    <cfRule type="expression" dxfId="3961" priority="4476">
      <formula>Q173="A"</formula>
    </cfRule>
    <cfRule type="expression" dxfId="3960" priority="4477">
      <formula>Q173="T"</formula>
    </cfRule>
  </conditionalFormatting>
  <conditionalFormatting sqref="Q176">
    <cfRule type="expression" dxfId="3959" priority="4472">
      <formula>Q175="X"</formula>
    </cfRule>
    <cfRule type="expression" dxfId="3958" priority="4473">
      <formula>Q175="A"</formula>
    </cfRule>
    <cfRule type="expression" dxfId="3957" priority="4474">
      <formula>Q175="T"</formula>
    </cfRule>
  </conditionalFormatting>
  <conditionalFormatting sqref="Q178">
    <cfRule type="expression" dxfId="3956" priority="4469">
      <formula>Q177="X"</formula>
    </cfRule>
    <cfRule type="expression" dxfId="3955" priority="4470">
      <formula>Q177="A"</formula>
    </cfRule>
    <cfRule type="expression" dxfId="3954" priority="4471">
      <formula>Q177="T"</formula>
    </cfRule>
  </conditionalFormatting>
  <conditionalFormatting sqref="Q180">
    <cfRule type="expression" dxfId="3953" priority="4466">
      <formula>Q179="X"</formula>
    </cfRule>
    <cfRule type="expression" dxfId="3952" priority="4467">
      <formula>Q179="A"</formula>
    </cfRule>
    <cfRule type="expression" dxfId="3951" priority="4468">
      <formula>Q179="T"</formula>
    </cfRule>
  </conditionalFormatting>
  <conditionalFormatting sqref="Q184">
    <cfRule type="expression" dxfId="3950" priority="4463">
      <formula>Q183="X"</formula>
    </cfRule>
    <cfRule type="expression" dxfId="3949" priority="4464">
      <formula>Q183="A"</formula>
    </cfRule>
    <cfRule type="expression" dxfId="3948" priority="4465">
      <formula>Q183="T"</formula>
    </cfRule>
  </conditionalFormatting>
  <conditionalFormatting sqref="Q186">
    <cfRule type="expression" dxfId="3947" priority="4460">
      <formula>Q185="X"</formula>
    </cfRule>
    <cfRule type="expression" dxfId="3946" priority="4461">
      <formula>Q185="A"</formula>
    </cfRule>
    <cfRule type="expression" dxfId="3945" priority="4462">
      <formula>Q185="T"</formula>
    </cfRule>
  </conditionalFormatting>
  <conditionalFormatting sqref="Q190">
    <cfRule type="expression" dxfId="3944" priority="4457">
      <formula>Q189="X"</formula>
    </cfRule>
    <cfRule type="expression" dxfId="3943" priority="4458">
      <formula>Q189="A"</formula>
    </cfRule>
    <cfRule type="expression" dxfId="3942" priority="4459">
      <formula>Q189="T"</formula>
    </cfRule>
  </conditionalFormatting>
  <conditionalFormatting sqref="Q192">
    <cfRule type="expression" dxfId="3941" priority="4454">
      <formula>Q191="X"</formula>
    </cfRule>
    <cfRule type="expression" dxfId="3940" priority="4455">
      <formula>Q191="A"</formula>
    </cfRule>
    <cfRule type="expression" dxfId="3939" priority="4456">
      <formula>Q191="T"</formula>
    </cfRule>
  </conditionalFormatting>
  <conditionalFormatting sqref="Q208">
    <cfRule type="expression" dxfId="3938" priority="4451">
      <formula>Q207="X"</formula>
    </cfRule>
    <cfRule type="expression" dxfId="3937" priority="4452">
      <formula>Q207="A"</formula>
    </cfRule>
    <cfRule type="expression" dxfId="3936" priority="4453">
      <formula>Q207="T"</formula>
    </cfRule>
  </conditionalFormatting>
  <conditionalFormatting sqref="Q211">
    <cfRule type="expression" dxfId="3935" priority="4448">
      <formula>Q211="X"</formula>
    </cfRule>
    <cfRule type="expression" dxfId="3934" priority="4449">
      <formula>Q211="A"</formula>
    </cfRule>
    <cfRule type="expression" dxfId="3933" priority="4450">
      <formula>Q211="T"</formula>
    </cfRule>
  </conditionalFormatting>
  <conditionalFormatting sqref="Q212">
    <cfRule type="expression" dxfId="3932" priority="4445">
      <formula>Q211="X"</formula>
    </cfRule>
    <cfRule type="expression" dxfId="3931" priority="4446">
      <formula>Q211="A"</formula>
    </cfRule>
    <cfRule type="expression" dxfId="3930" priority="4447">
      <formula>Q211="T"</formula>
    </cfRule>
  </conditionalFormatting>
  <conditionalFormatting sqref="Q213">
    <cfRule type="expression" dxfId="3929" priority="4442">
      <formula>Q213="X"</formula>
    </cfRule>
    <cfRule type="expression" dxfId="3928" priority="4443">
      <formula>Q213="A"</formula>
    </cfRule>
    <cfRule type="expression" dxfId="3927" priority="4444">
      <formula>Q213="T"</formula>
    </cfRule>
  </conditionalFormatting>
  <conditionalFormatting sqref="Q214">
    <cfRule type="expression" dxfId="3926" priority="4439">
      <formula>Q213="X"</formula>
    </cfRule>
    <cfRule type="expression" dxfId="3925" priority="4440">
      <formula>Q213="A"</formula>
    </cfRule>
    <cfRule type="expression" dxfId="3924" priority="4441">
      <formula>Q213="T"</formula>
    </cfRule>
  </conditionalFormatting>
  <conditionalFormatting sqref="Q215">
    <cfRule type="expression" dxfId="3923" priority="4436">
      <formula>Q215="X"</formula>
    </cfRule>
    <cfRule type="expression" dxfId="3922" priority="4437">
      <formula>Q215="A"</formula>
    </cfRule>
    <cfRule type="expression" dxfId="3921" priority="4438">
      <formula>Q215="T"</formula>
    </cfRule>
  </conditionalFormatting>
  <conditionalFormatting sqref="Q216">
    <cfRule type="expression" dxfId="3920" priority="4433">
      <formula>Q215="X"</formula>
    </cfRule>
    <cfRule type="expression" dxfId="3919" priority="4434">
      <formula>Q215="A"</formula>
    </cfRule>
    <cfRule type="expression" dxfId="3918" priority="4435">
      <formula>Q215="T"</formula>
    </cfRule>
  </conditionalFormatting>
  <conditionalFormatting sqref="Q217">
    <cfRule type="expression" dxfId="3917" priority="4430">
      <formula>Q217="X"</formula>
    </cfRule>
    <cfRule type="expression" dxfId="3916" priority="4431">
      <formula>Q217="A"</formula>
    </cfRule>
    <cfRule type="expression" dxfId="3915" priority="4432">
      <formula>Q217="T"</formula>
    </cfRule>
  </conditionalFormatting>
  <conditionalFormatting sqref="Q218">
    <cfRule type="expression" dxfId="3914" priority="4427">
      <formula>Q217="X"</formula>
    </cfRule>
    <cfRule type="expression" dxfId="3913" priority="4428">
      <formula>Q217="A"</formula>
    </cfRule>
    <cfRule type="expression" dxfId="3912" priority="4429">
      <formula>Q217="T"</formula>
    </cfRule>
  </conditionalFormatting>
  <conditionalFormatting sqref="Q219">
    <cfRule type="expression" dxfId="3911" priority="4424">
      <formula>Q219="X"</formula>
    </cfRule>
    <cfRule type="expression" dxfId="3910" priority="4425">
      <formula>Q219="A"</formula>
    </cfRule>
    <cfRule type="expression" dxfId="3909" priority="4426">
      <formula>Q219="T"</formula>
    </cfRule>
  </conditionalFormatting>
  <conditionalFormatting sqref="Q220">
    <cfRule type="expression" dxfId="3908" priority="4421">
      <formula>Q219="X"</formula>
    </cfRule>
    <cfRule type="expression" dxfId="3907" priority="4422">
      <formula>Q219="A"</formula>
    </cfRule>
    <cfRule type="expression" dxfId="3906" priority="4423">
      <formula>Q219="T"</formula>
    </cfRule>
  </conditionalFormatting>
  <conditionalFormatting sqref="Q221">
    <cfRule type="expression" dxfId="3905" priority="4418">
      <formula>Q221="X"</formula>
    </cfRule>
    <cfRule type="expression" dxfId="3904" priority="4419">
      <formula>Q221="A"</formula>
    </cfRule>
    <cfRule type="expression" dxfId="3903" priority="4420">
      <formula>Q221="T"</formula>
    </cfRule>
  </conditionalFormatting>
  <conditionalFormatting sqref="Q222">
    <cfRule type="expression" dxfId="3902" priority="4415">
      <formula>Q221="X"</formula>
    </cfRule>
    <cfRule type="expression" dxfId="3901" priority="4416">
      <formula>Q221="A"</formula>
    </cfRule>
    <cfRule type="expression" dxfId="3900" priority="4417">
      <formula>Q221="T"</formula>
    </cfRule>
  </conditionalFormatting>
  <conditionalFormatting sqref="Q223">
    <cfRule type="expression" dxfId="3899" priority="4412">
      <formula>Q223="X"</formula>
    </cfRule>
    <cfRule type="expression" dxfId="3898" priority="4413">
      <formula>Q223="A"</formula>
    </cfRule>
    <cfRule type="expression" dxfId="3897" priority="4414">
      <formula>Q223="T"</formula>
    </cfRule>
  </conditionalFormatting>
  <conditionalFormatting sqref="Q224">
    <cfRule type="expression" dxfId="3896" priority="4409">
      <formula>Q223="X"</formula>
    </cfRule>
    <cfRule type="expression" dxfId="3895" priority="4410">
      <formula>Q223="A"</formula>
    </cfRule>
    <cfRule type="expression" dxfId="3894" priority="4411">
      <formula>Q223="T"</formula>
    </cfRule>
  </conditionalFormatting>
  <conditionalFormatting sqref="Q4">
    <cfRule type="expression" dxfId="3893" priority="4406">
      <formula>Q4="X"</formula>
    </cfRule>
    <cfRule type="expression" dxfId="3892" priority="4407">
      <formula>Q4="A"</formula>
    </cfRule>
    <cfRule type="expression" dxfId="3891" priority="4408">
      <formula>Q4="T"</formula>
    </cfRule>
  </conditionalFormatting>
  <conditionalFormatting sqref="Q5">
    <cfRule type="expression" dxfId="3890" priority="4403">
      <formula>Q4="X"</formula>
    </cfRule>
    <cfRule type="expression" dxfId="3889" priority="4404">
      <formula>Q4="A"</formula>
    </cfRule>
    <cfRule type="expression" dxfId="3888" priority="4405">
      <formula>Q4="T"</formula>
    </cfRule>
  </conditionalFormatting>
  <conditionalFormatting sqref="Q6">
    <cfRule type="expression" dxfId="3887" priority="4400">
      <formula>Q6="X"</formula>
    </cfRule>
    <cfRule type="expression" dxfId="3886" priority="4401">
      <formula>Q6="A"</formula>
    </cfRule>
    <cfRule type="expression" dxfId="3885" priority="4402">
      <formula>Q6="T"</formula>
    </cfRule>
  </conditionalFormatting>
  <conditionalFormatting sqref="Q7">
    <cfRule type="expression" dxfId="3884" priority="4397">
      <formula>Q6="X"</formula>
    </cfRule>
    <cfRule type="expression" dxfId="3883" priority="4398">
      <formula>Q6="A"</formula>
    </cfRule>
    <cfRule type="expression" dxfId="3882" priority="4399">
      <formula>Q6="T"</formula>
    </cfRule>
  </conditionalFormatting>
  <conditionalFormatting sqref="Q8">
    <cfRule type="expression" dxfId="3881" priority="4394">
      <formula>Q8="X"</formula>
    </cfRule>
    <cfRule type="expression" dxfId="3880" priority="4395">
      <formula>Q8="A"</formula>
    </cfRule>
    <cfRule type="expression" dxfId="3879" priority="4396">
      <formula>Q8="T"</formula>
    </cfRule>
  </conditionalFormatting>
  <conditionalFormatting sqref="Q9">
    <cfRule type="expression" dxfId="3878" priority="4391">
      <formula>Q8="X"</formula>
    </cfRule>
    <cfRule type="expression" dxfId="3877" priority="4392">
      <formula>Q8="A"</formula>
    </cfRule>
    <cfRule type="expression" dxfId="3876" priority="4393">
      <formula>Q8="T"</formula>
    </cfRule>
  </conditionalFormatting>
  <conditionalFormatting sqref="Q74">
    <cfRule type="expression" dxfId="3875" priority="4388">
      <formula>Q74="X"</formula>
    </cfRule>
    <cfRule type="expression" dxfId="3874" priority="4389">
      <formula>Q74="A"</formula>
    </cfRule>
    <cfRule type="expression" dxfId="3873" priority="4390">
      <formula>Q74="T"</formula>
    </cfRule>
  </conditionalFormatting>
  <conditionalFormatting sqref="Q75">
    <cfRule type="expression" dxfId="3872" priority="4385">
      <formula>Q74="X"</formula>
    </cfRule>
    <cfRule type="expression" dxfId="3871" priority="4386">
      <formula>Q74="A"</formula>
    </cfRule>
    <cfRule type="expression" dxfId="3870" priority="4387">
      <formula>Q74="T"</formula>
    </cfRule>
  </conditionalFormatting>
  <conditionalFormatting sqref="Q76">
    <cfRule type="expression" dxfId="3869" priority="4382">
      <formula>Q76="X"</formula>
    </cfRule>
    <cfRule type="expression" dxfId="3868" priority="4383">
      <formula>Q76="A"</formula>
    </cfRule>
    <cfRule type="expression" dxfId="3867" priority="4384">
      <formula>Q76="T"</formula>
    </cfRule>
  </conditionalFormatting>
  <conditionalFormatting sqref="Q77">
    <cfRule type="expression" dxfId="3866" priority="4379">
      <formula>Q76="X"</formula>
    </cfRule>
    <cfRule type="expression" dxfId="3865" priority="4380">
      <formula>Q76="A"</formula>
    </cfRule>
    <cfRule type="expression" dxfId="3864" priority="4381">
      <formula>Q76="T"</formula>
    </cfRule>
  </conditionalFormatting>
  <conditionalFormatting sqref="Q78">
    <cfRule type="expression" dxfId="3863" priority="4376">
      <formula>Q78="X"</formula>
    </cfRule>
    <cfRule type="expression" dxfId="3862" priority="4377">
      <formula>Q78="A"</formula>
    </cfRule>
    <cfRule type="expression" dxfId="3861" priority="4378">
      <formula>Q78="T"</formula>
    </cfRule>
  </conditionalFormatting>
  <conditionalFormatting sqref="Q79">
    <cfRule type="expression" dxfId="3860" priority="4373">
      <formula>Q78="X"</formula>
    </cfRule>
    <cfRule type="expression" dxfId="3859" priority="4374">
      <formula>Q78="A"</formula>
    </cfRule>
    <cfRule type="expression" dxfId="3858" priority="4375">
      <formula>Q78="T"</formula>
    </cfRule>
  </conditionalFormatting>
  <conditionalFormatting sqref="Q134">
    <cfRule type="expression" dxfId="3857" priority="4370">
      <formula>Q134="X"</formula>
    </cfRule>
    <cfRule type="expression" dxfId="3856" priority="4371">
      <formula>Q134="A"</formula>
    </cfRule>
    <cfRule type="expression" dxfId="3855" priority="4372">
      <formula>Q134="T"</formula>
    </cfRule>
  </conditionalFormatting>
  <conditionalFormatting sqref="Q135">
    <cfRule type="expression" dxfId="3854" priority="4367">
      <formula>Q134="X"</formula>
    </cfRule>
    <cfRule type="expression" dxfId="3853" priority="4368">
      <formula>Q134="A"</formula>
    </cfRule>
    <cfRule type="expression" dxfId="3852" priority="4369">
      <formula>Q134="T"</formula>
    </cfRule>
  </conditionalFormatting>
  <conditionalFormatting sqref="Q136">
    <cfRule type="expression" dxfId="3851" priority="4364">
      <formula>Q136="X"</formula>
    </cfRule>
    <cfRule type="expression" dxfId="3850" priority="4365">
      <formula>Q136="A"</formula>
    </cfRule>
    <cfRule type="expression" dxfId="3849" priority="4366">
      <formula>Q136="T"</formula>
    </cfRule>
  </conditionalFormatting>
  <conditionalFormatting sqref="Q137">
    <cfRule type="expression" dxfId="3848" priority="4361">
      <formula>Q136="X"</formula>
    </cfRule>
    <cfRule type="expression" dxfId="3847" priority="4362">
      <formula>Q136="A"</formula>
    </cfRule>
    <cfRule type="expression" dxfId="3846" priority="4363">
      <formula>Q136="T"</formula>
    </cfRule>
  </conditionalFormatting>
  <conditionalFormatting sqref="Q138">
    <cfRule type="expression" dxfId="3845" priority="4358">
      <formula>Q138="X"</formula>
    </cfRule>
    <cfRule type="expression" dxfId="3844" priority="4359">
      <formula>Q138="A"</formula>
    </cfRule>
    <cfRule type="expression" dxfId="3843" priority="4360">
      <formula>Q138="T"</formula>
    </cfRule>
  </conditionalFormatting>
  <conditionalFormatting sqref="Q139">
    <cfRule type="expression" dxfId="3842" priority="4355">
      <formula>Q138="X"</formula>
    </cfRule>
    <cfRule type="expression" dxfId="3841" priority="4356">
      <formula>Q138="A"</formula>
    </cfRule>
    <cfRule type="expression" dxfId="3840" priority="4357">
      <formula>Q138="T"</formula>
    </cfRule>
  </conditionalFormatting>
  <conditionalFormatting sqref="Q10">
    <cfRule type="expression" dxfId="3839" priority="4352" stopIfTrue="1">
      <formula>Q4=""</formula>
    </cfRule>
  </conditionalFormatting>
  <conditionalFormatting sqref="Q10">
    <cfRule type="expression" dxfId="3838" priority="4353" stopIfTrue="1">
      <formula>Q10=1</formula>
    </cfRule>
    <cfRule type="colorScale" priority="4354">
      <colorScale>
        <cfvo type="num" val="0"/>
        <cfvo type="num" val="0.5"/>
        <cfvo type="num" val="1"/>
        <color rgb="FFF8696B"/>
        <color theme="4" tint="0.79998168889431442"/>
        <color rgb="FF5A8AC6"/>
      </colorScale>
    </cfRule>
  </conditionalFormatting>
  <conditionalFormatting sqref="Q15">
    <cfRule type="expression" dxfId="3837" priority="4349" stopIfTrue="1">
      <formula>Q11=""</formula>
    </cfRule>
  </conditionalFormatting>
  <conditionalFormatting sqref="Q15">
    <cfRule type="expression" dxfId="3836" priority="4350" stopIfTrue="1">
      <formula>Q15=1</formula>
    </cfRule>
    <cfRule type="colorScale" priority="4351">
      <colorScale>
        <cfvo type="num" val="0"/>
        <cfvo type="num" val="0.5"/>
        <cfvo type="num" val="1"/>
        <color rgb="FFF8696B"/>
        <color theme="4" tint="0.79998168889431442"/>
        <color rgb="FF5A8AC6"/>
      </colorScale>
    </cfRule>
  </conditionalFormatting>
  <conditionalFormatting sqref="Q38">
    <cfRule type="expression" dxfId="3835" priority="4346" stopIfTrue="1">
      <formula>Q16=""</formula>
    </cfRule>
  </conditionalFormatting>
  <conditionalFormatting sqref="Q38">
    <cfRule type="expression" dxfId="3834" priority="4347" stopIfTrue="1">
      <formula>Q38=1</formula>
    </cfRule>
    <cfRule type="colorScale" priority="4348">
      <colorScale>
        <cfvo type="num" val="0"/>
        <cfvo type="num" val="0.5"/>
        <cfvo type="num" val="1"/>
        <color rgb="FFF8696B"/>
        <color theme="4" tint="0.79998168889431442"/>
        <color rgb="FF5A8AC6"/>
      </colorScale>
    </cfRule>
  </conditionalFormatting>
  <conditionalFormatting sqref="Q47">
    <cfRule type="expression" dxfId="3833" priority="4343" stopIfTrue="1">
      <formula>Q39=""</formula>
    </cfRule>
  </conditionalFormatting>
  <conditionalFormatting sqref="Q47">
    <cfRule type="expression" dxfId="3832" priority="4344" stopIfTrue="1">
      <formula>Q47=1</formula>
    </cfRule>
    <cfRule type="colorScale" priority="4345">
      <colorScale>
        <cfvo type="num" val="0"/>
        <cfvo type="num" val="0.5"/>
        <cfvo type="num" val="1"/>
        <color rgb="FFF8696B"/>
        <color theme="4" tint="0.79998168889431442"/>
        <color rgb="FF5A8AC6"/>
      </colorScale>
    </cfRule>
  </conditionalFormatting>
  <conditionalFormatting sqref="Q69">
    <cfRule type="expression" dxfId="3831" priority="4337" stopIfTrue="1">
      <formula>Q63=""</formula>
    </cfRule>
  </conditionalFormatting>
  <conditionalFormatting sqref="Q69">
    <cfRule type="expression" dxfId="3830" priority="4338" stopIfTrue="1">
      <formula>Q69=1</formula>
    </cfRule>
    <cfRule type="colorScale" priority="4339">
      <colorScale>
        <cfvo type="num" val="0"/>
        <cfvo type="num" val="0.5"/>
        <cfvo type="num" val="1"/>
        <color rgb="FFF8696B"/>
        <color theme="4" tint="0.79998168889431442"/>
        <color rgb="FF5A8AC6"/>
      </colorScale>
    </cfRule>
  </conditionalFormatting>
  <conditionalFormatting sqref="Q80">
    <cfRule type="expression" dxfId="3829" priority="4334" stopIfTrue="1">
      <formula>Q74=""</formula>
    </cfRule>
  </conditionalFormatting>
  <conditionalFormatting sqref="Q80">
    <cfRule type="expression" dxfId="3828" priority="4335" stopIfTrue="1">
      <formula>Q80=1</formula>
    </cfRule>
    <cfRule type="colorScale" priority="4336">
      <colorScale>
        <cfvo type="num" val="0"/>
        <cfvo type="num" val="0.5"/>
        <cfvo type="num" val="1"/>
        <color rgb="FFF8696B"/>
        <color theme="4" tint="0.79998168889431442"/>
        <color rgb="FF5A8AC6"/>
      </colorScale>
    </cfRule>
  </conditionalFormatting>
  <conditionalFormatting sqref="Q87">
    <cfRule type="expression" dxfId="3827" priority="4331" stopIfTrue="1">
      <formula>Q81=""</formula>
    </cfRule>
  </conditionalFormatting>
  <conditionalFormatting sqref="Q87">
    <cfRule type="expression" dxfId="3826" priority="4332" stopIfTrue="1">
      <formula>Q87=1</formula>
    </cfRule>
    <cfRule type="colorScale" priority="4333">
      <colorScale>
        <cfvo type="num" val="0"/>
        <cfvo type="num" val="0.5"/>
        <cfvo type="num" val="1"/>
        <color rgb="FFF8696B"/>
        <color theme="4" tint="0.79998168889431442"/>
        <color rgb="FF5A8AC6"/>
      </colorScale>
    </cfRule>
  </conditionalFormatting>
  <conditionalFormatting sqref="Q104">
    <cfRule type="expression" dxfId="3825" priority="4328" stopIfTrue="1">
      <formula>Q88=""</formula>
    </cfRule>
  </conditionalFormatting>
  <conditionalFormatting sqref="Q104">
    <cfRule type="expression" dxfId="3824" priority="4329" stopIfTrue="1">
      <formula>Q104=1</formula>
    </cfRule>
    <cfRule type="colorScale" priority="4330">
      <colorScale>
        <cfvo type="num" val="0"/>
        <cfvo type="num" val="0.5"/>
        <cfvo type="num" val="1"/>
        <color rgb="FFF8696B"/>
        <color theme="4" tint="0.79998168889431442"/>
        <color rgb="FF5A8AC6"/>
      </colorScale>
    </cfRule>
  </conditionalFormatting>
  <conditionalFormatting sqref="Q115">
    <cfRule type="expression" dxfId="3823" priority="4325" stopIfTrue="1">
      <formula>Q105=""</formula>
    </cfRule>
  </conditionalFormatting>
  <conditionalFormatting sqref="Q115">
    <cfRule type="expression" dxfId="3822" priority="4326" stopIfTrue="1">
      <formula>Q115=1</formula>
    </cfRule>
    <cfRule type="colorScale" priority="4327">
      <colorScale>
        <cfvo type="num" val="0"/>
        <cfvo type="num" val="0.5"/>
        <cfvo type="num" val="1"/>
        <color rgb="FFF8696B"/>
        <color theme="4" tint="0.79998168889431442"/>
        <color rgb="FF5A8AC6"/>
      </colorScale>
    </cfRule>
  </conditionalFormatting>
  <conditionalFormatting sqref="Q124">
    <cfRule type="expression" dxfId="3821" priority="4322" stopIfTrue="1">
      <formula>Q116=""</formula>
    </cfRule>
  </conditionalFormatting>
  <conditionalFormatting sqref="Q124">
    <cfRule type="expression" dxfId="3820" priority="4323" stopIfTrue="1">
      <formula>Q124=1</formula>
    </cfRule>
    <cfRule type="colorScale" priority="4324">
      <colorScale>
        <cfvo type="num" val="0"/>
        <cfvo type="num" val="0.5"/>
        <cfvo type="num" val="1"/>
        <color rgb="FFF8696B"/>
        <color theme="4" tint="0.79998168889431442"/>
        <color rgb="FF5A8AC6"/>
      </colorScale>
    </cfRule>
  </conditionalFormatting>
  <conditionalFormatting sqref="Q129">
    <cfRule type="expression" dxfId="3819" priority="4319" stopIfTrue="1">
      <formula>Q125=""</formula>
    </cfRule>
  </conditionalFormatting>
  <conditionalFormatting sqref="Q129">
    <cfRule type="expression" dxfId="3818" priority="4320" stopIfTrue="1">
      <formula>Q129=1</formula>
    </cfRule>
    <cfRule type="colorScale" priority="4321">
      <colorScale>
        <cfvo type="num" val="0"/>
        <cfvo type="num" val="0.5"/>
        <cfvo type="num" val="1"/>
        <color rgb="FFF8696B"/>
        <color theme="4" tint="0.79998168889431442"/>
        <color rgb="FF5A8AC6"/>
      </colorScale>
    </cfRule>
  </conditionalFormatting>
  <conditionalFormatting sqref="Q140">
    <cfRule type="expression" dxfId="3817" priority="4316" stopIfTrue="1">
      <formula>Q134=""</formula>
    </cfRule>
  </conditionalFormatting>
  <conditionalFormatting sqref="Q140">
    <cfRule type="expression" dxfId="3816" priority="4317" stopIfTrue="1">
      <formula>Q140=1</formula>
    </cfRule>
    <cfRule type="colorScale" priority="4318">
      <colorScale>
        <cfvo type="num" val="0"/>
        <cfvo type="num" val="0.5"/>
        <cfvo type="num" val="1"/>
        <color rgb="FFF8696B"/>
        <color theme="4" tint="0.79998168889431442"/>
        <color rgb="FF5A8AC6"/>
      </colorScale>
    </cfRule>
  </conditionalFormatting>
  <conditionalFormatting sqref="Q145">
    <cfRule type="expression" dxfId="3815" priority="4313" stopIfTrue="1">
      <formula>Q141=""</formula>
    </cfRule>
  </conditionalFormatting>
  <conditionalFormatting sqref="Q145">
    <cfRule type="expression" dxfId="3814" priority="4314" stopIfTrue="1">
      <formula>Q145=1</formula>
    </cfRule>
    <cfRule type="colorScale" priority="4315">
      <colorScale>
        <cfvo type="num" val="0"/>
        <cfvo type="num" val="0.5"/>
        <cfvo type="num" val="1"/>
        <color rgb="FFF8696B"/>
        <color theme="4" tint="0.79998168889431442"/>
        <color rgb="FF5A8AC6"/>
      </colorScale>
    </cfRule>
  </conditionalFormatting>
  <conditionalFormatting sqref="Q153">
    <cfRule type="expression" dxfId="3813" priority="4310" stopIfTrue="1">
      <formula>Q149=""</formula>
    </cfRule>
  </conditionalFormatting>
  <conditionalFormatting sqref="Q153">
    <cfRule type="expression" dxfId="3812" priority="4311" stopIfTrue="1">
      <formula>Q153=1</formula>
    </cfRule>
    <cfRule type="colorScale" priority="4312">
      <colorScale>
        <cfvo type="num" val="0"/>
        <cfvo type="num" val="0.5"/>
        <cfvo type="num" val="1"/>
        <color rgb="FFF8696B"/>
        <color theme="4" tint="0.79998168889431442"/>
        <color rgb="FF5A8AC6"/>
      </colorScale>
    </cfRule>
  </conditionalFormatting>
  <conditionalFormatting sqref="Q165">
    <cfRule type="expression" dxfId="3811" priority="4307" stopIfTrue="1">
      <formula>Q155=""</formula>
    </cfRule>
  </conditionalFormatting>
  <conditionalFormatting sqref="Q165">
    <cfRule type="expression" dxfId="3810" priority="4308" stopIfTrue="1">
      <formula>Q165=1</formula>
    </cfRule>
    <cfRule type="colorScale" priority="4309">
      <colorScale>
        <cfvo type="num" val="0"/>
        <cfvo type="num" val="0.5"/>
        <cfvo type="num" val="1"/>
        <color rgb="FFF8696B"/>
        <color theme="4" tint="0.79998168889431442"/>
        <color rgb="FF5A8AC6"/>
      </colorScale>
    </cfRule>
  </conditionalFormatting>
  <conditionalFormatting sqref="Q187">
    <cfRule type="expression" dxfId="3809" priority="4304" stopIfTrue="1">
      <formula>Q183=""</formula>
    </cfRule>
  </conditionalFormatting>
  <conditionalFormatting sqref="Q187">
    <cfRule type="expression" dxfId="3808" priority="4305" stopIfTrue="1">
      <formula>Q187=1</formula>
    </cfRule>
    <cfRule type="colorScale" priority="4306">
      <colorScale>
        <cfvo type="num" val="0"/>
        <cfvo type="num" val="0.5"/>
        <cfvo type="num" val="1"/>
        <color rgb="FFF8696B"/>
        <color theme="4" tint="0.79998168889431442"/>
        <color rgb="FF5A8AC6"/>
      </colorScale>
    </cfRule>
  </conditionalFormatting>
  <conditionalFormatting sqref="Q193">
    <cfRule type="expression" dxfId="3807" priority="4301" stopIfTrue="1">
      <formula>Q189=""</formula>
    </cfRule>
  </conditionalFormatting>
  <conditionalFormatting sqref="Q193">
    <cfRule type="expression" dxfId="3806" priority="4302" stopIfTrue="1">
      <formula>Q193=1</formula>
    </cfRule>
    <cfRule type="colorScale" priority="4303">
      <colorScale>
        <cfvo type="num" val="0"/>
        <cfvo type="num" val="0.5"/>
        <cfvo type="num" val="1"/>
        <color rgb="FFF8696B"/>
        <color theme="4" tint="0.79998168889431442"/>
        <color rgb="FF5A8AC6"/>
      </colorScale>
    </cfRule>
  </conditionalFormatting>
  <conditionalFormatting sqref="Q181">
    <cfRule type="expression" dxfId="3805" priority="4298" stopIfTrue="1">
      <formula>Q167=""</formula>
    </cfRule>
  </conditionalFormatting>
  <conditionalFormatting sqref="Q181">
    <cfRule type="expression" dxfId="3804" priority="4299" stopIfTrue="1">
      <formula>Q181=1</formula>
    </cfRule>
    <cfRule type="colorScale" priority="4300">
      <colorScale>
        <cfvo type="num" val="0"/>
        <cfvo type="num" val="0.5"/>
        <cfvo type="num" val="1"/>
        <color rgb="FFF8696B"/>
        <color theme="4" tint="0.79998168889431442"/>
        <color rgb="FF5A8AC6"/>
      </colorScale>
    </cfRule>
  </conditionalFormatting>
  <conditionalFormatting sqref="Q209">
    <cfRule type="expression" dxfId="3803" priority="4295" stopIfTrue="1">
      <formula>Q195=""</formula>
    </cfRule>
  </conditionalFormatting>
  <conditionalFormatting sqref="Q209">
    <cfRule type="expression" dxfId="3802" priority="4296" stopIfTrue="1">
      <formula>Q209=1</formula>
    </cfRule>
    <cfRule type="colorScale" priority="4297">
      <colorScale>
        <cfvo type="num" val="0"/>
        <cfvo type="num" val="0.5"/>
        <cfvo type="num" val="1"/>
        <color rgb="FFF8696B"/>
        <color theme="4" tint="0.79998168889431442"/>
        <color rgb="FF5A8AC6"/>
      </colorScale>
    </cfRule>
  </conditionalFormatting>
  <conditionalFormatting sqref="Q225">
    <cfRule type="expression" dxfId="3801" priority="4292" stopIfTrue="1">
      <formula>Q211=""</formula>
    </cfRule>
  </conditionalFormatting>
  <conditionalFormatting sqref="Q225">
    <cfRule type="expression" dxfId="3800" priority="4293" stopIfTrue="1">
      <formula>Q225=1</formula>
    </cfRule>
    <cfRule type="colorScale" priority="4294">
      <colorScale>
        <cfvo type="num" val="0"/>
        <cfvo type="num" val="0.5"/>
        <cfvo type="num" val="1"/>
        <color rgb="FFF8696B"/>
        <color theme="4" tint="0.79998168889431442"/>
        <color rgb="FF5A8AC6"/>
      </colorScale>
    </cfRule>
  </conditionalFormatting>
  <conditionalFormatting sqref="Q71">
    <cfRule type="expression" dxfId="3799" priority="4284" stopIfTrue="1">
      <formula>Q71=1</formula>
    </cfRule>
    <cfRule type="colorScale" priority="4285">
      <colorScale>
        <cfvo type="num" val="0"/>
        <cfvo type="num" val="0.5"/>
        <cfvo type="num" val="1"/>
        <color rgb="FFF8696B"/>
        <color theme="4" tint="0.79998168889431442"/>
        <color rgb="FF5A8AC6"/>
      </colorScale>
    </cfRule>
  </conditionalFormatting>
  <conditionalFormatting sqref="Q147">
    <cfRule type="expression" dxfId="3798" priority="4289" stopIfTrue="1">
      <formula>Q134=""</formula>
    </cfRule>
  </conditionalFormatting>
  <conditionalFormatting sqref="Q147">
    <cfRule type="expression" dxfId="3797" priority="4290" stopIfTrue="1">
      <formula>Q147=1</formula>
    </cfRule>
    <cfRule type="colorScale" priority="4291">
      <colorScale>
        <cfvo type="num" val="0"/>
        <cfvo type="num" val="0.5"/>
        <cfvo type="num" val="1"/>
        <color rgb="FFF8696B"/>
        <color theme="4" tint="0.79998168889431442"/>
        <color rgb="FF5A8AC6"/>
      </colorScale>
    </cfRule>
  </conditionalFormatting>
  <conditionalFormatting sqref="Q131">
    <cfRule type="expression" dxfId="3796" priority="4286" stopIfTrue="1">
      <formula>Q74=""</formula>
    </cfRule>
  </conditionalFormatting>
  <conditionalFormatting sqref="Q131">
    <cfRule type="expression" dxfId="3795" priority="4287" stopIfTrue="1">
      <formula>Q131=1</formula>
    </cfRule>
    <cfRule type="colorScale" priority="4288">
      <colorScale>
        <cfvo type="num" val="0"/>
        <cfvo type="num" val="0.5"/>
        <cfvo type="num" val="1"/>
        <color rgb="FFF8696B"/>
        <color theme="4" tint="0.79998168889431442"/>
        <color rgb="FF5A8AC6"/>
      </colorScale>
    </cfRule>
  </conditionalFormatting>
  <conditionalFormatting sqref="Q71">
    <cfRule type="expression" dxfId="3794" priority="4283" stopIfTrue="1">
      <formula>Q65=""</formula>
    </cfRule>
  </conditionalFormatting>
  <conditionalFormatting sqref="Q195">
    <cfRule type="expression" dxfId="3793" priority="4280">
      <formula>Q195="X"</formula>
    </cfRule>
    <cfRule type="expression" dxfId="3792" priority="4281">
      <formula>Q195="A"</formula>
    </cfRule>
    <cfRule type="expression" dxfId="3791" priority="4282">
      <formula>Q195="T"</formula>
    </cfRule>
  </conditionalFormatting>
  <conditionalFormatting sqref="Q203">
    <cfRule type="expression" dxfId="3790" priority="4277">
      <formula>Q203="X"</formula>
    </cfRule>
    <cfRule type="expression" dxfId="3789" priority="4278">
      <formula>Q203="A"</formula>
    </cfRule>
    <cfRule type="expression" dxfId="3788" priority="4279">
      <formula>Q203="T"</formula>
    </cfRule>
  </conditionalFormatting>
  <conditionalFormatting sqref="Q205">
    <cfRule type="expression" dxfId="3787" priority="4274">
      <formula>Q205="X"</formula>
    </cfRule>
    <cfRule type="expression" dxfId="3786" priority="4275">
      <formula>Q205="A"</formula>
    </cfRule>
    <cfRule type="expression" dxfId="3785" priority="4276">
      <formula>Q205="T"</formula>
    </cfRule>
  </conditionalFormatting>
  <conditionalFormatting sqref="Q207">
    <cfRule type="expression" dxfId="3784" priority="4271">
      <formula>Q207="X"</formula>
    </cfRule>
    <cfRule type="expression" dxfId="3783" priority="4272">
      <formula>Q207="A"</formula>
    </cfRule>
    <cfRule type="expression" dxfId="3782" priority="4273">
      <formula>Q207="T"</formula>
    </cfRule>
  </conditionalFormatting>
  <conditionalFormatting sqref="Q204">
    <cfRule type="expression" dxfId="3781" priority="4268">
      <formula>Q203="X"</formula>
    </cfRule>
    <cfRule type="expression" dxfId="3780" priority="4269">
      <formula>Q203="A"</formula>
    </cfRule>
    <cfRule type="expression" dxfId="3779" priority="4270">
      <formula>Q203="T"</formula>
    </cfRule>
  </conditionalFormatting>
  <conditionalFormatting sqref="Q206">
    <cfRule type="expression" dxfId="3778" priority="4265">
      <formula>Q205="X"</formula>
    </cfRule>
    <cfRule type="expression" dxfId="3777" priority="4266">
      <formula>Q205="A"</formula>
    </cfRule>
    <cfRule type="expression" dxfId="3776" priority="4267">
      <formula>Q205="T"</formula>
    </cfRule>
  </conditionalFormatting>
  <conditionalFormatting sqref="Q196">
    <cfRule type="expression" dxfId="3775" priority="4262">
      <formula>Q195="X"</formula>
    </cfRule>
    <cfRule type="expression" dxfId="3774" priority="4263">
      <formula>Q195="A"</formula>
    </cfRule>
    <cfRule type="expression" dxfId="3773" priority="4264">
      <formula>Q195="T"</formula>
    </cfRule>
  </conditionalFormatting>
  <conditionalFormatting sqref="Q197">
    <cfRule type="expression" dxfId="3772" priority="4259">
      <formula>Q197="X"</formula>
    </cfRule>
    <cfRule type="expression" dxfId="3771" priority="4260">
      <formula>Q197="A"</formula>
    </cfRule>
    <cfRule type="expression" dxfId="3770" priority="4261">
      <formula>Q197="T"</formula>
    </cfRule>
  </conditionalFormatting>
  <conditionalFormatting sqref="Q198">
    <cfRule type="expression" dxfId="3769" priority="4256">
      <formula>Q197="X"</formula>
    </cfRule>
    <cfRule type="expression" dxfId="3768" priority="4257">
      <formula>Q197="A"</formula>
    </cfRule>
    <cfRule type="expression" dxfId="3767" priority="4258">
      <formula>Q197="T"</formula>
    </cfRule>
  </conditionalFormatting>
  <conditionalFormatting sqref="Q199">
    <cfRule type="expression" dxfId="3766" priority="4253">
      <formula>Q199="X"</formula>
    </cfRule>
    <cfRule type="expression" dxfId="3765" priority="4254">
      <formula>Q199="A"</formula>
    </cfRule>
    <cfRule type="expression" dxfId="3764" priority="4255">
      <formula>Q199="T"</formula>
    </cfRule>
  </conditionalFormatting>
  <conditionalFormatting sqref="Q200">
    <cfRule type="expression" dxfId="3763" priority="4250">
      <formula>Q199="X"</formula>
    </cfRule>
    <cfRule type="expression" dxfId="3762" priority="4251">
      <formula>Q199="A"</formula>
    </cfRule>
    <cfRule type="expression" dxfId="3761" priority="4252">
      <formula>Q199="T"</formula>
    </cfRule>
  </conditionalFormatting>
  <conditionalFormatting sqref="Q201">
    <cfRule type="expression" dxfId="3760" priority="4247">
      <formula>Q201="X"</formula>
    </cfRule>
    <cfRule type="expression" dxfId="3759" priority="4248">
      <formula>Q201="A"</formula>
    </cfRule>
    <cfRule type="expression" dxfId="3758" priority="4249">
      <formula>Q201="T"</formula>
    </cfRule>
  </conditionalFormatting>
  <conditionalFormatting sqref="Q202">
    <cfRule type="expression" dxfId="3757" priority="4244">
      <formula>Q201="X"</formula>
    </cfRule>
    <cfRule type="expression" dxfId="3756" priority="4245">
      <formula>Q201="A"</formula>
    </cfRule>
    <cfRule type="expression" dxfId="3755" priority="4246">
      <formula>Q201="T"</formula>
    </cfRule>
  </conditionalFormatting>
  <conditionalFormatting sqref="Q72">
    <cfRule type="expression" dxfId="3754" priority="4241" stopIfTrue="1">
      <formula>Q4=""</formula>
    </cfRule>
  </conditionalFormatting>
  <conditionalFormatting sqref="Q72">
    <cfRule type="expression" dxfId="3753" priority="4242" stopIfTrue="1">
      <formula>Q72=1</formula>
    </cfRule>
    <cfRule type="colorScale" priority="4243">
      <colorScale>
        <cfvo type="num" val="0"/>
        <cfvo type="num" val="0.5"/>
        <cfvo type="num" val="1"/>
        <color rgb="FFF8696B"/>
        <color theme="4" tint="0.79998168889431442"/>
        <color rgb="FF5A8AC6"/>
      </colorScale>
    </cfRule>
  </conditionalFormatting>
  <conditionalFormatting sqref="Q132">
    <cfRule type="expression" dxfId="3752" priority="4239" stopIfTrue="1">
      <formula>Q132=1</formula>
    </cfRule>
    <cfRule type="colorScale" priority="4240">
      <colorScale>
        <cfvo type="num" val="0"/>
        <cfvo type="num" val="0.5"/>
        <cfvo type="num" val="1"/>
        <color rgb="FFF8696B"/>
        <color theme="4" tint="0.79998168889431442"/>
        <color rgb="FF5A8AC6"/>
      </colorScale>
    </cfRule>
  </conditionalFormatting>
  <conditionalFormatting sqref="Q132">
    <cfRule type="expression" dxfId="3751" priority="4238" stopIfTrue="1">
      <formula>Q74=""</formula>
    </cfRule>
  </conditionalFormatting>
  <conditionalFormatting sqref="Q230:Q237">
    <cfRule type="expression" dxfId="3750" priority="4234" stopIfTrue="1">
      <formula>Q230=_xlfn.UNICHAR(10003)</formula>
    </cfRule>
    <cfRule type="colorScale" priority="4235">
      <colorScale>
        <cfvo type="num" val="0"/>
        <cfvo type="num" val="0.5"/>
        <cfvo type="num" val="1"/>
        <color rgb="FFF8696B"/>
        <color theme="4" tint="0.79998168889431442"/>
        <color rgb="FF5A8AC6"/>
      </colorScale>
    </cfRule>
  </conditionalFormatting>
  <conditionalFormatting sqref="Q239">
    <cfRule type="expression" dxfId="3749" priority="4232" stopIfTrue="1">
      <formula>Q239=_xlfn.UNICHAR(10003)</formula>
    </cfRule>
    <cfRule type="colorScale" priority="4233">
      <colorScale>
        <cfvo type="num" val="0"/>
        <cfvo type="num" val="0.5"/>
        <cfvo type="num" val="1"/>
        <color rgb="FFF8696B"/>
        <color theme="4" tint="0.79998168889431442"/>
        <color rgb="FF5A8AC6"/>
      </colorScale>
    </cfRule>
  </conditionalFormatting>
  <conditionalFormatting sqref="Q239">
    <cfRule type="expression" dxfId="3748" priority="4230" stopIfTrue="1">
      <formula>Q239=1</formula>
    </cfRule>
    <cfRule type="colorScale" priority="4231">
      <colorScale>
        <cfvo type="num" val="0"/>
        <cfvo type="num" val="0.5"/>
        <cfvo type="num" val="1"/>
        <color rgb="FFF8696B"/>
        <color theme="4" tint="0.79998168889431442"/>
        <color rgb="FF5A8AC6"/>
      </colorScale>
    </cfRule>
  </conditionalFormatting>
  <conditionalFormatting sqref="Q228">
    <cfRule type="expression" dxfId="3747" priority="4229" stopIfTrue="1">
      <formula>Q228=UNICAHR(10003)</formula>
    </cfRule>
    <cfRule type="expression" dxfId="3746" priority="4236" stopIfTrue="1">
      <formula>Q228=CONCATENATE(_xlfn.UNICHAR(10003),_xlfn.UNICHAR(10003))</formula>
    </cfRule>
    <cfRule type="colorScale" priority="4237">
      <colorScale>
        <cfvo type="num" val="0"/>
        <cfvo type="num" val="0.5"/>
        <cfvo type="num" val="1"/>
        <color rgb="FFF8696B"/>
        <color theme="4" tint="0.79998168889431442"/>
        <color rgb="FF5A8AC6"/>
      </colorScale>
    </cfRule>
  </conditionalFormatting>
  <conditionalFormatting sqref="Q229 Q238">
    <cfRule type="expression" dxfId="3745" priority="4226" stopIfTrue="1">
      <formula>Q229=_xlfn.UNICHAR(10003)</formula>
    </cfRule>
    <cfRule type="expression" dxfId="3744" priority="4227" stopIfTrue="1">
      <formula>Q229=CONCATENATE(_xlfn.UNICHAR(10003),_xlfn.UNICHAR(10003))</formula>
    </cfRule>
    <cfRule type="colorScale" priority="4228">
      <colorScale>
        <cfvo type="num" val="0"/>
        <cfvo type="num" val="0.5"/>
        <cfvo type="num" val="1"/>
        <color rgb="FFF8696B"/>
        <color theme="4" tint="0.79998168889431442"/>
        <color rgb="FF5A8AC6"/>
      </colorScale>
    </cfRule>
  </conditionalFormatting>
  <conditionalFormatting sqref="Q238">
    <cfRule type="expression" dxfId="3743" priority="4223" stopIfTrue="1">
      <formula>Q238=_xlfn.UNICHAR(10003)</formula>
    </cfRule>
    <cfRule type="expression" dxfId="3742" priority="4224" stopIfTrue="1">
      <formula>Q238=CONCATENATE(_xlfn.UNICHAR(10003),_xlfn.UNICHAR(10003))</formula>
    </cfRule>
    <cfRule type="colorScale" priority="4225">
      <colorScale>
        <cfvo type="num" val="0"/>
        <cfvo type="num" val="0.5"/>
        <cfvo type="num" val="1"/>
        <color rgb="FFF8696B"/>
        <color theme="4" tint="0.79998168889431442"/>
        <color rgb="FF5A8AC6"/>
      </colorScale>
    </cfRule>
  </conditionalFormatting>
  <conditionalFormatting sqref="Q159">
    <cfRule type="expression" dxfId="3741" priority="4220">
      <formula>Q159="X"</formula>
    </cfRule>
    <cfRule type="expression" dxfId="3740" priority="4221">
      <formula>Q159="A"</formula>
    </cfRule>
    <cfRule type="expression" dxfId="3739" priority="4222">
      <formula>Q159="T"</formula>
    </cfRule>
  </conditionalFormatting>
  <conditionalFormatting sqref="Q162">
    <cfRule type="expression" dxfId="3738" priority="4217">
      <formula>Q161="X"</formula>
    </cfRule>
    <cfRule type="expression" dxfId="3737" priority="4218">
      <formula>Q161="A"</formula>
    </cfRule>
    <cfRule type="expression" dxfId="3736" priority="4219">
      <formula>Q161="T"</formula>
    </cfRule>
  </conditionalFormatting>
  <conditionalFormatting sqref="Q161">
    <cfRule type="expression" dxfId="3735" priority="4214">
      <formula>Q161="X"</formula>
    </cfRule>
    <cfRule type="expression" dxfId="3734" priority="4215">
      <formula>Q161="A"</formula>
    </cfRule>
    <cfRule type="expression" dxfId="3733" priority="4216">
      <formula>Q161="T"</formula>
    </cfRule>
  </conditionalFormatting>
  <conditionalFormatting sqref="Q164">
    <cfRule type="expression" dxfId="3732" priority="4211">
      <formula>Q163="X"</formula>
    </cfRule>
    <cfRule type="expression" dxfId="3731" priority="4212">
      <formula>Q163="A"</formula>
    </cfRule>
    <cfRule type="expression" dxfId="3730" priority="4213">
      <formula>Q163="T"</formula>
    </cfRule>
  </conditionalFormatting>
  <conditionalFormatting sqref="Q163">
    <cfRule type="expression" dxfId="3729" priority="4208">
      <formula>Q163="X"</formula>
    </cfRule>
    <cfRule type="expression" dxfId="3728" priority="4209">
      <formula>Q163="A"</formula>
    </cfRule>
    <cfRule type="expression" dxfId="3727" priority="4210">
      <formula>Q163="T"</formula>
    </cfRule>
  </conditionalFormatting>
  <conditionalFormatting sqref="G241:N241">
    <cfRule type="colorScale" priority="4174">
      <colorScale>
        <cfvo type="min"/>
        <cfvo type="percentile" val="50"/>
        <cfvo type="max"/>
        <color rgb="FF63BE7B"/>
        <color rgb="FFFFEB84"/>
        <color rgb="FFF8696B"/>
      </colorScale>
    </cfRule>
  </conditionalFormatting>
  <conditionalFormatting sqref="AJ158">
    <cfRule type="expression" dxfId="3726" priority="4170">
      <formula>AJ157="X"</formula>
    </cfRule>
    <cfRule type="expression" dxfId="3725" priority="4171">
      <formula>AJ157="A"</formula>
    </cfRule>
    <cfRule type="expression" dxfId="3724" priority="4172">
      <formula>AJ157="T"</formula>
    </cfRule>
  </conditionalFormatting>
  <conditionalFormatting sqref="AJ16 AJ18 AJ20 AJ22 AJ24 AJ26 AJ28 AJ39 AJ41 AJ43 AJ45 AJ48 AJ81 AJ88 AJ90 AJ92 AJ94 AJ96 AJ98 AJ100 AJ102 AJ105 AJ107 AJ109 AJ111 AJ116">
    <cfRule type="expression" dxfId="3723" priority="4167">
      <formula>AJ16="X"</formula>
    </cfRule>
    <cfRule type="expression" dxfId="3722" priority="4168">
      <formula>AJ16="A"</formula>
    </cfRule>
    <cfRule type="expression" dxfId="3721" priority="4169">
      <formula>AJ16="T"</formula>
    </cfRule>
  </conditionalFormatting>
  <conditionalFormatting sqref="AJ36">
    <cfRule type="expression" dxfId="3720" priority="4164">
      <formula>AJ36="X"</formula>
    </cfRule>
    <cfRule type="expression" dxfId="3719" priority="4165">
      <formula>AJ36="A"</formula>
    </cfRule>
    <cfRule type="expression" dxfId="3718" priority="4166">
      <formula>AJ36="T"</formula>
    </cfRule>
  </conditionalFormatting>
  <conditionalFormatting sqref="AJ34">
    <cfRule type="expression" dxfId="3717" priority="4161">
      <formula>AJ34="X"</formula>
    </cfRule>
    <cfRule type="expression" dxfId="3716" priority="4162">
      <formula>AJ34="A"</formula>
    </cfRule>
    <cfRule type="expression" dxfId="3715" priority="4163">
      <formula>AJ34="T"</formula>
    </cfRule>
  </conditionalFormatting>
  <conditionalFormatting sqref="AJ32">
    <cfRule type="expression" dxfId="3714" priority="4158">
      <formula>AJ32="X"</formula>
    </cfRule>
    <cfRule type="expression" dxfId="3713" priority="4159">
      <formula>AJ32="A"</formula>
    </cfRule>
    <cfRule type="expression" dxfId="3712" priority="4160">
      <formula>AJ32="T"</formula>
    </cfRule>
  </conditionalFormatting>
  <conditionalFormatting sqref="AJ30">
    <cfRule type="expression" dxfId="3711" priority="4155">
      <formula>AJ30="X"</formula>
    </cfRule>
    <cfRule type="expression" dxfId="3710" priority="4156">
      <formula>AJ30="A"</formula>
    </cfRule>
    <cfRule type="expression" dxfId="3709" priority="4157">
      <formula>AJ30="T"</formula>
    </cfRule>
  </conditionalFormatting>
  <conditionalFormatting sqref="AJ52">
    <cfRule type="expression" dxfId="3708" priority="4152">
      <formula>AJ52="X"</formula>
    </cfRule>
    <cfRule type="expression" dxfId="3707" priority="4153">
      <formula>AJ52="A"</formula>
    </cfRule>
    <cfRule type="expression" dxfId="3706" priority="4154">
      <formula>AJ52="T"</formula>
    </cfRule>
  </conditionalFormatting>
  <conditionalFormatting sqref="AJ50">
    <cfRule type="expression" dxfId="3705" priority="4149">
      <formula>AJ50="X"</formula>
    </cfRule>
    <cfRule type="expression" dxfId="3704" priority="4150">
      <formula>AJ50="A"</formula>
    </cfRule>
    <cfRule type="expression" dxfId="3703" priority="4151">
      <formula>AJ50="T"</formula>
    </cfRule>
  </conditionalFormatting>
  <conditionalFormatting sqref="AJ54">
    <cfRule type="expression" dxfId="3702" priority="4146">
      <formula>AJ54="X"</formula>
    </cfRule>
    <cfRule type="expression" dxfId="3701" priority="4147">
      <formula>AJ54="A"</formula>
    </cfRule>
    <cfRule type="expression" dxfId="3700" priority="4148">
      <formula>AJ54="T"</formula>
    </cfRule>
  </conditionalFormatting>
  <conditionalFormatting sqref="AJ56">
    <cfRule type="expression" dxfId="3699" priority="4143">
      <formula>AJ56="X"</formula>
    </cfRule>
    <cfRule type="expression" dxfId="3698" priority="4144">
      <formula>AJ56="A"</formula>
    </cfRule>
    <cfRule type="expression" dxfId="3697" priority="4145">
      <formula>AJ56="T"</formula>
    </cfRule>
  </conditionalFormatting>
  <conditionalFormatting sqref="AJ58">
    <cfRule type="expression" dxfId="3696" priority="4140">
      <formula>AJ58="X"</formula>
    </cfRule>
    <cfRule type="expression" dxfId="3695" priority="4141">
      <formula>AJ58="A"</formula>
    </cfRule>
    <cfRule type="expression" dxfId="3694" priority="4142">
      <formula>AJ58="T"</formula>
    </cfRule>
  </conditionalFormatting>
  <conditionalFormatting sqref="AJ63">
    <cfRule type="expression" dxfId="3693" priority="4137">
      <formula>AJ63="X"</formula>
    </cfRule>
    <cfRule type="expression" dxfId="3692" priority="4138">
      <formula>AJ63="A"</formula>
    </cfRule>
    <cfRule type="expression" dxfId="3691" priority="4139">
      <formula>AJ63="T"</formula>
    </cfRule>
  </conditionalFormatting>
  <conditionalFormatting sqref="AJ65">
    <cfRule type="expression" dxfId="3690" priority="4134">
      <formula>AJ65="X"</formula>
    </cfRule>
    <cfRule type="expression" dxfId="3689" priority="4135">
      <formula>AJ65="A"</formula>
    </cfRule>
    <cfRule type="expression" dxfId="3688" priority="4136">
      <formula>AJ65="T"</formula>
    </cfRule>
  </conditionalFormatting>
  <conditionalFormatting sqref="AJ83">
    <cfRule type="expression" dxfId="3687" priority="4131">
      <formula>AJ83="X"</formula>
    </cfRule>
    <cfRule type="expression" dxfId="3686" priority="4132">
      <formula>AJ83="A"</formula>
    </cfRule>
    <cfRule type="expression" dxfId="3685" priority="4133">
      <formula>AJ83="T"</formula>
    </cfRule>
  </conditionalFormatting>
  <conditionalFormatting sqref="AJ85">
    <cfRule type="expression" dxfId="3684" priority="4128">
      <formula>AJ85="X"</formula>
    </cfRule>
    <cfRule type="expression" dxfId="3683" priority="4129">
      <formula>AJ85="A"</formula>
    </cfRule>
    <cfRule type="expression" dxfId="3682" priority="4130">
      <formula>AJ85="T"</formula>
    </cfRule>
  </conditionalFormatting>
  <conditionalFormatting sqref="AJ67">
    <cfRule type="expression" dxfId="3681" priority="4125">
      <formula>AJ67="X"</formula>
    </cfRule>
    <cfRule type="expression" dxfId="3680" priority="4126">
      <formula>AJ67="A"</formula>
    </cfRule>
    <cfRule type="expression" dxfId="3679" priority="4127">
      <formula>AJ67="T"</formula>
    </cfRule>
  </conditionalFormatting>
  <conditionalFormatting sqref="AJ113">
    <cfRule type="expression" dxfId="3678" priority="4122">
      <formula>AJ113="X"</formula>
    </cfRule>
    <cfRule type="expression" dxfId="3677" priority="4123">
      <formula>AJ113="A"</formula>
    </cfRule>
    <cfRule type="expression" dxfId="3676" priority="4124">
      <formula>AJ113="T"</formula>
    </cfRule>
  </conditionalFormatting>
  <conditionalFormatting sqref="AJ118">
    <cfRule type="expression" dxfId="3675" priority="4119">
      <formula>AJ118="X"</formula>
    </cfRule>
    <cfRule type="expression" dxfId="3674" priority="4120">
      <formula>AJ118="A"</formula>
    </cfRule>
    <cfRule type="expression" dxfId="3673" priority="4121">
      <formula>AJ118="T"</formula>
    </cfRule>
  </conditionalFormatting>
  <conditionalFormatting sqref="AJ120">
    <cfRule type="expression" dxfId="3672" priority="4116">
      <formula>AJ120="X"</formula>
    </cfRule>
    <cfRule type="expression" dxfId="3671" priority="4117">
      <formula>AJ120="A"</formula>
    </cfRule>
    <cfRule type="expression" dxfId="3670" priority="4118">
      <formula>AJ120="T"</formula>
    </cfRule>
  </conditionalFormatting>
  <conditionalFormatting sqref="AJ122">
    <cfRule type="expression" dxfId="3669" priority="4113">
      <formula>AJ122="X"</formula>
    </cfRule>
    <cfRule type="expression" dxfId="3668" priority="4114">
      <formula>AJ122="A"</formula>
    </cfRule>
    <cfRule type="expression" dxfId="3667" priority="4115">
      <formula>AJ122="T"</formula>
    </cfRule>
  </conditionalFormatting>
  <conditionalFormatting sqref="AJ125">
    <cfRule type="expression" dxfId="3666" priority="4110">
      <formula>AJ125="X"</formula>
    </cfRule>
    <cfRule type="expression" dxfId="3665" priority="4111">
      <formula>AJ125="A"</formula>
    </cfRule>
    <cfRule type="expression" dxfId="3664" priority="4112">
      <formula>AJ125="T"</formula>
    </cfRule>
  </conditionalFormatting>
  <conditionalFormatting sqref="AJ127">
    <cfRule type="expression" dxfId="3663" priority="4107">
      <formula>AJ127="X"</formula>
    </cfRule>
    <cfRule type="expression" dxfId="3662" priority="4108">
      <formula>AJ127="A"</formula>
    </cfRule>
    <cfRule type="expression" dxfId="3661" priority="4109">
      <formula>AJ127="T"</formula>
    </cfRule>
  </conditionalFormatting>
  <conditionalFormatting sqref="AJ141">
    <cfRule type="expression" dxfId="3660" priority="4104">
      <formula>AJ141="X"</formula>
    </cfRule>
    <cfRule type="expression" dxfId="3659" priority="4105">
      <formula>AJ141="A"</formula>
    </cfRule>
    <cfRule type="expression" dxfId="3658" priority="4106">
      <formula>AJ141="T"</formula>
    </cfRule>
  </conditionalFormatting>
  <conditionalFormatting sqref="AJ143">
    <cfRule type="expression" dxfId="3657" priority="4101">
      <formula>AJ143="X"</formula>
    </cfRule>
    <cfRule type="expression" dxfId="3656" priority="4102">
      <formula>AJ143="A"</formula>
    </cfRule>
    <cfRule type="expression" dxfId="3655" priority="4103">
      <formula>AJ143="T"</formula>
    </cfRule>
  </conditionalFormatting>
  <conditionalFormatting sqref="AJ149">
    <cfRule type="expression" dxfId="3654" priority="4098">
      <formula>AJ149="X"</formula>
    </cfRule>
    <cfRule type="expression" dxfId="3653" priority="4099">
      <formula>AJ149="A"</formula>
    </cfRule>
    <cfRule type="expression" dxfId="3652" priority="4100">
      <formula>AJ149="T"</formula>
    </cfRule>
  </conditionalFormatting>
  <conditionalFormatting sqref="AJ151">
    <cfRule type="expression" dxfId="3651" priority="4095">
      <formula>AJ151="X"</formula>
    </cfRule>
    <cfRule type="expression" dxfId="3650" priority="4096">
      <formula>AJ151="A"</formula>
    </cfRule>
    <cfRule type="expression" dxfId="3649" priority="4097">
      <formula>AJ151="T"</formula>
    </cfRule>
  </conditionalFormatting>
  <conditionalFormatting sqref="AJ155">
    <cfRule type="expression" dxfId="3648" priority="4092">
      <formula>AJ155="X"</formula>
    </cfRule>
    <cfRule type="expression" dxfId="3647" priority="4093">
      <formula>AJ155="A"</formula>
    </cfRule>
    <cfRule type="expression" dxfId="3646" priority="4094">
      <formula>AJ155="T"</formula>
    </cfRule>
  </conditionalFormatting>
  <conditionalFormatting sqref="AJ157">
    <cfRule type="expression" dxfId="3645" priority="4089">
      <formula>AJ157="X"</formula>
    </cfRule>
    <cfRule type="expression" dxfId="3644" priority="4090">
      <formula>AJ157="A"</formula>
    </cfRule>
    <cfRule type="expression" dxfId="3643" priority="4091">
      <formula>AJ157="T"</formula>
    </cfRule>
  </conditionalFormatting>
  <conditionalFormatting sqref="AJ167">
    <cfRule type="expression" dxfId="3642" priority="4086">
      <formula>AJ167="X"</formula>
    </cfRule>
    <cfRule type="expression" dxfId="3641" priority="4087">
      <formula>AJ167="A"</formula>
    </cfRule>
    <cfRule type="expression" dxfId="3640" priority="4088">
      <formula>AJ167="T"</formula>
    </cfRule>
  </conditionalFormatting>
  <conditionalFormatting sqref="AJ173">
    <cfRule type="expression" dxfId="3639" priority="4083">
      <formula>AJ173="X"</formula>
    </cfRule>
    <cfRule type="expression" dxfId="3638" priority="4084">
      <formula>AJ173="A"</formula>
    </cfRule>
    <cfRule type="expression" dxfId="3637" priority="4085">
      <formula>AJ173="T"</formula>
    </cfRule>
  </conditionalFormatting>
  <conditionalFormatting sqref="AJ175">
    <cfRule type="expression" dxfId="3636" priority="4080">
      <formula>AJ175="X"</formula>
    </cfRule>
    <cfRule type="expression" dxfId="3635" priority="4081">
      <formula>AJ175="A"</formula>
    </cfRule>
    <cfRule type="expression" dxfId="3634" priority="4082">
      <formula>AJ175="T"</formula>
    </cfRule>
  </conditionalFormatting>
  <conditionalFormatting sqref="AJ177">
    <cfRule type="expression" dxfId="3633" priority="4077">
      <formula>AJ177="X"</formula>
    </cfRule>
    <cfRule type="expression" dxfId="3632" priority="4078">
      <formula>AJ177="A"</formula>
    </cfRule>
    <cfRule type="expression" dxfId="3631" priority="4079">
      <formula>AJ177="T"</formula>
    </cfRule>
  </conditionalFormatting>
  <conditionalFormatting sqref="AJ179">
    <cfRule type="expression" dxfId="3630" priority="4074">
      <formula>AJ179="X"</formula>
    </cfRule>
    <cfRule type="expression" dxfId="3629" priority="4075">
      <formula>AJ179="A"</formula>
    </cfRule>
    <cfRule type="expression" dxfId="3628" priority="4076">
      <formula>AJ179="T"</formula>
    </cfRule>
  </conditionalFormatting>
  <conditionalFormatting sqref="AJ169">
    <cfRule type="expression" dxfId="3627" priority="4071">
      <formula>AJ169="X"</formula>
    </cfRule>
    <cfRule type="expression" dxfId="3626" priority="4072">
      <formula>AJ169="A"</formula>
    </cfRule>
    <cfRule type="expression" dxfId="3625" priority="4073">
      <formula>AJ169="T"</formula>
    </cfRule>
  </conditionalFormatting>
  <conditionalFormatting sqref="AJ171">
    <cfRule type="expression" dxfId="3624" priority="4068">
      <formula>AJ171="X"</formula>
    </cfRule>
    <cfRule type="expression" dxfId="3623" priority="4069">
      <formula>AJ171="A"</formula>
    </cfRule>
    <cfRule type="expression" dxfId="3622" priority="4070">
      <formula>AJ171="T"</formula>
    </cfRule>
  </conditionalFormatting>
  <conditionalFormatting sqref="AJ183">
    <cfRule type="expression" dxfId="3621" priority="4065">
      <formula>AJ183="X"</formula>
    </cfRule>
    <cfRule type="expression" dxfId="3620" priority="4066">
      <formula>AJ183="A"</formula>
    </cfRule>
    <cfRule type="expression" dxfId="3619" priority="4067">
      <formula>AJ183="T"</formula>
    </cfRule>
  </conditionalFormatting>
  <conditionalFormatting sqref="AJ185">
    <cfRule type="expression" dxfId="3618" priority="4062">
      <formula>AJ185="X"</formula>
    </cfRule>
    <cfRule type="expression" dxfId="3617" priority="4063">
      <formula>AJ185="A"</formula>
    </cfRule>
    <cfRule type="expression" dxfId="3616" priority="4064">
      <formula>AJ185="T"</formula>
    </cfRule>
  </conditionalFormatting>
  <conditionalFormatting sqref="AJ189">
    <cfRule type="expression" dxfId="3615" priority="4059">
      <formula>AJ189="X"</formula>
    </cfRule>
    <cfRule type="expression" dxfId="3614" priority="4060">
      <formula>AJ189="A"</formula>
    </cfRule>
    <cfRule type="expression" dxfId="3613" priority="4061">
      <formula>AJ189="T"</formula>
    </cfRule>
  </conditionalFormatting>
  <conditionalFormatting sqref="AJ191">
    <cfRule type="expression" dxfId="3612" priority="4056">
      <formula>AJ191="X"</formula>
    </cfRule>
    <cfRule type="expression" dxfId="3611" priority="4057">
      <formula>AJ191="A"</formula>
    </cfRule>
    <cfRule type="expression" dxfId="3610" priority="4058">
      <formula>AJ191="T"</formula>
    </cfRule>
  </conditionalFormatting>
  <conditionalFormatting sqref="AJ11">
    <cfRule type="expression" dxfId="3609" priority="4053">
      <formula>AJ11="X"</formula>
    </cfRule>
    <cfRule type="expression" dxfId="3608" priority="4054">
      <formula>AJ11="A"</formula>
    </cfRule>
    <cfRule type="expression" dxfId="3607" priority="4055">
      <formula>AJ11="T"</formula>
    </cfRule>
  </conditionalFormatting>
  <conditionalFormatting sqref="AJ12">
    <cfRule type="expression" dxfId="3606" priority="4050">
      <formula>AJ11="X"</formula>
    </cfRule>
    <cfRule type="expression" dxfId="3605" priority="4051">
      <formula>AJ11="A"</formula>
    </cfRule>
    <cfRule type="expression" dxfId="3604" priority="4052">
      <formula>AJ11="T"</formula>
    </cfRule>
  </conditionalFormatting>
  <conditionalFormatting sqref="AJ13">
    <cfRule type="expression" dxfId="3603" priority="4047">
      <formula>AJ13="X"</formula>
    </cfRule>
    <cfRule type="expression" dxfId="3602" priority="4048">
      <formula>AJ13="A"</formula>
    </cfRule>
    <cfRule type="expression" dxfId="3601" priority="4049">
      <formula>AJ13="T"</formula>
    </cfRule>
  </conditionalFormatting>
  <conditionalFormatting sqref="AJ14">
    <cfRule type="expression" dxfId="3600" priority="4044">
      <formula>AJ13="X"</formula>
    </cfRule>
    <cfRule type="expression" dxfId="3599" priority="4045">
      <formula>AJ13="A"</formula>
    </cfRule>
    <cfRule type="expression" dxfId="3598" priority="4046">
      <formula>AJ13="T"</formula>
    </cfRule>
  </conditionalFormatting>
  <conditionalFormatting sqref="AJ17">
    <cfRule type="expression" dxfId="3597" priority="4041">
      <formula>AJ16="X"</formula>
    </cfRule>
    <cfRule type="expression" dxfId="3596" priority="4042">
      <formula>AJ16="A"</formula>
    </cfRule>
    <cfRule type="expression" dxfId="3595" priority="4043">
      <formula>AJ16="T"</formula>
    </cfRule>
  </conditionalFormatting>
  <conditionalFormatting sqref="AJ19">
    <cfRule type="expression" dxfId="3594" priority="4035">
      <formula>AJ18="X"</formula>
    </cfRule>
    <cfRule type="expression" dxfId="3593" priority="4036">
      <formula>AJ18="A"</formula>
    </cfRule>
    <cfRule type="expression" dxfId="3592" priority="4037">
      <formula>AJ18="T"</formula>
    </cfRule>
  </conditionalFormatting>
  <conditionalFormatting sqref="AJ21">
    <cfRule type="expression" dxfId="3591" priority="4032">
      <formula>AJ20="X"</formula>
    </cfRule>
    <cfRule type="expression" dxfId="3590" priority="4033">
      <formula>AJ20="A"</formula>
    </cfRule>
    <cfRule type="expression" dxfId="3589" priority="4034">
      <formula>AJ20="T"</formula>
    </cfRule>
  </conditionalFormatting>
  <conditionalFormatting sqref="AJ23">
    <cfRule type="expression" dxfId="3588" priority="4029">
      <formula>AJ22="X"</formula>
    </cfRule>
    <cfRule type="expression" dxfId="3587" priority="4030">
      <formula>AJ22="A"</formula>
    </cfRule>
    <cfRule type="expression" dxfId="3586" priority="4031">
      <formula>AJ22="T"</formula>
    </cfRule>
  </conditionalFormatting>
  <conditionalFormatting sqref="AJ25">
    <cfRule type="expression" dxfId="3585" priority="4026">
      <formula>AJ24="X"</formula>
    </cfRule>
    <cfRule type="expression" dxfId="3584" priority="4027">
      <formula>AJ24="A"</formula>
    </cfRule>
    <cfRule type="expression" dxfId="3583" priority="4028">
      <formula>AJ24="T"</formula>
    </cfRule>
  </conditionalFormatting>
  <conditionalFormatting sqref="AJ27">
    <cfRule type="expression" dxfId="3582" priority="4023">
      <formula>AJ26="X"</formula>
    </cfRule>
    <cfRule type="expression" dxfId="3581" priority="4024">
      <formula>AJ26="A"</formula>
    </cfRule>
    <cfRule type="expression" dxfId="3580" priority="4025">
      <formula>AJ26="T"</formula>
    </cfRule>
  </conditionalFormatting>
  <conditionalFormatting sqref="AJ29">
    <cfRule type="expression" dxfId="3579" priority="4020">
      <formula>AJ28="X"</formula>
    </cfRule>
    <cfRule type="expression" dxfId="3578" priority="4021">
      <formula>AJ28="A"</formula>
    </cfRule>
    <cfRule type="expression" dxfId="3577" priority="4022">
      <formula>AJ28="T"</formula>
    </cfRule>
  </conditionalFormatting>
  <conditionalFormatting sqref="AJ31">
    <cfRule type="expression" dxfId="3576" priority="4017">
      <formula>AJ30="X"</formula>
    </cfRule>
    <cfRule type="expression" dxfId="3575" priority="4018">
      <formula>AJ30="A"</formula>
    </cfRule>
    <cfRule type="expression" dxfId="3574" priority="4019">
      <formula>AJ30="T"</formula>
    </cfRule>
  </conditionalFormatting>
  <conditionalFormatting sqref="AJ33">
    <cfRule type="expression" dxfId="3573" priority="4014">
      <formula>AJ32="X"</formula>
    </cfRule>
    <cfRule type="expression" dxfId="3572" priority="4015">
      <formula>AJ32="A"</formula>
    </cfRule>
    <cfRule type="expression" dxfId="3571" priority="4016">
      <formula>AJ32="T"</formula>
    </cfRule>
  </conditionalFormatting>
  <conditionalFormatting sqref="AJ35">
    <cfRule type="expression" dxfId="3570" priority="4011">
      <formula>AJ34="X"</formula>
    </cfRule>
    <cfRule type="expression" dxfId="3569" priority="4012">
      <formula>AJ34="A"</formula>
    </cfRule>
    <cfRule type="expression" dxfId="3568" priority="4013">
      <formula>AJ34="T"</formula>
    </cfRule>
  </conditionalFormatting>
  <conditionalFormatting sqref="AJ37">
    <cfRule type="expression" dxfId="3567" priority="4008">
      <formula>AJ36="X"</formula>
    </cfRule>
    <cfRule type="expression" dxfId="3566" priority="4009">
      <formula>AJ36="A"</formula>
    </cfRule>
    <cfRule type="expression" dxfId="3565" priority="4010">
      <formula>AJ36="T"</formula>
    </cfRule>
  </conditionalFormatting>
  <conditionalFormatting sqref="AJ40">
    <cfRule type="expression" dxfId="3564" priority="4005">
      <formula>AJ39="X"</formula>
    </cfRule>
    <cfRule type="expression" dxfId="3563" priority="4006">
      <formula>AJ39="A"</formula>
    </cfRule>
    <cfRule type="expression" dxfId="3562" priority="4007">
      <formula>AJ39="T"</formula>
    </cfRule>
  </conditionalFormatting>
  <conditionalFormatting sqref="AJ42">
    <cfRule type="expression" dxfId="3561" priority="4002">
      <formula>AJ41="X"</formula>
    </cfRule>
    <cfRule type="expression" dxfId="3560" priority="4003">
      <formula>AJ41="A"</formula>
    </cfRule>
    <cfRule type="expression" dxfId="3559" priority="4004">
      <formula>AJ41="T"</formula>
    </cfRule>
  </conditionalFormatting>
  <conditionalFormatting sqref="AJ44">
    <cfRule type="expression" dxfId="3558" priority="3999">
      <formula>AJ43="X"</formula>
    </cfRule>
    <cfRule type="expression" dxfId="3557" priority="4000">
      <formula>AJ43="A"</formula>
    </cfRule>
    <cfRule type="expression" dxfId="3556" priority="4001">
      <formula>AJ43="T"</formula>
    </cfRule>
  </conditionalFormatting>
  <conditionalFormatting sqref="AJ46">
    <cfRule type="expression" dxfId="3555" priority="3996">
      <formula>AJ45="X"</formula>
    </cfRule>
    <cfRule type="expression" dxfId="3554" priority="3997">
      <formula>AJ45="A"</formula>
    </cfRule>
    <cfRule type="expression" dxfId="3553" priority="3998">
      <formula>AJ45="T"</formula>
    </cfRule>
  </conditionalFormatting>
  <conditionalFormatting sqref="AJ49">
    <cfRule type="expression" dxfId="3552" priority="3993">
      <formula>AJ48="X"</formula>
    </cfRule>
    <cfRule type="expression" dxfId="3551" priority="3994">
      <formula>AJ48="A"</formula>
    </cfRule>
    <cfRule type="expression" dxfId="3550" priority="3995">
      <formula>AJ48="T"</formula>
    </cfRule>
  </conditionalFormatting>
  <conditionalFormatting sqref="AJ51">
    <cfRule type="expression" dxfId="3549" priority="3990">
      <formula>AJ50="X"</formula>
    </cfRule>
    <cfRule type="expression" dxfId="3548" priority="3991">
      <formula>AJ50="A"</formula>
    </cfRule>
    <cfRule type="expression" dxfId="3547" priority="3992">
      <formula>AJ50="T"</formula>
    </cfRule>
  </conditionalFormatting>
  <conditionalFormatting sqref="AJ53">
    <cfRule type="expression" dxfId="3546" priority="3987">
      <formula>AJ52="X"</formula>
    </cfRule>
    <cfRule type="expression" dxfId="3545" priority="3988">
      <formula>AJ52="A"</formula>
    </cfRule>
    <cfRule type="expression" dxfId="3544" priority="3989">
      <formula>AJ52="T"</formula>
    </cfRule>
  </conditionalFormatting>
  <conditionalFormatting sqref="AJ55">
    <cfRule type="expression" dxfId="3543" priority="3984">
      <formula>AJ54="X"</formula>
    </cfRule>
    <cfRule type="expression" dxfId="3542" priority="3985">
      <formula>AJ54="A"</formula>
    </cfRule>
    <cfRule type="expression" dxfId="3541" priority="3986">
      <formula>AJ54="T"</formula>
    </cfRule>
  </conditionalFormatting>
  <conditionalFormatting sqref="AJ57">
    <cfRule type="expression" dxfId="3540" priority="3981">
      <formula>AJ56="X"</formula>
    </cfRule>
    <cfRule type="expression" dxfId="3539" priority="3982">
      <formula>AJ56="A"</formula>
    </cfRule>
    <cfRule type="expression" dxfId="3538" priority="3983">
      <formula>AJ56="T"</formula>
    </cfRule>
  </conditionalFormatting>
  <conditionalFormatting sqref="AJ59">
    <cfRule type="expression" dxfId="3537" priority="3978">
      <formula>AJ58="X"</formula>
    </cfRule>
    <cfRule type="expression" dxfId="3536" priority="3979">
      <formula>AJ58="A"</formula>
    </cfRule>
    <cfRule type="expression" dxfId="3535" priority="3980">
      <formula>AJ58="T"</formula>
    </cfRule>
  </conditionalFormatting>
  <conditionalFormatting sqref="AJ64">
    <cfRule type="expression" dxfId="3534" priority="3975">
      <formula>AJ63="X"</formula>
    </cfRule>
    <cfRule type="expression" dxfId="3533" priority="3976">
      <formula>AJ63="A"</formula>
    </cfRule>
    <cfRule type="expression" dxfId="3532" priority="3977">
      <formula>AJ63="T"</formula>
    </cfRule>
  </conditionalFormatting>
  <conditionalFormatting sqref="AJ66">
    <cfRule type="expression" dxfId="3531" priority="3972">
      <formula>AJ65="X"</formula>
    </cfRule>
    <cfRule type="expression" dxfId="3530" priority="3973">
      <formula>AJ65="A"</formula>
    </cfRule>
    <cfRule type="expression" dxfId="3529" priority="3974">
      <formula>AJ65="T"</formula>
    </cfRule>
  </conditionalFormatting>
  <conditionalFormatting sqref="AJ68">
    <cfRule type="expression" dxfId="3528" priority="3969">
      <formula>AJ67="X"</formula>
    </cfRule>
    <cfRule type="expression" dxfId="3527" priority="3970">
      <formula>AJ67="A"</formula>
    </cfRule>
    <cfRule type="expression" dxfId="3526" priority="3971">
      <formula>AJ67="T"</formula>
    </cfRule>
  </conditionalFormatting>
  <conditionalFormatting sqref="AJ82">
    <cfRule type="expression" dxfId="3525" priority="3966">
      <formula>AJ81="X"</formula>
    </cfRule>
    <cfRule type="expression" dxfId="3524" priority="3967">
      <formula>AJ81="A"</formula>
    </cfRule>
    <cfRule type="expression" dxfId="3523" priority="3968">
      <formula>AJ81="T"</formula>
    </cfRule>
  </conditionalFormatting>
  <conditionalFormatting sqref="AJ84">
    <cfRule type="expression" dxfId="3522" priority="3963">
      <formula>AJ83="X"</formula>
    </cfRule>
    <cfRule type="expression" dxfId="3521" priority="3964">
      <formula>AJ83="A"</formula>
    </cfRule>
    <cfRule type="expression" dxfId="3520" priority="3965">
      <formula>AJ83="T"</formula>
    </cfRule>
  </conditionalFormatting>
  <conditionalFormatting sqref="AJ86">
    <cfRule type="expression" dxfId="3519" priority="3960">
      <formula>AJ85="X"</formula>
    </cfRule>
    <cfRule type="expression" dxfId="3518" priority="3961">
      <formula>AJ85="A"</formula>
    </cfRule>
    <cfRule type="expression" dxfId="3517" priority="3962">
      <formula>AJ85="T"</formula>
    </cfRule>
  </conditionalFormatting>
  <conditionalFormatting sqref="AJ89">
    <cfRule type="expression" dxfId="3516" priority="3957">
      <formula>AJ88="X"</formula>
    </cfRule>
    <cfRule type="expression" dxfId="3515" priority="3958">
      <formula>AJ88="A"</formula>
    </cfRule>
    <cfRule type="expression" dxfId="3514" priority="3959">
      <formula>AJ88="T"</formula>
    </cfRule>
  </conditionalFormatting>
  <conditionalFormatting sqref="AJ91">
    <cfRule type="expression" dxfId="3513" priority="3954">
      <formula>AJ90="X"</formula>
    </cfRule>
    <cfRule type="expression" dxfId="3512" priority="3955">
      <formula>AJ90="A"</formula>
    </cfRule>
    <cfRule type="expression" dxfId="3511" priority="3956">
      <formula>AJ90="T"</formula>
    </cfRule>
  </conditionalFormatting>
  <conditionalFormatting sqref="AJ93">
    <cfRule type="expression" dxfId="3510" priority="3951">
      <formula>AJ92="X"</formula>
    </cfRule>
    <cfRule type="expression" dxfId="3509" priority="3952">
      <formula>AJ92="A"</formula>
    </cfRule>
    <cfRule type="expression" dxfId="3508" priority="3953">
      <formula>AJ92="T"</formula>
    </cfRule>
  </conditionalFormatting>
  <conditionalFormatting sqref="AJ95">
    <cfRule type="expression" dxfId="3507" priority="3948">
      <formula>AJ94="X"</formula>
    </cfRule>
    <cfRule type="expression" dxfId="3506" priority="3949">
      <formula>AJ94="A"</formula>
    </cfRule>
    <cfRule type="expression" dxfId="3505" priority="3950">
      <formula>AJ94="T"</formula>
    </cfRule>
  </conditionalFormatting>
  <conditionalFormatting sqref="AJ97">
    <cfRule type="expression" dxfId="3504" priority="3945">
      <formula>AJ96="X"</formula>
    </cfRule>
    <cfRule type="expression" dxfId="3503" priority="3946">
      <formula>AJ96="A"</formula>
    </cfRule>
    <cfRule type="expression" dxfId="3502" priority="3947">
      <formula>AJ96="T"</formula>
    </cfRule>
  </conditionalFormatting>
  <conditionalFormatting sqref="AJ99">
    <cfRule type="expression" dxfId="3501" priority="3942">
      <formula>AJ98="X"</formula>
    </cfRule>
    <cfRule type="expression" dxfId="3500" priority="3943">
      <formula>AJ98="A"</formula>
    </cfRule>
    <cfRule type="expression" dxfId="3499" priority="3944">
      <formula>AJ98="T"</formula>
    </cfRule>
  </conditionalFormatting>
  <conditionalFormatting sqref="AJ101">
    <cfRule type="expression" dxfId="3498" priority="3939">
      <formula>AJ100="X"</formula>
    </cfRule>
    <cfRule type="expression" dxfId="3497" priority="3940">
      <formula>AJ100="A"</formula>
    </cfRule>
    <cfRule type="expression" dxfId="3496" priority="3941">
      <formula>AJ100="T"</formula>
    </cfRule>
  </conditionalFormatting>
  <conditionalFormatting sqref="AJ103">
    <cfRule type="expression" dxfId="3495" priority="3936">
      <formula>AJ102="X"</formula>
    </cfRule>
    <cfRule type="expression" dxfId="3494" priority="3937">
      <formula>AJ102="A"</formula>
    </cfRule>
    <cfRule type="expression" dxfId="3493" priority="3938">
      <formula>AJ102="T"</formula>
    </cfRule>
  </conditionalFormatting>
  <conditionalFormatting sqref="AJ106">
    <cfRule type="expression" dxfId="3492" priority="3933">
      <formula>AJ105="X"</formula>
    </cfRule>
    <cfRule type="expression" dxfId="3491" priority="3934">
      <formula>AJ105="A"</formula>
    </cfRule>
    <cfRule type="expression" dxfId="3490" priority="3935">
      <formula>AJ105="T"</formula>
    </cfRule>
  </conditionalFormatting>
  <conditionalFormatting sqref="AJ108">
    <cfRule type="expression" dxfId="3489" priority="3930">
      <formula>AJ107="X"</formula>
    </cfRule>
    <cfRule type="expression" dxfId="3488" priority="3931">
      <formula>AJ107="A"</formula>
    </cfRule>
    <cfRule type="expression" dxfId="3487" priority="3932">
      <formula>AJ107="T"</formula>
    </cfRule>
  </conditionalFormatting>
  <conditionalFormatting sqref="AJ110">
    <cfRule type="expression" dxfId="3486" priority="3927">
      <formula>AJ109="X"</formula>
    </cfRule>
    <cfRule type="expression" dxfId="3485" priority="3928">
      <formula>AJ109="A"</formula>
    </cfRule>
    <cfRule type="expression" dxfId="3484" priority="3929">
      <formula>AJ109="T"</formula>
    </cfRule>
  </conditionalFormatting>
  <conditionalFormatting sqref="AJ112">
    <cfRule type="expression" dxfId="3483" priority="3924">
      <formula>AJ111="X"</formula>
    </cfRule>
    <cfRule type="expression" dxfId="3482" priority="3925">
      <formula>AJ111="A"</formula>
    </cfRule>
    <cfRule type="expression" dxfId="3481" priority="3926">
      <formula>AJ111="T"</formula>
    </cfRule>
  </conditionalFormatting>
  <conditionalFormatting sqref="AJ114">
    <cfRule type="expression" dxfId="3480" priority="3921">
      <formula>AJ113="X"</formula>
    </cfRule>
    <cfRule type="expression" dxfId="3479" priority="3922">
      <formula>AJ113="A"</formula>
    </cfRule>
    <cfRule type="expression" dxfId="3478" priority="3923">
      <formula>AJ113="T"</formula>
    </cfRule>
  </conditionalFormatting>
  <conditionalFormatting sqref="AJ117">
    <cfRule type="expression" dxfId="3477" priority="3918">
      <formula>AJ116="X"</formula>
    </cfRule>
    <cfRule type="expression" dxfId="3476" priority="3919">
      <formula>AJ116="A"</formula>
    </cfRule>
    <cfRule type="expression" dxfId="3475" priority="3920">
      <formula>AJ116="T"</formula>
    </cfRule>
  </conditionalFormatting>
  <conditionalFormatting sqref="AJ119">
    <cfRule type="expression" dxfId="3474" priority="3915">
      <formula>AJ118="X"</formula>
    </cfRule>
    <cfRule type="expression" dxfId="3473" priority="3916">
      <formula>AJ118="A"</formula>
    </cfRule>
    <cfRule type="expression" dxfId="3472" priority="3917">
      <formula>AJ118="T"</formula>
    </cfRule>
  </conditionalFormatting>
  <conditionalFormatting sqref="AJ121">
    <cfRule type="expression" dxfId="3471" priority="3912">
      <formula>AJ120="X"</formula>
    </cfRule>
    <cfRule type="expression" dxfId="3470" priority="3913">
      <formula>AJ120="A"</formula>
    </cfRule>
    <cfRule type="expression" dxfId="3469" priority="3914">
      <formula>AJ120="T"</formula>
    </cfRule>
  </conditionalFormatting>
  <conditionalFormatting sqref="AJ123">
    <cfRule type="expression" dxfId="3468" priority="3909">
      <formula>AJ122="X"</formula>
    </cfRule>
    <cfRule type="expression" dxfId="3467" priority="3910">
      <formula>AJ122="A"</formula>
    </cfRule>
    <cfRule type="expression" dxfId="3466" priority="3911">
      <formula>AJ122="T"</formula>
    </cfRule>
  </conditionalFormatting>
  <conditionalFormatting sqref="AJ126">
    <cfRule type="expression" dxfId="3465" priority="3906">
      <formula>AJ125="X"</formula>
    </cfRule>
    <cfRule type="expression" dxfId="3464" priority="3907">
      <formula>AJ125="A"</formula>
    </cfRule>
    <cfRule type="expression" dxfId="3463" priority="3908">
      <formula>AJ125="T"</formula>
    </cfRule>
  </conditionalFormatting>
  <conditionalFormatting sqref="AJ128">
    <cfRule type="expression" dxfId="3462" priority="3903">
      <formula>AJ127="X"</formula>
    </cfRule>
    <cfRule type="expression" dxfId="3461" priority="3904">
      <formula>AJ127="A"</formula>
    </cfRule>
    <cfRule type="expression" dxfId="3460" priority="3905">
      <formula>AJ127="T"</formula>
    </cfRule>
  </conditionalFormatting>
  <conditionalFormatting sqref="AJ142">
    <cfRule type="expression" dxfId="3459" priority="3900">
      <formula>AJ141="X"</formula>
    </cfRule>
    <cfRule type="expression" dxfId="3458" priority="3901">
      <formula>AJ141="A"</formula>
    </cfRule>
    <cfRule type="expression" dxfId="3457" priority="3902">
      <formula>AJ141="T"</formula>
    </cfRule>
  </conditionalFormatting>
  <conditionalFormatting sqref="AJ144">
    <cfRule type="expression" dxfId="3456" priority="3897">
      <formula>AJ143="X"</formula>
    </cfRule>
    <cfRule type="expression" dxfId="3455" priority="3898">
      <formula>AJ143="A"</formula>
    </cfRule>
    <cfRule type="expression" dxfId="3454" priority="3899">
      <formula>AJ143="T"</formula>
    </cfRule>
  </conditionalFormatting>
  <conditionalFormatting sqref="AJ150">
    <cfRule type="expression" dxfId="3453" priority="3894">
      <formula>AJ149="X"</formula>
    </cfRule>
    <cfRule type="expression" dxfId="3452" priority="3895">
      <formula>AJ149="A"</formula>
    </cfRule>
    <cfRule type="expression" dxfId="3451" priority="3896">
      <formula>AJ149="T"</formula>
    </cfRule>
  </conditionalFormatting>
  <conditionalFormatting sqref="AJ152">
    <cfRule type="expression" dxfId="3450" priority="3891">
      <formula>AJ151="X"</formula>
    </cfRule>
    <cfRule type="expression" dxfId="3449" priority="3892">
      <formula>AJ151="A"</formula>
    </cfRule>
    <cfRule type="expression" dxfId="3448" priority="3893">
      <formula>AJ151="T"</formula>
    </cfRule>
  </conditionalFormatting>
  <conditionalFormatting sqref="AJ156">
    <cfRule type="expression" dxfId="3447" priority="3888">
      <formula>AJ155="X"</formula>
    </cfRule>
    <cfRule type="expression" dxfId="3446" priority="3889">
      <formula>AJ155="A"</formula>
    </cfRule>
    <cfRule type="expression" dxfId="3445" priority="3890">
      <formula>AJ155="T"</formula>
    </cfRule>
  </conditionalFormatting>
  <conditionalFormatting sqref="AJ168">
    <cfRule type="expression" dxfId="3444" priority="3885">
      <formula>AJ167="X"</formula>
    </cfRule>
    <cfRule type="expression" dxfId="3443" priority="3886">
      <formula>AJ167="A"</formula>
    </cfRule>
    <cfRule type="expression" dxfId="3442" priority="3887">
      <formula>AJ167="T"</formula>
    </cfRule>
  </conditionalFormatting>
  <conditionalFormatting sqref="AJ170">
    <cfRule type="expression" dxfId="3441" priority="3882">
      <formula>AJ169="X"</formula>
    </cfRule>
    <cfRule type="expression" dxfId="3440" priority="3883">
      <formula>AJ169="A"</formula>
    </cfRule>
    <cfRule type="expression" dxfId="3439" priority="3884">
      <formula>AJ169="T"</formula>
    </cfRule>
  </conditionalFormatting>
  <conditionalFormatting sqref="AJ172">
    <cfRule type="expression" dxfId="3438" priority="3879">
      <formula>AJ171="X"</formula>
    </cfRule>
    <cfRule type="expression" dxfId="3437" priority="3880">
      <formula>AJ171="A"</formula>
    </cfRule>
    <cfRule type="expression" dxfId="3436" priority="3881">
      <formula>AJ171="T"</formula>
    </cfRule>
  </conditionalFormatting>
  <conditionalFormatting sqref="AJ174">
    <cfRule type="expression" dxfId="3435" priority="3876">
      <formula>AJ173="X"</formula>
    </cfRule>
    <cfRule type="expression" dxfId="3434" priority="3877">
      <formula>AJ173="A"</formula>
    </cfRule>
    <cfRule type="expression" dxfId="3433" priority="3878">
      <formula>AJ173="T"</formula>
    </cfRule>
  </conditionalFormatting>
  <conditionalFormatting sqref="AJ176">
    <cfRule type="expression" dxfId="3432" priority="3873">
      <formula>AJ175="X"</formula>
    </cfRule>
    <cfRule type="expression" dxfId="3431" priority="3874">
      <formula>AJ175="A"</formula>
    </cfRule>
    <cfRule type="expression" dxfId="3430" priority="3875">
      <formula>AJ175="T"</formula>
    </cfRule>
  </conditionalFormatting>
  <conditionalFormatting sqref="AJ178">
    <cfRule type="expression" dxfId="3429" priority="3870">
      <formula>AJ177="X"</formula>
    </cfRule>
    <cfRule type="expression" dxfId="3428" priority="3871">
      <formula>AJ177="A"</formula>
    </cfRule>
    <cfRule type="expression" dxfId="3427" priority="3872">
      <formula>AJ177="T"</formula>
    </cfRule>
  </conditionalFormatting>
  <conditionalFormatting sqref="AJ180">
    <cfRule type="expression" dxfId="3426" priority="3867">
      <formula>AJ179="X"</formula>
    </cfRule>
    <cfRule type="expression" dxfId="3425" priority="3868">
      <formula>AJ179="A"</formula>
    </cfRule>
    <cfRule type="expression" dxfId="3424" priority="3869">
      <formula>AJ179="T"</formula>
    </cfRule>
  </conditionalFormatting>
  <conditionalFormatting sqref="AJ184">
    <cfRule type="expression" dxfId="3423" priority="3864">
      <formula>AJ183="X"</formula>
    </cfRule>
    <cfRule type="expression" dxfId="3422" priority="3865">
      <formula>AJ183="A"</formula>
    </cfRule>
    <cfRule type="expression" dxfId="3421" priority="3866">
      <formula>AJ183="T"</formula>
    </cfRule>
  </conditionalFormatting>
  <conditionalFormatting sqref="AJ186">
    <cfRule type="expression" dxfId="3420" priority="3861">
      <formula>AJ185="X"</formula>
    </cfRule>
    <cfRule type="expression" dxfId="3419" priority="3862">
      <formula>AJ185="A"</formula>
    </cfRule>
    <cfRule type="expression" dxfId="3418" priority="3863">
      <formula>AJ185="T"</formula>
    </cfRule>
  </conditionalFormatting>
  <conditionalFormatting sqref="AJ190">
    <cfRule type="expression" dxfId="3417" priority="3858">
      <formula>AJ189="X"</formula>
    </cfRule>
    <cfRule type="expression" dxfId="3416" priority="3859">
      <formula>AJ189="A"</formula>
    </cfRule>
    <cfRule type="expression" dxfId="3415" priority="3860">
      <formula>AJ189="T"</formula>
    </cfRule>
  </conditionalFormatting>
  <conditionalFormatting sqref="AJ192">
    <cfRule type="expression" dxfId="3414" priority="3855">
      <formula>AJ191="X"</formula>
    </cfRule>
    <cfRule type="expression" dxfId="3413" priority="3856">
      <formula>AJ191="A"</formula>
    </cfRule>
    <cfRule type="expression" dxfId="3412" priority="3857">
      <formula>AJ191="T"</formula>
    </cfRule>
  </conditionalFormatting>
  <conditionalFormatting sqref="AJ208">
    <cfRule type="expression" dxfId="3411" priority="3852">
      <formula>AJ207="X"</formula>
    </cfRule>
    <cfRule type="expression" dxfId="3410" priority="3853">
      <formula>AJ207="A"</formula>
    </cfRule>
    <cfRule type="expression" dxfId="3409" priority="3854">
      <formula>AJ207="T"</formula>
    </cfRule>
  </conditionalFormatting>
  <conditionalFormatting sqref="AJ211">
    <cfRule type="expression" dxfId="3408" priority="3849">
      <formula>AJ211="X"</formula>
    </cfRule>
    <cfRule type="expression" dxfId="3407" priority="3850">
      <formula>AJ211="A"</formula>
    </cfRule>
    <cfRule type="expression" dxfId="3406" priority="3851">
      <formula>AJ211="T"</formula>
    </cfRule>
  </conditionalFormatting>
  <conditionalFormatting sqref="AJ212">
    <cfRule type="expression" dxfId="3405" priority="3846">
      <formula>AJ211="X"</formula>
    </cfRule>
    <cfRule type="expression" dxfId="3404" priority="3847">
      <formula>AJ211="A"</formula>
    </cfRule>
    <cfRule type="expression" dxfId="3403" priority="3848">
      <formula>AJ211="T"</formula>
    </cfRule>
  </conditionalFormatting>
  <conditionalFormatting sqref="AJ213">
    <cfRule type="expression" dxfId="3402" priority="3843">
      <formula>AJ213="X"</formula>
    </cfRule>
    <cfRule type="expression" dxfId="3401" priority="3844">
      <formula>AJ213="A"</formula>
    </cfRule>
    <cfRule type="expression" dxfId="3400" priority="3845">
      <formula>AJ213="T"</formula>
    </cfRule>
  </conditionalFormatting>
  <conditionalFormatting sqref="AJ214">
    <cfRule type="expression" dxfId="3399" priority="3840">
      <formula>AJ213="X"</formula>
    </cfRule>
    <cfRule type="expression" dxfId="3398" priority="3841">
      <formula>AJ213="A"</formula>
    </cfRule>
    <cfRule type="expression" dxfId="3397" priority="3842">
      <formula>AJ213="T"</formula>
    </cfRule>
  </conditionalFormatting>
  <conditionalFormatting sqref="AJ215">
    <cfRule type="expression" dxfId="3396" priority="3837">
      <formula>AJ215="X"</formula>
    </cfRule>
    <cfRule type="expression" dxfId="3395" priority="3838">
      <formula>AJ215="A"</formula>
    </cfRule>
    <cfRule type="expression" dxfId="3394" priority="3839">
      <formula>AJ215="T"</formula>
    </cfRule>
  </conditionalFormatting>
  <conditionalFormatting sqref="AJ216">
    <cfRule type="expression" dxfId="3393" priority="3834">
      <formula>AJ215="X"</formula>
    </cfRule>
    <cfRule type="expression" dxfId="3392" priority="3835">
      <formula>AJ215="A"</formula>
    </cfRule>
    <cfRule type="expression" dxfId="3391" priority="3836">
      <formula>AJ215="T"</formula>
    </cfRule>
  </conditionalFormatting>
  <conditionalFormatting sqref="AJ217">
    <cfRule type="expression" dxfId="3390" priority="3831">
      <formula>AJ217="X"</formula>
    </cfRule>
    <cfRule type="expression" dxfId="3389" priority="3832">
      <formula>AJ217="A"</formula>
    </cfRule>
    <cfRule type="expression" dxfId="3388" priority="3833">
      <formula>AJ217="T"</formula>
    </cfRule>
  </conditionalFormatting>
  <conditionalFormatting sqref="AJ218">
    <cfRule type="expression" dxfId="3387" priority="3828">
      <formula>AJ217="X"</formula>
    </cfRule>
    <cfRule type="expression" dxfId="3386" priority="3829">
      <formula>AJ217="A"</formula>
    </cfRule>
    <cfRule type="expression" dxfId="3385" priority="3830">
      <formula>AJ217="T"</formula>
    </cfRule>
  </conditionalFormatting>
  <conditionalFormatting sqref="AJ219">
    <cfRule type="expression" dxfId="3384" priority="3825">
      <formula>AJ219="X"</formula>
    </cfRule>
    <cfRule type="expression" dxfId="3383" priority="3826">
      <formula>AJ219="A"</formula>
    </cfRule>
    <cfRule type="expression" dxfId="3382" priority="3827">
      <formula>AJ219="T"</formula>
    </cfRule>
  </conditionalFormatting>
  <conditionalFormatting sqref="AJ220">
    <cfRule type="expression" dxfId="3381" priority="3822">
      <formula>AJ219="X"</formula>
    </cfRule>
    <cfRule type="expression" dxfId="3380" priority="3823">
      <formula>AJ219="A"</formula>
    </cfRule>
    <cfRule type="expression" dxfId="3379" priority="3824">
      <formula>AJ219="T"</formula>
    </cfRule>
  </conditionalFormatting>
  <conditionalFormatting sqref="AJ221">
    <cfRule type="expression" dxfId="3378" priority="3819">
      <formula>AJ221="X"</formula>
    </cfRule>
    <cfRule type="expression" dxfId="3377" priority="3820">
      <formula>AJ221="A"</formula>
    </cfRule>
    <cfRule type="expression" dxfId="3376" priority="3821">
      <formula>AJ221="T"</formula>
    </cfRule>
  </conditionalFormatting>
  <conditionalFormatting sqref="AJ222">
    <cfRule type="expression" dxfId="3375" priority="3816">
      <formula>AJ221="X"</formula>
    </cfRule>
    <cfRule type="expression" dxfId="3374" priority="3817">
      <formula>AJ221="A"</formula>
    </cfRule>
    <cfRule type="expression" dxfId="3373" priority="3818">
      <formula>AJ221="T"</formula>
    </cfRule>
  </conditionalFormatting>
  <conditionalFormatting sqref="AJ223">
    <cfRule type="expression" dxfId="3372" priority="3813">
      <formula>AJ223="X"</formula>
    </cfRule>
    <cfRule type="expression" dxfId="3371" priority="3814">
      <formula>AJ223="A"</formula>
    </cfRule>
    <cfRule type="expression" dxfId="3370" priority="3815">
      <formula>AJ223="T"</formula>
    </cfRule>
  </conditionalFormatting>
  <conditionalFormatting sqref="AJ224">
    <cfRule type="expression" dxfId="3369" priority="3810">
      <formula>AJ223="X"</formula>
    </cfRule>
    <cfRule type="expression" dxfId="3368" priority="3811">
      <formula>AJ223="A"</formula>
    </cfRule>
    <cfRule type="expression" dxfId="3367" priority="3812">
      <formula>AJ223="T"</formula>
    </cfRule>
  </conditionalFormatting>
  <conditionalFormatting sqref="AJ4">
    <cfRule type="expression" dxfId="3366" priority="3807">
      <formula>AJ4="X"</formula>
    </cfRule>
    <cfRule type="expression" dxfId="3365" priority="3808">
      <formula>AJ4="A"</formula>
    </cfRule>
    <cfRule type="expression" dxfId="3364" priority="3809">
      <formula>AJ4="T"</formula>
    </cfRule>
  </conditionalFormatting>
  <conditionalFormatting sqref="AJ5">
    <cfRule type="expression" dxfId="3363" priority="3804">
      <formula>AJ4="X"</formula>
    </cfRule>
    <cfRule type="expression" dxfId="3362" priority="3805">
      <formula>AJ4="A"</formula>
    </cfRule>
    <cfRule type="expression" dxfId="3361" priority="3806">
      <formula>AJ4="T"</formula>
    </cfRule>
  </conditionalFormatting>
  <conditionalFormatting sqref="AJ6">
    <cfRule type="expression" dxfId="3360" priority="3801">
      <formula>AJ6="X"</formula>
    </cfRule>
    <cfRule type="expression" dxfId="3359" priority="3802">
      <formula>AJ6="A"</formula>
    </cfRule>
    <cfRule type="expression" dxfId="3358" priority="3803">
      <formula>AJ6="T"</formula>
    </cfRule>
  </conditionalFormatting>
  <conditionalFormatting sqref="AJ7">
    <cfRule type="expression" dxfId="3357" priority="3798">
      <formula>AJ6="X"</formula>
    </cfRule>
    <cfRule type="expression" dxfId="3356" priority="3799">
      <formula>AJ6="A"</formula>
    </cfRule>
    <cfRule type="expression" dxfId="3355" priority="3800">
      <formula>AJ6="T"</formula>
    </cfRule>
  </conditionalFormatting>
  <conditionalFormatting sqref="AJ8">
    <cfRule type="expression" dxfId="3354" priority="3795">
      <formula>AJ8="X"</formula>
    </cfRule>
    <cfRule type="expression" dxfId="3353" priority="3796">
      <formula>AJ8="A"</formula>
    </cfRule>
    <cfRule type="expression" dxfId="3352" priority="3797">
      <formula>AJ8="T"</formula>
    </cfRule>
  </conditionalFormatting>
  <conditionalFormatting sqref="AJ9">
    <cfRule type="expression" dxfId="3351" priority="3792">
      <formula>AJ8="X"</formula>
    </cfRule>
    <cfRule type="expression" dxfId="3350" priority="3793">
      <formula>AJ8="A"</formula>
    </cfRule>
    <cfRule type="expression" dxfId="3349" priority="3794">
      <formula>AJ8="T"</formula>
    </cfRule>
  </conditionalFormatting>
  <conditionalFormatting sqref="AJ74">
    <cfRule type="expression" dxfId="3348" priority="3789">
      <formula>AJ74="X"</formula>
    </cfRule>
    <cfRule type="expression" dxfId="3347" priority="3790">
      <formula>AJ74="A"</formula>
    </cfRule>
    <cfRule type="expression" dxfId="3346" priority="3791">
      <formula>AJ74="T"</formula>
    </cfRule>
  </conditionalFormatting>
  <conditionalFormatting sqref="AJ75">
    <cfRule type="expression" dxfId="3345" priority="3786">
      <formula>AJ74="X"</formula>
    </cfRule>
    <cfRule type="expression" dxfId="3344" priority="3787">
      <formula>AJ74="A"</formula>
    </cfRule>
    <cfRule type="expression" dxfId="3343" priority="3788">
      <formula>AJ74="T"</formula>
    </cfRule>
  </conditionalFormatting>
  <conditionalFormatting sqref="AJ76">
    <cfRule type="expression" dxfId="3342" priority="3783">
      <formula>AJ76="X"</formula>
    </cfRule>
    <cfRule type="expression" dxfId="3341" priority="3784">
      <formula>AJ76="A"</formula>
    </cfRule>
    <cfRule type="expression" dxfId="3340" priority="3785">
      <formula>AJ76="T"</formula>
    </cfRule>
  </conditionalFormatting>
  <conditionalFormatting sqref="AJ77">
    <cfRule type="expression" dxfId="3339" priority="3780">
      <formula>AJ76="X"</formula>
    </cfRule>
    <cfRule type="expression" dxfId="3338" priority="3781">
      <formula>AJ76="A"</formula>
    </cfRule>
    <cfRule type="expression" dxfId="3337" priority="3782">
      <formula>AJ76="T"</formula>
    </cfRule>
  </conditionalFormatting>
  <conditionalFormatting sqref="AJ78">
    <cfRule type="expression" dxfId="3336" priority="3777">
      <formula>AJ78="X"</formula>
    </cfRule>
    <cfRule type="expression" dxfId="3335" priority="3778">
      <formula>AJ78="A"</formula>
    </cfRule>
    <cfRule type="expression" dxfId="3334" priority="3779">
      <formula>AJ78="T"</formula>
    </cfRule>
  </conditionalFormatting>
  <conditionalFormatting sqref="AJ79">
    <cfRule type="expression" dxfId="3333" priority="3774">
      <formula>AJ78="X"</formula>
    </cfRule>
    <cfRule type="expression" dxfId="3332" priority="3775">
      <formula>AJ78="A"</formula>
    </cfRule>
    <cfRule type="expression" dxfId="3331" priority="3776">
      <formula>AJ78="T"</formula>
    </cfRule>
  </conditionalFormatting>
  <conditionalFormatting sqref="AJ134">
    <cfRule type="expression" dxfId="3330" priority="3771">
      <formula>AJ134="X"</formula>
    </cfRule>
    <cfRule type="expression" dxfId="3329" priority="3772">
      <formula>AJ134="A"</formula>
    </cfRule>
    <cfRule type="expression" dxfId="3328" priority="3773">
      <formula>AJ134="T"</formula>
    </cfRule>
  </conditionalFormatting>
  <conditionalFormatting sqref="AJ135">
    <cfRule type="expression" dxfId="3327" priority="3768">
      <formula>AJ134="X"</formula>
    </cfRule>
    <cfRule type="expression" dxfId="3326" priority="3769">
      <formula>AJ134="A"</formula>
    </cfRule>
    <cfRule type="expression" dxfId="3325" priority="3770">
      <formula>AJ134="T"</formula>
    </cfRule>
  </conditionalFormatting>
  <conditionalFormatting sqref="AJ136">
    <cfRule type="expression" dxfId="3324" priority="3765">
      <formula>AJ136="X"</formula>
    </cfRule>
    <cfRule type="expression" dxfId="3323" priority="3766">
      <formula>AJ136="A"</formula>
    </cfRule>
    <cfRule type="expression" dxfId="3322" priority="3767">
      <formula>AJ136="T"</formula>
    </cfRule>
  </conditionalFormatting>
  <conditionalFormatting sqref="AJ137">
    <cfRule type="expression" dxfId="3321" priority="3762">
      <formula>AJ136="X"</formula>
    </cfRule>
    <cfRule type="expression" dxfId="3320" priority="3763">
      <formula>AJ136="A"</formula>
    </cfRule>
    <cfRule type="expression" dxfId="3319" priority="3764">
      <formula>AJ136="T"</formula>
    </cfRule>
  </conditionalFormatting>
  <conditionalFormatting sqref="AJ138">
    <cfRule type="expression" dxfId="3318" priority="3759">
      <formula>AJ138="X"</formula>
    </cfRule>
    <cfRule type="expression" dxfId="3317" priority="3760">
      <formula>AJ138="A"</formula>
    </cfRule>
    <cfRule type="expression" dxfId="3316" priority="3761">
      <formula>AJ138="T"</formula>
    </cfRule>
  </conditionalFormatting>
  <conditionalFormatting sqref="AJ139">
    <cfRule type="expression" dxfId="3315" priority="3756">
      <formula>AJ138="X"</formula>
    </cfRule>
    <cfRule type="expression" dxfId="3314" priority="3757">
      <formula>AJ138="A"</formula>
    </cfRule>
    <cfRule type="expression" dxfId="3313" priority="3758">
      <formula>AJ138="T"</formula>
    </cfRule>
  </conditionalFormatting>
  <conditionalFormatting sqref="AJ10">
    <cfRule type="expression" dxfId="3312" priority="3753" stopIfTrue="1">
      <formula>AJ4=""</formula>
    </cfRule>
  </conditionalFormatting>
  <conditionalFormatting sqref="AJ10">
    <cfRule type="expression" dxfId="3311" priority="3754" stopIfTrue="1">
      <formula>AJ10=1</formula>
    </cfRule>
    <cfRule type="colorScale" priority="3755">
      <colorScale>
        <cfvo type="num" val="0"/>
        <cfvo type="num" val="0.5"/>
        <cfvo type="num" val="1"/>
        <color rgb="FFF8696B"/>
        <color theme="4" tint="0.79998168889431442"/>
        <color rgb="FF5A8AC6"/>
      </colorScale>
    </cfRule>
  </conditionalFormatting>
  <conditionalFormatting sqref="AJ15">
    <cfRule type="expression" dxfId="3310" priority="3750" stopIfTrue="1">
      <formula>AJ11=""</formula>
    </cfRule>
  </conditionalFormatting>
  <conditionalFormatting sqref="AJ15">
    <cfRule type="expression" dxfId="3309" priority="3751" stopIfTrue="1">
      <formula>AJ15=1</formula>
    </cfRule>
    <cfRule type="colorScale" priority="3752">
      <colorScale>
        <cfvo type="num" val="0"/>
        <cfvo type="num" val="0.5"/>
        <cfvo type="num" val="1"/>
        <color rgb="FFF8696B"/>
        <color theme="4" tint="0.79998168889431442"/>
        <color rgb="FF5A8AC6"/>
      </colorScale>
    </cfRule>
  </conditionalFormatting>
  <conditionalFormatting sqref="AJ38">
    <cfRule type="expression" dxfId="3308" priority="3747" stopIfTrue="1">
      <formula>AJ16=""</formula>
    </cfRule>
  </conditionalFormatting>
  <conditionalFormatting sqref="AJ38">
    <cfRule type="expression" dxfId="3307" priority="3748" stopIfTrue="1">
      <formula>AJ38=1</formula>
    </cfRule>
    <cfRule type="colorScale" priority="3749">
      <colorScale>
        <cfvo type="num" val="0"/>
        <cfvo type="num" val="0.5"/>
        <cfvo type="num" val="1"/>
        <color rgb="FFF8696B"/>
        <color theme="4" tint="0.79998168889431442"/>
        <color rgb="FF5A8AC6"/>
      </colorScale>
    </cfRule>
  </conditionalFormatting>
  <conditionalFormatting sqref="AJ69">
    <cfRule type="expression" dxfId="3306" priority="3739" stopIfTrue="1">
      <formula>AJ69=1</formula>
    </cfRule>
    <cfRule type="colorScale" priority="3740">
      <colorScale>
        <cfvo type="num" val="0"/>
        <cfvo type="num" val="0.5"/>
        <cfvo type="num" val="1"/>
        <color rgb="FFF8696B"/>
        <color theme="4" tint="0.79998168889431442"/>
        <color rgb="FF5A8AC6"/>
      </colorScale>
    </cfRule>
  </conditionalFormatting>
  <conditionalFormatting sqref="AJ69">
    <cfRule type="expression" dxfId="3305" priority="3738" stopIfTrue="1">
      <formula>AJ63=""</formula>
    </cfRule>
  </conditionalFormatting>
  <conditionalFormatting sqref="AJ80">
    <cfRule type="expression" dxfId="3304" priority="3735" stopIfTrue="1">
      <formula>AJ74=""</formula>
    </cfRule>
  </conditionalFormatting>
  <conditionalFormatting sqref="AJ80">
    <cfRule type="expression" dxfId="3303" priority="3736" stopIfTrue="1">
      <formula>AJ80=1</formula>
    </cfRule>
    <cfRule type="colorScale" priority="3737">
      <colorScale>
        <cfvo type="num" val="0"/>
        <cfvo type="num" val="0.5"/>
        <cfvo type="num" val="1"/>
        <color rgb="FFF8696B"/>
        <color theme="4" tint="0.79998168889431442"/>
        <color rgb="FF5A8AC6"/>
      </colorScale>
    </cfRule>
  </conditionalFormatting>
  <conditionalFormatting sqref="AJ87">
    <cfRule type="expression" dxfId="3302" priority="3732" stopIfTrue="1">
      <formula>AJ81=""</formula>
    </cfRule>
  </conditionalFormatting>
  <conditionalFormatting sqref="AJ87">
    <cfRule type="expression" dxfId="3301" priority="3733" stopIfTrue="1">
      <formula>AJ87=1</formula>
    </cfRule>
    <cfRule type="colorScale" priority="3734">
      <colorScale>
        <cfvo type="num" val="0"/>
        <cfvo type="num" val="0.5"/>
        <cfvo type="num" val="1"/>
        <color rgb="FFF8696B"/>
        <color theme="4" tint="0.79998168889431442"/>
        <color rgb="FF5A8AC6"/>
      </colorScale>
    </cfRule>
  </conditionalFormatting>
  <conditionalFormatting sqref="AJ104">
    <cfRule type="expression" dxfId="3300" priority="3729" stopIfTrue="1">
      <formula>AJ88=""</formula>
    </cfRule>
  </conditionalFormatting>
  <conditionalFormatting sqref="AJ104">
    <cfRule type="expression" dxfId="3299" priority="3730" stopIfTrue="1">
      <formula>AJ104=1</formula>
    </cfRule>
    <cfRule type="colorScale" priority="3731">
      <colorScale>
        <cfvo type="num" val="0"/>
        <cfvo type="num" val="0.5"/>
        <cfvo type="num" val="1"/>
        <color rgb="FFF8696B"/>
        <color theme="4" tint="0.79998168889431442"/>
        <color rgb="FF5A8AC6"/>
      </colorScale>
    </cfRule>
  </conditionalFormatting>
  <conditionalFormatting sqref="AJ115">
    <cfRule type="expression" dxfId="3298" priority="3726" stopIfTrue="1">
      <formula>AJ105=""</formula>
    </cfRule>
  </conditionalFormatting>
  <conditionalFormatting sqref="AJ115">
    <cfRule type="expression" dxfId="3297" priority="3727" stopIfTrue="1">
      <formula>AJ115=1</formula>
    </cfRule>
    <cfRule type="colorScale" priority="3728">
      <colorScale>
        <cfvo type="num" val="0"/>
        <cfvo type="num" val="0.5"/>
        <cfvo type="num" val="1"/>
        <color rgb="FFF8696B"/>
        <color theme="4" tint="0.79998168889431442"/>
        <color rgb="FF5A8AC6"/>
      </colorScale>
    </cfRule>
  </conditionalFormatting>
  <conditionalFormatting sqref="AJ124">
    <cfRule type="expression" dxfId="3296" priority="3723" stopIfTrue="1">
      <formula>AJ116=""</formula>
    </cfRule>
  </conditionalFormatting>
  <conditionalFormatting sqref="AJ124">
    <cfRule type="expression" dxfId="3295" priority="3724" stopIfTrue="1">
      <formula>AJ124=1</formula>
    </cfRule>
    <cfRule type="colorScale" priority="3725">
      <colorScale>
        <cfvo type="num" val="0"/>
        <cfvo type="num" val="0.5"/>
        <cfvo type="num" val="1"/>
        <color rgb="FFF8696B"/>
        <color theme="4" tint="0.79998168889431442"/>
        <color rgb="FF5A8AC6"/>
      </colorScale>
    </cfRule>
  </conditionalFormatting>
  <conditionalFormatting sqref="AJ129">
    <cfRule type="expression" dxfId="3294" priority="3720" stopIfTrue="1">
      <formula>AJ125=""</formula>
    </cfRule>
  </conditionalFormatting>
  <conditionalFormatting sqref="AJ129">
    <cfRule type="expression" dxfId="3293" priority="3721" stopIfTrue="1">
      <formula>AJ129=1</formula>
    </cfRule>
    <cfRule type="colorScale" priority="3722">
      <colorScale>
        <cfvo type="num" val="0"/>
        <cfvo type="num" val="0.5"/>
        <cfvo type="num" val="1"/>
        <color rgb="FFF8696B"/>
        <color theme="4" tint="0.79998168889431442"/>
        <color rgb="FF5A8AC6"/>
      </colorScale>
    </cfRule>
  </conditionalFormatting>
  <conditionalFormatting sqref="AJ140">
    <cfRule type="expression" dxfId="3292" priority="3717" stopIfTrue="1">
      <formula>AJ134=""</formula>
    </cfRule>
  </conditionalFormatting>
  <conditionalFormatting sqref="AJ140">
    <cfRule type="expression" dxfId="3291" priority="3718" stopIfTrue="1">
      <formula>AJ140=1</formula>
    </cfRule>
    <cfRule type="colorScale" priority="3719">
      <colorScale>
        <cfvo type="num" val="0"/>
        <cfvo type="num" val="0.5"/>
        <cfvo type="num" val="1"/>
        <color rgb="FFF8696B"/>
        <color theme="4" tint="0.79998168889431442"/>
        <color rgb="FF5A8AC6"/>
      </colorScale>
    </cfRule>
  </conditionalFormatting>
  <conditionalFormatting sqref="AJ145">
    <cfRule type="expression" dxfId="3290" priority="3714" stopIfTrue="1">
      <formula>AJ141=""</formula>
    </cfRule>
  </conditionalFormatting>
  <conditionalFormatting sqref="AJ145">
    <cfRule type="expression" dxfId="3289" priority="3715" stopIfTrue="1">
      <formula>AJ145=1</formula>
    </cfRule>
    <cfRule type="colorScale" priority="3716">
      <colorScale>
        <cfvo type="num" val="0"/>
        <cfvo type="num" val="0.5"/>
        <cfvo type="num" val="1"/>
        <color rgb="FFF8696B"/>
        <color theme="4" tint="0.79998168889431442"/>
        <color rgb="FF5A8AC6"/>
      </colorScale>
    </cfRule>
  </conditionalFormatting>
  <conditionalFormatting sqref="AJ153">
    <cfRule type="expression" dxfId="3288" priority="3711" stopIfTrue="1">
      <formula>AJ149=""</formula>
    </cfRule>
  </conditionalFormatting>
  <conditionalFormatting sqref="AJ153">
    <cfRule type="expression" dxfId="3287" priority="3712" stopIfTrue="1">
      <formula>AJ153=1</formula>
    </cfRule>
    <cfRule type="colorScale" priority="3713">
      <colorScale>
        <cfvo type="num" val="0"/>
        <cfvo type="num" val="0.5"/>
        <cfvo type="num" val="1"/>
        <color rgb="FFF8696B"/>
        <color theme="4" tint="0.79998168889431442"/>
        <color rgb="FF5A8AC6"/>
      </colorScale>
    </cfRule>
  </conditionalFormatting>
  <conditionalFormatting sqref="AJ165">
    <cfRule type="expression" dxfId="3286" priority="3708" stopIfTrue="1">
      <formula>AJ155=""</formula>
    </cfRule>
  </conditionalFormatting>
  <conditionalFormatting sqref="AJ165">
    <cfRule type="expression" dxfId="3285" priority="3709" stopIfTrue="1">
      <formula>AJ165=1</formula>
    </cfRule>
    <cfRule type="colorScale" priority="3710">
      <colorScale>
        <cfvo type="num" val="0"/>
        <cfvo type="num" val="0.5"/>
        <cfvo type="num" val="1"/>
        <color rgb="FFF8696B"/>
        <color theme="4" tint="0.79998168889431442"/>
        <color rgb="FF5A8AC6"/>
      </colorScale>
    </cfRule>
  </conditionalFormatting>
  <conditionalFormatting sqref="AJ187">
    <cfRule type="expression" dxfId="3284" priority="3705" stopIfTrue="1">
      <formula>AJ183=""</formula>
    </cfRule>
  </conditionalFormatting>
  <conditionalFormatting sqref="AJ187">
    <cfRule type="expression" dxfId="3283" priority="3706" stopIfTrue="1">
      <formula>AJ187=1</formula>
    </cfRule>
    <cfRule type="colorScale" priority="3707">
      <colorScale>
        <cfvo type="num" val="0"/>
        <cfvo type="num" val="0.5"/>
        <cfvo type="num" val="1"/>
        <color rgb="FFF8696B"/>
        <color theme="4" tint="0.79998168889431442"/>
        <color rgb="FF5A8AC6"/>
      </colorScale>
    </cfRule>
  </conditionalFormatting>
  <conditionalFormatting sqref="AJ193">
    <cfRule type="expression" dxfId="3282" priority="3702" stopIfTrue="1">
      <formula>AJ189=""</formula>
    </cfRule>
  </conditionalFormatting>
  <conditionalFormatting sqref="AJ193">
    <cfRule type="expression" dxfId="3281" priority="3703" stopIfTrue="1">
      <formula>AJ193=1</formula>
    </cfRule>
    <cfRule type="colorScale" priority="3704">
      <colorScale>
        <cfvo type="num" val="0"/>
        <cfvo type="num" val="0.5"/>
        <cfvo type="num" val="1"/>
        <color rgb="FFF8696B"/>
        <color theme="4" tint="0.79998168889431442"/>
        <color rgb="FF5A8AC6"/>
      </colorScale>
    </cfRule>
  </conditionalFormatting>
  <conditionalFormatting sqref="AJ181">
    <cfRule type="expression" dxfId="3280" priority="3699" stopIfTrue="1">
      <formula>AJ167=""</formula>
    </cfRule>
  </conditionalFormatting>
  <conditionalFormatting sqref="AJ181">
    <cfRule type="expression" dxfId="3279" priority="3700" stopIfTrue="1">
      <formula>AJ181=1</formula>
    </cfRule>
    <cfRule type="colorScale" priority="3701">
      <colorScale>
        <cfvo type="num" val="0"/>
        <cfvo type="num" val="0.5"/>
        <cfvo type="num" val="1"/>
        <color rgb="FFF8696B"/>
        <color theme="4" tint="0.79998168889431442"/>
        <color rgb="FF5A8AC6"/>
      </colorScale>
    </cfRule>
  </conditionalFormatting>
  <conditionalFormatting sqref="AJ209">
    <cfRule type="expression" dxfId="3278" priority="3696" stopIfTrue="1">
      <formula>AJ195=""</formula>
    </cfRule>
  </conditionalFormatting>
  <conditionalFormatting sqref="AJ209">
    <cfRule type="expression" dxfId="3277" priority="3697" stopIfTrue="1">
      <formula>AJ209=1</formula>
    </cfRule>
    <cfRule type="colorScale" priority="3698">
      <colorScale>
        <cfvo type="num" val="0"/>
        <cfvo type="num" val="0.5"/>
        <cfvo type="num" val="1"/>
        <color rgb="FFF8696B"/>
        <color theme="4" tint="0.79998168889431442"/>
        <color rgb="FF5A8AC6"/>
      </colorScale>
    </cfRule>
  </conditionalFormatting>
  <conditionalFormatting sqref="AJ225">
    <cfRule type="expression" dxfId="3276" priority="3693" stopIfTrue="1">
      <formula>AJ211=""</formula>
    </cfRule>
  </conditionalFormatting>
  <conditionalFormatting sqref="AJ225">
    <cfRule type="expression" dxfId="3275" priority="3694" stopIfTrue="1">
      <formula>AJ225=1</formula>
    </cfRule>
    <cfRule type="colorScale" priority="3695">
      <colorScale>
        <cfvo type="num" val="0"/>
        <cfvo type="num" val="0.5"/>
        <cfvo type="num" val="1"/>
        <color rgb="FFF8696B"/>
        <color theme="4" tint="0.79998168889431442"/>
        <color rgb="FF5A8AC6"/>
      </colorScale>
    </cfRule>
  </conditionalFormatting>
  <conditionalFormatting sqref="AJ71">
    <cfRule type="expression" dxfId="3274" priority="3685" stopIfTrue="1">
      <formula>AJ71=1</formula>
    </cfRule>
    <cfRule type="colorScale" priority="3686">
      <colorScale>
        <cfvo type="num" val="0"/>
        <cfvo type="num" val="0.5"/>
        <cfvo type="num" val="1"/>
        <color rgb="FFF8696B"/>
        <color theme="4" tint="0.79998168889431442"/>
        <color rgb="FF5A8AC6"/>
      </colorScale>
    </cfRule>
  </conditionalFormatting>
  <conditionalFormatting sqref="AJ147">
    <cfRule type="expression" dxfId="3273" priority="3690" stopIfTrue="1">
      <formula>AJ134=""</formula>
    </cfRule>
  </conditionalFormatting>
  <conditionalFormatting sqref="AJ147">
    <cfRule type="expression" dxfId="3272" priority="3691" stopIfTrue="1">
      <formula>AJ147=1</formula>
    </cfRule>
    <cfRule type="colorScale" priority="3692">
      <colorScale>
        <cfvo type="num" val="0"/>
        <cfvo type="num" val="0.5"/>
        <cfvo type="num" val="1"/>
        <color rgb="FFF8696B"/>
        <color theme="4" tint="0.79998168889431442"/>
        <color rgb="FF5A8AC6"/>
      </colorScale>
    </cfRule>
  </conditionalFormatting>
  <conditionalFormatting sqref="AJ131">
    <cfRule type="expression" dxfId="3271" priority="3687" stopIfTrue="1">
      <formula>AJ74=""</formula>
    </cfRule>
  </conditionalFormatting>
  <conditionalFormatting sqref="AJ131">
    <cfRule type="expression" dxfId="3270" priority="3688" stopIfTrue="1">
      <formula>AJ131=1</formula>
    </cfRule>
    <cfRule type="colorScale" priority="3689">
      <colorScale>
        <cfvo type="num" val="0"/>
        <cfvo type="num" val="0.5"/>
        <cfvo type="num" val="1"/>
        <color rgb="FFF8696B"/>
        <color theme="4" tint="0.79998168889431442"/>
        <color rgb="FF5A8AC6"/>
      </colorScale>
    </cfRule>
  </conditionalFormatting>
  <conditionalFormatting sqref="AJ71">
    <cfRule type="expression" dxfId="3269" priority="3684" stopIfTrue="1">
      <formula>AJ65=""</formula>
    </cfRule>
  </conditionalFormatting>
  <conditionalFormatting sqref="AJ195">
    <cfRule type="expression" dxfId="3268" priority="3681">
      <formula>AJ195="X"</formula>
    </cfRule>
    <cfRule type="expression" dxfId="3267" priority="3682">
      <formula>AJ195="A"</formula>
    </cfRule>
    <cfRule type="expression" dxfId="3266" priority="3683">
      <formula>AJ195="T"</formula>
    </cfRule>
  </conditionalFormatting>
  <conditionalFormatting sqref="AJ203">
    <cfRule type="expression" dxfId="3265" priority="3678">
      <formula>AJ203="X"</formula>
    </cfRule>
    <cfRule type="expression" dxfId="3264" priority="3679">
      <formula>AJ203="A"</formula>
    </cfRule>
    <cfRule type="expression" dxfId="3263" priority="3680">
      <formula>AJ203="T"</formula>
    </cfRule>
  </conditionalFormatting>
  <conditionalFormatting sqref="AJ205">
    <cfRule type="expression" dxfId="3262" priority="3675">
      <formula>AJ205="X"</formula>
    </cfRule>
    <cfRule type="expression" dxfId="3261" priority="3676">
      <formula>AJ205="A"</formula>
    </cfRule>
    <cfRule type="expression" dxfId="3260" priority="3677">
      <formula>AJ205="T"</formula>
    </cfRule>
  </conditionalFormatting>
  <conditionalFormatting sqref="AJ207">
    <cfRule type="expression" dxfId="3259" priority="3672">
      <formula>AJ207="X"</formula>
    </cfRule>
    <cfRule type="expression" dxfId="3258" priority="3673">
      <formula>AJ207="A"</formula>
    </cfRule>
    <cfRule type="expression" dxfId="3257" priority="3674">
      <formula>AJ207="T"</formula>
    </cfRule>
  </conditionalFormatting>
  <conditionalFormatting sqref="AJ204">
    <cfRule type="expression" dxfId="3256" priority="3669">
      <formula>AJ203="X"</formula>
    </cfRule>
    <cfRule type="expression" dxfId="3255" priority="3670">
      <formula>AJ203="A"</formula>
    </cfRule>
    <cfRule type="expression" dxfId="3254" priority="3671">
      <formula>AJ203="T"</formula>
    </cfRule>
  </conditionalFormatting>
  <conditionalFormatting sqref="AJ206">
    <cfRule type="expression" dxfId="3253" priority="3666">
      <formula>AJ205="X"</formula>
    </cfRule>
    <cfRule type="expression" dxfId="3252" priority="3667">
      <formula>AJ205="A"</formula>
    </cfRule>
    <cfRule type="expression" dxfId="3251" priority="3668">
      <formula>AJ205="T"</formula>
    </cfRule>
  </conditionalFormatting>
  <conditionalFormatting sqref="AJ196">
    <cfRule type="expression" dxfId="3250" priority="3663">
      <formula>AJ195="X"</formula>
    </cfRule>
    <cfRule type="expression" dxfId="3249" priority="3664">
      <formula>AJ195="A"</formula>
    </cfRule>
    <cfRule type="expression" dxfId="3248" priority="3665">
      <formula>AJ195="T"</formula>
    </cfRule>
  </conditionalFormatting>
  <conditionalFormatting sqref="AJ197">
    <cfRule type="expression" dxfId="3247" priority="3660">
      <formula>AJ197="X"</formula>
    </cfRule>
    <cfRule type="expression" dxfId="3246" priority="3661">
      <formula>AJ197="A"</formula>
    </cfRule>
    <cfRule type="expression" dxfId="3245" priority="3662">
      <formula>AJ197="T"</formula>
    </cfRule>
  </conditionalFormatting>
  <conditionalFormatting sqref="AJ198">
    <cfRule type="expression" dxfId="3244" priority="3657">
      <formula>AJ197="X"</formula>
    </cfRule>
    <cfRule type="expression" dxfId="3243" priority="3658">
      <formula>AJ197="A"</formula>
    </cfRule>
    <cfRule type="expression" dxfId="3242" priority="3659">
      <formula>AJ197="T"</formula>
    </cfRule>
  </conditionalFormatting>
  <conditionalFormatting sqref="AJ199">
    <cfRule type="expression" dxfId="3241" priority="3654">
      <formula>AJ199="X"</formula>
    </cfRule>
    <cfRule type="expression" dxfId="3240" priority="3655">
      <formula>AJ199="A"</formula>
    </cfRule>
    <cfRule type="expression" dxfId="3239" priority="3656">
      <formula>AJ199="T"</formula>
    </cfRule>
  </conditionalFormatting>
  <conditionalFormatting sqref="AJ200">
    <cfRule type="expression" dxfId="3238" priority="3651">
      <formula>AJ199="X"</formula>
    </cfRule>
    <cfRule type="expression" dxfId="3237" priority="3652">
      <formula>AJ199="A"</formula>
    </cfRule>
    <cfRule type="expression" dxfId="3236" priority="3653">
      <formula>AJ199="T"</formula>
    </cfRule>
  </conditionalFormatting>
  <conditionalFormatting sqref="AJ201">
    <cfRule type="expression" dxfId="3235" priority="3648">
      <formula>AJ201="X"</formula>
    </cfRule>
    <cfRule type="expression" dxfId="3234" priority="3649">
      <formula>AJ201="A"</formula>
    </cfRule>
    <cfRule type="expression" dxfId="3233" priority="3650">
      <formula>AJ201="T"</formula>
    </cfRule>
  </conditionalFormatting>
  <conditionalFormatting sqref="AJ202">
    <cfRule type="expression" dxfId="3232" priority="3645">
      <formula>AJ201="X"</formula>
    </cfRule>
    <cfRule type="expression" dxfId="3231" priority="3646">
      <formula>AJ201="A"</formula>
    </cfRule>
    <cfRule type="expression" dxfId="3230" priority="3647">
      <formula>AJ201="T"</formula>
    </cfRule>
  </conditionalFormatting>
  <conditionalFormatting sqref="AJ72">
    <cfRule type="expression" dxfId="3229" priority="3642" stopIfTrue="1">
      <formula>AJ4=""</formula>
    </cfRule>
  </conditionalFormatting>
  <conditionalFormatting sqref="AJ72">
    <cfRule type="expression" dxfId="3228" priority="3643" stopIfTrue="1">
      <formula>AJ72=1</formula>
    </cfRule>
    <cfRule type="colorScale" priority="3644">
      <colorScale>
        <cfvo type="num" val="0"/>
        <cfvo type="num" val="0.5"/>
        <cfvo type="num" val="1"/>
        <color rgb="FFF8696B"/>
        <color theme="4" tint="0.79998168889431442"/>
        <color rgb="FF5A8AC6"/>
      </colorScale>
    </cfRule>
  </conditionalFormatting>
  <conditionalFormatting sqref="AJ132">
    <cfRule type="expression" dxfId="3227" priority="3640" stopIfTrue="1">
      <formula>AJ132=1</formula>
    </cfRule>
    <cfRule type="colorScale" priority="3641">
      <colorScale>
        <cfvo type="num" val="0"/>
        <cfvo type="num" val="0.5"/>
        <cfvo type="num" val="1"/>
        <color rgb="FFF8696B"/>
        <color theme="4" tint="0.79998168889431442"/>
        <color rgb="FF5A8AC6"/>
      </colorScale>
    </cfRule>
  </conditionalFormatting>
  <conditionalFormatting sqref="AJ132">
    <cfRule type="expression" dxfId="3226" priority="3639" stopIfTrue="1">
      <formula>AJ74=""</formula>
    </cfRule>
  </conditionalFormatting>
  <conditionalFormatting sqref="AJ237:AJ238">
    <cfRule type="expression" dxfId="3225" priority="3635" stopIfTrue="1">
      <formula>AJ237=_xlfn.UNICHAR(10003)</formula>
    </cfRule>
    <cfRule type="colorScale" priority="3636">
      <colorScale>
        <cfvo type="num" val="0"/>
        <cfvo type="num" val="0.5"/>
        <cfvo type="num" val="1"/>
        <color rgb="FFF8696B"/>
        <color theme="4" tint="0.79998168889431442"/>
        <color rgb="FF5A8AC6"/>
      </colorScale>
    </cfRule>
  </conditionalFormatting>
  <conditionalFormatting sqref="AJ234:AJ236 AJ230:AJ232">
    <cfRule type="expression" dxfId="3224" priority="3633" stopIfTrue="1">
      <formula>AJ230=_xlfn.UNICHAR(10003)</formula>
    </cfRule>
    <cfRule type="colorScale" priority="3634">
      <colorScale>
        <cfvo type="num" val="0"/>
        <cfvo type="num" val="0.5"/>
        <cfvo type="num" val="1"/>
        <color rgb="FFF8696B"/>
        <color theme="4" tint="0.79998168889431442"/>
        <color rgb="FF5A8AC6"/>
      </colorScale>
    </cfRule>
  </conditionalFormatting>
  <conditionalFormatting sqref="AJ239">
    <cfRule type="expression" dxfId="3223" priority="3631" stopIfTrue="1">
      <formula>AJ239=_xlfn.UNICHAR(10003)</formula>
    </cfRule>
    <cfRule type="colorScale" priority="3632">
      <colorScale>
        <cfvo type="num" val="0"/>
        <cfvo type="num" val="0.5"/>
        <cfvo type="num" val="1"/>
        <color rgb="FFF8696B"/>
        <color theme="4" tint="0.79998168889431442"/>
        <color rgb="FF5A8AC6"/>
      </colorScale>
    </cfRule>
  </conditionalFormatting>
  <conditionalFormatting sqref="AJ239">
    <cfRule type="expression" dxfId="3222" priority="3629" stopIfTrue="1">
      <formula>AJ239=1</formula>
    </cfRule>
    <cfRule type="colorScale" priority="3630">
      <colorScale>
        <cfvo type="num" val="0"/>
        <cfvo type="num" val="0.5"/>
        <cfvo type="num" val="1"/>
        <color rgb="FFF8696B"/>
        <color theme="4" tint="0.79998168889431442"/>
        <color rgb="FF5A8AC6"/>
      </colorScale>
    </cfRule>
  </conditionalFormatting>
  <conditionalFormatting sqref="AJ233">
    <cfRule type="expression" dxfId="3221" priority="3627" stopIfTrue="1">
      <formula>AJ233=_xlfn.UNICHAR(10003)</formula>
    </cfRule>
    <cfRule type="colorScale" priority="3628">
      <colorScale>
        <cfvo type="num" val="0"/>
        <cfvo type="num" val="0.5"/>
        <cfvo type="num" val="1"/>
        <color rgb="FFF8696B"/>
        <color theme="4" tint="0.79998168889431442"/>
        <color rgb="FF5A8AC6"/>
      </colorScale>
    </cfRule>
  </conditionalFormatting>
  <conditionalFormatting sqref="AJ228">
    <cfRule type="expression" dxfId="3220" priority="3626" stopIfTrue="1">
      <formula>AJ228=UNICAHR(10003)</formula>
    </cfRule>
    <cfRule type="expression" dxfId="3219" priority="3637" stopIfTrue="1">
      <formula>AJ228=CONCATENATE(_xlfn.UNICHAR(10003),_xlfn.UNICHAR(10003))</formula>
    </cfRule>
    <cfRule type="colorScale" priority="3638">
      <colorScale>
        <cfvo type="num" val="0"/>
        <cfvo type="num" val="0.5"/>
        <cfvo type="num" val="1"/>
        <color rgb="FFF8696B"/>
        <color theme="4" tint="0.79998168889431442"/>
        <color rgb="FF5A8AC6"/>
      </colorScale>
    </cfRule>
  </conditionalFormatting>
  <conditionalFormatting sqref="AJ229 AJ238">
    <cfRule type="expression" dxfId="3218" priority="3623" stopIfTrue="1">
      <formula>AJ229=_xlfn.UNICHAR(10003)</formula>
    </cfRule>
    <cfRule type="expression" dxfId="3217" priority="3624" stopIfTrue="1">
      <formula>AJ229=CONCATENATE(_xlfn.UNICHAR(10003),_xlfn.UNICHAR(10003))</formula>
    </cfRule>
    <cfRule type="colorScale" priority="3625">
      <colorScale>
        <cfvo type="num" val="0"/>
        <cfvo type="num" val="0.5"/>
        <cfvo type="num" val="1"/>
        <color rgb="FFF8696B"/>
        <color theme="4" tint="0.79998168889431442"/>
        <color rgb="FF5A8AC6"/>
      </colorScale>
    </cfRule>
  </conditionalFormatting>
  <conditionalFormatting sqref="AJ160">
    <cfRule type="expression" dxfId="3216" priority="3620">
      <formula>AJ159="X"</formula>
    </cfRule>
    <cfRule type="expression" dxfId="3215" priority="3621">
      <formula>AJ159="A"</formula>
    </cfRule>
    <cfRule type="expression" dxfId="3214" priority="3622">
      <formula>AJ159="T"</formula>
    </cfRule>
  </conditionalFormatting>
  <conditionalFormatting sqref="AJ159">
    <cfRule type="expression" dxfId="3213" priority="3617">
      <formula>AJ159="X"</formula>
    </cfRule>
    <cfRule type="expression" dxfId="3212" priority="3618">
      <formula>AJ159="A"</formula>
    </cfRule>
    <cfRule type="expression" dxfId="3211" priority="3619">
      <formula>AJ159="T"</formula>
    </cfRule>
  </conditionalFormatting>
  <conditionalFormatting sqref="AJ162">
    <cfRule type="expression" dxfId="3210" priority="3614">
      <formula>AJ161="X"</formula>
    </cfRule>
    <cfRule type="expression" dxfId="3209" priority="3615">
      <formula>AJ161="A"</formula>
    </cfRule>
    <cfRule type="expression" dxfId="3208" priority="3616">
      <formula>AJ161="T"</formula>
    </cfRule>
  </conditionalFormatting>
  <conditionalFormatting sqref="AJ161">
    <cfRule type="expression" dxfId="3207" priority="3611">
      <formula>AJ161="X"</formula>
    </cfRule>
    <cfRule type="expression" dxfId="3206" priority="3612">
      <formula>AJ161="A"</formula>
    </cfRule>
    <cfRule type="expression" dxfId="3205" priority="3613">
      <formula>AJ161="T"</formula>
    </cfRule>
  </conditionalFormatting>
  <conditionalFormatting sqref="AJ164">
    <cfRule type="expression" dxfId="3204" priority="3608">
      <formula>AJ163="X"</formula>
    </cfRule>
    <cfRule type="expression" dxfId="3203" priority="3609">
      <formula>AJ163="A"</formula>
    </cfRule>
    <cfRule type="expression" dxfId="3202" priority="3610">
      <formula>AJ163="T"</formula>
    </cfRule>
  </conditionalFormatting>
  <conditionalFormatting sqref="AJ163">
    <cfRule type="expression" dxfId="3201" priority="3605">
      <formula>AJ163="X"</formula>
    </cfRule>
    <cfRule type="expression" dxfId="3200" priority="3606">
      <formula>AJ163="A"</formula>
    </cfRule>
    <cfRule type="expression" dxfId="3199" priority="3607">
      <formula>AJ163="T"</formula>
    </cfRule>
  </conditionalFormatting>
  <conditionalFormatting sqref="AH47">
    <cfRule type="expression" dxfId="3198" priority="3602" stopIfTrue="1">
      <formula>AH39=""</formula>
    </cfRule>
  </conditionalFormatting>
  <conditionalFormatting sqref="AH47">
    <cfRule type="expression" dxfId="3197" priority="3603" stopIfTrue="1">
      <formula>AH47=1</formula>
    </cfRule>
    <cfRule type="colorScale" priority="3604">
      <colorScale>
        <cfvo type="num" val="0"/>
        <cfvo type="num" val="0.5"/>
        <cfvo type="num" val="1"/>
        <color rgb="FFF8696B"/>
        <color theme="4" tint="0.79998168889431442"/>
        <color rgb="FF5A8AC6"/>
      </colorScale>
    </cfRule>
  </conditionalFormatting>
  <conditionalFormatting sqref="AJ47">
    <cfRule type="expression" dxfId="3196" priority="3596" stopIfTrue="1">
      <formula>AJ39=""</formula>
    </cfRule>
  </conditionalFormatting>
  <conditionalFormatting sqref="AJ47">
    <cfRule type="expression" dxfId="3195" priority="3597" stopIfTrue="1">
      <formula>AJ47=1</formula>
    </cfRule>
    <cfRule type="colorScale" priority="3598">
      <colorScale>
        <cfvo type="num" val="0"/>
        <cfvo type="num" val="0.5"/>
        <cfvo type="num" val="1"/>
        <color rgb="FFF8696B"/>
        <color theme="4" tint="0.79998168889431442"/>
        <color rgb="FF5A8AC6"/>
      </colorScale>
    </cfRule>
  </conditionalFormatting>
  <conditionalFormatting sqref="U241:Z241 AC241">
    <cfRule type="colorScale" priority="3595">
      <colorScale>
        <cfvo type="min"/>
        <cfvo type="percentile" val="50"/>
        <cfvo type="max"/>
        <color rgb="FF63BE7B"/>
        <color rgb="FFFFEB84"/>
        <color rgb="FFF8696B"/>
      </colorScale>
    </cfRule>
  </conditionalFormatting>
  <conditionalFormatting sqref="AG136">
    <cfRule type="expression" dxfId="3194" priority="3591">
      <formula>AG136="X"</formula>
    </cfRule>
    <cfRule type="expression" dxfId="3193" priority="3592">
      <formula>AG136="A"</formula>
    </cfRule>
    <cfRule type="expression" dxfId="3192" priority="3593">
      <formula>AG136="T"</formula>
    </cfRule>
  </conditionalFormatting>
  <conditionalFormatting sqref="AG138">
    <cfRule type="expression" dxfId="3191" priority="3588">
      <formula>AG138="X"</formula>
    </cfRule>
    <cfRule type="expression" dxfId="3190" priority="3589">
      <formula>AG138="A"</formula>
    </cfRule>
    <cfRule type="expression" dxfId="3189" priority="3590">
      <formula>AG138="T"</formula>
    </cfRule>
  </conditionalFormatting>
  <conditionalFormatting sqref="Z6 AC6">
    <cfRule type="expression" dxfId="3188" priority="3585">
      <formula>Z6="X"</formula>
    </cfRule>
    <cfRule type="expression" dxfId="3187" priority="3586">
      <formula>Z6="A"</formula>
    </cfRule>
    <cfRule type="expression" dxfId="3186" priority="3587">
      <formula>Z6="T"</formula>
    </cfRule>
  </conditionalFormatting>
  <conditionalFormatting sqref="Z30 AC30">
    <cfRule type="expression" dxfId="3185" priority="3582">
      <formula>Z30="X"</formula>
    </cfRule>
    <cfRule type="expression" dxfId="3184" priority="3583">
      <formula>Z30="A"</formula>
    </cfRule>
    <cfRule type="expression" dxfId="3183" priority="3584">
      <formula>Z30="T"</formula>
    </cfRule>
  </conditionalFormatting>
  <conditionalFormatting sqref="Z32 AC32">
    <cfRule type="expression" dxfId="3182" priority="3579">
      <formula>Z32="X"</formula>
    </cfRule>
    <cfRule type="expression" dxfId="3181" priority="3580">
      <formula>Z32="A"</formula>
    </cfRule>
    <cfRule type="expression" dxfId="3180" priority="3581">
      <formula>Z32="T"</formula>
    </cfRule>
  </conditionalFormatting>
  <conditionalFormatting sqref="Z39 AC39">
    <cfRule type="expression" dxfId="3179" priority="3576">
      <formula>Z39="X"</formula>
    </cfRule>
    <cfRule type="expression" dxfId="3178" priority="3577">
      <formula>Z39="A"</formula>
    </cfRule>
    <cfRule type="expression" dxfId="3177" priority="3578">
      <formula>Z39="T"</formula>
    </cfRule>
  </conditionalFormatting>
  <conditionalFormatting sqref="Z41 AC41">
    <cfRule type="expression" dxfId="3176" priority="3573">
      <formula>Z41="X"</formula>
    </cfRule>
    <cfRule type="expression" dxfId="3175" priority="3574">
      <formula>Z41="A"</formula>
    </cfRule>
    <cfRule type="expression" dxfId="3174" priority="3575">
      <formula>Z41="T"</formula>
    </cfRule>
  </conditionalFormatting>
  <conditionalFormatting sqref="Z43 AC43">
    <cfRule type="expression" dxfId="3173" priority="3570">
      <formula>Z43="X"</formula>
    </cfRule>
    <cfRule type="expression" dxfId="3172" priority="3571">
      <formula>Z43="A"</formula>
    </cfRule>
    <cfRule type="expression" dxfId="3171" priority="3572">
      <formula>Z43="T"</formula>
    </cfRule>
  </conditionalFormatting>
  <conditionalFormatting sqref="Z45 AC45">
    <cfRule type="expression" dxfId="3170" priority="3567">
      <formula>Z45="X"</formula>
    </cfRule>
    <cfRule type="expression" dxfId="3169" priority="3568">
      <formula>Z45="A"</formula>
    </cfRule>
    <cfRule type="expression" dxfId="3168" priority="3569">
      <formula>Z45="T"</formula>
    </cfRule>
  </conditionalFormatting>
  <conditionalFormatting sqref="Z88 AC88">
    <cfRule type="expression" dxfId="3167" priority="3564">
      <formula>Z88="X"</formula>
    </cfRule>
    <cfRule type="expression" dxfId="3166" priority="3565">
      <formula>Z88="A"</formula>
    </cfRule>
    <cfRule type="expression" dxfId="3165" priority="3566">
      <formula>Z88="T"</formula>
    </cfRule>
  </conditionalFormatting>
  <conditionalFormatting sqref="Z96 AC96">
    <cfRule type="expression" dxfId="3164" priority="3561">
      <formula>Z96="X"</formula>
    </cfRule>
    <cfRule type="expression" dxfId="3163" priority="3562">
      <formula>Z96="A"</formula>
    </cfRule>
    <cfRule type="expression" dxfId="3162" priority="3563">
      <formula>Z96="T"</formula>
    </cfRule>
  </conditionalFormatting>
  <conditionalFormatting sqref="Z92 AC92">
    <cfRule type="expression" dxfId="3161" priority="3558">
      <formula>Z92="X"</formula>
    </cfRule>
    <cfRule type="expression" dxfId="3160" priority="3559">
      <formula>Z92="A"</formula>
    </cfRule>
    <cfRule type="expression" dxfId="3159" priority="3560">
      <formula>Z92="T"</formula>
    </cfRule>
  </conditionalFormatting>
  <conditionalFormatting sqref="Z111 AC111">
    <cfRule type="expression" dxfId="3158" priority="3555">
      <formula>Z111="X"</formula>
    </cfRule>
    <cfRule type="expression" dxfId="3157" priority="3556">
      <formula>Z111="A"</formula>
    </cfRule>
    <cfRule type="expression" dxfId="3156" priority="3557">
      <formula>Z111="T"</formula>
    </cfRule>
  </conditionalFormatting>
  <conditionalFormatting sqref="Z215 AC215">
    <cfRule type="expression" dxfId="3155" priority="3552">
      <formula>Z215="X"</formula>
    </cfRule>
    <cfRule type="expression" dxfId="3154" priority="3553">
      <formula>Z215="A"</formula>
    </cfRule>
    <cfRule type="expression" dxfId="3153" priority="3554">
      <formula>Z215="T"</formula>
    </cfRule>
  </conditionalFormatting>
  <conditionalFormatting sqref="Z211 AC211">
    <cfRule type="expression" dxfId="3152" priority="3549">
      <formula>Z211="X"</formula>
    </cfRule>
    <cfRule type="expression" dxfId="3151" priority="3550">
      <formula>Z211="A"</formula>
    </cfRule>
    <cfRule type="expression" dxfId="3150" priority="3551">
      <formula>Z211="T"</formula>
    </cfRule>
  </conditionalFormatting>
  <conditionalFormatting sqref="V163">
    <cfRule type="expression" dxfId="3149" priority="3507">
      <formula>V163="X"</formula>
    </cfRule>
    <cfRule type="expression" dxfId="3148" priority="3508">
      <formula>V163="A"</formula>
    </cfRule>
    <cfRule type="expression" dxfId="3147" priority="3509">
      <formula>V163="T"</formula>
    </cfRule>
  </conditionalFormatting>
  <conditionalFormatting sqref="S160 S158">
    <cfRule type="expression" dxfId="3146" priority="3504">
      <formula>S157="X"</formula>
    </cfRule>
    <cfRule type="expression" dxfId="3145" priority="3505">
      <formula>S157="A"</formula>
    </cfRule>
    <cfRule type="expression" dxfId="3144" priority="3506">
      <formula>S157="T"</formula>
    </cfRule>
  </conditionalFormatting>
  <conditionalFormatting sqref="S16 S18 S20 S22 S24 S26 S28 S39 S41 S43 S45 S48 S81 S88 S90 S92 S94 S96 S98 S100 S102 S105 S107 S109 S111 S116">
    <cfRule type="expression" dxfId="3143" priority="3501">
      <formula>S16="X"</formula>
    </cfRule>
    <cfRule type="expression" dxfId="3142" priority="3502">
      <formula>S16="A"</formula>
    </cfRule>
    <cfRule type="expression" dxfId="3141" priority="3503">
      <formula>S16="T"</formula>
    </cfRule>
  </conditionalFormatting>
  <conditionalFormatting sqref="S36">
    <cfRule type="expression" dxfId="3140" priority="3498">
      <formula>S36="X"</formula>
    </cfRule>
    <cfRule type="expression" dxfId="3139" priority="3499">
      <formula>S36="A"</formula>
    </cfRule>
    <cfRule type="expression" dxfId="3138" priority="3500">
      <formula>S36="T"</formula>
    </cfRule>
  </conditionalFormatting>
  <conditionalFormatting sqref="S34">
    <cfRule type="expression" dxfId="3137" priority="3495">
      <formula>S34="X"</formula>
    </cfRule>
    <cfRule type="expression" dxfId="3136" priority="3496">
      <formula>S34="A"</formula>
    </cfRule>
    <cfRule type="expression" dxfId="3135" priority="3497">
      <formula>S34="T"</formula>
    </cfRule>
  </conditionalFormatting>
  <conditionalFormatting sqref="S32">
    <cfRule type="expression" dxfId="3134" priority="3492">
      <formula>S32="X"</formula>
    </cfRule>
    <cfRule type="expression" dxfId="3133" priority="3493">
      <formula>S32="A"</formula>
    </cfRule>
    <cfRule type="expression" dxfId="3132" priority="3494">
      <formula>S32="T"</formula>
    </cfRule>
  </conditionalFormatting>
  <conditionalFormatting sqref="S30">
    <cfRule type="expression" dxfId="3131" priority="3489">
      <formula>S30="X"</formula>
    </cfRule>
    <cfRule type="expression" dxfId="3130" priority="3490">
      <formula>S30="A"</formula>
    </cfRule>
    <cfRule type="expression" dxfId="3129" priority="3491">
      <formula>S30="T"</formula>
    </cfRule>
  </conditionalFormatting>
  <conditionalFormatting sqref="S52">
    <cfRule type="expression" dxfId="3128" priority="3486">
      <formula>S52="X"</formula>
    </cfRule>
    <cfRule type="expression" dxfId="3127" priority="3487">
      <formula>S52="A"</formula>
    </cfRule>
    <cfRule type="expression" dxfId="3126" priority="3488">
      <formula>S52="T"</formula>
    </cfRule>
  </conditionalFormatting>
  <conditionalFormatting sqref="S50">
    <cfRule type="expression" dxfId="3125" priority="3483">
      <formula>S50="X"</formula>
    </cfRule>
    <cfRule type="expression" dxfId="3124" priority="3484">
      <formula>S50="A"</formula>
    </cfRule>
    <cfRule type="expression" dxfId="3123" priority="3485">
      <formula>S50="T"</formula>
    </cfRule>
  </conditionalFormatting>
  <conditionalFormatting sqref="S54">
    <cfRule type="expression" dxfId="3122" priority="3480">
      <formula>S54="X"</formula>
    </cfRule>
    <cfRule type="expression" dxfId="3121" priority="3481">
      <formula>S54="A"</formula>
    </cfRule>
    <cfRule type="expression" dxfId="3120" priority="3482">
      <formula>S54="T"</formula>
    </cfRule>
  </conditionalFormatting>
  <conditionalFormatting sqref="S56">
    <cfRule type="expression" dxfId="3119" priority="3477">
      <formula>S56="X"</formula>
    </cfRule>
    <cfRule type="expression" dxfId="3118" priority="3478">
      <formula>S56="A"</formula>
    </cfRule>
    <cfRule type="expression" dxfId="3117" priority="3479">
      <formula>S56="T"</formula>
    </cfRule>
  </conditionalFormatting>
  <conditionalFormatting sqref="S58">
    <cfRule type="expression" dxfId="3116" priority="3474">
      <formula>S58="X"</formula>
    </cfRule>
    <cfRule type="expression" dxfId="3115" priority="3475">
      <formula>S58="A"</formula>
    </cfRule>
    <cfRule type="expression" dxfId="3114" priority="3476">
      <formula>S58="T"</formula>
    </cfRule>
  </conditionalFormatting>
  <conditionalFormatting sqref="S63">
    <cfRule type="expression" dxfId="3113" priority="3471">
      <formula>S63="X"</formula>
    </cfRule>
    <cfRule type="expression" dxfId="3112" priority="3472">
      <formula>S63="A"</formula>
    </cfRule>
    <cfRule type="expression" dxfId="3111" priority="3473">
      <formula>S63="T"</formula>
    </cfRule>
  </conditionalFormatting>
  <conditionalFormatting sqref="S65">
    <cfRule type="expression" dxfId="3110" priority="3468">
      <formula>S65="X"</formula>
    </cfRule>
    <cfRule type="expression" dxfId="3109" priority="3469">
      <formula>S65="A"</formula>
    </cfRule>
    <cfRule type="expression" dxfId="3108" priority="3470">
      <formula>S65="T"</formula>
    </cfRule>
  </conditionalFormatting>
  <conditionalFormatting sqref="S83">
    <cfRule type="expression" dxfId="3107" priority="3465">
      <formula>S83="X"</formula>
    </cfRule>
    <cfRule type="expression" dxfId="3106" priority="3466">
      <formula>S83="A"</formula>
    </cfRule>
    <cfRule type="expression" dxfId="3105" priority="3467">
      <formula>S83="T"</formula>
    </cfRule>
  </conditionalFormatting>
  <conditionalFormatting sqref="S85">
    <cfRule type="expression" dxfId="3104" priority="3462">
      <formula>S85="X"</formula>
    </cfRule>
    <cfRule type="expression" dxfId="3103" priority="3463">
      <formula>S85="A"</formula>
    </cfRule>
    <cfRule type="expression" dxfId="3102" priority="3464">
      <formula>S85="T"</formula>
    </cfRule>
  </conditionalFormatting>
  <conditionalFormatting sqref="S67">
    <cfRule type="expression" dxfId="3101" priority="3459">
      <formula>S67="X"</formula>
    </cfRule>
    <cfRule type="expression" dxfId="3100" priority="3460">
      <formula>S67="A"</formula>
    </cfRule>
    <cfRule type="expression" dxfId="3099" priority="3461">
      <formula>S67="T"</formula>
    </cfRule>
  </conditionalFormatting>
  <conditionalFormatting sqref="S113">
    <cfRule type="expression" dxfId="3098" priority="3456">
      <formula>S113="X"</formula>
    </cfRule>
    <cfRule type="expression" dxfId="3097" priority="3457">
      <formula>S113="A"</formula>
    </cfRule>
    <cfRule type="expression" dxfId="3096" priority="3458">
      <formula>S113="T"</formula>
    </cfRule>
  </conditionalFormatting>
  <conditionalFormatting sqref="S118">
    <cfRule type="expression" dxfId="3095" priority="3453">
      <formula>S118="X"</formula>
    </cfRule>
    <cfRule type="expression" dxfId="3094" priority="3454">
      <formula>S118="A"</formula>
    </cfRule>
    <cfRule type="expression" dxfId="3093" priority="3455">
      <formula>S118="T"</formula>
    </cfRule>
  </conditionalFormatting>
  <conditionalFormatting sqref="S120">
    <cfRule type="expression" dxfId="3092" priority="3450">
      <formula>S120="X"</formula>
    </cfRule>
    <cfRule type="expression" dxfId="3091" priority="3451">
      <formula>S120="A"</formula>
    </cfRule>
    <cfRule type="expression" dxfId="3090" priority="3452">
      <formula>S120="T"</formula>
    </cfRule>
  </conditionalFormatting>
  <conditionalFormatting sqref="S122">
    <cfRule type="expression" dxfId="3089" priority="3447">
      <formula>S122="X"</formula>
    </cfRule>
    <cfRule type="expression" dxfId="3088" priority="3448">
      <formula>S122="A"</formula>
    </cfRule>
    <cfRule type="expression" dxfId="3087" priority="3449">
      <formula>S122="T"</formula>
    </cfRule>
  </conditionalFormatting>
  <conditionalFormatting sqref="S125">
    <cfRule type="expression" dxfId="3086" priority="3444">
      <formula>S125="X"</formula>
    </cfRule>
    <cfRule type="expression" dxfId="3085" priority="3445">
      <formula>S125="A"</formula>
    </cfRule>
    <cfRule type="expression" dxfId="3084" priority="3446">
      <formula>S125="T"</formula>
    </cfRule>
  </conditionalFormatting>
  <conditionalFormatting sqref="S127">
    <cfRule type="expression" dxfId="3083" priority="3441">
      <formula>S127="X"</formula>
    </cfRule>
    <cfRule type="expression" dxfId="3082" priority="3442">
      <formula>S127="A"</formula>
    </cfRule>
    <cfRule type="expression" dxfId="3081" priority="3443">
      <formula>S127="T"</formula>
    </cfRule>
  </conditionalFormatting>
  <conditionalFormatting sqref="S141">
    <cfRule type="expression" dxfId="3080" priority="3438">
      <formula>S141="X"</formula>
    </cfRule>
    <cfRule type="expression" dxfId="3079" priority="3439">
      <formula>S141="A"</formula>
    </cfRule>
    <cfRule type="expression" dxfId="3078" priority="3440">
      <formula>S141="T"</formula>
    </cfRule>
  </conditionalFormatting>
  <conditionalFormatting sqref="S143">
    <cfRule type="expression" dxfId="3077" priority="3435">
      <formula>S143="X"</formula>
    </cfRule>
    <cfRule type="expression" dxfId="3076" priority="3436">
      <formula>S143="A"</formula>
    </cfRule>
    <cfRule type="expression" dxfId="3075" priority="3437">
      <formula>S143="T"</formula>
    </cfRule>
  </conditionalFormatting>
  <conditionalFormatting sqref="S149">
    <cfRule type="expression" dxfId="3074" priority="3432">
      <formula>S149="X"</formula>
    </cfRule>
    <cfRule type="expression" dxfId="3073" priority="3433">
      <formula>S149="A"</formula>
    </cfRule>
    <cfRule type="expression" dxfId="3072" priority="3434">
      <formula>S149="T"</formula>
    </cfRule>
  </conditionalFormatting>
  <conditionalFormatting sqref="S151">
    <cfRule type="expression" dxfId="3071" priority="3429">
      <formula>S151="X"</formula>
    </cfRule>
    <cfRule type="expression" dxfId="3070" priority="3430">
      <formula>S151="A"</formula>
    </cfRule>
    <cfRule type="expression" dxfId="3069" priority="3431">
      <formula>S151="T"</formula>
    </cfRule>
  </conditionalFormatting>
  <conditionalFormatting sqref="S155">
    <cfRule type="expression" dxfId="3068" priority="3426">
      <formula>S155="X"</formula>
    </cfRule>
    <cfRule type="expression" dxfId="3067" priority="3427">
      <formula>S155="A"</formula>
    </cfRule>
    <cfRule type="expression" dxfId="3066" priority="3428">
      <formula>S155="T"</formula>
    </cfRule>
  </conditionalFormatting>
  <conditionalFormatting sqref="S157">
    <cfRule type="expression" dxfId="3065" priority="3423">
      <formula>S157="X"</formula>
    </cfRule>
    <cfRule type="expression" dxfId="3064" priority="3424">
      <formula>S157="A"</formula>
    </cfRule>
    <cfRule type="expression" dxfId="3063" priority="3425">
      <formula>S157="T"</formula>
    </cfRule>
  </conditionalFormatting>
  <conditionalFormatting sqref="S167">
    <cfRule type="expression" dxfId="3062" priority="3420">
      <formula>S167="X"</formula>
    </cfRule>
    <cfRule type="expression" dxfId="3061" priority="3421">
      <formula>S167="A"</formula>
    </cfRule>
    <cfRule type="expression" dxfId="3060" priority="3422">
      <formula>S167="T"</formula>
    </cfRule>
  </conditionalFormatting>
  <conditionalFormatting sqref="S173">
    <cfRule type="expression" dxfId="3059" priority="3417">
      <formula>S173="X"</formula>
    </cfRule>
    <cfRule type="expression" dxfId="3058" priority="3418">
      <formula>S173="A"</formula>
    </cfRule>
    <cfRule type="expression" dxfId="3057" priority="3419">
      <formula>S173="T"</formula>
    </cfRule>
  </conditionalFormatting>
  <conditionalFormatting sqref="S175">
    <cfRule type="expression" dxfId="3056" priority="3414">
      <formula>S175="X"</formula>
    </cfRule>
    <cfRule type="expression" dxfId="3055" priority="3415">
      <formula>S175="A"</formula>
    </cfRule>
    <cfRule type="expression" dxfId="3054" priority="3416">
      <formula>S175="T"</formula>
    </cfRule>
  </conditionalFormatting>
  <conditionalFormatting sqref="S177">
    <cfRule type="expression" dxfId="3053" priority="3411">
      <formula>S177="X"</formula>
    </cfRule>
    <cfRule type="expression" dxfId="3052" priority="3412">
      <formula>S177="A"</formula>
    </cfRule>
    <cfRule type="expression" dxfId="3051" priority="3413">
      <formula>S177="T"</formula>
    </cfRule>
  </conditionalFormatting>
  <conditionalFormatting sqref="S179">
    <cfRule type="expression" dxfId="3050" priority="3408">
      <formula>S179="X"</formula>
    </cfRule>
    <cfRule type="expression" dxfId="3049" priority="3409">
      <formula>S179="A"</formula>
    </cfRule>
    <cfRule type="expression" dxfId="3048" priority="3410">
      <formula>S179="T"</formula>
    </cfRule>
  </conditionalFormatting>
  <conditionalFormatting sqref="S169">
    <cfRule type="expression" dxfId="3047" priority="3405">
      <formula>S169="X"</formula>
    </cfRule>
    <cfRule type="expression" dxfId="3046" priority="3406">
      <formula>S169="A"</formula>
    </cfRule>
    <cfRule type="expression" dxfId="3045" priority="3407">
      <formula>S169="T"</formula>
    </cfRule>
  </conditionalFormatting>
  <conditionalFormatting sqref="S171">
    <cfRule type="expression" dxfId="3044" priority="3402">
      <formula>S171="X"</formula>
    </cfRule>
    <cfRule type="expression" dxfId="3043" priority="3403">
      <formula>S171="A"</formula>
    </cfRule>
    <cfRule type="expression" dxfId="3042" priority="3404">
      <formula>S171="T"</formula>
    </cfRule>
  </conditionalFormatting>
  <conditionalFormatting sqref="S183">
    <cfRule type="expression" dxfId="3041" priority="3399">
      <formula>S183="X"</formula>
    </cfRule>
    <cfRule type="expression" dxfId="3040" priority="3400">
      <formula>S183="A"</formula>
    </cfRule>
    <cfRule type="expression" dxfId="3039" priority="3401">
      <formula>S183="T"</formula>
    </cfRule>
  </conditionalFormatting>
  <conditionalFormatting sqref="S185">
    <cfRule type="expression" dxfId="3038" priority="3396">
      <formula>S185="X"</formula>
    </cfRule>
    <cfRule type="expression" dxfId="3037" priority="3397">
      <formula>S185="A"</formula>
    </cfRule>
    <cfRule type="expression" dxfId="3036" priority="3398">
      <formula>S185="T"</formula>
    </cfRule>
  </conditionalFormatting>
  <conditionalFormatting sqref="S189">
    <cfRule type="expression" dxfId="3035" priority="3393">
      <formula>S189="X"</formula>
    </cfRule>
    <cfRule type="expression" dxfId="3034" priority="3394">
      <formula>S189="A"</formula>
    </cfRule>
    <cfRule type="expression" dxfId="3033" priority="3395">
      <formula>S189="T"</formula>
    </cfRule>
  </conditionalFormatting>
  <conditionalFormatting sqref="S191">
    <cfRule type="expression" dxfId="3032" priority="3390">
      <formula>S191="X"</formula>
    </cfRule>
    <cfRule type="expression" dxfId="3031" priority="3391">
      <formula>S191="A"</formula>
    </cfRule>
    <cfRule type="expression" dxfId="3030" priority="3392">
      <formula>S191="T"</formula>
    </cfRule>
  </conditionalFormatting>
  <conditionalFormatting sqref="S11">
    <cfRule type="expression" dxfId="3029" priority="3387">
      <formula>S11="X"</formula>
    </cfRule>
    <cfRule type="expression" dxfId="3028" priority="3388">
      <formula>S11="A"</formula>
    </cfRule>
    <cfRule type="expression" dxfId="3027" priority="3389">
      <formula>S11="T"</formula>
    </cfRule>
  </conditionalFormatting>
  <conditionalFormatting sqref="S12">
    <cfRule type="expression" dxfId="3026" priority="3384">
      <formula>S11="X"</formula>
    </cfRule>
    <cfRule type="expression" dxfId="3025" priority="3385">
      <formula>S11="A"</formula>
    </cfRule>
    <cfRule type="expression" dxfId="3024" priority="3386">
      <formula>S11="T"</formula>
    </cfRule>
  </conditionalFormatting>
  <conditionalFormatting sqref="S13">
    <cfRule type="expression" dxfId="3023" priority="3381">
      <formula>S13="X"</formula>
    </cfRule>
    <cfRule type="expression" dxfId="3022" priority="3382">
      <formula>S13="A"</formula>
    </cfRule>
    <cfRule type="expression" dxfId="3021" priority="3383">
      <formula>S13="T"</formula>
    </cfRule>
  </conditionalFormatting>
  <conditionalFormatting sqref="S14">
    <cfRule type="expression" dxfId="3020" priority="3378">
      <formula>S13="X"</formula>
    </cfRule>
    <cfRule type="expression" dxfId="3019" priority="3379">
      <formula>S13="A"</formula>
    </cfRule>
    <cfRule type="expression" dxfId="3018" priority="3380">
      <formula>S13="T"</formula>
    </cfRule>
  </conditionalFormatting>
  <conditionalFormatting sqref="S17">
    <cfRule type="expression" dxfId="3017" priority="3375">
      <formula>S16="X"</formula>
    </cfRule>
    <cfRule type="expression" dxfId="3016" priority="3376">
      <formula>S16="A"</formula>
    </cfRule>
    <cfRule type="expression" dxfId="3015" priority="3377">
      <formula>S16="T"</formula>
    </cfRule>
  </conditionalFormatting>
  <conditionalFormatting sqref="S19">
    <cfRule type="expression" dxfId="3014" priority="3369">
      <formula>S18="X"</formula>
    </cfRule>
    <cfRule type="expression" dxfId="3013" priority="3370">
      <formula>S18="A"</formula>
    </cfRule>
    <cfRule type="expression" dxfId="3012" priority="3371">
      <formula>S18="T"</formula>
    </cfRule>
  </conditionalFormatting>
  <conditionalFormatting sqref="S21">
    <cfRule type="expression" dxfId="3011" priority="3366">
      <formula>S20="X"</formula>
    </cfRule>
    <cfRule type="expression" dxfId="3010" priority="3367">
      <formula>S20="A"</formula>
    </cfRule>
    <cfRule type="expression" dxfId="3009" priority="3368">
      <formula>S20="T"</formula>
    </cfRule>
  </conditionalFormatting>
  <conditionalFormatting sqref="S23">
    <cfRule type="expression" dxfId="3008" priority="3363">
      <formula>S22="X"</formula>
    </cfRule>
    <cfRule type="expression" dxfId="3007" priority="3364">
      <formula>S22="A"</formula>
    </cfRule>
    <cfRule type="expression" dxfId="3006" priority="3365">
      <formula>S22="T"</formula>
    </cfRule>
  </conditionalFormatting>
  <conditionalFormatting sqref="S25">
    <cfRule type="expression" dxfId="3005" priority="3360">
      <formula>S24="X"</formula>
    </cfRule>
    <cfRule type="expression" dxfId="3004" priority="3361">
      <formula>S24="A"</formula>
    </cfRule>
    <cfRule type="expression" dxfId="3003" priority="3362">
      <formula>S24="T"</formula>
    </cfRule>
  </conditionalFormatting>
  <conditionalFormatting sqref="S27">
    <cfRule type="expression" dxfId="3002" priority="3357">
      <formula>S26="X"</formula>
    </cfRule>
    <cfRule type="expression" dxfId="3001" priority="3358">
      <formula>S26="A"</formula>
    </cfRule>
    <cfRule type="expression" dxfId="3000" priority="3359">
      <formula>S26="T"</formula>
    </cfRule>
  </conditionalFormatting>
  <conditionalFormatting sqref="S29">
    <cfRule type="expression" dxfId="2999" priority="3354">
      <formula>S28="X"</formula>
    </cfRule>
    <cfRule type="expression" dxfId="2998" priority="3355">
      <formula>S28="A"</formula>
    </cfRule>
    <cfRule type="expression" dxfId="2997" priority="3356">
      <formula>S28="T"</formula>
    </cfRule>
  </conditionalFormatting>
  <conditionalFormatting sqref="S31">
    <cfRule type="expression" dxfId="2996" priority="3351">
      <formula>S30="X"</formula>
    </cfRule>
    <cfRule type="expression" dxfId="2995" priority="3352">
      <formula>S30="A"</formula>
    </cfRule>
    <cfRule type="expression" dxfId="2994" priority="3353">
      <formula>S30="T"</formula>
    </cfRule>
  </conditionalFormatting>
  <conditionalFormatting sqref="S33">
    <cfRule type="expression" dxfId="2993" priority="3348">
      <formula>S32="X"</formula>
    </cfRule>
    <cfRule type="expression" dxfId="2992" priority="3349">
      <formula>S32="A"</formula>
    </cfRule>
    <cfRule type="expression" dxfId="2991" priority="3350">
      <formula>S32="T"</formula>
    </cfRule>
  </conditionalFormatting>
  <conditionalFormatting sqref="S35">
    <cfRule type="expression" dxfId="2990" priority="3345">
      <formula>S34="X"</formula>
    </cfRule>
    <cfRule type="expression" dxfId="2989" priority="3346">
      <formula>S34="A"</formula>
    </cfRule>
    <cfRule type="expression" dxfId="2988" priority="3347">
      <formula>S34="T"</formula>
    </cfRule>
  </conditionalFormatting>
  <conditionalFormatting sqref="S37">
    <cfRule type="expression" dxfId="2987" priority="3342">
      <formula>S36="X"</formula>
    </cfRule>
    <cfRule type="expression" dxfId="2986" priority="3343">
      <formula>S36="A"</formula>
    </cfRule>
    <cfRule type="expression" dxfId="2985" priority="3344">
      <formula>S36="T"</formula>
    </cfRule>
  </conditionalFormatting>
  <conditionalFormatting sqref="S40">
    <cfRule type="expression" dxfId="2984" priority="3339">
      <formula>S39="X"</formula>
    </cfRule>
    <cfRule type="expression" dxfId="2983" priority="3340">
      <formula>S39="A"</formula>
    </cfRule>
    <cfRule type="expression" dxfId="2982" priority="3341">
      <formula>S39="T"</formula>
    </cfRule>
  </conditionalFormatting>
  <conditionalFormatting sqref="S42">
    <cfRule type="expression" dxfId="2981" priority="3336">
      <formula>S41="X"</formula>
    </cfRule>
    <cfRule type="expression" dxfId="2980" priority="3337">
      <formula>S41="A"</formula>
    </cfRule>
    <cfRule type="expression" dxfId="2979" priority="3338">
      <formula>S41="T"</formula>
    </cfRule>
  </conditionalFormatting>
  <conditionalFormatting sqref="S44">
    <cfRule type="expression" dxfId="2978" priority="3333">
      <formula>S43="X"</formula>
    </cfRule>
    <cfRule type="expression" dxfId="2977" priority="3334">
      <formula>S43="A"</formula>
    </cfRule>
    <cfRule type="expression" dxfId="2976" priority="3335">
      <formula>S43="T"</formula>
    </cfRule>
  </conditionalFormatting>
  <conditionalFormatting sqref="S46">
    <cfRule type="expression" dxfId="2975" priority="3330">
      <formula>S45="X"</formula>
    </cfRule>
    <cfRule type="expression" dxfId="2974" priority="3331">
      <formula>S45="A"</formula>
    </cfRule>
    <cfRule type="expression" dxfId="2973" priority="3332">
      <formula>S45="T"</formula>
    </cfRule>
  </conditionalFormatting>
  <conditionalFormatting sqref="S49">
    <cfRule type="expression" dxfId="2972" priority="3327">
      <formula>S48="X"</formula>
    </cfRule>
    <cfRule type="expression" dxfId="2971" priority="3328">
      <formula>S48="A"</formula>
    </cfRule>
    <cfRule type="expression" dxfId="2970" priority="3329">
      <formula>S48="T"</formula>
    </cfRule>
  </conditionalFormatting>
  <conditionalFormatting sqref="S51">
    <cfRule type="expression" dxfId="2969" priority="3324">
      <formula>S50="X"</formula>
    </cfRule>
    <cfRule type="expression" dxfId="2968" priority="3325">
      <formula>S50="A"</formula>
    </cfRule>
    <cfRule type="expression" dxfId="2967" priority="3326">
      <formula>S50="T"</formula>
    </cfRule>
  </conditionalFormatting>
  <conditionalFormatting sqref="S53">
    <cfRule type="expression" dxfId="2966" priority="3321">
      <formula>S52="X"</formula>
    </cfRule>
    <cfRule type="expression" dxfId="2965" priority="3322">
      <formula>S52="A"</formula>
    </cfRule>
    <cfRule type="expression" dxfId="2964" priority="3323">
      <formula>S52="T"</formula>
    </cfRule>
  </conditionalFormatting>
  <conditionalFormatting sqref="S55">
    <cfRule type="expression" dxfId="2963" priority="3318">
      <formula>S54="X"</formula>
    </cfRule>
    <cfRule type="expression" dxfId="2962" priority="3319">
      <formula>S54="A"</formula>
    </cfRule>
    <cfRule type="expression" dxfId="2961" priority="3320">
      <formula>S54="T"</formula>
    </cfRule>
  </conditionalFormatting>
  <conditionalFormatting sqref="S57">
    <cfRule type="expression" dxfId="2960" priority="3315">
      <formula>S56="X"</formula>
    </cfRule>
    <cfRule type="expression" dxfId="2959" priority="3316">
      <formula>S56="A"</formula>
    </cfRule>
    <cfRule type="expression" dxfId="2958" priority="3317">
      <formula>S56="T"</formula>
    </cfRule>
  </conditionalFormatting>
  <conditionalFormatting sqref="S59">
    <cfRule type="expression" dxfId="2957" priority="3312">
      <formula>S58="X"</formula>
    </cfRule>
    <cfRule type="expression" dxfId="2956" priority="3313">
      <formula>S58="A"</formula>
    </cfRule>
    <cfRule type="expression" dxfId="2955" priority="3314">
      <formula>S58="T"</formula>
    </cfRule>
  </conditionalFormatting>
  <conditionalFormatting sqref="S64">
    <cfRule type="expression" dxfId="2954" priority="3309">
      <formula>S63="X"</formula>
    </cfRule>
    <cfRule type="expression" dxfId="2953" priority="3310">
      <formula>S63="A"</formula>
    </cfRule>
    <cfRule type="expression" dxfId="2952" priority="3311">
      <formula>S63="T"</formula>
    </cfRule>
  </conditionalFormatting>
  <conditionalFormatting sqref="S66">
    <cfRule type="expression" dxfId="2951" priority="3306">
      <formula>S65="X"</formula>
    </cfRule>
    <cfRule type="expression" dxfId="2950" priority="3307">
      <formula>S65="A"</formula>
    </cfRule>
    <cfRule type="expression" dxfId="2949" priority="3308">
      <formula>S65="T"</formula>
    </cfRule>
  </conditionalFormatting>
  <conditionalFormatting sqref="S68">
    <cfRule type="expression" dxfId="2948" priority="3303">
      <formula>S67="X"</formula>
    </cfRule>
    <cfRule type="expression" dxfId="2947" priority="3304">
      <formula>S67="A"</formula>
    </cfRule>
    <cfRule type="expression" dxfId="2946" priority="3305">
      <formula>S67="T"</formula>
    </cfRule>
  </conditionalFormatting>
  <conditionalFormatting sqref="S82">
    <cfRule type="expression" dxfId="2945" priority="3300">
      <formula>S81="X"</formula>
    </cfRule>
    <cfRule type="expression" dxfId="2944" priority="3301">
      <formula>S81="A"</formula>
    </cfRule>
    <cfRule type="expression" dxfId="2943" priority="3302">
      <formula>S81="T"</formula>
    </cfRule>
  </conditionalFormatting>
  <conditionalFormatting sqref="S84">
    <cfRule type="expression" dxfId="2942" priority="3297">
      <formula>S83="X"</formula>
    </cfRule>
    <cfRule type="expression" dxfId="2941" priority="3298">
      <formula>S83="A"</formula>
    </cfRule>
    <cfRule type="expression" dxfId="2940" priority="3299">
      <formula>S83="T"</formula>
    </cfRule>
  </conditionalFormatting>
  <conditionalFormatting sqref="S86">
    <cfRule type="expression" dxfId="2939" priority="3294">
      <formula>S85="X"</formula>
    </cfRule>
    <cfRule type="expression" dxfId="2938" priority="3295">
      <formula>S85="A"</formula>
    </cfRule>
    <cfRule type="expression" dxfId="2937" priority="3296">
      <formula>S85="T"</formula>
    </cfRule>
  </conditionalFormatting>
  <conditionalFormatting sqref="S89">
    <cfRule type="expression" dxfId="2936" priority="3291">
      <formula>S88="X"</formula>
    </cfRule>
    <cfRule type="expression" dxfId="2935" priority="3292">
      <formula>S88="A"</formula>
    </cfRule>
    <cfRule type="expression" dxfId="2934" priority="3293">
      <formula>S88="T"</formula>
    </cfRule>
  </conditionalFormatting>
  <conditionalFormatting sqref="S91">
    <cfRule type="expression" dxfId="2933" priority="3288">
      <formula>S90="X"</formula>
    </cfRule>
    <cfRule type="expression" dxfId="2932" priority="3289">
      <formula>S90="A"</formula>
    </cfRule>
    <cfRule type="expression" dxfId="2931" priority="3290">
      <formula>S90="T"</formula>
    </cfRule>
  </conditionalFormatting>
  <conditionalFormatting sqref="S93">
    <cfRule type="expression" dxfId="2930" priority="3285">
      <formula>S92="X"</formula>
    </cfRule>
    <cfRule type="expression" dxfId="2929" priority="3286">
      <formula>S92="A"</formula>
    </cfRule>
    <cfRule type="expression" dxfId="2928" priority="3287">
      <formula>S92="T"</formula>
    </cfRule>
  </conditionalFormatting>
  <conditionalFormatting sqref="S95">
    <cfRule type="expression" dxfId="2927" priority="3282">
      <formula>S94="X"</formula>
    </cfRule>
    <cfRule type="expression" dxfId="2926" priority="3283">
      <formula>S94="A"</formula>
    </cfRule>
    <cfRule type="expression" dxfId="2925" priority="3284">
      <formula>S94="T"</formula>
    </cfRule>
  </conditionalFormatting>
  <conditionalFormatting sqref="S97">
    <cfRule type="expression" dxfId="2924" priority="3279">
      <formula>S96="X"</formula>
    </cfRule>
    <cfRule type="expression" dxfId="2923" priority="3280">
      <formula>S96="A"</formula>
    </cfRule>
    <cfRule type="expression" dxfId="2922" priority="3281">
      <formula>S96="T"</formula>
    </cfRule>
  </conditionalFormatting>
  <conditionalFormatting sqref="S99">
    <cfRule type="expression" dxfId="2921" priority="3276">
      <formula>S98="X"</formula>
    </cfRule>
    <cfRule type="expression" dxfId="2920" priority="3277">
      <formula>S98="A"</formula>
    </cfRule>
    <cfRule type="expression" dxfId="2919" priority="3278">
      <formula>S98="T"</formula>
    </cfRule>
  </conditionalFormatting>
  <conditionalFormatting sqref="S101">
    <cfRule type="expression" dxfId="2918" priority="3273">
      <formula>S100="X"</formula>
    </cfRule>
    <cfRule type="expression" dxfId="2917" priority="3274">
      <formula>S100="A"</formula>
    </cfRule>
    <cfRule type="expression" dxfId="2916" priority="3275">
      <formula>S100="T"</formula>
    </cfRule>
  </conditionalFormatting>
  <conditionalFormatting sqref="S103">
    <cfRule type="expression" dxfId="2915" priority="3270">
      <formula>S102="X"</formula>
    </cfRule>
    <cfRule type="expression" dxfId="2914" priority="3271">
      <formula>S102="A"</formula>
    </cfRule>
    <cfRule type="expression" dxfId="2913" priority="3272">
      <formula>S102="T"</formula>
    </cfRule>
  </conditionalFormatting>
  <conditionalFormatting sqref="S106">
    <cfRule type="expression" dxfId="2912" priority="3267">
      <formula>S105="X"</formula>
    </cfRule>
    <cfRule type="expression" dxfId="2911" priority="3268">
      <formula>S105="A"</formula>
    </cfRule>
    <cfRule type="expression" dxfId="2910" priority="3269">
      <formula>S105="T"</formula>
    </cfRule>
  </conditionalFormatting>
  <conditionalFormatting sqref="S108">
    <cfRule type="expression" dxfId="2909" priority="3264">
      <formula>S107="X"</formula>
    </cfRule>
    <cfRule type="expression" dxfId="2908" priority="3265">
      <formula>S107="A"</formula>
    </cfRule>
    <cfRule type="expression" dxfId="2907" priority="3266">
      <formula>S107="T"</formula>
    </cfRule>
  </conditionalFormatting>
  <conditionalFormatting sqref="S110">
    <cfRule type="expression" dxfId="2906" priority="3261">
      <formula>S109="X"</formula>
    </cfRule>
    <cfRule type="expression" dxfId="2905" priority="3262">
      <formula>S109="A"</formula>
    </cfRule>
    <cfRule type="expression" dxfId="2904" priority="3263">
      <formula>S109="T"</formula>
    </cfRule>
  </conditionalFormatting>
  <conditionalFormatting sqref="S112">
    <cfRule type="expression" dxfId="2903" priority="3258">
      <formula>S111="X"</formula>
    </cfRule>
    <cfRule type="expression" dxfId="2902" priority="3259">
      <formula>S111="A"</formula>
    </cfRule>
    <cfRule type="expression" dxfId="2901" priority="3260">
      <formula>S111="T"</formula>
    </cfRule>
  </conditionalFormatting>
  <conditionalFormatting sqref="S114">
    <cfRule type="expression" dxfId="2900" priority="3255">
      <formula>S113="X"</formula>
    </cfRule>
    <cfRule type="expression" dxfId="2899" priority="3256">
      <formula>S113="A"</formula>
    </cfRule>
    <cfRule type="expression" dxfId="2898" priority="3257">
      <formula>S113="T"</formula>
    </cfRule>
  </conditionalFormatting>
  <conditionalFormatting sqref="S117">
    <cfRule type="expression" dxfId="2897" priority="3252">
      <formula>S116="X"</formula>
    </cfRule>
    <cfRule type="expression" dxfId="2896" priority="3253">
      <formula>S116="A"</formula>
    </cfRule>
    <cfRule type="expression" dxfId="2895" priority="3254">
      <formula>S116="T"</formula>
    </cfRule>
  </conditionalFormatting>
  <conditionalFormatting sqref="S119">
    <cfRule type="expression" dxfId="2894" priority="3249">
      <formula>S118="X"</formula>
    </cfRule>
    <cfRule type="expression" dxfId="2893" priority="3250">
      <formula>S118="A"</formula>
    </cfRule>
    <cfRule type="expression" dxfId="2892" priority="3251">
      <formula>S118="T"</formula>
    </cfRule>
  </conditionalFormatting>
  <conditionalFormatting sqref="S121">
    <cfRule type="expression" dxfId="2891" priority="3246">
      <formula>S120="X"</formula>
    </cfRule>
    <cfRule type="expression" dxfId="2890" priority="3247">
      <formula>S120="A"</formula>
    </cfRule>
    <cfRule type="expression" dxfId="2889" priority="3248">
      <formula>S120="T"</formula>
    </cfRule>
  </conditionalFormatting>
  <conditionalFormatting sqref="S123">
    <cfRule type="expression" dxfId="2888" priority="3243">
      <formula>S122="X"</formula>
    </cfRule>
    <cfRule type="expression" dxfId="2887" priority="3244">
      <formula>S122="A"</formula>
    </cfRule>
    <cfRule type="expression" dxfId="2886" priority="3245">
      <formula>S122="T"</formula>
    </cfRule>
  </conditionalFormatting>
  <conditionalFormatting sqref="S126">
    <cfRule type="expression" dxfId="2885" priority="3240">
      <formula>S125="X"</formula>
    </cfRule>
    <cfRule type="expression" dxfId="2884" priority="3241">
      <formula>S125="A"</formula>
    </cfRule>
    <cfRule type="expression" dxfId="2883" priority="3242">
      <formula>S125="T"</formula>
    </cfRule>
  </conditionalFormatting>
  <conditionalFormatting sqref="S128">
    <cfRule type="expression" dxfId="2882" priority="3237">
      <formula>S127="X"</formula>
    </cfRule>
    <cfRule type="expression" dxfId="2881" priority="3238">
      <formula>S127="A"</formula>
    </cfRule>
    <cfRule type="expression" dxfId="2880" priority="3239">
      <formula>S127="T"</formula>
    </cfRule>
  </conditionalFormatting>
  <conditionalFormatting sqref="S142">
    <cfRule type="expression" dxfId="2879" priority="3234">
      <formula>S141="X"</formula>
    </cfRule>
    <cfRule type="expression" dxfId="2878" priority="3235">
      <formula>S141="A"</formula>
    </cfRule>
    <cfRule type="expression" dxfId="2877" priority="3236">
      <formula>S141="T"</formula>
    </cfRule>
  </conditionalFormatting>
  <conditionalFormatting sqref="S144">
    <cfRule type="expression" dxfId="2876" priority="3231">
      <formula>S143="X"</formula>
    </cfRule>
    <cfRule type="expression" dxfId="2875" priority="3232">
      <formula>S143="A"</formula>
    </cfRule>
    <cfRule type="expression" dxfId="2874" priority="3233">
      <formula>S143="T"</formula>
    </cfRule>
  </conditionalFormatting>
  <conditionalFormatting sqref="S150">
    <cfRule type="expression" dxfId="2873" priority="3228">
      <formula>S149="X"</formula>
    </cfRule>
    <cfRule type="expression" dxfId="2872" priority="3229">
      <formula>S149="A"</formula>
    </cfRule>
    <cfRule type="expression" dxfId="2871" priority="3230">
      <formula>S149="T"</formula>
    </cfRule>
  </conditionalFormatting>
  <conditionalFormatting sqref="S152">
    <cfRule type="expression" dxfId="2870" priority="3225">
      <formula>S151="X"</formula>
    </cfRule>
    <cfRule type="expression" dxfId="2869" priority="3226">
      <formula>S151="A"</formula>
    </cfRule>
    <cfRule type="expression" dxfId="2868" priority="3227">
      <formula>S151="T"</formula>
    </cfRule>
  </conditionalFormatting>
  <conditionalFormatting sqref="S156">
    <cfRule type="expression" dxfId="2867" priority="3222">
      <formula>S155="X"</formula>
    </cfRule>
    <cfRule type="expression" dxfId="2866" priority="3223">
      <formula>S155="A"</formula>
    </cfRule>
    <cfRule type="expression" dxfId="2865" priority="3224">
      <formula>S155="T"</formula>
    </cfRule>
  </conditionalFormatting>
  <conditionalFormatting sqref="S168">
    <cfRule type="expression" dxfId="2864" priority="3219">
      <formula>S167="X"</formula>
    </cfRule>
    <cfRule type="expression" dxfId="2863" priority="3220">
      <formula>S167="A"</formula>
    </cfRule>
    <cfRule type="expression" dxfId="2862" priority="3221">
      <formula>S167="T"</formula>
    </cfRule>
  </conditionalFormatting>
  <conditionalFormatting sqref="S170">
    <cfRule type="expression" dxfId="2861" priority="3216">
      <formula>S169="X"</formula>
    </cfRule>
    <cfRule type="expression" dxfId="2860" priority="3217">
      <formula>S169="A"</formula>
    </cfRule>
    <cfRule type="expression" dxfId="2859" priority="3218">
      <formula>S169="T"</formula>
    </cfRule>
  </conditionalFormatting>
  <conditionalFormatting sqref="S172">
    <cfRule type="expression" dxfId="2858" priority="3213">
      <formula>S171="X"</formula>
    </cfRule>
    <cfRule type="expression" dxfId="2857" priority="3214">
      <formula>S171="A"</formula>
    </cfRule>
    <cfRule type="expression" dxfId="2856" priority="3215">
      <formula>S171="T"</formula>
    </cfRule>
  </conditionalFormatting>
  <conditionalFormatting sqref="S174">
    <cfRule type="expression" dxfId="2855" priority="3210">
      <formula>S173="X"</formula>
    </cfRule>
    <cfRule type="expression" dxfId="2854" priority="3211">
      <formula>S173="A"</formula>
    </cfRule>
    <cfRule type="expression" dxfId="2853" priority="3212">
      <formula>S173="T"</formula>
    </cfRule>
  </conditionalFormatting>
  <conditionalFormatting sqref="S176">
    <cfRule type="expression" dxfId="2852" priority="3207">
      <formula>S175="X"</formula>
    </cfRule>
    <cfRule type="expression" dxfId="2851" priority="3208">
      <formula>S175="A"</formula>
    </cfRule>
    <cfRule type="expression" dxfId="2850" priority="3209">
      <formula>S175="T"</formula>
    </cfRule>
  </conditionalFormatting>
  <conditionalFormatting sqref="S178">
    <cfRule type="expression" dxfId="2849" priority="3204">
      <formula>S177="X"</formula>
    </cfRule>
    <cfRule type="expression" dxfId="2848" priority="3205">
      <formula>S177="A"</formula>
    </cfRule>
    <cfRule type="expression" dxfId="2847" priority="3206">
      <formula>S177="T"</formula>
    </cfRule>
  </conditionalFormatting>
  <conditionalFormatting sqref="S180">
    <cfRule type="expression" dxfId="2846" priority="3201">
      <formula>S179="X"</formula>
    </cfRule>
    <cfRule type="expression" dxfId="2845" priority="3202">
      <formula>S179="A"</formula>
    </cfRule>
    <cfRule type="expression" dxfId="2844" priority="3203">
      <formula>S179="T"</formula>
    </cfRule>
  </conditionalFormatting>
  <conditionalFormatting sqref="S184">
    <cfRule type="expression" dxfId="2843" priority="3198">
      <formula>S183="X"</formula>
    </cfRule>
    <cfRule type="expression" dxfId="2842" priority="3199">
      <formula>S183="A"</formula>
    </cfRule>
    <cfRule type="expression" dxfId="2841" priority="3200">
      <formula>S183="T"</formula>
    </cfRule>
  </conditionalFormatting>
  <conditionalFormatting sqref="S186">
    <cfRule type="expression" dxfId="2840" priority="3195">
      <formula>S185="X"</formula>
    </cfRule>
    <cfRule type="expression" dxfId="2839" priority="3196">
      <formula>S185="A"</formula>
    </cfRule>
    <cfRule type="expression" dxfId="2838" priority="3197">
      <formula>S185="T"</formula>
    </cfRule>
  </conditionalFormatting>
  <conditionalFormatting sqref="S190">
    <cfRule type="expression" dxfId="2837" priority="3192">
      <formula>S189="X"</formula>
    </cfRule>
    <cfRule type="expression" dxfId="2836" priority="3193">
      <formula>S189="A"</formula>
    </cfRule>
    <cfRule type="expression" dxfId="2835" priority="3194">
      <formula>S189="T"</formula>
    </cfRule>
  </conditionalFormatting>
  <conditionalFormatting sqref="S192">
    <cfRule type="expression" dxfId="2834" priority="3189">
      <formula>S191="X"</formula>
    </cfRule>
    <cfRule type="expression" dxfId="2833" priority="3190">
      <formula>S191="A"</formula>
    </cfRule>
    <cfRule type="expression" dxfId="2832" priority="3191">
      <formula>S191="T"</formula>
    </cfRule>
  </conditionalFormatting>
  <conditionalFormatting sqref="S208">
    <cfRule type="expression" dxfId="2831" priority="3186">
      <formula>S207="X"</formula>
    </cfRule>
    <cfRule type="expression" dxfId="2830" priority="3187">
      <formula>S207="A"</formula>
    </cfRule>
    <cfRule type="expression" dxfId="2829" priority="3188">
      <formula>S207="T"</formula>
    </cfRule>
  </conditionalFormatting>
  <conditionalFormatting sqref="S211">
    <cfRule type="expression" dxfId="2828" priority="3183">
      <formula>S211="X"</formula>
    </cfRule>
    <cfRule type="expression" dxfId="2827" priority="3184">
      <formula>S211="A"</formula>
    </cfRule>
    <cfRule type="expression" dxfId="2826" priority="3185">
      <formula>S211="T"</formula>
    </cfRule>
  </conditionalFormatting>
  <conditionalFormatting sqref="S212">
    <cfRule type="expression" dxfId="2825" priority="3180">
      <formula>S211="X"</formula>
    </cfRule>
    <cfRule type="expression" dxfId="2824" priority="3181">
      <formula>S211="A"</formula>
    </cfRule>
    <cfRule type="expression" dxfId="2823" priority="3182">
      <formula>S211="T"</formula>
    </cfRule>
  </conditionalFormatting>
  <conditionalFormatting sqref="S213">
    <cfRule type="expression" dxfId="2822" priority="3177">
      <formula>S213="X"</formula>
    </cfRule>
    <cfRule type="expression" dxfId="2821" priority="3178">
      <formula>S213="A"</formula>
    </cfRule>
    <cfRule type="expression" dxfId="2820" priority="3179">
      <formula>S213="T"</formula>
    </cfRule>
  </conditionalFormatting>
  <conditionalFormatting sqref="S214">
    <cfRule type="expression" dxfId="2819" priority="3174">
      <formula>S213="X"</formula>
    </cfRule>
    <cfRule type="expression" dxfId="2818" priority="3175">
      <formula>S213="A"</formula>
    </cfRule>
    <cfRule type="expression" dxfId="2817" priority="3176">
      <formula>S213="T"</formula>
    </cfRule>
  </conditionalFormatting>
  <conditionalFormatting sqref="S215">
    <cfRule type="expression" dxfId="2816" priority="3171">
      <formula>S215="X"</formula>
    </cfRule>
    <cfRule type="expression" dxfId="2815" priority="3172">
      <formula>S215="A"</formula>
    </cfRule>
    <cfRule type="expression" dxfId="2814" priority="3173">
      <formula>S215="T"</formula>
    </cfRule>
  </conditionalFormatting>
  <conditionalFormatting sqref="S216">
    <cfRule type="expression" dxfId="2813" priority="3168">
      <formula>S215="X"</formula>
    </cfRule>
    <cfRule type="expression" dxfId="2812" priority="3169">
      <formula>S215="A"</formula>
    </cfRule>
    <cfRule type="expression" dxfId="2811" priority="3170">
      <formula>S215="T"</formula>
    </cfRule>
  </conditionalFormatting>
  <conditionalFormatting sqref="S217">
    <cfRule type="expression" dxfId="2810" priority="3165">
      <formula>S217="X"</formula>
    </cfRule>
    <cfRule type="expression" dxfId="2809" priority="3166">
      <formula>S217="A"</formula>
    </cfRule>
    <cfRule type="expression" dxfId="2808" priority="3167">
      <formula>S217="T"</formula>
    </cfRule>
  </conditionalFormatting>
  <conditionalFormatting sqref="S218">
    <cfRule type="expression" dxfId="2807" priority="3162">
      <formula>S217="X"</formula>
    </cfRule>
    <cfRule type="expression" dxfId="2806" priority="3163">
      <formula>S217="A"</formula>
    </cfRule>
    <cfRule type="expression" dxfId="2805" priority="3164">
      <formula>S217="T"</formula>
    </cfRule>
  </conditionalFormatting>
  <conditionalFormatting sqref="S219">
    <cfRule type="expression" dxfId="2804" priority="3159">
      <formula>S219="X"</formula>
    </cfRule>
    <cfRule type="expression" dxfId="2803" priority="3160">
      <formula>S219="A"</formula>
    </cfRule>
    <cfRule type="expression" dxfId="2802" priority="3161">
      <formula>S219="T"</formula>
    </cfRule>
  </conditionalFormatting>
  <conditionalFormatting sqref="S220">
    <cfRule type="expression" dxfId="2801" priority="3156">
      <formula>S219="X"</formula>
    </cfRule>
    <cfRule type="expression" dxfId="2800" priority="3157">
      <formula>S219="A"</formula>
    </cfRule>
    <cfRule type="expression" dxfId="2799" priority="3158">
      <formula>S219="T"</formula>
    </cfRule>
  </conditionalFormatting>
  <conditionalFormatting sqref="S221">
    <cfRule type="expression" dxfId="2798" priority="3153">
      <formula>S221="X"</formula>
    </cfRule>
    <cfRule type="expression" dxfId="2797" priority="3154">
      <formula>S221="A"</formula>
    </cfRule>
    <cfRule type="expression" dxfId="2796" priority="3155">
      <formula>S221="T"</formula>
    </cfRule>
  </conditionalFormatting>
  <conditionalFormatting sqref="S222">
    <cfRule type="expression" dxfId="2795" priority="3150">
      <formula>S221="X"</formula>
    </cfRule>
    <cfRule type="expression" dxfId="2794" priority="3151">
      <formula>S221="A"</formula>
    </cfRule>
    <cfRule type="expression" dxfId="2793" priority="3152">
      <formula>S221="T"</formula>
    </cfRule>
  </conditionalFormatting>
  <conditionalFormatting sqref="S223">
    <cfRule type="expression" dxfId="2792" priority="3147">
      <formula>S223="X"</formula>
    </cfRule>
    <cfRule type="expression" dxfId="2791" priority="3148">
      <formula>S223="A"</formula>
    </cfRule>
    <cfRule type="expression" dxfId="2790" priority="3149">
      <formula>S223="T"</formula>
    </cfRule>
  </conditionalFormatting>
  <conditionalFormatting sqref="S224">
    <cfRule type="expression" dxfId="2789" priority="3144">
      <formula>S223="X"</formula>
    </cfRule>
    <cfRule type="expression" dxfId="2788" priority="3145">
      <formula>S223="A"</formula>
    </cfRule>
    <cfRule type="expression" dxfId="2787" priority="3146">
      <formula>S223="T"</formula>
    </cfRule>
  </conditionalFormatting>
  <conditionalFormatting sqref="S4">
    <cfRule type="expression" dxfId="2786" priority="3141">
      <formula>S4="X"</formula>
    </cfRule>
    <cfRule type="expression" dxfId="2785" priority="3142">
      <formula>S4="A"</formula>
    </cfRule>
    <cfRule type="expression" dxfId="2784" priority="3143">
      <formula>S4="T"</formula>
    </cfRule>
  </conditionalFormatting>
  <conditionalFormatting sqref="S5">
    <cfRule type="expression" dxfId="2783" priority="3138">
      <formula>S4="X"</formula>
    </cfRule>
    <cfRule type="expression" dxfId="2782" priority="3139">
      <formula>S4="A"</formula>
    </cfRule>
    <cfRule type="expression" dxfId="2781" priority="3140">
      <formula>S4="T"</formula>
    </cfRule>
  </conditionalFormatting>
  <conditionalFormatting sqref="S6">
    <cfRule type="expression" dxfId="2780" priority="3135">
      <formula>S6="X"</formula>
    </cfRule>
    <cfRule type="expression" dxfId="2779" priority="3136">
      <formula>S6="A"</formula>
    </cfRule>
    <cfRule type="expression" dxfId="2778" priority="3137">
      <formula>S6="T"</formula>
    </cfRule>
  </conditionalFormatting>
  <conditionalFormatting sqref="S7">
    <cfRule type="expression" dxfId="2777" priority="3132">
      <formula>S6="X"</formula>
    </cfRule>
    <cfRule type="expression" dxfId="2776" priority="3133">
      <formula>S6="A"</formula>
    </cfRule>
    <cfRule type="expression" dxfId="2775" priority="3134">
      <formula>S6="T"</formula>
    </cfRule>
  </conditionalFormatting>
  <conditionalFormatting sqref="S8">
    <cfRule type="expression" dxfId="2774" priority="3129">
      <formula>S8="X"</formula>
    </cfRule>
    <cfRule type="expression" dxfId="2773" priority="3130">
      <formula>S8="A"</formula>
    </cfRule>
    <cfRule type="expression" dxfId="2772" priority="3131">
      <formula>S8="T"</formula>
    </cfRule>
  </conditionalFormatting>
  <conditionalFormatting sqref="S9">
    <cfRule type="expression" dxfId="2771" priority="3126">
      <formula>S8="X"</formula>
    </cfRule>
    <cfRule type="expression" dxfId="2770" priority="3127">
      <formula>S8="A"</formula>
    </cfRule>
    <cfRule type="expression" dxfId="2769" priority="3128">
      <formula>S8="T"</formula>
    </cfRule>
  </conditionalFormatting>
  <conditionalFormatting sqref="S74">
    <cfRule type="expression" dxfId="2768" priority="3123">
      <formula>S74="X"</formula>
    </cfRule>
    <cfRule type="expression" dxfId="2767" priority="3124">
      <formula>S74="A"</formula>
    </cfRule>
    <cfRule type="expression" dxfId="2766" priority="3125">
      <formula>S74="T"</formula>
    </cfRule>
  </conditionalFormatting>
  <conditionalFormatting sqref="S75">
    <cfRule type="expression" dxfId="2765" priority="3120">
      <formula>S74="X"</formula>
    </cfRule>
    <cfRule type="expression" dxfId="2764" priority="3121">
      <formula>S74="A"</formula>
    </cfRule>
    <cfRule type="expression" dxfId="2763" priority="3122">
      <formula>S74="T"</formula>
    </cfRule>
  </conditionalFormatting>
  <conditionalFormatting sqref="S76">
    <cfRule type="expression" dxfId="2762" priority="3117">
      <formula>S76="X"</formula>
    </cfRule>
    <cfRule type="expression" dxfId="2761" priority="3118">
      <formula>S76="A"</formula>
    </cfRule>
    <cfRule type="expression" dxfId="2760" priority="3119">
      <formula>S76="T"</formula>
    </cfRule>
  </conditionalFormatting>
  <conditionalFormatting sqref="S77">
    <cfRule type="expression" dxfId="2759" priority="3114">
      <formula>S76="X"</formula>
    </cfRule>
    <cfRule type="expression" dxfId="2758" priority="3115">
      <formula>S76="A"</formula>
    </cfRule>
    <cfRule type="expression" dxfId="2757" priority="3116">
      <formula>S76="T"</formula>
    </cfRule>
  </conditionalFormatting>
  <conditionalFormatting sqref="S78">
    <cfRule type="expression" dxfId="2756" priority="3111">
      <formula>S78="X"</formula>
    </cfRule>
    <cfRule type="expression" dxfId="2755" priority="3112">
      <formula>S78="A"</formula>
    </cfRule>
    <cfRule type="expression" dxfId="2754" priority="3113">
      <formula>S78="T"</formula>
    </cfRule>
  </conditionalFormatting>
  <conditionalFormatting sqref="S79">
    <cfRule type="expression" dxfId="2753" priority="3108">
      <formula>S78="X"</formula>
    </cfRule>
    <cfRule type="expression" dxfId="2752" priority="3109">
      <formula>S78="A"</formula>
    </cfRule>
    <cfRule type="expression" dxfId="2751" priority="3110">
      <formula>S78="T"</formula>
    </cfRule>
  </conditionalFormatting>
  <conditionalFormatting sqref="S134">
    <cfRule type="expression" dxfId="2750" priority="3105">
      <formula>S134="X"</formula>
    </cfRule>
    <cfRule type="expression" dxfId="2749" priority="3106">
      <formula>S134="A"</formula>
    </cfRule>
    <cfRule type="expression" dxfId="2748" priority="3107">
      <formula>S134="T"</formula>
    </cfRule>
  </conditionalFormatting>
  <conditionalFormatting sqref="S135">
    <cfRule type="expression" dxfId="2747" priority="3102">
      <formula>S134="X"</formula>
    </cfRule>
    <cfRule type="expression" dxfId="2746" priority="3103">
      <formula>S134="A"</formula>
    </cfRule>
    <cfRule type="expression" dxfId="2745" priority="3104">
      <formula>S134="T"</formula>
    </cfRule>
  </conditionalFormatting>
  <conditionalFormatting sqref="S136">
    <cfRule type="expression" dxfId="2744" priority="3099">
      <formula>S136="X"</formula>
    </cfRule>
    <cfRule type="expression" dxfId="2743" priority="3100">
      <formula>S136="A"</formula>
    </cfRule>
    <cfRule type="expression" dxfId="2742" priority="3101">
      <formula>S136="T"</formula>
    </cfRule>
  </conditionalFormatting>
  <conditionalFormatting sqref="S137">
    <cfRule type="expression" dxfId="2741" priority="3096">
      <formula>S136="X"</formula>
    </cfRule>
    <cfRule type="expression" dxfId="2740" priority="3097">
      <formula>S136="A"</formula>
    </cfRule>
    <cfRule type="expression" dxfId="2739" priority="3098">
      <formula>S136="T"</formula>
    </cfRule>
  </conditionalFormatting>
  <conditionalFormatting sqref="S138">
    <cfRule type="expression" dxfId="2738" priority="3093">
      <formula>S138="X"</formula>
    </cfRule>
    <cfRule type="expression" dxfId="2737" priority="3094">
      <formula>S138="A"</formula>
    </cfRule>
    <cfRule type="expression" dxfId="2736" priority="3095">
      <formula>S138="T"</formula>
    </cfRule>
  </conditionalFormatting>
  <conditionalFormatting sqref="S139">
    <cfRule type="expression" dxfId="2735" priority="3090">
      <formula>S138="X"</formula>
    </cfRule>
    <cfRule type="expression" dxfId="2734" priority="3091">
      <formula>S138="A"</formula>
    </cfRule>
    <cfRule type="expression" dxfId="2733" priority="3092">
      <formula>S138="T"</formula>
    </cfRule>
  </conditionalFormatting>
  <conditionalFormatting sqref="S10">
    <cfRule type="expression" dxfId="2732" priority="3087" stopIfTrue="1">
      <formula>S4=""</formula>
    </cfRule>
  </conditionalFormatting>
  <conditionalFormatting sqref="S10">
    <cfRule type="expression" dxfId="2731" priority="3088" stopIfTrue="1">
      <formula>S10=1</formula>
    </cfRule>
    <cfRule type="colorScale" priority="3089">
      <colorScale>
        <cfvo type="num" val="0"/>
        <cfvo type="num" val="0.5"/>
        <cfvo type="num" val="1"/>
        <color rgb="FFF8696B"/>
        <color theme="4" tint="0.79998168889431442"/>
        <color rgb="FF5A8AC6"/>
      </colorScale>
    </cfRule>
  </conditionalFormatting>
  <conditionalFormatting sqref="S15">
    <cfRule type="expression" dxfId="2730" priority="3084" stopIfTrue="1">
      <formula>S11=""</formula>
    </cfRule>
  </conditionalFormatting>
  <conditionalFormatting sqref="S15">
    <cfRule type="expression" dxfId="2729" priority="3085" stopIfTrue="1">
      <formula>S15=1</formula>
    </cfRule>
    <cfRule type="colorScale" priority="3086">
      <colorScale>
        <cfvo type="num" val="0"/>
        <cfvo type="num" val="0.5"/>
        <cfvo type="num" val="1"/>
        <color rgb="FFF8696B"/>
        <color theme="4" tint="0.79998168889431442"/>
        <color rgb="FF5A8AC6"/>
      </colorScale>
    </cfRule>
  </conditionalFormatting>
  <conditionalFormatting sqref="S38">
    <cfRule type="expression" dxfId="2728" priority="3081" stopIfTrue="1">
      <formula>S16=""</formula>
    </cfRule>
  </conditionalFormatting>
  <conditionalFormatting sqref="S38">
    <cfRule type="expression" dxfId="2727" priority="3082" stopIfTrue="1">
      <formula>S38=1</formula>
    </cfRule>
    <cfRule type="colorScale" priority="3083">
      <colorScale>
        <cfvo type="num" val="0"/>
        <cfvo type="num" val="0.5"/>
        <cfvo type="num" val="1"/>
        <color rgb="FFF8696B"/>
        <color theme="4" tint="0.79998168889431442"/>
        <color rgb="FF5A8AC6"/>
      </colorScale>
    </cfRule>
  </conditionalFormatting>
  <conditionalFormatting sqref="S47">
    <cfRule type="expression" dxfId="2726" priority="3078" stopIfTrue="1">
      <formula>S39=""</formula>
    </cfRule>
  </conditionalFormatting>
  <conditionalFormatting sqref="S47">
    <cfRule type="expression" dxfId="2725" priority="3079" stopIfTrue="1">
      <formula>S47=1</formula>
    </cfRule>
    <cfRule type="colorScale" priority="3080">
      <colorScale>
        <cfvo type="num" val="0"/>
        <cfvo type="num" val="0.5"/>
        <cfvo type="num" val="1"/>
        <color rgb="FFF8696B"/>
        <color theme="4" tint="0.79998168889431442"/>
        <color rgb="FF5A8AC6"/>
      </colorScale>
    </cfRule>
  </conditionalFormatting>
  <conditionalFormatting sqref="S69">
    <cfRule type="expression" dxfId="2724" priority="3072" stopIfTrue="1">
      <formula>S63=""</formula>
    </cfRule>
  </conditionalFormatting>
  <conditionalFormatting sqref="S69">
    <cfRule type="expression" dxfId="2723" priority="3073" stopIfTrue="1">
      <formula>S69=1</formula>
    </cfRule>
    <cfRule type="colorScale" priority="3074">
      <colorScale>
        <cfvo type="num" val="0"/>
        <cfvo type="num" val="0.5"/>
        <cfvo type="num" val="1"/>
        <color rgb="FFF8696B"/>
        <color theme="4" tint="0.79998168889431442"/>
        <color rgb="FF5A8AC6"/>
      </colorScale>
    </cfRule>
  </conditionalFormatting>
  <conditionalFormatting sqref="S80">
    <cfRule type="expression" dxfId="2722" priority="3069" stopIfTrue="1">
      <formula>S74=""</formula>
    </cfRule>
  </conditionalFormatting>
  <conditionalFormatting sqref="S80">
    <cfRule type="expression" dxfId="2721" priority="3070" stopIfTrue="1">
      <formula>S80=1</formula>
    </cfRule>
    <cfRule type="colorScale" priority="3071">
      <colorScale>
        <cfvo type="num" val="0"/>
        <cfvo type="num" val="0.5"/>
        <cfvo type="num" val="1"/>
        <color rgb="FFF8696B"/>
        <color theme="4" tint="0.79998168889431442"/>
        <color rgb="FF5A8AC6"/>
      </colorScale>
    </cfRule>
  </conditionalFormatting>
  <conditionalFormatting sqref="S87">
    <cfRule type="expression" dxfId="2720" priority="3066" stopIfTrue="1">
      <formula>S81=""</formula>
    </cfRule>
  </conditionalFormatting>
  <conditionalFormatting sqref="S87">
    <cfRule type="expression" dxfId="2719" priority="3067" stopIfTrue="1">
      <formula>S87=1</formula>
    </cfRule>
    <cfRule type="colorScale" priority="3068">
      <colorScale>
        <cfvo type="num" val="0"/>
        <cfvo type="num" val="0.5"/>
        <cfvo type="num" val="1"/>
        <color rgb="FFF8696B"/>
        <color theme="4" tint="0.79998168889431442"/>
        <color rgb="FF5A8AC6"/>
      </colorScale>
    </cfRule>
  </conditionalFormatting>
  <conditionalFormatting sqref="S104">
    <cfRule type="expression" dxfId="2718" priority="3063" stopIfTrue="1">
      <formula>S88=""</formula>
    </cfRule>
  </conditionalFormatting>
  <conditionalFormatting sqref="S104">
    <cfRule type="expression" dxfId="2717" priority="3064" stopIfTrue="1">
      <formula>S104=1</formula>
    </cfRule>
    <cfRule type="colorScale" priority="3065">
      <colorScale>
        <cfvo type="num" val="0"/>
        <cfvo type="num" val="0.5"/>
        <cfvo type="num" val="1"/>
        <color rgb="FFF8696B"/>
        <color theme="4" tint="0.79998168889431442"/>
        <color rgb="FF5A8AC6"/>
      </colorScale>
    </cfRule>
  </conditionalFormatting>
  <conditionalFormatting sqref="S115">
    <cfRule type="expression" dxfId="2716" priority="3060" stopIfTrue="1">
      <formula>S105=""</formula>
    </cfRule>
  </conditionalFormatting>
  <conditionalFormatting sqref="S115">
    <cfRule type="expression" dxfId="2715" priority="3061" stopIfTrue="1">
      <formula>S115=1</formula>
    </cfRule>
    <cfRule type="colorScale" priority="3062">
      <colorScale>
        <cfvo type="num" val="0"/>
        <cfvo type="num" val="0.5"/>
        <cfvo type="num" val="1"/>
        <color rgb="FFF8696B"/>
        <color theme="4" tint="0.79998168889431442"/>
        <color rgb="FF5A8AC6"/>
      </colorScale>
    </cfRule>
  </conditionalFormatting>
  <conditionalFormatting sqref="S124">
    <cfRule type="expression" dxfId="2714" priority="3057" stopIfTrue="1">
      <formula>S116=""</formula>
    </cfRule>
  </conditionalFormatting>
  <conditionalFormatting sqref="S124">
    <cfRule type="expression" dxfId="2713" priority="3058" stopIfTrue="1">
      <formula>S124=1</formula>
    </cfRule>
    <cfRule type="colorScale" priority="3059">
      <colorScale>
        <cfvo type="num" val="0"/>
        <cfvo type="num" val="0.5"/>
        <cfvo type="num" val="1"/>
        <color rgb="FFF8696B"/>
        <color theme="4" tint="0.79998168889431442"/>
        <color rgb="FF5A8AC6"/>
      </colorScale>
    </cfRule>
  </conditionalFormatting>
  <conditionalFormatting sqref="S129">
    <cfRule type="expression" dxfId="2712" priority="3054" stopIfTrue="1">
      <formula>S125=""</formula>
    </cfRule>
  </conditionalFormatting>
  <conditionalFormatting sqref="S129">
    <cfRule type="expression" dxfId="2711" priority="3055" stopIfTrue="1">
      <formula>S129=1</formula>
    </cfRule>
    <cfRule type="colorScale" priority="3056">
      <colorScale>
        <cfvo type="num" val="0"/>
        <cfvo type="num" val="0.5"/>
        <cfvo type="num" val="1"/>
        <color rgb="FFF8696B"/>
        <color theme="4" tint="0.79998168889431442"/>
        <color rgb="FF5A8AC6"/>
      </colorScale>
    </cfRule>
  </conditionalFormatting>
  <conditionalFormatting sqref="S140">
    <cfRule type="expression" dxfId="2710" priority="3051" stopIfTrue="1">
      <formula>S134=""</formula>
    </cfRule>
  </conditionalFormatting>
  <conditionalFormatting sqref="S140">
    <cfRule type="expression" dxfId="2709" priority="3052" stopIfTrue="1">
      <formula>S140=1</formula>
    </cfRule>
    <cfRule type="colorScale" priority="3053">
      <colorScale>
        <cfvo type="num" val="0"/>
        <cfvo type="num" val="0.5"/>
        <cfvo type="num" val="1"/>
        <color rgb="FFF8696B"/>
        <color theme="4" tint="0.79998168889431442"/>
        <color rgb="FF5A8AC6"/>
      </colorScale>
    </cfRule>
  </conditionalFormatting>
  <conditionalFormatting sqref="S145">
    <cfRule type="expression" dxfId="2708" priority="3048" stopIfTrue="1">
      <formula>S141=""</formula>
    </cfRule>
  </conditionalFormatting>
  <conditionalFormatting sqref="S145">
    <cfRule type="expression" dxfId="2707" priority="3049" stopIfTrue="1">
      <formula>S145=1</formula>
    </cfRule>
    <cfRule type="colorScale" priority="3050">
      <colorScale>
        <cfvo type="num" val="0"/>
        <cfvo type="num" val="0.5"/>
        <cfvo type="num" val="1"/>
        <color rgb="FFF8696B"/>
        <color theme="4" tint="0.79998168889431442"/>
        <color rgb="FF5A8AC6"/>
      </colorScale>
    </cfRule>
  </conditionalFormatting>
  <conditionalFormatting sqref="S153">
    <cfRule type="expression" dxfId="2706" priority="3045" stopIfTrue="1">
      <formula>S149=""</formula>
    </cfRule>
  </conditionalFormatting>
  <conditionalFormatting sqref="S153">
    <cfRule type="expression" dxfId="2705" priority="3046" stopIfTrue="1">
      <formula>S153=1</formula>
    </cfRule>
    <cfRule type="colorScale" priority="3047">
      <colorScale>
        <cfvo type="num" val="0"/>
        <cfvo type="num" val="0.5"/>
        <cfvo type="num" val="1"/>
        <color rgb="FFF8696B"/>
        <color theme="4" tint="0.79998168889431442"/>
        <color rgb="FF5A8AC6"/>
      </colorScale>
    </cfRule>
  </conditionalFormatting>
  <conditionalFormatting sqref="S165">
    <cfRule type="expression" dxfId="2704" priority="3042" stopIfTrue="1">
      <formula>S155=""</formula>
    </cfRule>
  </conditionalFormatting>
  <conditionalFormatting sqref="S165">
    <cfRule type="expression" dxfId="2703" priority="3043" stopIfTrue="1">
      <formula>S165=1</formula>
    </cfRule>
    <cfRule type="colorScale" priority="3044">
      <colorScale>
        <cfvo type="num" val="0"/>
        <cfvo type="num" val="0.5"/>
        <cfvo type="num" val="1"/>
        <color rgb="FFF8696B"/>
        <color theme="4" tint="0.79998168889431442"/>
        <color rgb="FF5A8AC6"/>
      </colorScale>
    </cfRule>
  </conditionalFormatting>
  <conditionalFormatting sqref="S187">
    <cfRule type="expression" dxfId="2702" priority="3039" stopIfTrue="1">
      <formula>S183=""</formula>
    </cfRule>
  </conditionalFormatting>
  <conditionalFormatting sqref="S187">
    <cfRule type="expression" dxfId="2701" priority="3040" stopIfTrue="1">
      <formula>S187=1</formula>
    </cfRule>
    <cfRule type="colorScale" priority="3041">
      <colorScale>
        <cfvo type="num" val="0"/>
        <cfvo type="num" val="0.5"/>
        <cfvo type="num" val="1"/>
        <color rgb="FFF8696B"/>
        <color theme="4" tint="0.79998168889431442"/>
        <color rgb="FF5A8AC6"/>
      </colorScale>
    </cfRule>
  </conditionalFormatting>
  <conditionalFormatting sqref="S193">
    <cfRule type="expression" dxfId="2700" priority="3036" stopIfTrue="1">
      <formula>S189=""</formula>
    </cfRule>
  </conditionalFormatting>
  <conditionalFormatting sqref="S193">
    <cfRule type="expression" dxfId="2699" priority="3037" stopIfTrue="1">
      <formula>S193=1</formula>
    </cfRule>
    <cfRule type="colorScale" priority="3038">
      <colorScale>
        <cfvo type="num" val="0"/>
        <cfvo type="num" val="0.5"/>
        <cfvo type="num" val="1"/>
        <color rgb="FFF8696B"/>
        <color theme="4" tint="0.79998168889431442"/>
        <color rgb="FF5A8AC6"/>
      </colorScale>
    </cfRule>
  </conditionalFormatting>
  <conditionalFormatting sqref="S181">
    <cfRule type="expression" dxfId="2698" priority="3033" stopIfTrue="1">
      <formula>S167=""</formula>
    </cfRule>
  </conditionalFormatting>
  <conditionalFormatting sqref="S181">
    <cfRule type="expression" dxfId="2697" priority="3034" stopIfTrue="1">
      <formula>S181=1</formula>
    </cfRule>
    <cfRule type="colorScale" priority="3035">
      <colorScale>
        <cfvo type="num" val="0"/>
        <cfvo type="num" val="0.5"/>
        <cfvo type="num" val="1"/>
        <color rgb="FFF8696B"/>
        <color theme="4" tint="0.79998168889431442"/>
        <color rgb="FF5A8AC6"/>
      </colorScale>
    </cfRule>
  </conditionalFormatting>
  <conditionalFormatting sqref="S209">
    <cfRule type="expression" dxfId="2696" priority="3030" stopIfTrue="1">
      <formula>S195=""</formula>
    </cfRule>
  </conditionalFormatting>
  <conditionalFormatting sqref="S209">
    <cfRule type="expression" dxfId="2695" priority="3031" stopIfTrue="1">
      <formula>S209=1</formula>
    </cfRule>
    <cfRule type="colorScale" priority="3032">
      <colorScale>
        <cfvo type="num" val="0"/>
        <cfvo type="num" val="0.5"/>
        <cfvo type="num" val="1"/>
        <color rgb="FFF8696B"/>
        <color theme="4" tint="0.79998168889431442"/>
        <color rgb="FF5A8AC6"/>
      </colorScale>
    </cfRule>
  </conditionalFormatting>
  <conditionalFormatting sqref="S225">
    <cfRule type="expression" dxfId="2694" priority="3027" stopIfTrue="1">
      <formula>S211=""</formula>
    </cfRule>
  </conditionalFormatting>
  <conditionalFormatting sqref="S225">
    <cfRule type="expression" dxfId="2693" priority="3028" stopIfTrue="1">
      <formula>S225=1</formula>
    </cfRule>
    <cfRule type="colorScale" priority="3029">
      <colorScale>
        <cfvo type="num" val="0"/>
        <cfvo type="num" val="0.5"/>
        <cfvo type="num" val="1"/>
        <color rgb="FFF8696B"/>
        <color theme="4" tint="0.79998168889431442"/>
        <color rgb="FF5A8AC6"/>
      </colorScale>
    </cfRule>
  </conditionalFormatting>
  <conditionalFormatting sqref="S71">
    <cfRule type="expression" dxfId="2692" priority="3019" stopIfTrue="1">
      <formula>S71=1</formula>
    </cfRule>
    <cfRule type="colorScale" priority="3020">
      <colorScale>
        <cfvo type="num" val="0"/>
        <cfvo type="num" val="0.5"/>
        <cfvo type="num" val="1"/>
        <color rgb="FFF8696B"/>
        <color theme="4" tint="0.79998168889431442"/>
        <color rgb="FF5A8AC6"/>
      </colorScale>
    </cfRule>
  </conditionalFormatting>
  <conditionalFormatting sqref="S147">
    <cfRule type="expression" dxfId="2691" priority="3024" stopIfTrue="1">
      <formula>S134=""</formula>
    </cfRule>
  </conditionalFormatting>
  <conditionalFormatting sqref="S147">
    <cfRule type="expression" dxfId="2690" priority="3025" stopIfTrue="1">
      <formula>S147=1</formula>
    </cfRule>
    <cfRule type="colorScale" priority="3026">
      <colorScale>
        <cfvo type="num" val="0"/>
        <cfvo type="num" val="0.5"/>
        <cfvo type="num" val="1"/>
        <color rgb="FFF8696B"/>
        <color theme="4" tint="0.79998168889431442"/>
        <color rgb="FF5A8AC6"/>
      </colorScale>
    </cfRule>
  </conditionalFormatting>
  <conditionalFormatting sqref="S131">
    <cfRule type="expression" dxfId="2689" priority="3021" stopIfTrue="1">
      <formula>S74=""</formula>
    </cfRule>
  </conditionalFormatting>
  <conditionalFormatting sqref="S131">
    <cfRule type="expression" dxfId="2688" priority="3022" stopIfTrue="1">
      <formula>S131=1</formula>
    </cfRule>
    <cfRule type="colorScale" priority="3023">
      <colorScale>
        <cfvo type="num" val="0"/>
        <cfvo type="num" val="0.5"/>
        <cfvo type="num" val="1"/>
        <color rgb="FFF8696B"/>
        <color theme="4" tint="0.79998168889431442"/>
        <color rgb="FF5A8AC6"/>
      </colorScale>
    </cfRule>
  </conditionalFormatting>
  <conditionalFormatting sqref="S71">
    <cfRule type="expression" dxfId="2687" priority="3018" stopIfTrue="1">
      <formula>S65=""</formula>
    </cfRule>
  </conditionalFormatting>
  <conditionalFormatting sqref="S195">
    <cfRule type="expression" dxfId="2686" priority="3015">
      <formula>S195="X"</formula>
    </cfRule>
    <cfRule type="expression" dxfId="2685" priority="3016">
      <formula>S195="A"</formula>
    </cfRule>
    <cfRule type="expression" dxfId="2684" priority="3017">
      <formula>S195="T"</formula>
    </cfRule>
  </conditionalFormatting>
  <conditionalFormatting sqref="S203">
    <cfRule type="expression" dxfId="2683" priority="3012">
      <formula>S203="X"</formula>
    </cfRule>
    <cfRule type="expression" dxfId="2682" priority="3013">
      <formula>S203="A"</formula>
    </cfRule>
    <cfRule type="expression" dxfId="2681" priority="3014">
      <formula>S203="T"</formula>
    </cfRule>
  </conditionalFormatting>
  <conditionalFormatting sqref="S205">
    <cfRule type="expression" dxfId="2680" priority="3009">
      <formula>S205="X"</formula>
    </cfRule>
    <cfRule type="expression" dxfId="2679" priority="3010">
      <formula>S205="A"</formula>
    </cfRule>
    <cfRule type="expression" dxfId="2678" priority="3011">
      <formula>S205="T"</formula>
    </cfRule>
  </conditionalFormatting>
  <conditionalFormatting sqref="S207">
    <cfRule type="expression" dxfId="2677" priority="3006">
      <formula>S207="X"</formula>
    </cfRule>
    <cfRule type="expression" dxfId="2676" priority="3007">
      <formula>S207="A"</formula>
    </cfRule>
    <cfRule type="expression" dxfId="2675" priority="3008">
      <formula>S207="T"</formula>
    </cfRule>
  </conditionalFormatting>
  <conditionalFormatting sqref="S204">
    <cfRule type="expression" dxfId="2674" priority="3003">
      <formula>S203="X"</formula>
    </cfRule>
    <cfRule type="expression" dxfId="2673" priority="3004">
      <formula>S203="A"</formula>
    </cfRule>
    <cfRule type="expression" dxfId="2672" priority="3005">
      <formula>S203="T"</formula>
    </cfRule>
  </conditionalFormatting>
  <conditionalFormatting sqref="S206">
    <cfRule type="expression" dxfId="2671" priority="3000">
      <formula>S205="X"</formula>
    </cfRule>
    <cfRule type="expression" dxfId="2670" priority="3001">
      <formula>S205="A"</formula>
    </cfRule>
    <cfRule type="expression" dxfId="2669" priority="3002">
      <formula>S205="T"</formula>
    </cfRule>
  </conditionalFormatting>
  <conditionalFormatting sqref="S196">
    <cfRule type="expression" dxfId="2668" priority="2997">
      <formula>S195="X"</formula>
    </cfRule>
    <cfRule type="expression" dxfId="2667" priority="2998">
      <formula>S195="A"</formula>
    </cfRule>
    <cfRule type="expression" dxfId="2666" priority="2999">
      <formula>S195="T"</formula>
    </cfRule>
  </conditionalFormatting>
  <conditionalFormatting sqref="S197">
    <cfRule type="expression" dxfId="2665" priority="2994">
      <formula>S197="X"</formula>
    </cfRule>
    <cfRule type="expression" dxfId="2664" priority="2995">
      <formula>S197="A"</formula>
    </cfRule>
    <cfRule type="expression" dxfId="2663" priority="2996">
      <formula>S197="T"</formula>
    </cfRule>
  </conditionalFormatting>
  <conditionalFormatting sqref="S198">
    <cfRule type="expression" dxfId="2662" priority="2991">
      <formula>S197="X"</formula>
    </cfRule>
    <cfRule type="expression" dxfId="2661" priority="2992">
      <formula>S197="A"</formula>
    </cfRule>
    <cfRule type="expression" dxfId="2660" priority="2993">
      <formula>S197="T"</formula>
    </cfRule>
  </conditionalFormatting>
  <conditionalFormatting sqref="S199">
    <cfRule type="expression" dxfId="2659" priority="2988">
      <formula>S199="X"</formula>
    </cfRule>
    <cfRule type="expression" dxfId="2658" priority="2989">
      <formula>S199="A"</formula>
    </cfRule>
    <cfRule type="expression" dxfId="2657" priority="2990">
      <formula>S199="T"</formula>
    </cfRule>
  </conditionalFormatting>
  <conditionalFormatting sqref="S200">
    <cfRule type="expression" dxfId="2656" priority="2985">
      <formula>S199="X"</formula>
    </cfRule>
    <cfRule type="expression" dxfId="2655" priority="2986">
      <formula>S199="A"</formula>
    </cfRule>
    <cfRule type="expression" dxfId="2654" priority="2987">
      <formula>S199="T"</formula>
    </cfRule>
  </conditionalFormatting>
  <conditionalFormatting sqref="S201">
    <cfRule type="expression" dxfId="2653" priority="2982">
      <formula>S201="X"</formula>
    </cfRule>
    <cfRule type="expression" dxfId="2652" priority="2983">
      <formula>S201="A"</formula>
    </cfRule>
    <cfRule type="expression" dxfId="2651" priority="2984">
      <formula>S201="T"</formula>
    </cfRule>
  </conditionalFormatting>
  <conditionalFormatting sqref="S202">
    <cfRule type="expression" dxfId="2650" priority="2979">
      <formula>S201="X"</formula>
    </cfRule>
    <cfRule type="expression" dxfId="2649" priority="2980">
      <formula>S201="A"</formula>
    </cfRule>
    <cfRule type="expression" dxfId="2648" priority="2981">
      <formula>S201="T"</formula>
    </cfRule>
  </conditionalFormatting>
  <conditionalFormatting sqref="S72">
    <cfRule type="expression" dxfId="2647" priority="2976" stopIfTrue="1">
      <formula>S4=""</formula>
    </cfRule>
  </conditionalFormatting>
  <conditionalFormatting sqref="S72">
    <cfRule type="expression" dxfId="2646" priority="2977" stopIfTrue="1">
      <formula>S72=1</formula>
    </cfRule>
    <cfRule type="colorScale" priority="2978">
      <colorScale>
        <cfvo type="num" val="0"/>
        <cfvo type="num" val="0.5"/>
        <cfvo type="num" val="1"/>
        <color rgb="FFF8696B"/>
        <color theme="4" tint="0.79998168889431442"/>
        <color rgb="FF5A8AC6"/>
      </colorScale>
    </cfRule>
  </conditionalFormatting>
  <conditionalFormatting sqref="S132">
    <cfRule type="expression" dxfId="2645" priority="2974" stopIfTrue="1">
      <formula>S132=1</formula>
    </cfRule>
    <cfRule type="colorScale" priority="2975">
      <colorScale>
        <cfvo type="num" val="0"/>
        <cfvo type="num" val="0.5"/>
        <cfvo type="num" val="1"/>
        <color rgb="FFF8696B"/>
        <color theme="4" tint="0.79998168889431442"/>
        <color rgb="FF5A8AC6"/>
      </colorScale>
    </cfRule>
  </conditionalFormatting>
  <conditionalFormatting sqref="S132">
    <cfRule type="expression" dxfId="2644" priority="2973" stopIfTrue="1">
      <formula>S74=""</formula>
    </cfRule>
  </conditionalFormatting>
  <conditionalFormatting sqref="S159">
    <cfRule type="expression" dxfId="2643" priority="2955">
      <formula>S159="X"</formula>
    </cfRule>
    <cfRule type="expression" dxfId="2642" priority="2956">
      <formula>S159="A"</formula>
    </cfRule>
    <cfRule type="expression" dxfId="2641" priority="2957">
      <formula>S159="T"</formula>
    </cfRule>
  </conditionalFormatting>
  <conditionalFormatting sqref="S162">
    <cfRule type="expression" dxfId="2640" priority="2952">
      <formula>S161="X"</formula>
    </cfRule>
    <cfRule type="expression" dxfId="2639" priority="2953">
      <formula>S161="A"</formula>
    </cfRule>
    <cfRule type="expression" dxfId="2638" priority="2954">
      <formula>S161="T"</formula>
    </cfRule>
  </conditionalFormatting>
  <conditionalFormatting sqref="S161">
    <cfRule type="expression" dxfId="2637" priority="2949">
      <formula>S161="X"</formula>
    </cfRule>
    <cfRule type="expression" dxfId="2636" priority="2950">
      <formula>S161="A"</formula>
    </cfRule>
    <cfRule type="expression" dxfId="2635" priority="2951">
      <formula>S161="T"</formula>
    </cfRule>
  </conditionalFormatting>
  <conditionalFormatting sqref="S164">
    <cfRule type="expression" dxfId="2634" priority="2946">
      <formula>S163="X"</formula>
    </cfRule>
    <cfRule type="expression" dxfId="2633" priority="2947">
      <formula>S163="A"</formula>
    </cfRule>
    <cfRule type="expression" dxfId="2632" priority="2948">
      <formula>S163="T"</formula>
    </cfRule>
  </conditionalFormatting>
  <conditionalFormatting sqref="S163">
    <cfRule type="expression" dxfId="2631" priority="2943">
      <formula>S163="X"</formula>
    </cfRule>
    <cfRule type="expression" dxfId="2630" priority="2944">
      <formula>S163="A"</formula>
    </cfRule>
    <cfRule type="expression" dxfId="2629" priority="2945">
      <formula>S163="T"</formula>
    </cfRule>
  </conditionalFormatting>
  <conditionalFormatting sqref="P241:R241">
    <cfRule type="colorScale" priority="26348">
      <colorScale>
        <cfvo type="min"/>
        <cfvo type="percentile" val="50"/>
        <cfvo type="max"/>
        <color rgb="FF63BE7B"/>
        <color rgb="FFFFEB84"/>
        <color rgb="FFF8696B"/>
      </colorScale>
    </cfRule>
  </conditionalFormatting>
  <conditionalFormatting sqref="S230:S237">
    <cfRule type="expression" dxfId="2628" priority="2938" stopIfTrue="1">
      <formula>S230=_xlfn.UNICHAR(10003)</formula>
    </cfRule>
    <cfRule type="colorScale" priority="2939">
      <colorScale>
        <cfvo type="num" val="0"/>
        <cfvo type="num" val="0.5"/>
        <cfvo type="num" val="1"/>
        <color rgb="FFF8696B"/>
        <color theme="4" tint="0.79998168889431442"/>
        <color rgb="FF5A8AC6"/>
      </colorScale>
    </cfRule>
  </conditionalFormatting>
  <conditionalFormatting sqref="S239">
    <cfRule type="expression" dxfId="2627" priority="2936" stopIfTrue="1">
      <formula>S239=_xlfn.UNICHAR(10003)</formula>
    </cfRule>
    <cfRule type="colorScale" priority="2937">
      <colorScale>
        <cfvo type="num" val="0"/>
        <cfvo type="num" val="0.5"/>
        <cfvo type="num" val="1"/>
        <color rgb="FFF8696B"/>
        <color theme="4" tint="0.79998168889431442"/>
        <color rgb="FF5A8AC6"/>
      </colorScale>
    </cfRule>
  </conditionalFormatting>
  <conditionalFormatting sqref="S239">
    <cfRule type="expression" dxfId="2626" priority="2934" stopIfTrue="1">
      <formula>S239=1</formula>
    </cfRule>
    <cfRule type="colorScale" priority="2935">
      <colorScale>
        <cfvo type="num" val="0"/>
        <cfvo type="num" val="0.5"/>
        <cfvo type="num" val="1"/>
        <color rgb="FFF8696B"/>
        <color theme="4" tint="0.79998168889431442"/>
        <color rgb="FF5A8AC6"/>
      </colorScale>
    </cfRule>
  </conditionalFormatting>
  <conditionalFormatting sqref="S228">
    <cfRule type="expression" dxfId="2625" priority="2933" stopIfTrue="1">
      <formula>S228=UNICAHR(10003)</formula>
    </cfRule>
    <cfRule type="expression" dxfId="2624" priority="2940" stopIfTrue="1">
      <formula>S228=CONCATENATE(_xlfn.UNICHAR(10003),_xlfn.UNICHAR(10003))</formula>
    </cfRule>
    <cfRule type="colorScale" priority="2941">
      <colorScale>
        <cfvo type="num" val="0"/>
        <cfvo type="num" val="0.5"/>
        <cfvo type="num" val="1"/>
        <color rgb="FFF8696B"/>
        <color theme="4" tint="0.79998168889431442"/>
        <color rgb="FF5A8AC6"/>
      </colorScale>
    </cfRule>
  </conditionalFormatting>
  <conditionalFormatting sqref="S238 S229">
    <cfRule type="expression" dxfId="2623" priority="2930" stopIfTrue="1">
      <formula>S229=_xlfn.UNICHAR(10003)</formula>
    </cfRule>
    <cfRule type="expression" dxfId="2622" priority="2931" stopIfTrue="1">
      <formula>S229=CONCATENATE(_xlfn.UNICHAR(10003),_xlfn.UNICHAR(10003))</formula>
    </cfRule>
    <cfRule type="colorScale" priority="2932">
      <colorScale>
        <cfvo type="num" val="0"/>
        <cfvo type="num" val="0.5"/>
        <cfvo type="num" val="1"/>
        <color rgb="FFF8696B"/>
        <color theme="4" tint="0.79998168889431442"/>
        <color rgb="FF5A8AC6"/>
      </colorScale>
    </cfRule>
  </conditionalFormatting>
  <conditionalFormatting sqref="S238">
    <cfRule type="expression" dxfId="2621" priority="2927" stopIfTrue="1">
      <formula>S238=_xlfn.UNICHAR(10003)</formula>
    </cfRule>
    <cfRule type="expression" dxfId="2620" priority="2928" stopIfTrue="1">
      <formula>S238=CONCATENATE(_xlfn.UNICHAR(10003),_xlfn.UNICHAR(10003))</formula>
    </cfRule>
    <cfRule type="colorScale" priority="2929">
      <colorScale>
        <cfvo type="num" val="0"/>
        <cfvo type="num" val="0.5"/>
        <cfvo type="num" val="1"/>
        <color rgb="FFF8696B"/>
        <color theme="4" tint="0.79998168889431442"/>
        <color rgb="FF5A8AC6"/>
      </colorScale>
    </cfRule>
  </conditionalFormatting>
  <conditionalFormatting sqref="S241">
    <cfRule type="colorScale" priority="2942">
      <colorScale>
        <cfvo type="min"/>
        <cfvo type="percentile" val="50"/>
        <cfvo type="max"/>
        <color rgb="FF63BE7B"/>
        <color rgb="FFFFEB84"/>
        <color rgb="FFF8696B"/>
      </colorScale>
    </cfRule>
  </conditionalFormatting>
  <conditionalFormatting sqref="AL160 AL158">
    <cfRule type="expression" dxfId="2619" priority="2924">
      <formula>AL157="X"</formula>
    </cfRule>
    <cfRule type="expression" dxfId="2618" priority="2925">
      <formula>AL157="A"</formula>
    </cfRule>
    <cfRule type="expression" dxfId="2617" priority="2926">
      <formula>AL157="T"</formula>
    </cfRule>
  </conditionalFormatting>
  <conditionalFormatting sqref="AL39 AL41 AL43 AL45 AL81 AL88 AL100 AL105 AL107 AL109 AL111">
    <cfRule type="expression" dxfId="2616" priority="2921">
      <formula>AL39="X"</formula>
    </cfRule>
    <cfRule type="expression" dxfId="2615" priority="2922">
      <formula>AL39="A"</formula>
    </cfRule>
    <cfRule type="expression" dxfId="2614" priority="2923">
      <formula>AL39="T"</formula>
    </cfRule>
  </conditionalFormatting>
  <conditionalFormatting sqref="AL63">
    <cfRule type="expression" dxfId="2613" priority="2891">
      <formula>AL63="X"</formula>
    </cfRule>
    <cfRule type="expression" dxfId="2612" priority="2892">
      <formula>AL63="A"</formula>
    </cfRule>
    <cfRule type="expression" dxfId="2611" priority="2893">
      <formula>AL63="T"</formula>
    </cfRule>
  </conditionalFormatting>
  <conditionalFormatting sqref="AL65">
    <cfRule type="expression" dxfId="2610" priority="2888">
      <formula>AL65="X"</formula>
    </cfRule>
    <cfRule type="expression" dxfId="2609" priority="2889">
      <formula>AL65="A"</formula>
    </cfRule>
    <cfRule type="expression" dxfId="2608" priority="2890">
      <formula>AL65="T"</formula>
    </cfRule>
  </conditionalFormatting>
  <conditionalFormatting sqref="AL83">
    <cfRule type="expression" dxfId="2607" priority="2885">
      <formula>AL83="X"</formula>
    </cfRule>
    <cfRule type="expression" dxfId="2606" priority="2886">
      <formula>AL83="A"</formula>
    </cfRule>
    <cfRule type="expression" dxfId="2605" priority="2887">
      <formula>AL83="T"</formula>
    </cfRule>
  </conditionalFormatting>
  <conditionalFormatting sqref="AL85">
    <cfRule type="expression" dxfId="2604" priority="2882">
      <formula>AL85="X"</formula>
    </cfRule>
    <cfRule type="expression" dxfId="2603" priority="2883">
      <formula>AL85="A"</formula>
    </cfRule>
    <cfRule type="expression" dxfId="2602" priority="2884">
      <formula>AL85="T"</formula>
    </cfRule>
  </conditionalFormatting>
  <conditionalFormatting sqref="AL67">
    <cfRule type="expression" dxfId="2601" priority="2879">
      <formula>AL67="X"</formula>
    </cfRule>
    <cfRule type="expression" dxfId="2600" priority="2880">
      <formula>AL67="A"</formula>
    </cfRule>
    <cfRule type="expression" dxfId="2599" priority="2881">
      <formula>AL67="T"</formula>
    </cfRule>
  </conditionalFormatting>
  <conditionalFormatting sqref="AL113">
    <cfRule type="expression" dxfId="2598" priority="2876">
      <formula>AL113="X"</formula>
    </cfRule>
    <cfRule type="expression" dxfId="2597" priority="2877">
      <formula>AL113="A"</formula>
    </cfRule>
    <cfRule type="expression" dxfId="2596" priority="2878">
      <formula>AL113="T"</formula>
    </cfRule>
  </conditionalFormatting>
  <conditionalFormatting sqref="AL125">
    <cfRule type="expression" dxfId="2595" priority="2864">
      <formula>AL125="X"</formula>
    </cfRule>
    <cfRule type="expression" dxfId="2594" priority="2865">
      <formula>AL125="A"</formula>
    </cfRule>
    <cfRule type="expression" dxfId="2593" priority="2866">
      <formula>AL125="T"</formula>
    </cfRule>
  </conditionalFormatting>
  <conditionalFormatting sqref="AL127">
    <cfRule type="expression" dxfId="2592" priority="2861">
      <formula>AL127="X"</formula>
    </cfRule>
    <cfRule type="expression" dxfId="2591" priority="2862">
      <formula>AL127="A"</formula>
    </cfRule>
    <cfRule type="expression" dxfId="2590" priority="2863">
      <formula>AL127="T"</formula>
    </cfRule>
  </conditionalFormatting>
  <conditionalFormatting sqref="AL149">
    <cfRule type="expression" dxfId="2589" priority="2852">
      <formula>AL149="X"</formula>
    </cfRule>
    <cfRule type="expression" dxfId="2588" priority="2853">
      <formula>AL149="A"</formula>
    </cfRule>
    <cfRule type="expression" dxfId="2587" priority="2854">
      <formula>AL149="T"</formula>
    </cfRule>
  </conditionalFormatting>
  <conditionalFormatting sqref="AL151">
    <cfRule type="expression" dxfId="2586" priority="2849">
      <formula>AL151="X"</formula>
    </cfRule>
    <cfRule type="expression" dxfId="2585" priority="2850">
      <formula>AL151="A"</formula>
    </cfRule>
    <cfRule type="expression" dxfId="2584" priority="2851">
      <formula>AL151="T"</formula>
    </cfRule>
  </conditionalFormatting>
  <conditionalFormatting sqref="AL155">
    <cfRule type="expression" dxfId="2583" priority="2846">
      <formula>AL155="X"</formula>
    </cfRule>
    <cfRule type="expression" dxfId="2582" priority="2847">
      <formula>AL155="A"</formula>
    </cfRule>
    <cfRule type="expression" dxfId="2581" priority="2848">
      <formula>AL155="T"</formula>
    </cfRule>
  </conditionalFormatting>
  <conditionalFormatting sqref="AL157">
    <cfRule type="expression" dxfId="2580" priority="2843">
      <formula>AL157="X"</formula>
    </cfRule>
    <cfRule type="expression" dxfId="2579" priority="2844">
      <formula>AL157="A"</formula>
    </cfRule>
    <cfRule type="expression" dxfId="2578" priority="2845">
      <formula>AL157="T"</formula>
    </cfRule>
  </conditionalFormatting>
  <conditionalFormatting sqref="AL167">
    <cfRule type="expression" dxfId="2577" priority="2840">
      <formula>AL167="X"</formula>
    </cfRule>
    <cfRule type="expression" dxfId="2576" priority="2841">
      <formula>AL167="A"</formula>
    </cfRule>
    <cfRule type="expression" dxfId="2575" priority="2842">
      <formula>AL167="T"</formula>
    </cfRule>
  </conditionalFormatting>
  <conditionalFormatting sqref="AL173">
    <cfRule type="expression" dxfId="2574" priority="2837">
      <formula>AL173="X"</formula>
    </cfRule>
    <cfRule type="expression" dxfId="2573" priority="2838">
      <formula>AL173="A"</formula>
    </cfRule>
    <cfRule type="expression" dxfId="2572" priority="2839">
      <formula>AL173="T"</formula>
    </cfRule>
  </conditionalFormatting>
  <conditionalFormatting sqref="AL175">
    <cfRule type="expression" dxfId="2571" priority="2834">
      <formula>AL175="X"</formula>
    </cfRule>
    <cfRule type="expression" dxfId="2570" priority="2835">
      <formula>AL175="A"</formula>
    </cfRule>
    <cfRule type="expression" dxfId="2569" priority="2836">
      <formula>AL175="T"</formula>
    </cfRule>
  </conditionalFormatting>
  <conditionalFormatting sqref="AL177">
    <cfRule type="expression" dxfId="2568" priority="2831">
      <formula>AL177="X"</formula>
    </cfRule>
    <cfRule type="expression" dxfId="2567" priority="2832">
      <formula>AL177="A"</formula>
    </cfRule>
    <cfRule type="expression" dxfId="2566" priority="2833">
      <formula>AL177="T"</formula>
    </cfRule>
  </conditionalFormatting>
  <conditionalFormatting sqref="AL179">
    <cfRule type="expression" dxfId="2565" priority="2828">
      <formula>AL179="X"</formula>
    </cfRule>
    <cfRule type="expression" dxfId="2564" priority="2829">
      <formula>AL179="A"</formula>
    </cfRule>
    <cfRule type="expression" dxfId="2563" priority="2830">
      <formula>AL179="T"</formula>
    </cfRule>
  </conditionalFormatting>
  <conditionalFormatting sqref="AL169">
    <cfRule type="expression" dxfId="2562" priority="2825">
      <formula>AL169="X"</formula>
    </cfRule>
    <cfRule type="expression" dxfId="2561" priority="2826">
      <formula>AL169="A"</formula>
    </cfRule>
    <cfRule type="expression" dxfId="2560" priority="2827">
      <formula>AL169="T"</formula>
    </cfRule>
  </conditionalFormatting>
  <conditionalFormatting sqref="AL171">
    <cfRule type="expression" dxfId="2559" priority="2822">
      <formula>AL171="X"</formula>
    </cfRule>
    <cfRule type="expression" dxfId="2558" priority="2823">
      <formula>AL171="A"</formula>
    </cfRule>
    <cfRule type="expression" dxfId="2557" priority="2824">
      <formula>AL171="T"</formula>
    </cfRule>
  </conditionalFormatting>
  <conditionalFormatting sqref="AL11">
    <cfRule type="expression" dxfId="2556" priority="2807">
      <formula>AL11="X"</formula>
    </cfRule>
    <cfRule type="expression" dxfId="2555" priority="2808">
      <formula>AL11="A"</formula>
    </cfRule>
    <cfRule type="expression" dxfId="2554" priority="2809">
      <formula>AL11="T"</formula>
    </cfRule>
  </conditionalFormatting>
  <conditionalFormatting sqref="AL12">
    <cfRule type="expression" dxfId="2553" priority="2804">
      <formula>AL11="X"</formula>
    </cfRule>
    <cfRule type="expression" dxfId="2552" priority="2805">
      <formula>AL11="A"</formula>
    </cfRule>
    <cfRule type="expression" dxfId="2551" priority="2806">
      <formula>AL11="T"</formula>
    </cfRule>
  </conditionalFormatting>
  <conditionalFormatting sqref="AL13">
    <cfRule type="expression" dxfId="2550" priority="2801">
      <formula>AL13="X"</formula>
    </cfRule>
    <cfRule type="expression" dxfId="2549" priority="2802">
      <formula>AL13="A"</formula>
    </cfRule>
    <cfRule type="expression" dxfId="2548" priority="2803">
      <formula>AL13="T"</formula>
    </cfRule>
  </conditionalFormatting>
  <conditionalFormatting sqref="AL14">
    <cfRule type="expression" dxfId="2547" priority="2798">
      <formula>AL13="X"</formula>
    </cfRule>
    <cfRule type="expression" dxfId="2546" priority="2799">
      <formula>AL13="A"</formula>
    </cfRule>
    <cfRule type="expression" dxfId="2545" priority="2800">
      <formula>AL13="T"</formula>
    </cfRule>
  </conditionalFormatting>
  <conditionalFormatting sqref="AL37">
    <cfRule type="expression" dxfId="2544" priority="2762">
      <formula>AL36="X"</formula>
    </cfRule>
    <cfRule type="expression" dxfId="2543" priority="2763">
      <formula>AL36="A"</formula>
    </cfRule>
    <cfRule type="expression" dxfId="2542" priority="2764">
      <formula>AL36="T"</formula>
    </cfRule>
  </conditionalFormatting>
  <conditionalFormatting sqref="AL40">
    <cfRule type="expression" dxfId="2541" priority="2759">
      <formula>AL39="X"</formula>
    </cfRule>
    <cfRule type="expression" dxfId="2540" priority="2760">
      <formula>AL39="A"</formula>
    </cfRule>
    <cfRule type="expression" dxfId="2539" priority="2761">
      <formula>AL39="T"</formula>
    </cfRule>
  </conditionalFormatting>
  <conditionalFormatting sqref="AL42">
    <cfRule type="expression" dxfId="2538" priority="2756">
      <formula>AL41="X"</formula>
    </cfRule>
    <cfRule type="expression" dxfId="2537" priority="2757">
      <formula>AL41="A"</formula>
    </cfRule>
    <cfRule type="expression" dxfId="2536" priority="2758">
      <formula>AL41="T"</formula>
    </cfRule>
  </conditionalFormatting>
  <conditionalFormatting sqref="AL44">
    <cfRule type="expression" dxfId="2535" priority="2753">
      <formula>AL43="X"</formula>
    </cfRule>
    <cfRule type="expression" dxfId="2534" priority="2754">
      <formula>AL43="A"</formula>
    </cfRule>
    <cfRule type="expression" dxfId="2533" priority="2755">
      <formula>AL43="T"</formula>
    </cfRule>
  </conditionalFormatting>
  <conditionalFormatting sqref="AL46">
    <cfRule type="expression" dxfId="2532" priority="2750">
      <formula>AL45="X"</formula>
    </cfRule>
    <cfRule type="expression" dxfId="2531" priority="2751">
      <formula>AL45="A"</formula>
    </cfRule>
    <cfRule type="expression" dxfId="2530" priority="2752">
      <formula>AL45="T"</formula>
    </cfRule>
  </conditionalFormatting>
  <conditionalFormatting sqref="AL59">
    <cfRule type="expression" dxfId="2529" priority="2732">
      <formula>AL58="X"</formula>
    </cfRule>
    <cfRule type="expression" dxfId="2528" priority="2733">
      <formula>AL58="A"</formula>
    </cfRule>
    <cfRule type="expression" dxfId="2527" priority="2734">
      <formula>AL58="T"</formula>
    </cfRule>
  </conditionalFormatting>
  <conditionalFormatting sqref="AL64">
    <cfRule type="expression" dxfId="2526" priority="2729">
      <formula>AL63="X"</formula>
    </cfRule>
    <cfRule type="expression" dxfId="2525" priority="2730">
      <formula>AL63="A"</formula>
    </cfRule>
    <cfRule type="expression" dxfId="2524" priority="2731">
      <formula>AL63="T"</formula>
    </cfRule>
  </conditionalFormatting>
  <conditionalFormatting sqref="AL66">
    <cfRule type="expression" dxfId="2523" priority="2726">
      <formula>AL65="X"</formula>
    </cfRule>
    <cfRule type="expression" dxfId="2522" priority="2727">
      <formula>AL65="A"</formula>
    </cfRule>
    <cfRule type="expression" dxfId="2521" priority="2728">
      <formula>AL65="T"</formula>
    </cfRule>
  </conditionalFormatting>
  <conditionalFormatting sqref="AL68">
    <cfRule type="expression" dxfId="2520" priority="2723">
      <formula>AL67="X"</formula>
    </cfRule>
    <cfRule type="expression" dxfId="2519" priority="2724">
      <formula>AL67="A"</formula>
    </cfRule>
    <cfRule type="expression" dxfId="2518" priority="2725">
      <formula>AL67="T"</formula>
    </cfRule>
  </conditionalFormatting>
  <conditionalFormatting sqref="AL82">
    <cfRule type="expression" dxfId="2517" priority="2720">
      <formula>AL81="X"</formula>
    </cfRule>
    <cfRule type="expression" dxfId="2516" priority="2721">
      <formula>AL81="A"</formula>
    </cfRule>
    <cfRule type="expression" dxfId="2515" priority="2722">
      <formula>AL81="T"</formula>
    </cfRule>
  </conditionalFormatting>
  <conditionalFormatting sqref="AL84">
    <cfRule type="expression" dxfId="2514" priority="2717">
      <formula>AL83="X"</formula>
    </cfRule>
    <cfRule type="expression" dxfId="2513" priority="2718">
      <formula>AL83="A"</formula>
    </cfRule>
    <cfRule type="expression" dxfId="2512" priority="2719">
      <formula>AL83="T"</formula>
    </cfRule>
  </conditionalFormatting>
  <conditionalFormatting sqref="AL86">
    <cfRule type="expression" dxfId="2511" priority="2714">
      <formula>AL85="X"</formula>
    </cfRule>
    <cfRule type="expression" dxfId="2510" priority="2715">
      <formula>AL85="A"</formula>
    </cfRule>
    <cfRule type="expression" dxfId="2509" priority="2716">
      <formula>AL85="T"</formula>
    </cfRule>
  </conditionalFormatting>
  <conditionalFormatting sqref="AL89">
    <cfRule type="expression" dxfId="2508" priority="2711">
      <formula>AL88="X"</formula>
    </cfRule>
    <cfRule type="expression" dxfId="2507" priority="2712">
      <formula>AL88="A"</formula>
    </cfRule>
    <cfRule type="expression" dxfId="2506" priority="2713">
      <formula>AL88="T"</formula>
    </cfRule>
  </conditionalFormatting>
  <conditionalFormatting sqref="AL99">
    <cfRule type="expression" dxfId="2505" priority="2696">
      <formula>AL98="X"</formula>
    </cfRule>
    <cfRule type="expression" dxfId="2504" priority="2697">
      <formula>AL98="A"</formula>
    </cfRule>
    <cfRule type="expression" dxfId="2503" priority="2698">
      <formula>AL98="T"</formula>
    </cfRule>
  </conditionalFormatting>
  <conditionalFormatting sqref="AL101">
    <cfRule type="expression" dxfId="2502" priority="2693">
      <formula>AL100="X"</formula>
    </cfRule>
    <cfRule type="expression" dxfId="2501" priority="2694">
      <formula>AL100="A"</formula>
    </cfRule>
    <cfRule type="expression" dxfId="2500" priority="2695">
      <formula>AL100="T"</formula>
    </cfRule>
  </conditionalFormatting>
  <conditionalFormatting sqref="AL103">
    <cfRule type="expression" dxfId="2499" priority="2690">
      <formula>AL102="X"</formula>
    </cfRule>
    <cfRule type="expression" dxfId="2498" priority="2691">
      <formula>AL102="A"</formula>
    </cfRule>
    <cfRule type="expression" dxfId="2497" priority="2692">
      <formula>AL102="T"</formula>
    </cfRule>
  </conditionalFormatting>
  <conditionalFormatting sqref="AL106">
    <cfRule type="expression" dxfId="2496" priority="2687">
      <formula>AL105="X"</formula>
    </cfRule>
    <cfRule type="expression" dxfId="2495" priority="2688">
      <formula>AL105="A"</formula>
    </cfRule>
    <cfRule type="expression" dxfId="2494" priority="2689">
      <formula>AL105="T"</formula>
    </cfRule>
  </conditionalFormatting>
  <conditionalFormatting sqref="AL108">
    <cfRule type="expression" dxfId="2493" priority="2684">
      <formula>AL107="X"</formula>
    </cfRule>
    <cfRule type="expression" dxfId="2492" priority="2685">
      <formula>AL107="A"</formula>
    </cfRule>
    <cfRule type="expression" dxfId="2491" priority="2686">
      <formula>AL107="T"</formula>
    </cfRule>
  </conditionalFormatting>
  <conditionalFormatting sqref="AL110">
    <cfRule type="expression" dxfId="2490" priority="2681">
      <formula>AL109="X"</formula>
    </cfRule>
    <cfRule type="expression" dxfId="2489" priority="2682">
      <formula>AL109="A"</formula>
    </cfRule>
    <cfRule type="expression" dxfId="2488" priority="2683">
      <formula>AL109="T"</formula>
    </cfRule>
  </conditionalFormatting>
  <conditionalFormatting sqref="AL112">
    <cfRule type="expression" dxfId="2487" priority="2678">
      <formula>AL111="X"</formula>
    </cfRule>
    <cfRule type="expression" dxfId="2486" priority="2679">
      <formula>AL111="A"</formula>
    </cfRule>
    <cfRule type="expression" dxfId="2485" priority="2680">
      <formula>AL111="T"</formula>
    </cfRule>
  </conditionalFormatting>
  <conditionalFormatting sqref="AL114">
    <cfRule type="expression" dxfId="2484" priority="2675">
      <formula>AL113="X"</formula>
    </cfRule>
    <cfRule type="expression" dxfId="2483" priority="2676">
      <formula>AL113="A"</formula>
    </cfRule>
    <cfRule type="expression" dxfId="2482" priority="2677">
      <formula>AL113="T"</formula>
    </cfRule>
  </conditionalFormatting>
  <conditionalFormatting sqref="AL123">
    <cfRule type="expression" dxfId="2481" priority="2663">
      <formula>AL122="X"</formula>
    </cfRule>
    <cfRule type="expression" dxfId="2480" priority="2664">
      <formula>AL122="A"</formula>
    </cfRule>
    <cfRule type="expression" dxfId="2479" priority="2665">
      <formula>AL122="T"</formula>
    </cfRule>
  </conditionalFormatting>
  <conditionalFormatting sqref="AL126">
    <cfRule type="expression" dxfId="2478" priority="2660">
      <formula>AL125="X"</formula>
    </cfRule>
    <cfRule type="expression" dxfId="2477" priority="2661">
      <formula>AL125="A"</formula>
    </cfRule>
    <cfRule type="expression" dxfId="2476" priority="2662">
      <formula>AL125="T"</formula>
    </cfRule>
  </conditionalFormatting>
  <conditionalFormatting sqref="AL128">
    <cfRule type="expression" dxfId="2475" priority="2657">
      <formula>AL127="X"</formula>
    </cfRule>
    <cfRule type="expression" dxfId="2474" priority="2658">
      <formula>AL127="A"</formula>
    </cfRule>
    <cfRule type="expression" dxfId="2473" priority="2659">
      <formula>AL127="T"</formula>
    </cfRule>
  </conditionalFormatting>
  <conditionalFormatting sqref="AL144">
    <cfRule type="expression" dxfId="2472" priority="2651">
      <formula>AL143="X"</formula>
    </cfRule>
    <cfRule type="expression" dxfId="2471" priority="2652">
      <formula>AL143="A"</formula>
    </cfRule>
    <cfRule type="expression" dxfId="2470" priority="2653">
      <formula>AL143="T"</formula>
    </cfRule>
  </conditionalFormatting>
  <conditionalFormatting sqref="AL150">
    <cfRule type="expression" dxfId="2469" priority="2648">
      <formula>AL149="X"</formula>
    </cfRule>
    <cfRule type="expression" dxfId="2468" priority="2649">
      <formula>AL149="A"</formula>
    </cfRule>
    <cfRule type="expression" dxfId="2467" priority="2650">
      <formula>AL149="T"</formula>
    </cfRule>
  </conditionalFormatting>
  <conditionalFormatting sqref="AL152">
    <cfRule type="expression" dxfId="2466" priority="2645">
      <formula>AL151="X"</formula>
    </cfRule>
    <cfRule type="expression" dxfId="2465" priority="2646">
      <formula>AL151="A"</formula>
    </cfRule>
    <cfRule type="expression" dxfId="2464" priority="2647">
      <formula>AL151="T"</formula>
    </cfRule>
  </conditionalFormatting>
  <conditionalFormatting sqref="AL156">
    <cfRule type="expression" dxfId="2463" priority="2642">
      <formula>AL155="X"</formula>
    </cfRule>
    <cfRule type="expression" dxfId="2462" priority="2643">
      <formula>AL155="A"</formula>
    </cfRule>
    <cfRule type="expression" dxfId="2461" priority="2644">
      <formula>AL155="T"</formula>
    </cfRule>
  </conditionalFormatting>
  <conditionalFormatting sqref="AL168">
    <cfRule type="expression" dxfId="2460" priority="2639">
      <formula>AL167="X"</formula>
    </cfRule>
    <cfRule type="expression" dxfId="2459" priority="2640">
      <formula>AL167="A"</formula>
    </cfRule>
    <cfRule type="expression" dxfId="2458" priority="2641">
      <formula>AL167="T"</formula>
    </cfRule>
  </conditionalFormatting>
  <conditionalFormatting sqref="AL170">
    <cfRule type="expression" dxfId="2457" priority="2636">
      <formula>AL169="X"</formula>
    </cfRule>
    <cfRule type="expression" dxfId="2456" priority="2637">
      <formula>AL169="A"</formula>
    </cfRule>
    <cfRule type="expression" dxfId="2455" priority="2638">
      <formula>AL169="T"</formula>
    </cfRule>
  </conditionalFormatting>
  <conditionalFormatting sqref="AL172">
    <cfRule type="expression" dxfId="2454" priority="2633">
      <formula>AL171="X"</formula>
    </cfRule>
    <cfRule type="expression" dxfId="2453" priority="2634">
      <formula>AL171="A"</formula>
    </cfRule>
    <cfRule type="expression" dxfId="2452" priority="2635">
      <formula>AL171="T"</formula>
    </cfRule>
  </conditionalFormatting>
  <conditionalFormatting sqref="AL174">
    <cfRule type="expression" dxfId="2451" priority="2630">
      <formula>AL173="X"</formula>
    </cfRule>
    <cfRule type="expression" dxfId="2450" priority="2631">
      <formula>AL173="A"</formula>
    </cfRule>
    <cfRule type="expression" dxfId="2449" priority="2632">
      <formula>AL173="T"</formula>
    </cfRule>
  </conditionalFormatting>
  <conditionalFormatting sqref="AL176">
    <cfRule type="expression" dxfId="2448" priority="2627">
      <formula>AL175="X"</formula>
    </cfRule>
    <cfRule type="expression" dxfId="2447" priority="2628">
      <formula>AL175="A"</formula>
    </cfRule>
    <cfRule type="expression" dxfId="2446" priority="2629">
      <formula>AL175="T"</formula>
    </cfRule>
  </conditionalFormatting>
  <conditionalFormatting sqref="AL178">
    <cfRule type="expression" dxfId="2445" priority="2624">
      <formula>AL177="X"</formula>
    </cfRule>
    <cfRule type="expression" dxfId="2444" priority="2625">
      <formula>AL177="A"</formula>
    </cfRule>
    <cfRule type="expression" dxfId="2443" priority="2626">
      <formula>AL177="T"</formula>
    </cfRule>
  </conditionalFormatting>
  <conditionalFormatting sqref="AL180">
    <cfRule type="expression" dxfId="2442" priority="2621">
      <formula>AL179="X"</formula>
    </cfRule>
    <cfRule type="expression" dxfId="2441" priority="2622">
      <formula>AL179="A"</formula>
    </cfRule>
    <cfRule type="expression" dxfId="2440" priority="2623">
      <formula>AL179="T"</formula>
    </cfRule>
  </conditionalFormatting>
  <conditionalFormatting sqref="AL186">
    <cfRule type="expression" dxfId="2439" priority="2615">
      <formula>AL185="X"</formula>
    </cfRule>
    <cfRule type="expression" dxfId="2438" priority="2616">
      <formula>AL185="A"</formula>
    </cfRule>
    <cfRule type="expression" dxfId="2437" priority="2617">
      <formula>AL185="T"</formula>
    </cfRule>
  </conditionalFormatting>
  <conditionalFormatting sqref="AL192">
    <cfRule type="expression" dxfId="2436" priority="2609">
      <formula>AL191="X"</formula>
    </cfRule>
    <cfRule type="expression" dxfId="2435" priority="2610">
      <formula>AL191="A"</formula>
    </cfRule>
    <cfRule type="expression" dxfId="2434" priority="2611">
      <formula>AL191="T"</formula>
    </cfRule>
  </conditionalFormatting>
  <conditionalFormatting sqref="AL208">
    <cfRule type="expression" dxfId="2433" priority="2606">
      <formula>AL207="X"</formula>
    </cfRule>
    <cfRule type="expression" dxfId="2432" priority="2607">
      <formula>AL207="A"</formula>
    </cfRule>
    <cfRule type="expression" dxfId="2431" priority="2608">
      <formula>AL207="T"</formula>
    </cfRule>
  </conditionalFormatting>
  <conditionalFormatting sqref="AL211">
    <cfRule type="expression" dxfId="2430" priority="2603">
      <formula>AL211="X"</formula>
    </cfRule>
    <cfRule type="expression" dxfId="2429" priority="2604">
      <formula>AL211="A"</formula>
    </cfRule>
    <cfRule type="expression" dxfId="2428" priority="2605">
      <formula>AL211="T"</formula>
    </cfRule>
  </conditionalFormatting>
  <conditionalFormatting sqref="AL212">
    <cfRule type="expression" dxfId="2427" priority="2600">
      <formula>AL211="X"</formula>
    </cfRule>
    <cfRule type="expression" dxfId="2426" priority="2601">
      <formula>AL211="A"</formula>
    </cfRule>
    <cfRule type="expression" dxfId="2425" priority="2602">
      <formula>AL211="T"</formula>
    </cfRule>
  </conditionalFormatting>
  <conditionalFormatting sqref="AL213">
    <cfRule type="expression" dxfId="2424" priority="2597">
      <formula>AL213="X"</formula>
    </cfRule>
    <cfRule type="expression" dxfId="2423" priority="2598">
      <formula>AL213="A"</formula>
    </cfRule>
    <cfRule type="expression" dxfId="2422" priority="2599">
      <formula>AL213="T"</formula>
    </cfRule>
  </conditionalFormatting>
  <conditionalFormatting sqref="AL214">
    <cfRule type="expression" dxfId="2421" priority="2594">
      <formula>AL213="X"</formula>
    </cfRule>
    <cfRule type="expression" dxfId="2420" priority="2595">
      <formula>AL213="A"</formula>
    </cfRule>
    <cfRule type="expression" dxfId="2419" priority="2596">
      <formula>AL213="T"</formula>
    </cfRule>
  </conditionalFormatting>
  <conditionalFormatting sqref="AL215">
    <cfRule type="expression" dxfId="2418" priority="2591">
      <formula>AL215="X"</formula>
    </cfRule>
    <cfRule type="expression" dxfId="2417" priority="2592">
      <formula>AL215="A"</formula>
    </cfRule>
    <cfRule type="expression" dxfId="2416" priority="2593">
      <formula>AL215="T"</formula>
    </cfRule>
  </conditionalFormatting>
  <conditionalFormatting sqref="AL216">
    <cfRule type="expression" dxfId="2415" priority="2588">
      <formula>AL215="X"</formula>
    </cfRule>
    <cfRule type="expression" dxfId="2414" priority="2589">
      <formula>AL215="A"</formula>
    </cfRule>
    <cfRule type="expression" dxfId="2413" priority="2590">
      <formula>AL215="T"</formula>
    </cfRule>
  </conditionalFormatting>
  <conditionalFormatting sqref="AL217">
    <cfRule type="expression" dxfId="2412" priority="2585">
      <formula>AL217="X"</formula>
    </cfRule>
    <cfRule type="expression" dxfId="2411" priority="2586">
      <formula>AL217="A"</formula>
    </cfRule>
    <cfRule type="expression" dxfId="2410" priority="2587">
      <formula>AL217="T"</formula>
    </cfRule>
  </conditionalFormatting>
  <conditionalFormatting sqref="AL218">
    <cfRule type="expression" dxfId="2409" priority="2582">
      <formula>AL217="X"</formula>
    </cfRule>
    <cfRule type="expression" dxfId="2408" priority="2583">
      <formula>AL217="A"</formula>
    </cfRule>
    <cfRule type="expression" dxfId="2407" priority="2584">
      <formula>AL217="T"</formula>
    </cfRule>
  </conditionalFormatting>
  <conditionalFormatting sqref="AL219">
    <cfRule type="expression" dxfId="2406" priority="2579">
      <formula>AL219="X"</formula>
    </cfRule>
    <cfRule type="expression" dxfId="2405" priority="2580">
      <formula>AL219="A"</formula>
    </cfRule>
    <cfRule type="expression" dxfId="2404" priority="2581">
      <formula>AL219="T"</formula>
    </cfRule>
  </conditionalFormatting>
  <conditionalFormatting sqref="AL220">
    <cfRule type="expression" dxfId="2403" priority="2576">
      <formula>AL219="X"</formula>
    </cfRule>
    <cfRule type="expression" dxfId="2402" priority="2577">
      <formula>AL219="A"</formula>
    </cfRule>
    <cfRule type="expression" dxfId="2401" priority="2578">
      <formula>AL219="T"</formula>
    </cfRule>
  </conditionalFormatting>
  <conditionalFormatting sqref="AL221">
    <cfRule type="expression" dxfId="2400" priority="2573">
      <formula>AL221="X"</formula>
    </cfRule>
    <cfRule type="expression" dxfId="2399" priority="2574">
      <formula>AL221="A"</formula>
    </cfRule>
    <cfRule type="expression" dxfId="2398" priority="2575">
      <formula>AL221="T"</formula>
    </cfRule>
  </conditionalFormatting>
  <conditionalFormatting sqref="AL222">
    <cfRule type="expression" dxfId="2397" priority="2570">
      <formula>AL221="X"</formula>
    </cfRule>
    <cfRule type="expression" dxfId="2396" priority="2571">
      <formula>AL221="A"</formula>
    </cfRule>
    <cfRule type="expression" dxfId="2395" priority="2572">
      <formula>AL221="T"</formula>
    </cfRule>
  </conditionalFormatting>
  <conditionalFormatting sqref="AL223">
    <cfRule type="expression" dxfId="2394" priority="2567">
      <formula>AL223="X"</formula>
    </cfRule>
    <cfRule type="expression" dxfId="2393" priority="2568">
      <formula>AL223="A"</formula>
    </cfRule>
    <cfRule type="expression" dxfId="2392" priority="2569">
      <formula>AL223="T"</formula>
    </cfRule>
  </conditionalFormatting>
  <conditionalFormatting sqref="AL224">
    <cfRule type="expression" dxfId="2391" priority="2564">
      <formula>AL223="X"</formula>
    </cfRule>
    <cfRule type="expression" dxfId="2390" priority="2565">
      <formula>AL223="A"</formula>
    </cfRule>
    <cfRule type="expression" dxfId="2389" priority="2566">
      <formula>AL223="T"</formula>
    </cfRule>
  </conditionalFormatting>
  <conditionalFormatting sqref="AL4">
    <cfRule type="expression" dxfId="2388" priority="2561">
      <formula>AL4="X"</formula>
    </cfRule>
    <cfRule type="expression" dxfId="2387" priority="2562">
      <formula>AL4="A"</formula>
    </cfRule>
    <cfRule type="expression" dxfId="2386" priority="2563">
      <formula>AL4="T"</formula>
    </cfRule>
  </conditionalFormatting>
  <conditionalFormatting sqref="AL5">
    <cfRule type="expression" dxfId="2385" priority="2558">
      <formula>AL4="X"</formula>
    </cfRule>
    <cfRule type="expression" dxfId="2384" priority="2559">
      <formula>AL4="A"</formula>
    </cfRule>
    <cfRule type="expression" dxfId="2383" priority="2560">
      <formula>AL4="T"</formula>
    </cfRule>
  </conditionalFormatting>
  <conditionalFormatting sqref="AL6">
    <cfRule type="expression" dxfId="2382" priority="2555">
      <formula>AL6="X"</formula>
    </cfRule>
    <cfRule type="expression" dxfId="2381" priority="2556">
      <formula>AL6="A"</formula>
    </cfRule>
    <cfRule type="expression" dxfId="2380" priority="2557">
      <formula>AL6="T"</formula>
    </cfRule>
  </conditionalFormatting>
  <conditionalFormatting sqref="AL7">
    <cfRule type="expression" dxfId="2379" priority="2552">
      <formula>AL6="X"</formula>
    </cfRule>
    <cfRule type="expression" dxfId="2378" priority="2553">
      <formula>AL6="A"</formula>
    </cfRule>
    <cfRule type="expression" dxfId="2377" priority="2554">
      <formula>AL6="T"</formula>
    </cfRule>
  </conditionalFormatting>
  <conditionalFormatting sqref="AL8">
    <cfRule type="expression" dxfId="2376" priority="2549">
      <formula>AL8="X"</formula>
    </cfRule>
    <cfRule type="expression" dxfId="2375" priority="2550">
      <formula>AL8="A"</formula>
    </cfRule>
    <cfRule type="expression" dxfId="2374" priority="2551">
      <formula>AL8="T"</formula>
    </cfRule>
  </conditionalFormatting>
  <conditionalFormatting sqref="AL9">
    <cfRule type="expression" dxfId="2373" priority="2546">
      <formula>AL8="X"</formula>
    </cfRule>
    <cfRule type="expression" dxfId="2372" priority="2547">
      <formula>AL8="A"</formula>
    </cfRule>
    <cfRule type="expression" dxfId="2371" priority="2548">
      <formula>AL8="T"</formula>
    </cfRule>
  </conditionalFormatting>
  <conditionalFormatting sqref="AL74">
    <cfRule type="expression" dxfId="2370" priority="2543">
      <formula>AL74="X"</formula>
    </cfRule>
    <cfRule type="expression" dxfId="2369" priority="2544">
      <formula>AL74="A"</formula>
    </cfRule>
    <cfRule type="expression" dxfId="2368" priority="2545">
      <formula>AL74="T"</formula>
    </cfRule>
  </conditionalFormatting>
  <conditionalFormatting sqref="AL75">
    <cfRule type="expression" dxfId="2367" priority="2540">
      <formula>AL74="X"</formula>
    </cfRule>
    <cfRule type="expression" dxfId="2366" priority="2541">
      <formula>AL74="A"</formula>
    </cfRule>
    <cfRule type="expression" dxfId="2365" priority="2542">
      <formula>AL74="T"</formula>
    </cfRule>
  </conditionalFormatting>
  <conditionalFormatting sqref="AL76">
    <cfRule type="expression" dxfId="2364" priority="2537">
      <formula>AL76="X"</formula>
    </cfRule>
    <cfRule type="expression" dxfId="2363" priority="2538">
      <formula>AL76="A"</formula>
    </cfRule>
    <cfRule type="expression" dxfId="2362" priority="2539">
      <formula>AL76="T"</formula>
    </cfRule>
  </conditionalFormatting>
  <conditionalFormatting sqref="AL77">
    <cfRule type="expression" dxfId="2361" priority="2534">
      <formula>AL76="X"</formula>
    </cfRule>
    <cfRule type="expression" dxfId="2360" priority="2535">
      <formula>AL76="A"</formula>
    </cfRule>
    <cfRule type="expression" dxfId="2359" priority="2536">
      <formula>AL76="T"</formula>
    </cfRule>
  </conditionalFormatting>
  <conditionalFormatting sqref="AL78">
    <cfRule type="expression" dxfId="2358" priority="2531">
      <formula>AL78="X"</formula>
    </cfRule>
    <cfRule type="expression" dxfId="2357" priority="2532">
      <formula>AL78="A"</formula>
    </cfRule>
    <cfRule type="expression" dxfId="2356" priority="2533">
      <formula>AL78="T"</formula>
    </cfRule>
  </conditionalFormatting>
  <conditionalFormatting sqref="AL79">
    <cfRule type="expression" dxfId="2355" priority="2528">
      <formula>AL78="X"</formula>
    </cfRule>
    <cfRule type="expression" dxfId="2354" priority="2529">
      <formula>AL78="A"</formula>
    </cfRule>
    <cfRule type="expression" dxfId="2353" priority="2530">
      <formula>AL78="T"</formula>
    </cfRule>
  </conditionalFormatting>
  <conditionalFormatting sqref="AL139">
    <cfRule type="expression" dxfId="2352" priority="2510">
      <formula>AL138="X"</formula>
    </cfRule>
    <cfRule type="expression" dxfId="2351" priority="2511">
      <formula>AL138="A"</formula>
    </cfRule>
    <cfRule type="expression" dxfId="2350" priority="2512">
      <formula>AL138="T"</formula>
    </cfRule>
  </conditionalFormatting>
  <conditionalFormatting sqref="AL10">
    <cfRule type="expression" dxfId="2349" priority="2507" stopIfTrue="1">
      <formula>AL4=""</formula>
    </cfRule>
  </conditionalFormatting>
  <conditionalFormatting sqref="AL10">
    <cfRule type="expression" dxfId="2348" priority="2508" stopIfTrue="1">
      <formula>AL10=1</formula>
    </cfRule>
    <cfRule type="colorScale" priority="2509">
      <colorScale>
        <cfvo type="num" val="0"/>
        <cfvo type="num" val="0.5"/>
        <cfvo type="num" val="1"/>
        <color rgb="FFF8696B"/>
        <color theme="4" tint="0.79998168889431442"/>
        <color rgb="FF5A8AC6"/>
      </colorScale>
    </cfRule>
  </conditionalFormatting>
  <conditionalFormatting sqref="AL15">
    <cfRule type="expression" dxfId="2347" priority="2504" stopIfTrue="1">
      <formula>AL11=""</formula>
    </cfRule>
  </conditionalFormatting>
  <conditionalFormatting sqref="AL15">
    <cfRule type="expression" dxfId="2346" priority="2505" stopIfTrue="1">
      <formula>AL15=1</formula>
    </cfRule>
    <cfRule type="colorScale" priority="2506">
      <colorScale>
        <cfvo type="num" val="0"/>
        <cfvo type="num" val="0.5"/>
        <cfvo type="num" val="1"/>
        <color rgb="FFF8696B"/>
        <color theme="4" tint="0.79998168889431442"/>
        <color rgb="FF5A8AC6"/>
      </colorScale>
    </cfRule>
  </conditionalFormatting>
  <conditionalFormatting sqref="AL38">
    <cfRule type="expression" dxfId="2345" priority="2501" stopIfTrue="1">
      <formula>AL16=""</formula>
    </cfRule>
  </conditionalFormatting>
  <conditionalFormatting sqref="AL38">
    <cfRule type="expression" dxfId="2344" priority="2502" stopIfTrue="1">
      <formula>AL38=1</formula>
    </cfRule>
    <cfRule type="colorScale" priority="2503">
      <colorScale>
        <cfvo type="num" val="0"/>
        <cfvo type="num" val="0.5"/>
        <cfvo type="num" val="1"/>
        <color rgb="FFF8696B"/>
        <color theme="4" tint="0.79998168889431442"/>
        <color rgb="FF5A8AC6"/>
      </colorScale>
    </cfRule>
  </conditionalFormatting>
  <conditionalFormatting sqref="AL47">
    <cfRule type="expression" dxfId="2343" priority="2498" stopIfTrue="1">
      <formula>AL39=""</formula>
    </cfRule>
  </conditionalFormatting>
  <conditionalFormatting sqref="AL47">
    <cfRule type="expression" dxfId="2342" priority="2499" stopIfTrue="1">
      <formula>AL47=1</formula>
    </cfRule>
    <cfRule type="colorScale" priority="2500">
      <colorScale>
        <cfvo type="num" val="0"/>
        <cfvo type="num" val="0.5"/>
        <cfvo type="num" val="1"/>
        <color rgb="FFF8696B"/>
        <color theme="4" tint="0.79998168889431442"/>
        <color rgb="FF5A8AC6"/>
      </colorScale>
    </cfRule>
  </conditionalFormatting>
  <conditionalFormatting sqref="AL69">
    <cfRule type="expression" dxfId="2341" priority="2493" stopIfTrue="1">
      <formula>AL69=1</formula>
    </cfRule>
    <cfRule type="colorScale" priority="2494">
      <colorScale>
        <cfvo type="num" val="0"/>
        <cfvo type="num" val="0.5"/>
        <cfvo type="num" val="1"/>
        <color rgb="FFF8696B"/>
        <color theme="4" tint="0.79998168889431442"/>
        <color rgb="FF5A8AC6"/>
      </colorScale>
    </cfRule>
  </conditionalFormatting>
  <conditionalFormatting sqref="AL69">
    <cfRule type="expression" dxfId="2340" priority="2492" stopIfTrue="1">
      <formula>AL63=""</formula>
    </cfRule>
  </conditionalFormatting>
  <conditionalFormatting sqref="AL80">
    <cfRule type="expression" dxfId="2339" priority="2489" stopIfTrue="1">
      <formula>AL74=""</formula>
    </cfRule>
  </conditionalFormatting>
  <conditionalFormatting sqref="AL80">
    <cfRule type="expression" dxfId="2338" priority="2490" stopIfTrue="1">
      <formula>AL80=1</formula>
    </cfRule>
    <cfRule type="colorScale" priority="2491">
      <colorScale>
        <cfvo type="num" val="0"/>
        <cfvo type="num" val="0.5"/>
        <cfvo type="num" val="1"/>
        <color rgb="FFF8696B"/>
        <color theme="4" tint="0.79998168889431442"/>
        <color rgb="FF5A8AC6"/>
      </colorScale>
    </cfRule>
  </conditionalFormatting>
  <conditionalFormatting sqref="AL87">
    <cfRule type="expression" dxfId="2337" priority="2486" stopIfTrue="1">
      <formula>AL81=""</formula>
    </cfRule>
  </conditionalFormatting>
  <conditionalFormatting sqref="AL87">
    <cfRule type="expression" dxfId="2336" priority="2487" stopIfTrue="1">
      <formula>AL87=1</formula>
    </cfRule>
    <cfRule type="colorScale" priority="2488">
      <colorScale>
        <cfvo type="num" val="0"/>
        <cfvo type="num" val="0.5"/>
        <cfvo type="num" val="1"/>
        <color rgb="FFF8696B"/>
        <color theme="4" tint="0.79998168889431442"/>
        <color rgb="FF5A8AC6"/>
      </colorScale>
    </cfRule>
  </conditionalFormatting>
  <conditionalFormatting sqref="AL104">
    <cfRule type="expression" dxfId="2335" priority="2483" stopIfTrue="1">
      <formula>AL88=""</formula>
    </cfRule>
  </conditionalFormatting>
  <conditionalFormatting sqref="AL104">
    <cfRule type="expression" dxfId="2334" priority="2484" stopIfTrue="1">
      <formula>AL104=1</formula>
    </cfRule>
    <cfRule type="colorScale" priority="2485">
      <colorScale>
        <cfvo type="num" val="0"/>
        <cfvo type="num" val="0.5"/>
        <cfvo type="num" val="1"/>
        <color rgb="FFF8696B"/>
        <color theme="4" tint="0.79998168889431442"/>
        <color rgb="FF5A8AC6"/>
      </colorScale>
    </cfRule>
  </conditionalFormatting>
  <conditionalFormatting sqref="AL115">
    <cfRule type="expression" dxfId="2333" priority="2480" stopIfTrue="1">
      <formula>AL105=""</formula>
    </cfRule>
  </conditionalFormatting>
  <conditionalFormatting sqref="AL115">
    <cfRule type="expression" dxfId="2332" priority="2481" stopIfTrue="1">
      <formula>AL115=1</formula>
    </cfRule>
    <cfRule type="colorScale" priority="2482">
      <colorScale>
        <cfvo type="num" val="0"/>
        <cfvo type="num" val="0.5"/>
        <cfvo type="num" val="1"/>
        <color rgb="FFF8696B"/>
        <color theme="4" tint="0.79998168889431442"/>
        <color rgb="FF5A8AC6"/>
      </colorScale>
    </cfRule>
  </conditionalFormatting>
  <conditionalFormatting sqref="AL124">
    <cfRule type="expression" dxfId="2331" priority="2477" stopIfTrue="1">
      <formula>AL116=""</formula>
    </cfRule>
  </conditionalFormatting>
  <conditionalFormatting sqref="AL124">
    <cfRule type="expression" dxfId="2330" priority="2478" stopIfTrue="1">
      <formula>AL124=1</formula>
    </cfRule>
    <cfRule type="colorScale" priority="2479">
      <colorScale>
        <cfvo type="num" val="0"/>
        <cfvo type="num" val="0.5"/>
        <cfvo type="num" val="1"/>
        <color rgb="FFF8696B"/>
        <color theme="4" tint="0.79998168889431442"/>
        <color rgb="FF5A8AC6"/>
      </colorScale>
    </cfRule>
  </conditionalFormatting>
  <conditionalFormatting sqref="AL129">
    <cfRule type="expression" dxfId="2329" priority="2474" stopIfTrue="1">
      <formula>AL125=""</formula>
    </cfRule>
  </conditionalFormatting>
  <conditionalFormatting sqref="AL129">
    <cfRule type="expression" dxfId="2328" priority="2475" stopIfTrue="1">
      <formula>AL129=1</formula>
    </cfRule>
    <cfRule type="colorScale" priority="2476">
      <colorScale>
        <cfvo type="num" val="0"/>
        <cfvo type="num" val="0.5"/>
        <cfvo type="num" val="1"/>
        <color rgb="FFF8696B"/>
        <color theme="4" tint="0.79998168889431442"/>
        <color rgb="FF5A8AC6"/>
      </colorScale>
    </cfRule>
  </conditionalFormatting>
  <conditionalFormatting sqref="AL140">
    <cfRule type="expression" dxfId="2327" priority="2471" stopIfTrue="1">
      <formula>AL134=""</formula>
    </cfRule>
  </conditionalFormatting>
  <conditionalFormatting sqref="AL140">
    <cfRule type="expression" dxfId="2326" priority="2472" stopIfTrue="1">
      <formula>AL140=1</formula>
    </cfRule>
    <cfRule type="colorScale" priority="2473">
      <colorScale>
        <cfvo type="num" val="0"/>
        <cfvo type="num" val="0.5"/>
        <cfvo type="num" val="1"/>
        <color rgb="FFF8696B"/>
        <color theme="4" tint="0.79998168889431442"/>
        <color rgb="FF5A8AC6"/>
      </colorScale>
    </cfRule>
  </conditionalFormatting>
  <conditionalFormatting sqref="AL145">
    <cfRule type="expression" dxfId="2325" priority="2468" stopIfTrue="1">
      <formula>AL141=""</formula>
    </cfRule>
  </conditionalFormatting>
  <conditionalFormatting sqref="AL145">
    <cfRule type="expression" dxfId="2324" priority="2469" stopIfTrue="1">
      <formula>AL145=1</formula>
    </cfRule>
    <cfRule type="colorScale" priority="2470">
      <colorScale>
        <cfvo type="num" val="0"/>
        <cfvo type="num" val="0.5"/>
        <cfvo type="num" val="1"/>
        <color rgb="FFF8696B"/>
        <color theme="4" tint="0.79998168889431442"/>
        <color rgb="FF5A8AC6"/>
      </colorScale>
    </cfRule>
  </conditionalFormatting>
  <conditionalFormatting sqref="AL153">
    <cfRule type="expression" dxfId="2323" priority="2465" stopIfTrue="1">
      <formula>AL149=""</formula>
    </cfRule>
  </conditionalFormatting>
  <conditionalFormatting sqref="AL153">
    <cfRule type="expression" dxfId="2322" priority="2466" stopIfTrue="1">
      <formula>AL153=1</formula>
    </cfRule>
    <cfRule type="colorScale" priority="2467">
      <colorScale>
        <cfvo type="num" val="0"/>
        <cfvo type="num" val="0.5"/>
        <cfvo type="num" val="1"/>
        <color rgb="FFF8696B"/>
        <color theme="4" tint="0.79998168889431442"/>
        <color rgb="FF5A8AC6"/>
      </colorScale>
    </cfRule>
  </conditionalFormatting>
  <conditionalFormatting sqref="AL165">
    <cfRule type="expression" dxfId="2321" priority="2462" stopIfTrue="1">
      <formula>AL155=""</formula>
    </cfRule>
  </conditionalFormatting>
  <conditionalFormatting sqref="AL165">
    <cfRule type="expression" dxfId="2320" priority="2463" stopIfTrue="1">
      <formula>AL165=1</formula>
    </cfRule>
    <cfRule type="colorScale" priority="2464">
      <colorScale>
        <cfvo type="num" val="0"/>
        <cfvo type="num" val="0.5"/>
        <cfvo type="num" val="1"/>
        <color rgb="FFF8696B"/>
        <color theme="4" tint="0.79998168889431442"/>
        <color rgb="FF5A8AC6"/>
      </colorScale>
    </cfRule>
  </conditionalFormatting>
  <conditionalFormatting sqref="AL187">
    <cfRule type="expression" dxfId="2319" priority="2459" stopIfTrue="1">
      <formula>AL183=""</formula>
    </cfRule>
  </conditionalFormatting>
  <conditionalFormatting sqref="AL187">
    <cfRule type="expression" dxfId="2318" priority="2460" stopIfTrue="1">
      <formula>AL187=1</formula>
    </cfRule>
    <cfRule type="colorScale" priority="2461">
      <colorScale>
        <cfvo type="num" val="0"/>
        <cfvo type="num" val="0.5"/>
        <cfvo type="num" val="1"/>
        <color rgb="FFF8696B"/>
        <color theme="4" tint="0.79998168889431442"/>
        <color rgb="FF5A8AC6"/>
      </colorScale>
    </cfRule>
  </conditionalFormatting>
  <conditionalFormatting sqref="AL193">
    <cfRule type="expression" dxfId="2317" priority="2456" stopIfTrue="1">
      <formula>AL189=""</formula>
    </cfRule>
  </conditionalFormatting>
  <conditionalFormatting sqref="AL193">
    <cfRule type="expression" dxfId="2316" priority="2457" stopIfTrue="1">
      <formula>AL193=1</formula>
    </cfRule>
    <cfRule type="colorScale" priority="2458">
      <colorScale>
        <cfvo type="num" val="0"/>
        <cfvo type="num" val="0.5"/>
        <cfvo type="num" val="1"/>
        <color rgb="FFF8696B"/>
        <color theme="4" tint="0.79998168889431442"/>
        <color rgb="FF5A8AC6"/>
      </colorScale>
    </cfRule>
  </conditionalFormatting>
  <conditionalFormatting sqref="AL181">
    <cfRule type="expression" dxfId="2315" priority="2453" stopIfTrue="1">
      <formula>AL167=""</formula>
    </cfRule>
  </conditionalFormatting>
  <conditionalFormatting sqref="AL181">
    <cfRule type="expression" dxfId="2314" priority="2454" stopIfTrue="1">
      <formula>AL181=1</formula>
    </cfRule>
    <cfRule type="colorScale" priority="2455">
      <colorScale>
        <cfvo type="num" val="0"/>
        <cfvo type="num" val="0.5"/>
        <cfvo type="num" val="1"/>
        <color rgb="FFF8696B"/>
        <color theme="4" tint="0.79998168889431442"/>
        <color rgb="FF5A8AC6"/>
      </colorScale>
    </cfRule>
  </conditionalFormatting>
  <conditionalFormatting sqref="AL209">
    <cfRule type="expression" dxfId="2313" priority="2450" stopIfTrue="1">
      <formula>AL195=""</formula>
    </cfRule>
  </conditionalFormatting>
  <conditionalFormatting sqref="AL209">
    <cfRule type="expression" dxfId="2312" priority="2451" stopIfTrue="1">
      <formula>AL209=1</formula>
    </cfRule>
    <cfRule type="colorScale" priority="2452">
      <colorScale>
        <cfvo type="num" val="0"/>
        <cfvo type="num" val="0.5"/>
        <cfvo type="num" val="1"/>
        <color rgb="FFF8696B"/>
        <color theme="4" tint="0.79998168889431442"/>
        <color rgb="FF5A8AC6"/>
      </colorScale>
    </cfRule>
  </conditionalFormatting>
  <conditionalFormatting sqref="AL225">
    <cfRule type="expression" dxfId="2311" priority="2447" stopIfTrue="1">
      <formula>AL211=""</formula>
    </cfRule>
  </conditionalFormatting>
  <conditionalFormatting sqref="AL225">
    <cfRule type="expression" dxfId="2310" priority="2448" stopIfTrue="1">
      <formula>AL225=1</formula>
    </cfRule>
    <cfRule type="colorScale" priority="2449">
      <colorScale>
        <cfvo type="num" val="0"/>
        <cfvo type="num" val="0.5"/>
        <cfvo type="num" val="1"/>
        <color rgb="FFF8696B"/>
        <color theme="4" tint="0.79998168889431442"/>
        <color rgb="FF5A8AC6"/>
      </colorScale>
    </cfRule>
  </conditionalFormatting>
  <conditionalFormatting sqref="AL71">
    <cfRule type="expression" dxfId="2309" priority="2439" stopIfTrue="1">
      <formula>AL71=1</formula>
    </cfRule>
    <cfRule type="colorScale" priority="2440">
      <colorScale>
        <cfvo type="num" val="0"/>
        <cfvo type="num" val="0.5"/>
        <cfvo type="num" val="1"/>
        <color rgb="FFF8696B"/>
        <color theme="4" tint="0.79998168889431442"/>
        <color rgb="FF5A8AC6"/>
      </colorScale>
    </cfRule>
  </conditionalFormatting>
  <conditionalFormatting sqref="AL147">
    <cfRule type="expression" dxfId="2308" priority="2444" stopIfTrue="1">
      <formula>AL134=""</formula>
    </cfRule>
  </conditionalFormatting>
  <conditionalFormatting sqref="AL147">
    <cfRule type="expression" dxfId="2307" priority="2445" stopIfTrue="1">
      <formula>AL147=1</formula>
    </cfRule>
    <cfRule type="colorScale" priority="2446">
      <colorScale>
        <cfvo type="num" val="0"/>
        <cfvo type="num" val="0.5"/>
        <cfvo type="num" val="1"/>
        <color rgb="FFF8696B"/>
        <color theme="4" tint="0.79998168889431442"/>
        <color rgb="FF5A8AC6"/>
      </colorScale>
    </cfRule>
  </conditionalFormatting>
  <conditionalFormatting sqref="AL131">
    <cfRule type="expression" dxfId="2306" priority="2441" stopIfTrue="1">
      <formula>AL74=""</formula>
    </cfRule>
  </conditionalFormatting>
  <conditionalFormatting sqref="AL131">
    <cfRule type="expression" dxfId="2305" priority="2442" stopIfTrue="1">
      <formula>AL131=1</formula>
    </cfRule>
    <cfRule type="colorScale" priority="2443">
      <colorScale>
        <cfvo type="num" val="0"/>
        <cfvo type="num" val="0.5"/>
        <cfvo type="num" val="1"/>
        <color rgb="FFF8696B"/>
        <color theme="4" tint="0.79998168889431442"/>
        <color rgb="FF5A8AC6"/>
      </colorScale>
    </cfRule>
  </conditionalFormatting>
  <conditionalFormatting sqref="AL71">
    <cfRule type="expression" dxfId="2304" priority="2438" stopIfTrue="1">
      <formula>AL65=""</formula>
    </cfRule>
  </conditionalFormatting>
  <conditionalFormatting sqref="AL195">
    <cfRule type="expression" dxfId="2303" priority="2435">
      <formula>AL195="X"</formula>
    </cfRule>
    <cfRule type="expression" dxfId="2302" priority="2436">
      <formula>AL195="A"</formula>
    </cfRule>
    <cfRule type="expression" dxfId="2301" priority="2437">
      <formula>AL195="T"</formula>
    </cfRule>
  </conditionalFormatting>
  <conditionalFormatting sqref="AL203">
    <cfRule type="expression" dxfId="2300" priority="2432">
      <formula>AL203="X"</formula>
    </cfRule>
    <cfRule type="expression" dxfId="2299" priority="2433">
      <formula>AL203="A"</formula>
    </cfRule>
    <cfRule type="expression" dxfId="2298" priority="2434">
      <formula>AL203="T"</formula>
    </cfRule>
  </conditionalFormatting>
  <conditionalFormatting sqref="AL205">
    <cfRule type="expression" dxfId="2297" priority="2429">
      <formula>AL205="X"</formula>
    </cfRule>
    <cfRule type="expression" dxfId="2296" priority="2430">
      <formula>AL205="A"</formula>
    </cfRule>
    <cfRule type="expression" dxfId="2295" priority="2431">
      <formula>AL205="T"</formula>
    </cfRule>
  </conditionalFormatting>
  <conditionalFormatting sqref="AL207">
    <cfRule type="expression" dxfId="2294" priority="2426">
      <formula>AL207="X"</formula>
    </cfRule>
    <cfRule type="expression" dxfId="2293" priority="2427">
      <formula>AL207="A"</formula>
    </cfRule>
    <cfRule type="expression" dxfId="2292" priority="2428">
      <formula>AL207="T"</formula>
    </cfRule>
  </conditionalFormatting>
  <conditionalFormatting sqref="AL204">
    <cfRule type="expression" dxfId="2291" priority="2423">
      <formula>AL203="X"</formula>
    </cfRule>
    <cfRule type="expression" dxfId="2290" priority="2424">
      <formula>AL203="A"</formula>
    </cfRule>
    <cfRule type="expression" dxfId="2289" priority="2425">
      <formula>AL203="T"</formula>
    </cfRule>
  </conditionalFormatting>
  <conditionalFormatting sqref="AL206">
    <cfRule type="expression" dxfId="2288" priority="2420">
      <formula>AL205="X"</formula>
    </cfRule>
    <cfRule type="expression" dxfId="2287" priority="2421">
      <formula>AL205="A"</formula>
    </cfRule>
    <cfRule type="expression" dxfId="2286" priority="2422">
      <formula>AL205="T"</formula>
    </cfRule>
  </conditionalFormatting>
  <conditionalFormatting sqref="AL196">
    <cfRule type="expression" dxfId="2285" priority="2417">
      <formula>AL195="X"</formula>
    </cfRule>
    <cfRule type="expression" dxfId="2284" priority="2418">
      <formula>AL195="A"</formula>
    </cfRule>
    <cfRule type="expression" dxfId="2283" priority="2419">
      <formula>AL195="T"</formula>
    </cfRule>
  </conditionalFormatting>
  <conditionalFormatting sqref="AL197">
    <cfRule type="expression" dxfId="2282" priority="2414">
      <formula>AL197="X"</formula>
    </cfRule>
    <cfRule type="expression" dxfId="2281" priority="2415">
      <formula>AL197="A"</formula>
    </cfRule>
    <cfRule type="expression" dxfId="2280" priority="2416">
      <formula>AL197="T"</formula>
    </cfRule>
  </conditionalFormatting>
  <conditionalFormatting sqref="AL198">
    <cfRule type="expression" dxfId="2279" priority="2411">
      <formula>AL197="X"</formula>
    </cfRule>
    <cfRule type="expression" dxfId="2278" priority="2412">
      <formula>AL197="A"</formula>
    </cfRule>
    <cfRule type="expression" dxfId="2277" priority="2413">
      <formula>AL197="T"</formula>
    </cfRule>
  </conditionalFormatting>
  <conditionalFormatting sqref="AL199">
    <cfRule type="expression" dxfId="2276" priority="2408">
      <formula>AL199="X"</formula>
    </cfRule>
    <cfRule type="expression" dxfId="2275" priority="2409">
      <formula>AL199="A"</formula>
    </cfRule>
    <cfRule type="expression" dxfId="2274" priority="2410">
      <formula>AL199="T"</formula>
    </cfRule>
  </conditionalFormatting>
  <conditionalFormatting sqref="AL200">
    <cfRule type="expression" dxfId="2273" priority="2405">
      <formula>AL199="X"</formula>
    </cfRule>
    <cfRule type="expression" dxfId="2272" priority="2406">
      <formula>AL199="A"</formula>
    </cfRule>
    <cfRule type="expression" dxfId="2271" priority="2407">
      <formula>AL199="T"</formula>
    </cfRule>
  </conditionalFormatting>
  <conditionalFormatting sqref="AL201">
    <cfRule type="expression" dxfId="2270" priority="2402">
      <formula>AL201="X"</formula>
    </cfRule>
    <cfRule type="expression" dxfId="2269" priority="2403">
      <formula>AL201="A"</formula>
    </cfRule>
    <cfRule type="expression" dxfId="2268" priority="2404">
      <formula>AL201="T"</formula>
    </cfRule>
  </conditionalFormatting>
  <conditionalFormatting sqref="AL202">
    <cfRule type="expression" dxfId="2267" priority="2399">
      <formula>AL201="X"</formula>
    </cfRule>
    <cfRule type="expression" dxfId="2266" priority="2400">
      <formula>AL201="A"</formula>
    </cfRule>
    <cfRule type="expression" dxfId="2265" priority="2401">
      <formula>AL201="T"</formula>
    </cfRule>
  </conditionalFormatting>
  <conditionalFormatting sqref="AL72">
    <cfRule type="expression" dxfId="2264" priority="2396" stopIfTrue="1">
      <formula>AL4=""</formula>
    </cfRule>
  </conditionalFormatting>
  <conditionalFormatting sqref="AL72">
    <cfRule type="expression" dxfId="2263" priority="2397" stopIfTrue="1">
      <formula>AL72=1</formula>
    </cfRule>
    <cfRule type="colorScale" priority="2398">
      <colorScale>
        <cfvo type="num" val="0"/>
        <cfvo type="num" val="0.5"/>
        <cfvo type="num" val="1"/>
        <color rgb="FFF8696B"/>
        <color theme="4" tint="0.79998168889431442"/>
        <color rgb="FF5A8AC6"/>
      </colorScale>
    </cfRule>
  </conditionalFormatting>
  <conditionalFormatting sqref="AL132">
    <cfRule type="expression" dxfId="2262" priority="2394" stopIfTrue="1">
      <formula>AL132=1</formula>
    </cfRule>
    <cfRule type="colorScale" priority="2395">
      <colorScale>
        <cfvo type="num" val="0"/>
        <cfvo type="num" val="0.5"/>
        <cfvo type="num" val="1"/>
        <color rgb="FFF8696B"/>
        <color theme="4" tint="0.79998168889431442"/>
        <color rgb="FF5A8AC6"/>
      </colorScale>
    </cfRule>
  </conditionalFormatting>
  <conditionalFormatting sqref="AL132">
    <cfRule type="expression" dxfId="2261" priority="2393" stopIfTrue="1">
      <formula>AL74=""</formula>
    </cfRule>
  </conditionalFormatting>
  <conditionalFormatting sqref="AL230:AL237">
    <cfRule type="expression" dxfId="2260" priority="2389" stopIfTrue="1">
      <formula>AL230=_xlfn.UNICHAR(10003)</formula>
    </cfRule>
    <cfRule type="colorScale" priority="2390">
      <colorScale>
        <cfvo type="num" val="0"/>
        <cfvo type="num" val="0.5"/>
        <cfvo type="num" val="1"/>
        <color rgb="FFF8696B"/>
        <color theme="4" tint="0.79998168889431442"/>
        <color rgb="FF5A8AC6"/>
      </colorScale>
    </cfRule>
  </conditionalFormatting>
  <conditionalFormatting sqref="AL239:AL241">
    <cfRule type="expression" dxfId="2259" priority="2387" stopIfTrue="1">
      <formula>AL239=_xlfn.UNICHAR(10003)</formula>
    </cfRule>
    <cfRule type="colorScale" priority="2388">
      <colorScale>
        <cfvo type="num" val="0"/>
        <cfvo type="num" val="0.5"/>
        <cfvo type="num" val="1"/>
        <color rgb="FFF8696B"/>
        <color theme="4" tint="0.79998168889431442"/>
        <color rgb="FF5A8AC6"/>
      </colorScale>
    </cfRule>
  </conditionalFormatting>
  <conditionalFormatting sqref="AL239:AL241">
    <cfRule type="expression" dxfId="2258" priority="2385" stopIfTrue="1">
      <formula>AL239=1</formula>
    </cfRule>
    <cfRule type="colorScale" priority="2386">
      <colorScale>
        <cfvo type="num" val="0"/>
        <cfvo type="num" val="0.5"/>
        <cfvo type="num" val="1"/>
        <color rgb="FFF8696B"/>
        <color theme="4" tint="0.79998168889431442"/>
        <color rgb="FF5A8AC6"/>
      </colorScale>
    </cfRule>
  </conditionalFormatting>
  <conditionalFormatting sqref="AL228">
    <cfRule type="expression" dxfId="2257" priority="2384" stopIfTrue="1">
      <formula>AL228=UNICAHR(10003)</formula>
    </cfRule>
    <cfRule type="expression" dxfId="2256" priority="2391" stopIfTrue="1">
      <formula>AL228=CONCATENATE(_xlfn.UNICHAR(10003),_xlfn.UNICHAR(10003))</formula>
    </cfRule>
    <cfRule type="colorScale" priority="2392">
      <colorScale>
        <cfvo type="num" val="0"/>
        <cfvo type="num" val="0.5"/>
        <cfvo type="num" val="1"/>
        <color rgb="FFF8696B"/>
        <color theme="4" tint="0.79998168889431442"/>
        <color rgb="FF5A8AC6"/>
      </colorScale>
    </cfRule>
  </conditionalFormatting>
  <conditionalFormatting sqref="AL238 AL229">
    <cfRule type="expression" dxfId="2255" priority="2381" stopIfTrue="1">
      <formula>AL229=_xlfn.UNICHAR(10003)</formula>
    </cfRule>
    <cfRule type="expression" dxfId="2254" priority="2382" stopIfTrue="1">
      <formula>AL229=CONCATENATE(_xlfn.UNICHAR(10003),_xlfn.UNICHAR(10003))</formula>
    </cfRule>
    <cfRule type="colorScale" priority="2383">
      <colorScale>
        <cfvo type="num" val="0"/>
        <cfvo type="num" val="0.5"/>
        <cfvo type="num" val="1"/>
        <color rgb="FFF8696B"/>
        <color theme="4" tint="0.79998168889431442"/>
        <color rgb="FF5A8AC6"/>
      </colorScale>
    </cfRule>
  </conditionalFormatting>
  <conditionalFormatting sqref="AL238">
    <cfRule type="expression" dxfId="2253" priority="2378" stopIfTrue="1">
      <formula>AL238=_xlfn.UNICHAR(10003)</formula>
    </cfRule>
    <cfRule type="expression" dxfId="2252" priority="2379" stopIfTrue="1">
      <formula>AL238=CONCATENATE(_xlfn.UNICHAR(10003),_xlfn.UNICHAR(10003))</formula>
    </cfRule>
    <cfRule type="colorScale" priority="2380">
      <colorScale>
        <cfvo type="num" val="0"/>
        <cfvo type="num" val="0.5"/>
        <cfvo type="num" val="1"/>
        <color rgb="FFF8696B"/>
        <color theme="4" tint="0.79998168889431442"/>
        <color rgb="FF5A8AC6"/>
      </colorScale>
    </cfRule>
  </conditionalFormatting>
  <conditionalFormatting sqref="AL159">
    <cfRule type="expression" dxfId="2251" priority="2375">
      <formula>AL159="X"</formula>
    </cfRule>
    <cfRule type="expression" dxfId="2250" priority="2376">
      <formula>AL159="A"</formula>
    </cfRule>
    <cfRule type="expression" dxfId="2249" priority="2377">
      <formula>AL159="T"</formula>
    </cfRule>
  </conditionalFormatting>
  <conditionalFormatting sqref="AL162">
    <cfRule type="expression" dxfId="2248" priority="2372">
      <formula>AL161="X"</formula>
    </cfRule>
    <cfRule type="expression" dxfId="2247" priority="2373">
      <formula>AL161="A"</formula>
    </cfRule>
    <cfRule type="expression" dxfId="2246" priority="2374">
      <formula>AL161="T"</formula>
    </cfRule>
  </conditionalFormatting>
  <conditionalFormatting sqref="AL161">
    <cfRule type="expression" dxfId="2245" priority="2369">
      <formula>AL161="X"</formula>
    </cfRule>
    <cfRule type="expression" dxfId="2244" priority="2370">
      <formula>AL161="A"</formula>
    </cfRule>
    <cfRule type="expression" dxfId="2243" priority="2371">
      <formula>AL161="T"</formula>
    </cfRule>
  </conditionalFormatting>
  <conditionalFormatting sqref="AL164">
    <cfRule type="expression" dxfId="2242" priority="2366">
      <formula>AL163="X"</formula>
    </cfRule>
    <cfRule type="expression" dxfId="2241" priority="2367">
      <formula>AL163="A"</formula>
    </cfRule>
    <cfRule type="expression" dxfId="2240" priority="2368">
      <formula>AL163="T"</formula>
    </cfRule>
  </conditionalFormatting>
  <conditionalFormatting sqref="AL163">
    <cfRule type="expression" dxfId="2239" priority="2363">
      <formula>AL163="X"</formula>
    </cfRule>
    <cfRule type="expression" dxfId="2238" priority="2364">
      <formula>AL163="A"</formula>
    </cfRule>
    <cfRule type="expression" dxfId="2237" priority="2365">
      <formula>AL163="T"</formula>
    </cfRule>
  </conditionalFormatting>
  <conditionalFormatting sqref="AL48">
    <cfRule type="expression" dxfId="2236" priority="2357">
      <formula>AL48="X"</formula>
    </cfRule>
    <cfRule type="expression" dxfId="2235" priority="2358">
      <formula>AL48="A"</formula>
    </cfRule>
    <cfRule type="expression" dxfId="2234" priority="2359">
      <formula>AL48="T"</formula>
    </cfRule>
  </conditionalFormatting>
  <conditionalFormatting sqref="AL52">
    <cfRule type="expression" dxfId="2233" priority="2354">
      <formula>AL52="X"</formula>
    </cfRule>
    <cfRule type="expression" dxfId="2232" priority="2355">
      <formula>AL52="A"</formula>
    </cfRule>
    <cfRule type="expression" dxfId="2231" priority="2356">
      <formula>AL52="T"</formula>
    </cfRule>
  </conditionalFormatting>
  <conditionalFormatting sqref="AL50">
    <cfRule type="expression" dxfId="2230" priority="2351">
      <formula>AL50="X"</formula>
    </cfRule>
    <cfRule type="expression" dxfId="2229" priority="2352">
      <formula>AL50="A"</formula>
    </cfRule>
    <cfRule type="expression" dxfId="2228" priority="2353">
      <formula>AL50="T"</formula>
    </cfRule>
  </conditionalFormatting>
  <conditionalFormatting sqref="AL54">
    <cfRule type="expression" dxfId="2227" priority="2348">
      <formula>AL54="X"</formula>
    </cfRule>
    <cfRule type="expression" dxfId="2226" priority="2349">
      <formula>AL54="A"</formula>
    </cfRule>
    <cfRule type="expression" dxfId="2225" priority="2350">
      <formula>AL54="T"</formula>
    </cfRule>
  </conditionalFormatting>
  <conditionalFormatting sqref="AL56">
    <cfRule type="expression" dxfId="2224" priority="2345">
      <formula>AL56="X"</formula>
    </cfRule>
    <cfRule type="expression" dxfId="2223" priority="2346">
      <formula>AL56="A"</formula>
    </cfRule>
    <cfRule type="expression" dxfId="2222" priority="2347">
      <formula>AL56="T"</formula>
    </cfRule>
  </conditionalFormatting>
  <conditionalFormatting sqref="AL58">
    <cfRule type="expression" dxfId="2221" priority="2342">
      <formula>AL58="X"</formula>
    </cfRule>
    <cfRule type="expression" dxfId="2220" priority="2343">
      <formula>AL58="A"</formula>
    </cfRule>
    <cfRule type="expression" dxfId="2219" priority="2344">
      <formula>AL58="T"</formula>
    </cfRule>
  </conditionalFormatting>
  <conditionalFormatting sqref="AL49">
    <cfRule type="expression" dxfId="2218" priority="2339">
      <formula>AL48="X"</formula>
    </cfRule>
    <cfRule type="expression" dxfId="2217" priority="2340">
      <formula>AL48="A"</formula>
    </cfRule>
    <cfRule type="expression" dxfId="2216" priority="2341">
      <formula>AL48="T"</formula>
    </cfRule>
  </conditionalFormatting>
  <conditionalFormatting sqref="AL51">
    <cfRule type="expression" dxfId="2215" priority="2336">
      <formula>AL50="X"</formula>
    </cfRule>
    <cfRule type="expression" dxfId="2214" priority="2337">
      <formula>AL50="A"</formula>
    </cfRule>
    <cfRule type="expression" dxfId="2213" priority="2338">
      <formula>AL50="T"</formula>
    </cfRule>
  </conditionalFormatting>
  <conditionalFormatting sqref="AL53">
    <cfRule type="expression" dxfId="2212" priority="2333">
      <formula>AL52="X"</formula>
    </cfRule>
    <cfRule type="expression" dxfId="2211" priority="2334">
      <formula>AL52="A"</formula>
    </cfRule>
    <cfRule type="expression" dxfId="2210" priority="2335">
      <formula>AL52="T"</formula>
    </cfRule>
  </conditionalFormatting>
  <conditionalFormatting sqref="AL55">
    <cfRule type="expression" dxfId="2209" priority="2330">
      <formula>AL54="X"</formula>
    </cfRule>
    <cfRule type="expression" dxfId="2208" priority="2331">
      <formula>AL54="A"</formula>
    </cfRule>
    <cfRule type="expression" dxfId="2207" priority="2332">
      <formula>AL54="T"</formula>
    </cfRule>
  </conditionalFormatting>
  <conditionalFormatting sqref="AL57">
    <cfRule type="expression" dxfId="2206" priority="2327">
      <formula>AL56="X"</formula>
    </cfRule>
    <cfRule type="expression" dxfId="2205" priority="2328">
      <formula>AL56="A"</formula>
    </cfRule>
    <cfRule type="expression" dxfId="2204" priority="2329">
      <formula>AL56="T"</formula>
    </cfRule>
  </conditionalFormatting>
  <conditionalFormatting sqref="AL98 AL96 AL94 AL92 AL90">
    <cfRule type="expression" dxfId="2203" priority="2324">
      <formula>AL90="X"</formula>
    </cfRule>
    <cfRule type="expression" dxfId="2202" priority="2325">
      <formula>AL90="A"</formula>
    </cfRule>
    <cfRule type="expression" dxfId="2201" priority="2326">
      <formula>AL90="T"</formula>
    </cfRule>
  </conditionalFormatting>
  <conditionalFormatting sqref="AL91">
    <cfRule type="expression" dxfId="2200" priority="2321">
      <formula>AL90="X"</formula>
    </cfRule>
    <cfRule type="expression" dxfId="2199" priority="2322">
      <formula>AL90="A"</formula>
    </cfRule>
    <cfRule type="expression" dxfId="2198" priority="2323">
      <formula>AL90="T"</formula>
    </cfRule>
  </conditionalFormatting>
  <conditionalFormatting sqref="AL93">
    <cfRule type="expression" dxfId="2197" priority="2318">
      <formula>AL92="X"</formula>
    </cfRule>
    <cfRule type="expression" dxfId="2196" priority="2319">
      <formula>AL92="A"</formula>
    </cfRule>
    <cfRule type="expression" dxfId="2195" priority="2320">
      <formula>AL92="T"</formula>
    </cfRule>
  </conditionalFormatting>
  <conditionalFormatting sqref="AL95">
    <cfRule type="expression" dxfId="2194" priority="2315">
      <formula>AL94="X"</formula>
    </cfRule>
    <cfRule type="expression" dxfId="2193" priority="2316">
      <formula>AL94="A"</formula>
    </cfRule>
    <cfRule type="expression" dxfId="2192" priority="2317">
      <formula>AL94="T"</formula>
    </cfRule>
  </conditionalFormatting>
  <conditionalFormatting sqref="AL97">
    <cfRule type="expression" dxfId="2191" priority="2312">
      <formula>AL96="X"</formula>
    </cfRule>
    <cfRule type="expression" dxfId="2190" priority="2313">
      <formula>AL96="A"</formula>
    </cfRule>
    <cfRule type="expression" dxfId="2189" priority="2314">
      <formula>AL96="T"</formula>
    </cfRule>
  </conditionalFormatting>
  <conditionalFormatting sqref="AL102">
    <cfRule type="expression" dxfId="2188" priority="2309">
      <formula>AL102="X"</formula>
    </cfRule>
    <cfRule type="expression" dxfId="2187" priority="2310">
      <formula>AL102="A"</formula>
    </cfRule>
    <cfRule type="expression" dxfId="2186" priority="2311">
      <formula>AL102="T"</formula>
    </cfRule>
  </conditionalFormatting>
  <conditionalFormatting sqref="AL116">
    <cfRule type="expression" dxfId="2185" priority="2306">
      <formula>AL116="X"</formula>
    </cfRule>
    <cfRule type="expression" dxfId="2184" priority="2307">
      <formula>AL116="A"</formula>
    </cfRule>
    <cfRule type="expression" dxfId="2183" priority="2308">
      <formula>AL116="T"</formula>
    </cfRule>
  </conditionalFormatting>
  <conditionalFormatting sqref="AL118">
    <cfRule type="expression" dxfId="2182" priority="2303">
      <formula>AL118="X"</formula>
    </cfRule>
    <cfRule type="expression" dxfId="2181" priority="2304">
      <formula>AL118="A"</formula>
    </cfRule>
    <cfRule type="expression" dxfId="2180" priority="2305">
      <formula>AL118="T"</formula>
    </cfRule>
  </conditionalFormatting>
  <conditionalFormatting sqref="AL120">
    <cfRule type="expression" dxfId="2179" priority="2300">
      <formula>AL120="X"</formula>
    </cfRule>
    <cfRule type="expression" dxfId="2178" priority="2301">
      <formula>AL120="A"</formula>
    </cfRule>
    <cfRule type="expression" dxfId="2177" priority="2302">
      <formula>AL120="T"</formula>
    </cfRule>
  </conditionalFormatting>
  <conditionalFormatting sqref="AL122">
    <cfRule type="expression" dxfId="2176" priority="2297">
      <formula>AL122="X"</formula>
    </cfRule>
    <cfRule type="expression" dxfId="2175" priority="2298">
      <formula>AL122="A"</formula>
    </cfRule>
    <cfRule type="expression" dxfId="2174" priority="2299">
      <formula>AL122="T"</formula>
    </cfRule>
  </conditionalFormatting>
  <conditionalFormatting sqref="AL117">
    <cfRule type="expression" dxfId="2173" priority="2294">
      <formula>AL116="X"</formula>
    </cfRule>
    <cfRule type="expression" dxfId="2172" priority="2295">
      <formula>AL116="A"</formula>
    </cfRule>
    <cfRule type="expression" dxfId="2171" priority="2296">
      <formula>AL116="T"</formula>
    </cfRule>
  </conditionalFormatting>
  <conditionalFormatting sqref="AL119">
    <cfRule type="expression" dxfId="2170" priority="2291">
      <formula>AL118="X"</formula>
    </cfRule>
    <cfRule type="expression" dxfId="2169" priority="2292">
      <formula>AL118="A"</formula>
    </cfRule>
    <cfRule type="expression" dxfId="2168" priority="2293">
      <formula>AL118="T"</formula>
    </cfRule>
  </conditionalFormatting>
  <conditionalFormatting sqref="AL121">
    <cfRule type="expression" dxfId="2167" priority="2288">
      <formula>AL120="X"</formula>
    </cfRule>
    <cfRule type="expression" dxfId="2166" priority="2289">
      <formula>AL120="A"</formula>
    </cfRule>
    <cfRule type="expression" dxfId="2165" priority="2290">
      <formula>AL120="T"</formula>
    </cfRule>
  </conditionalFormatting>
  <conditionalFormatting sqref="AL134">
    <cfRule type="expression" dxfId="2164" priority="2285">
      <formula>AL134="X"</formula>
    </cfRule>
    <cfRule type="expression" dxfId="2163" priority="2286">
      <formula>AL134="A"</formula>
    </cfRule>
    <cfRule type="expression" dxfId="2162" priority="2287">
      <formula>AL134="T"</formula>
    </cfRule>
  </conditionalFormatting>
  <conditionalFormatting sqref="AL135">
    <cfRule type="expression" dxfId="2161" priority="2282">
      <formula>AL134="X"</formula>
    </cfRule>
    <cfRule type="expression" dxfId="2160" priority="2283">
      <formula>AL134="A"</formula>
    </cfRule>
    <cfRule type="expression" dxfId="2159" priority="2284">
      <formula>AL134="T"</formula>
    </cfRule>
  </conditionalFormatting>
  <conditionalFormatting sqref="AL136">
    <cfRule type="expression" dxfId="2158" priority="2279">
      <formula>AL136="X"</formula>
    </cfRule>
    <cfRule type="expression" dxfId="2157" priority="2280">
      <formula>AL136="A"</formula>
    </cfRule>
    <cfRule type="expression" dxfId="2156" priority="2281">
      <formula>AL136="T"</formula>
    </cfRule>
  </conditionalFormatting>
  <conditionalFormatting sqref="AL137">
    <cfRule type="expression" dxfId="2155" priority="2276">
      <formula>AL136="X"</formula>
    </cfRule>
    <cfRule type="expression" dxfId="2154" priority="2277">
      <formula>AL136="A"</formula>
    </cfRule>
    <cfRule type="expression" dxfId="2153" priority="2278">
      <formula>AL136="T"</formula>
    </cfRule>
  </conditionalFormatting>
  <conditionalFormatting sqref="AL138">
    <cfRule type="expression" dxfId="2152" priority="2273">
      <formula>AL138="X"</formula>
    </cfRule>
    <cfRule type="expression" dxfId="2151" priority="2274">
      <formula>AL138="A"</formula>
    </cfRule>
    <cfRule type="expression" dxfId="2150" priority="2275">
      <formula>AL138="T"</formula>
    </cfRule>
  </conditionalFormatting>
  <conditionalFormatting sqref="AL141">
    <cfRule type="expression" dxfId="2149" priority="2270">
      <formula>AL141="X"</formula>
    </cfRule>
    <cfRule type="expression" dxfId="2148" priority="2271">
      <formula>AL141="A"</formula>
    </cfRule>
    <cfRule type="expression" dxfId="2147" priority="2272">
      <formula>AL141="T"</formula>
    </cfRule>
  </conditionalFormatting>
  <conditionalFormatting sqref="AL143">
    <cfRule type="expression" dxfId="2146" priority="2267">
      <formula>AL143="X"</formula>
    </cfRule>
    <cfRule type="expression" dxfId="2145" priority="2268">
      <formula>AL143="A"</formula>
    </cfRule>
    <cfRule type="expression" dxfId="2144" priority="2269">
      <formula>AL143="T"</formula>
    </cfRule>
  </conditionalFormatting>
  <conditionalFormatting sqref="AL142">
    <cfRule type="expression" dxfId="2143" priority="2264">
      <formula>AL141="X"</formula>
    </cfRule>
    <cfRule type="expression" dxfId="2142" priority="2265">
      <formula>AL141="A"</formula>
    </cfRule>
    <cfRule type="expression" dxfId="2141" priority="2266">
      <formula>AL141="T"</formula>
    </cfRule>
  </conditionalFormatting>
  <conditionalFormatting sqref="AL183">
    <cfRule type="expression" dxfId="2140" priority="2261">
      <formula>AL183="X"</formula>
    </cfRule>
    <cfRule type="expression" dxfId="2139" priority="2262">
      <formula>AL183="A"</formula>
    </cfRule>
    <cfRule type="expression" dxfId="2138" priority="2263">
      <formula>AL183="T"</formula>
    </cfRule>
  </conditionalFormatting>
  <conditionalFormatting sqref="AL185">
    <cfRule type="expression" dxfId="2137" priority="2258">
      <formula>AL185="X"</formula>
    </cfRule>
    <cfRule type="expression" dxfId="2136" priority="2259">
      <formula>AL185="A"</formula>
    </cfRule>
    <cfRule type="expression" dxfId="2135" priority="2260">
      <formula>AL185="T"</formula>
    </cfRule>
  </conditionalFormatting>
  <conditionalFormatting sqref="AL184">
    <cfRule type="expression" dxfId="2134" priority="2255">
      <formula>AL183="X"</formula>
    </cfRule>
    <cfRule type="expression" dxfId="2133" priority="2256">
      <formula>AL183="A"</formula>
    </cfRule>
    <cfRule type="expression" dxfId="2132" priority="2257">
      <formula>AL183="T"</formula>
    </cfRule>
  </conditionalFormatting>
  <conditionalFormatting sqref="AL189">
    <cfRule type="expression" dxfId="2131" priority="2252">
      <formula>AL189="X"</formula>
    </cfRule>
    <cfRule type="expression" dxfId="2130" priority="2253">
      <formula>AL189="A"</formula>
    </cfRule>
    <cfRule type="expression" dxfId="2129" priority="2254">
      <formula>AL189="T"</formula>
    </cfRule>
  </conditionalFormatting>
  <conditionalFormatting sqref="AL191">
    <cfRule type="expression" dxfId="2128" priority="2249">
      <formula>AL191="X"</formula>
    </cfRule>
    <cfRule type="expression" dxfId="2127" priority="2250">
      <formula>AL191="A"</formula>
    </cfRule>
    <cfRule type="expression" dxfId="2126" priority="2251">
      <formula>AL191="T"</formula>
    </cfRule>
  </conditionalFormatting>
  <conditionalFormatting sqref="AL190">
    <cfRule type="expression" dxfId="2125" priority="2246">
      <formula>AL189="X"</formula>
    </cfRule>
    <cfRule type="expression" dxfId="2124" priority="2247">
      <formula>AL189="A"</formula>
    </cfRule>
    <cfRule type="expression" dxfId="2123" priority="2248">
      <formula>AL189="T"</formula>
    </cfRule>
  </conditionalFormatting>
  <conditionalFormatting sqref="M175">
    <cfRule type="expression" dxfId="2122" priority="2243">
      <formula>M175="X"</formula>
    </cfRule>
    <cfRule type="expression" dxfId="2121" priority="2244">
      <formula>M175="A"</formula>
    </cfRule>
    <cfRule type="expression" dxfId="2120" priority="2245">
      <formula>M175="T"</formula>
    </cfRule>
  </conditionalFormatting>
  <conditionalFormatting sqref="M177">
    <cfRule type="expression" dxfId="2119" priority="2240">
      <formula>M177="X"</formula>
    </cfRule>
    <cfRule type="expression" dxfId="2118" priority="2241">
      <formula>M177="A"</formula>
    </cfRule>
    <cfRule type="expression" dxfId="2117" priority="2242">
      <formula>M177="T"</formula>
    </cfRule>
  </conditionalFormatting>
  <conditionalFormatting sqref="M179">
    <cfRule type="expression" dxfId="2116" priority="2237">
      <formula>M179="X"</formula>
    </cfRule>
    <cfRule type="expression" dxfId="2115" priority="2238">
      <formula>M179="A"</formula>
    </cfRule>
    <cfRule type="expression" dxfId="2114" priority="2239">
      <formula>M179="T"</formula>
    </cfRule>
  </conditionalFormatting>
  <conditionalFormatting sqref="M167">
    <cfRule type="expression" dxfId="2113" priority="2234">
      <formula>M167="X"</formula>
    </cfRule>
    <cfRule type="expression" dxfId="2112" priority="2235">
      <formula>M167="A"</formula>
    </cfRule>
    <cfRule type="expression" dxfId="2111" priority="2236">
      <formula>M167="T"</formula>
    </cfRule>
  </conditionalFormatting>
  <conditionalFormatting sqref="M169">
    <cfRule type="expression" dxfId="2110" priority="2231">
      <formula>M169="X"</formula>
    </cfRule>
    <cfRule type="expression" dxfId="2109" priority="2232">
      <formula>M169="A"</formula>
    </cfRule>
    <cfRule type="expression" dxfId="2108" priority="2233">
      <formula>M169="T"</formula>
    </cfRule>
  </conditionalFormatting>
  <conditionalFormatting sqref="M171">
    <cfRule type="expression" dxfId="2107" priority="2228">
      <formula>M171="X"</formula>
    </cfRule>
    <cfRule type="expression" dxfId="2106" priority="2229">
      <formula>M171="A"</formula>
    </cfRule>
    <cfRule type="expression" dxfId="2105" priority="2230">
      <formula>M171="T"</formula>
    </cfRule>
  </conditionalFormatting>
  <conditionalFormatting sqref="M11">
    <cfRule type="expression" dxfId="2104" priority="2225">
      <formula>M11="X"</formula>
    </cfRule>
    <cfRule type="expression" dxfId="2103" priority="2226">
      <formula>M11="A"</formula>
    </cfRule>
    <cfRule type="expression" dxfId="2102" priority="2227">
      <formula>M11="T"</formula>
    </cfRule>
  </conditionalFormatting>
  <conditionalFormatting sqref="M34">
    <cfRule type="expression" dxfId="2101" priority="2222">
      <formula>M34="X"</formula>
    </cfRule>
    <cfRule type="expression" dxfId="2100" priority="2223">
      <formula>M34="A"</formula>
    </cfRule>
    <cfRule type="expression" dxfId="2099" priority="2224">
      <formula>M34="T"</formula>
    </cfRule>
  </conditionalFormatting>
  <conditionalFormatting sqref="M28">
    <cfRule type="expression" dxfId="2098" priority="2219">
      <formula>M28="X"</formula>
    </cfRule>
    <cfRule type="expression" dxfId="2097" priority="2220">
      <formula>M28="A"</formula>
    </cfRule>
    <cfRule type="expression" dxfId="2096" priority="2221">
      <formula>M28="T"</formula>
    </cfRule>
  </conditionalFormatting>
  <conditionalFormatting sqref="M18">
    <cfRule type="expression" dxfId="2095" priority="2216">
      <formula>M18="X"</formula>
    </cfRule>
    <cfRule type="expression" dxfId="2094" priority="2217">
      <formula>M18="A"</formula>
    </cfRule>
    <cfRule type="expression" dxfId="2093" priority="2218">
      <formula>M18="T"</formula>
    </cfRule>
  </conditionalFormatting>
  <conditionalFormatting sqref="M16">
    <cfRule type="expression" dxfId="2092" priority="2213">
      <formula>M16="X"</formula>
    </cfRule>
    <cfRule type="expression" dxfId="2091" priority="2214">
      <formula>M16="A"</formula>
    </cfRule>
    <cfRule type="expression" dxfId="2090" priority="2215">
      <formula>M16="T"</formula>
    </cfRule>
  </conditionalFormatting>
  <conditionalFormatting sqref="M24">
    <cfRule type="expression" dxfId="2089" priority="2210">
      <formula>M24="X"</formula>
    </cfRule>
    <cfRule type="expression" dxfId="2088" priority="2211">
      <formula>M24="A"</formula>
    </cfRule>
    <cfRule type="expression" dxfId="2087" priority="2212">
      <formula>M24="T"</formula>
    </cfRule>
  </conditionalFormatting>
  <conditionalFormatting sqref="M30">
    <cfRule type="expression" dxfId="2086" priority="2207">
      <formula>M30="X"</formula>
    </cfRule>
    <cfRule type="expression" dxfId="2085" priority="2208">
      <formula>M30="A"</formula>
    </cfRule>
    <cfRule type="expression" dxfId="2084" priority="2209">
      <formula>M30="T"</formula>
    </cfRule>
  </conditionalFormatting>
  <conditionalFormatting sqref="M32">
    <cfRule type="expression" dxfId="2083" priority="2204">
      <formula>M32="X"</formula>
    </cfRule>
    <cfRule type="expression" dxfId="2082" priority="2205">
      <formula>M32="A"</formula>
    </cfRule>
    <cfRule type="expression" dxfId="2081" priority="2206">
      <formula>M32="T"</formula>
    </cfRule>
  </conditionalFormatting>
  <conditionalFormatting sqref="M36">
    <cfRule type="expression" dxfId="2080" priority="2201">
      <formula>M36="X"</formula>
    </cfRule>
    <cfRule type="expression" dxfId="2079" priority="2202">
      <formula>M36="A"</formula>
    </cfRule>
    <cfRule type="expression" dxfId="2078" priority="2203">
      <formula>M36="T"</formula>
    </cfRule>
  </conditionalFormatting>
  <conditionalFormatting sqref="M6">
    <cfRule type="expression" dxfId="2077" priority="2198">
      <formula>M6="X"</formula>
    </cfRule>
    <cfRule type="expression" dxfId="2076" priority="2199">
      <formula>M6="A"</formula>
    </cfRule>
    <cfRule type="expression" dxfId="2075" priority="2200">
      <formula>M6="T"</formula>
    </cfRule>
  </conditionalFormatting>
  <conditionalFormatting sqref="M8">
    <cfRule type="expression" dxfId="2074" priority="2195">
      <formula>M8="X"</formula>
    </cfRule>
    <cfRule type="expression" dxfId="2073" priority="2196">
      <formula>M8="A"</formula>
    </cfRule>
    <cfRule type="expression" dxfId="2072" priority="2197">
      <formula>M8="T"</formula>
    </cfRule>
  </conditionalFormatting>
  <conditionalFormatting sqref="M109">
    <cfRule type="expression" dxfId="2071" priority="2192">
      <formula>M109="X"</formula>
    </cfRule>
    <cfRule type="expression" dxfId="2070" priority="2193">
      <formula>M109="A"</formula>
    </cfRule>
    <cfRule type="expression" dxfId="2069" priority="2194">
      <formula>M109="T"</formula>
    </cfRule>
  </conditionalFormatting>
  <conditionalFormatting sqref="M113">
    <cfRule type="expression" dxfId="2068" priority="2189">
      <formula>M113="X"</formula>
    </cfRule>
    <cfRule type="expression" dxfId="2067" priority="2190">
      <formula>M113="A"</formula>
    </cfRule>
    <cfRule type="expression" dxfId="2066" priority="2191">
      <formula>M113="T"</formula>
    </cfRule>
  </conditionalFormatting>
  <conditionalFormatting sqref="M111">
    <cfRule type="expression" dxfId="2065" priority="2186">
      <formula>M111="X"</formula>
    </cfRule>
    <cfRule type="expression" dxfId="2064" priority="2187">
      <formula>M111="A"</formula>
    </cfRule>
    <cfRule type="expression" dxfId="2063" priority="2188">
      <formula>M111="T"</formula>
    </cfRule>
  </conditionalFormatting>
  <conditionalFormatting sqref="M105">
    <cfRule type="expression" dxfId="2062" priority="2183">
      <formula>M105="X"</formula>
    </cfRule>
    <cfRule type="expression" dxfId="2061" priority="2184">
      <formula>M105="A"</formula>
    </cfRule>
    <cfRule type="expression" dxfId="2060" priority="2185">
      <formula>M105="T"</formula>
    </cfRule>
  </conditionalFormatting>
  <conditionalFormatting sqref="M107">
    <cfRule type="expression" dxfId="2059" priority="2180">
      <formula>M107="X"</formula>
    </cfRule>
    <cfRule type="expression" dxfId="2058" priority="2181">
      <formula>M107="A"</formula>
    </cfRule>
    <cfRule type="expression" dxfId="2057" priority="2182">
      <formula>M107="T"</formula>
    </cfRule>
  </conditionalFormatting>
  <conditionalFormatting sqref="M118">
    <cfRule type="expression" dxfId="2056" priority="2177">
      <formula>M118="X"</formula>
    </cfRule>
    <cfRule type="expression" dxfId="2055" priority="2178">
      <formula>M118="A"</formula>
    </cfRule>
    <cfRule type="expression" dxfId="2054" priority="2179">
      <formula>M118="T"</formula>
    </cfRule>
  </conditionalFormatting>
  <conditionalFormatting sqref="M120">
    <cfRule type="expression" dxfId="2053" priority="2174">
      <formula>M120="X"</formula>
    </cfRule>
    <cfRule type="expression" dxfId="2052" priority="2175">
      <formula>M120="A"</formula>
    </cfRule>
    <cfRule type="expression" dxfId="2051" priority="2176">
      <formula>M120="T"</formula>
    </cfRule>
  </conditionalFormatting>
  <conditionalFormatting sqref="M163">
    <cfRule type="expression" dxfId="2050" priority="2171">
      <formula>M163="X"</formula>
    </cfRule>
    <cfRule type="expression" dxfId="2049" priority="2172">
      <formula>M163="A"</formula>
    </cfRule>
    <cfRule type="expression" dxfId="2048" priority="2173">
      <formula>M163="T"</formula>
    </cfRule>
  </conditionalFormatting>
  <conditionalFormatting sqref="M211">
    <cfRule type="expression" dxfId="2047" priority="2168">
      <formula>M211="X"</formula>
    </cfRule>
    <cfRule type="expression" dxfId="2046" priority="2169">
      <formula>M211="A"</formula>
    </cfRule>
    <cfRule type="expression" dxfId="2045" priority="2170">
      <formula>M211="T"</formula>
    </cfRule>
  </conditionalFormatting>
  <conditionalFormatting sqref="M215">
    <cfRule type="expression" dxfId="2044" priority="2165">
      <formula>M215="X"</formula>
    </cfRule>
    <cfRule type="expression" dxfId="2043" priority="2166">
      <formula>M215="A"</formula>
    </cfRule>
    <cfRule type="expression" dxfId="2042" priority="2167">
      <formula>M215="T"</formula>
    </cfRule>
  </conditionalFormatting>
  <conditionalFormatting sqref="AA158">
    <cfRule type="expression" dxfId="2041" priority="2162">
      <formula>AA157="X"</formula>
    </cfRule>
    <cfRule type="expression" dxfId="2040" priority="2163">
      <formula>AA157="A"</formula>
    </cfRule>
    <cfRule type="expression" dxfId="2039" priority="2164">
      <formula>AA157="T"</formula>
    </cfRule>
  </conditionalFormatting>
  <conditionalFormatting sqref="AA16 AA18 AA20 AA22 AA24 AA26 AA28 AA39 AA41 AA43 AA45 AA48 AA81 AA88 AA90 AA92 AA94 AA96 AA98 AA100 AA102 AA105 AA107 AA109 AA111 AA116">
    <cfRule type="expression" dxfId="2038" priority="2159">
      <formula>AA16="X"</formula>
    </cfRule>
    <cfRule type="expression" dxfId="2037" priority="2160">
      <formula>AA16="A"</formula>
    </cfRule>
    <cfRule type="expression" dxfId="2036" priority="2161">
      <formula>AA16="T"</formula>
    </cfRule>
  </conditionalFormatting>
  <conditionalFormatting sqref="AA36">
    <cfRule type="expression" dxfId="2035" priority="2156">
      <formula>AA36="X"</formula>
    </cfRule>
    <cfRule type="expression" dxfId="2034" priority="2157">
      <formula>AA36="A"</formula>
    </cfRule>
    <cfRule type="expression" dxfId="2033" priority="2158">
      <formula>AA36="T"</formula>
    </cfRule>
  </conditionalFormatting>
  <conditionalFormatting sqref="AA34">
    <cfRule type="expression" dxfId="2032" priority="2153">
      <formula>AA34="X"</formula>
    </cfRule>
    <cfRule type="expression" dxfId="2031" priority="2154">
      <formula>AA34="A"</formula>
    </cfRule>
    <cfRule type="expression" dxfId="2030" priority="2155">
      <formula>AA34="T"</formula>
    </cfRule>
  </conditionalFormatting>
  <conditionalFormatting sqref="AA32">
    <cfRule type="expression" dxfId="2029" priority="2150">
      <formula>AA32="X"</formula>
    </cfRule>
    <cfRule type="expression" dxfId="2028" priority="2151">
      <formula>AA32="A"</formula>
    </cfRule>
    <cfRule type="expression" dxfId="2027" priority="2152">
      <formula>AA32="T"</formula>
    </cfRule>
  </conditionalFormatting>
  <conditionalFormatting sqref="AA30">
    <cfRule type="expression" dxfId="2026" priority="2147">
      <formula>AA30="X"</formula>
    </cfRule>
    <cfRule type="expression" dxfId="2025" priority="2148">
      <formula>AA30="A"</formula>
    </cfRule>
    <cfRule type="expression" dxfId="2024" priority="2149">
      <formula>AA30="T"</formula>
    </cfRule>
  </conditionalFormatting>
  <conditionalFormatting sqref="AA52">
    <cfRule type="expression" dxfId="2023" priority="2144">
      <formula>AA52="X"</formula>
    </cfRule>
    <cfRule type="expression" dxfId="2022" priority="2145">
      <formula>AA52="A"</formula>
    </cfRule>
    <cfRule type="expression" dxfId="2021" priority="2146">
      <formula>AA52="T"</formula>
    </cfRule>
  </conditionalFormatting>
  <conditionalFormatting sqref="AA50">
    <cfRule type="expression" dxfId="2020" priority="2141">
      <formula>AA50="X"</formula>
    </cfRule>
    <cfRule type="expression" dxfId="2019" priority="2142">
      <formula>AA50="A"</formula>
    </cfRule>
    <cfRule type="expression" dxfId="2018" priority="2143">
      <formula>AA50="T"</formula>
    </cfRule>
  </conditionalFormatting>
  <conditionalFormatting sqref="AA54">
    <cfRule type="expression" dxfId="2017" priority="2138">
      <formula>AA54="X"</formula>
    </cfRule>
    <cfRule type="expression" dxfId="2016" priority="2139">
      <formula>AA54="A"</formula>
    </cfRule>
    <cfRule type="expression" dxfId="2015" priority="2140">
      <formula>AA54="T"</formula>
    </cfRule>
  </conditionalFormatting>
  <conditionalFormatting sqref="AA56">
    <cfRule type="expression" dxfId="2014" priority="2135">
      <formula>AA56="X"</formula>
    </cfRule>
    <cfRule type="expression" dxfId="2013" priority="2136">
      <formula>AA56="A"</formula>
    </cfRule>
    <cfRule type="expression" dxfId="2012" priority="2137">
      <formula>AA56="T"</formula>
    </cfRule>
  </conditionalFormatting>
  <conditionalFormatting sqref="AA58">
    <cfRule type="expression" dxfId="2011" priority="2132">
      <formula>AA58="X"</formula>
    </cfRule>
    <cfRule type="expression" dxfId="2010" priority="2133">
      <formula>AA58="A"</formula>
    </cfRule>
    <cfRule type="expression" dxfId="2009" priority="2134">
      <formula>AA58="T"</formula>
    </cfRule>
  </conditionalFormatting>
  <conditionalFormatting sqref="AA63">
    <cfRule type="expression" dxfId="2008" priority="2129">
      <formula>AA63="X"</formula>
    </cfRule>
    <cfRule type="expression" dxfId="2007" priority="2130">
      <formula>AA63="A"</formula>
    </cfRule>
    <cfRule type="expression" dxfId="2006" priority="2131">
      <formula>AA63="T"</formula>
    </cfRule>
  </conditionalFormatting>
  <conditionalFormatting sqref="AA65">
    <cfRule type="expression" dxfId="2005" priority="2126">
      <formula>AA65="X"</formula>
    </cfRule>
    <cfRule type="expression" dxfId="2004" priority="2127">
      <formula>AA65="A"</formula>
    </cfRule>
    <cfRule type="expression" dxfId="2003" priority="2128">
      <formula>AA65="T"</formula>
    </cfRule>
  </conditionalFormatting>
  <conditionalFormatting sqref="AA83">
    <cfRule type="expression" dxfId="2002" priority="2123">
      <formula>AA83="X"</formula>
    </cfRule>
    <cfRule type="expression" dxfId="2001" priority="2124">
      <formula>AA83="A"</formula>
    </cfRule>
    <cfRule type="expression" dxfId="2000" priority="2125">
      <formula>AA83="T"</formula>
    </cfRule>
  </conditionalFormatting>
  <conditionalFormatting sqref="AA85">
    <cfRule type="expression" dxfId="1999" priority="2120">
      <formula>AA85="X"</formula>
    </cfRule>
    <cfRule type="expression" dxfId="1998" priority="2121">
      <formula>AA85="A"</formula>
    </cfRule>
    <cfRule type="expression" dxfId="1997" priority="2122">
      <formula>AA85="T"</formula>
    </cfRule>
  </conditionalFormatting>
  <conditionalFormatting sqref="AA67">
    <cfRule type="expression" dxfId="1996" priority="2117">
      <formula>AA67="X"</formula>
    </cfRule>
    <cfRule type="expression" dxfId="1995" priority="2118">
      <formula>AA67="A"</formula>
    </cfRule>
    <cfRule type="expression" dxfId="1994" priority="2119">
      <formula>AA67="T"</formula>
    </cfRule>
  </conditionalFormatting>
  <conditionalFormatting sqref="AA113">
    <cfRule type="expression" dxfId="1993" priority="2114">
      <formula>AA113="X"</formula>
    </cfRule>
    <cfRule type="expression" dxfId="1992" priority="2115">
      <formula>AA113="A"</formula>
    </cfRule>
    <cfRule type="expression" dxfId="1991" priority="2116">
      <formula>AA113="T"</formula>
    </cfRule>
  </conditionalFormatting>
  <conditionalFormatting sqref="AA118">
    <cfRule type="expression" dxfId="1990" priority="2111">
      <formula>AA118="X"</formula>
    </cfRule>
    <cfRule type="expression" dxfId="1989" priority="2112">
      <formula>AA118="A"</formula>
    </cfRule>
    <cfRule type="expression" dxfId="1988" priority="2113">
      <formula>AA118="T"</formula>
    </cfRule>
  </conditionalFormatting>
  <conditionalFormatting sqref="AA120">
    <cfRule type="expression" dxfId="1987" priority="2108">
      <formula>AA120="X"</formula>
    </cfRule>
    <cfRule type="expression" dxfId="1986" priority="2109">
      <formula>AA120="A"</formula>
    </cfRule>
    <cfRule type="expression" dxfId="1985" priority="2110">
      <formula>AA120="T"</formula>
    </cfRule>
  </conditionalFormatting>
  <conditionalFormatting sqref="AA122">
    <cfRule type="expression" dxfId="1984" priority="2105">
      <formula>AA122="X"</formula>
    </cfRule>
    <cfRule type="expression" dxfId="1983" priority="2106">
      <formula>AA122="A"</formula>
    </cfRule>
    <cfRule type="expression" dxfId="1982" priority="2107">
      <formula>AA122="T"</formula>
    </cfRule>
  </conditionalFormatting>
  <conditionalFormatting sqref="AA125">
    <cfRule type="expression" dxfId="1981" priority="2102">
      <formula>AA125="X"</formula>
    </cfRule>
    <cfRule type="expression" dxfId="1980" priority="2103">
      <formula>AA125="A"</formula>
    </cfRule>
    <cfRule type="expression" dxfId="1979" priority="2104">
      <formula>AA125="T"</formula>
    </cfRule>
  </conditionalFormatting>
  <conditionalFormatting sqref="AA127">
    <cfRule type="expression" dxfId="1978" priority="2099">
      <formula>AA127="X"</formula>
    </cfRule>
    <cfRule type="expression" dxfId="1977" priority="2100">
      <formula>AA127="A"</formula>
    </cfRule>
    <cfRule type="expression" dxfId="1976" priority="2101">
      <formula>AA127="T"</formula>
    </cfRule>
  </conditionalFormatting>
  <conditionalFormatting sqref="AA141">
    <cfRule type="expression" dxfId="1975" priority="2096">
      <formula>AA141="X"</formula>
    </cfRule>
    <cfRule type="expression" dxfId="1974" priority="2097">
      <formula>AA141="A"</formula>
    </cfRule>
    <cfRule type="expression" dxfId="1973" priority="2098">
      <formula>AA141="T"</formula>
    </cfRule>
  </conditionalFormatting>
  <conditionalFormatting sqref="AA143">
    <cfRule type="expression" dxfId="1972" priority="2093">
      <formula>AA143="X"</formula>
    </cfRule>
    <cfRule type="expression" dxfId="1971" priority="2094">
      <formula>AA143="A"</formula>
    </cfRule>
    <cfRule type="expression" dxfId="1970" priority="2095">
      <formula>AA143="T"</formula>
    </cfRule>
  </conditionalFormatting>
  <conditionalFormatting sqref="AA149">
    <cfRule type="expression" dxfId="1969" priority="2090">
      <formula>AA149="X"</formula>
    </cfRule>
    <cfRule type="expression" dxfId="1968" priority="2091">
      <formula>AA149="A"</formula>
    </cfRule>
    <cfRule type="expression" dxfId="1967" priority="2092">
      <formula>AA149="T"</formula>
    </cfRule>
  </conditionalFormatting>
  <conditionalFormatting sqref="AA151">
    <cfRule type="expression" dxfId="1966" priority="2087">
      <formula>AA151="X"</formula>
    </cfRule>
    <cfRule type="expression" dxfId="1965" priority="2088">
      <formula>AA151="A"</formula>
    </cfRule>
    <cfRule type="expression" dxfId="1964" priority="2089">
      <formula>AA151="T"</formula>
    </cfRule>
  </conditionalFormatting>
  <conditionalFormatting sqref="AA155">
    <cfRule type="expression" dxfId="1963" priority="2084">
      <formula>AA155="X"</formula>
    </cfRule>
    <cfRule type="expression" dxfId="1962" priority="2085">
      <formula>AA155="A"</formula>
    </cfRule>
    <cfRule type="expression" dxfId="1961" priority="2086">
      <formula>AA155="T"</formula>
    </cfRule>
  </conditionalFormatting>
  <conditionalFormatting sqref="AA157">
    <cfRule type="expression" dxfId="1960" priority="2081">
      <formula>AA157="X"</formula>
    </cfRule>
    <cfRule type="expression" dxfId="1959" priority="2082">
      <formula>AA157="A"</formula>
    </cfRule>
    <cfRule type="expression" dxfId="1958" priority="2083">
      <formula>AA157="T"</formula>
    </cfRule>
  </conditionalFormatting>
  <conditionalFormatting sqref="AA167">
    <cfRule type="expression" dxfId="1957" priority="2078">
      <formula>AA167="X"</formula>
    </cfRule>
    <cfRule type="expression" dxfId="1956" priority="2079">
      <formula>AA167="A"</formula>
    </cfRule>
    <cfRule type="expression" dxfId="1955" priority="2080">
      <formula>AA167="T"</formula>
    </cfRule>
  </conditionalFormatting>
  <conditionalFormatting sqref="AA173">
    <cfRule type="expression" dxfId="1954" priority="2075">
      <formula>AA173="X"</formula>
    </cfRule>
    <cfRule type="expression" dxfId="1953" priority="2076">
      <formula>AA173="A"</formula>
    </cfRule>
    <cfRule type="expression" dxfId="1952" priority="2077">
      <formula>AA173="T"</formula>
    </cfRule>
  </conditionalFormatting>
  <conditionalFormatting sqref="AA175">
    <cfRule type="expression" dxfId="1951" priority="2072">
      <formula>AA175="X"</formula>
    </cfRule>
    <cfRule type="expression" dxfId="1950" priority="2073">
      <formula>AA175="A"</formula>
    </cfRule>
    <cfRule type="expression" dxfId="1949" priority="2074">
      <formula>AA175="T"</formula>
    </cfRule>
  </conditionalFormatting>
  <conditionalFormatting sqref="AA177">
    <cfRule type="expression" dxfId="1948" priority="2069">
      <formula>AA177="X"</formula>
    </cfRule>
    <cfRule type="expression" dxfId="1947" priority="2070">
      <formula>AA177="A"</formula>
    </cfRule>
    <cfRule type="expression" dxfId="1946" priority="2071">
      <formula>AA177="T"</formula>
    </cfRule>
  </conditionalFormatting>
  <conditionalFormatting sqref="AA179">
    <cfRule type="expression" dxfId="1945" priority="2066">
      <formula>AA179="X"</formula>
    </cfRule>
    <cfRule type="expression" dxfId="1944" priority="2067">
      <formula>AA179="A"</formula>
    </cfRule>
    <cfRule type="expression" dxfId="1943" priority="2068">
      <formula>AA179="T"</formula>
    </cfRule>
  </conditionalFormatting>
  <conditionalFormatting sqref="AA169">
    <cfRule type="expression" dxfId="1942" priority="2063">
      <formula>AA169="X"</formula>
    </cfRule>
    <cfRule type="expression" dxfId="1941" priority="2064">
      <formula>AA169="A"</formula>
    </cfRule>
    <cfRule type="expression" dxfId="1940" priority="2065">
      <formula>AA169="T"</formula>
    </cfRule>
  </conditionalFormatting>
  <conditionalFormatting sqref="AA171">
    <cfRule type="expression" dxfId="1939" priority="2060">
      <formula>AA171="X"</formula>
    </cfRule>
    <cfRule type="expression" dxfId="1938" priority="2061">
      <formula>AA171="A"</formula>
    </cfRule>
    <cfRule type="expression" dxfId="1937" priority="2062">
      <formula>AA171="T"</formula>
    </cfRule>
  </conditionalFormatting>
  <conditionalFormatting sqref="AA183">
    <cfRule type="expression" dxfId="1936" priority="2057">
      <formula>AA183="X"</formula>
    </cfRule>
    <cfRule type="expression" dxfId="1935" priority="2058">
      <formula>AA183="A"</formula>
    </cfRule>
    <cfRule type="expression" dxfId="1934" priority="2059">
      <formula>AA183="T"</formula>
    </cfRule>
  </conditionalFormatting>
  <conditionalFormatting sqref="AA185">
    <cfRule type="expression" dxfId="1933" priority="2054">
      <formula>AA185="X"</formula>
    </cfRule>
    <cfRule type="expression" dxfId="1932" priority="2055">
      <formula>AA185="A"</formula>
    </cfRule>
    <cfRule type="expression" dxfId="1931" priority="2056">
      <formula>AA185="T"</formula>
    </cfRule>
  </conditionalFormatting>
  <conditionalFormatting sqref="AA189">
    <cfRule type="expression" dxfId="1930" priority="2051">
      <formula>AA189="X"</formula>
    </cfRule>
    <cfRule type="expression" dxfId="1929" priority="2052">
      <formula>AA189="A"</formula>
    </cfRule>
    <cfRule type="expression" dxfId="1928" priority="2053">
      <formula>AA189="T"</formula>
    </cfRule>
  </conditionalFormatting>
  <conditionalFormatting sqref="AA191">
    <cfRule type="expression" dxfId="1927" priority="2048">
      <formula>AA191="X"</formula>
    </cfRule>
    <cfRule type="expression" dxfId="1926" priority="2049">
      <formula>AA191="A"</formula>
    </cfRule>
    <cfRule type="expression" dxfId="1925" priority="2050">
      <formula>AA191="T"</formula>
    </cfRule>
  </conditionalFormatting>
  <conditionalFormatting sqref="AA11">
    <cfRule type="expression" dxfId="1924" priority="2045">
      <formula>AA11="X"</formula>
    </cfRule>
    <cfRule type="expression" dxfId="1923" priority="2046">
      <formula>AA11="A"</formula>
    </cfRule>
    <cfRule type="expression" dxfId="1922" priority="2047">
      <formula>AA11="T"</formula>
    </cfRule>
  </conditionalFormatting>
  <conditionalFormatting sqref="AA12">
    <cfRule type="expression" dxfId="1921" priority="2042">
      <formula>AA11="X"</formula>
    </cfRule>
    <cfRule type="expression" dxfId="1920" priority="2043">
      <formula>AA11="A"</formula>
    </cfRule>
    <cfRule type="expression" dxfId="1919" priority="2044">
      <formula>AA11="T"</formula>
    </cfRule>
  </conditionalFormatting>
  <conditionalFormatting sqref="AA13">
    <cfRule type="expression" dxfId="1918" priority="2039">
      <formula>AA13="X"</formula>
    </cfRule>
    <cfRule type="expression" dxfId="1917" priority="2040">
      <formula>AA13="A"</formula>
    </cfRule>
    <cfRule type="expression" dxfId="1916" priority="2041">
      <formula>AA13="T"</formula>
    </cfRule>
  </conditionalFormatting>
  <conditionalFormatting sqref="AA14">
    <cfRule type="expression" dxfId="1915" priority="2036">
      <formula>AA13="X"</formula>
    </cfRule>
    <cfRule type="expression" dxfId="1914" priority="2037">
      <formula>AA13="A"</formula>
    </cfRule>
    <cfRule type="expression" dxfId="1913" priority="2038">
      <formula>AA13="T"</formula>
    </cfRule>
  </conditionalFormatting>
  <conditionalFormatting sqref="AA17">
    <cfRule type="expression" dxfId="1912" priority="2033">
      <formula>AA16="X"</formula>
    </cfRule>
    <cfRule type="expression" dxfId="1911" priority="2034">
      <formula>AA16="A"</formula>
    </cfRule>
    <cfRule type="expression" dxfId="1910" priority="2035">
      <formula>AA16="T"</formula>
    </cfRule>
  </conditionalFormatting>
  <conditionalFormatting sqref="AA19">
    <cfRule type="expression" dxfId="1909" priority="2027">
      <formula>AA18="X"</formula>
    </cfRule>
    <cfRule type="expression" dxfId="1908" priority="2028">
      <formula>AA18="A"</formula>
    </cfRule>
    <cfRule type="expression" dxfId="1907" priority="2029">
      <formula>AA18="T"</formula>
    </cfRule>
  </conditionalFormatting>
  <conditionalFormatting sqref="AA21">
    <cfRule type="expression" dxfId="1906" priority="2024">
      <formula>AA20="X"</formula>
    </cfRule>
    <cfRule type="expression" dxfId="1905" priority="2025">
      <formula>AA20="A"</formula>
    </cfRule>
    <cfRule type="expression" dxfId="1904" priority="2026">
      <formula>AA20="T"</formula>
    </cfRule>
  </conditionalFormatting>
  <conditionalFormatting sqref="AA23">
    <cfRule type="expression" dxfId="1903" priority="2021">
      <formula>AA22="X"</formula>
    </cfRule>
    <cfRule type="expression" dxfId="1902" priority="2022">
      <formula>AA22="A"</formula>
    </cfRule>
    <cfRule type="expression" dxfId="1901" priority="2023">
      <formula>AA22="T"</formula>
    </cfRule>
  </conditionalFormatting>
  <conditionalFormatting sqref="AA25">
    <cfRule type="expression" dxfId="1900" priority="2018">
      <formula>AA24="X"</formula>
    </cfRule>
    <cfRule type="expression" dxfId="1899" priority="2019">
      <formula>AA24="A"</formula>
    </cfRule>
    <cfRule type="expression" dxfId="1898" priority="2020">
      <formula>AA24="T"</formula>
    </cfRule>
  </conditionalFormatting>
  <conditionalFormatting sqref="AA27">
    <cfRule type="expression" dxfId="1897" priority="2015">
      <formula>AA26="X"</formula>
    </cfRule>
    <cfRule type="expression" dxfId="1896" priority="2016">
      <formula>AA26="A"</formula>
    </cfRule>
    <cfRule type="expression" dxfId="1895" priority="2017">
      <formula>AA26="T"</formula>
    </cfRule>
  </conditionalFormatting>
  <conditionalFormatting sqref="AA29">
    <cfRule type="expression" dxfId="1894" priority="2012">
      <formula>AA28="X"</formula>
    </cfRule>
    <cfRule type="expression" dxfId="1893" priority="2013">
      <formula>AA28="A"</formula>
    </cfRule>
    <cfRule type="expression" dxfId="1892" priority="2014">
      <formula>AA28="T"</formula>
    </cfRule>
  </conditionalFormatting>
  <conditionalFormatting sqref="AA31">
    <cfRule type="expression" dxfId="1891" priority="2009">
      <formula>AA30="X"</formula>
    </cfRule>
    <cfRule type="expression" dxfId="1890" priority="2010">
      <formula>AA30="A"</formula>
    </cfRule>
    <cfRule type="expression" dxfId="1889" priority="2011">
      <formula>AA30="T"</formula>
    </cfRule>
  </conditionalFormatting>
  <conditionalFormatting sqref="AA33">
    <cfRule type="expression" dxfId="1888" priority="2006">
      <formula>AA32="X"</formula>
    </cfRule>
    <cfRule type="expression" dxfId="1887" priority="2007">
      <formula>AA32="A"</formula>
    </cfRule>
    <cfRule type="expression" dxfId="1886" priority="2008">
      <formula>AA32="T"</formula>
    </cfRule>
  </conditionalFormatting>
  <conditionalFormatting sqref="AA35">
    <cfRule type="expression" dxfId="1885" priority="2003">
      <formula>AA34="X"</formula>
    </cfRule>
    <cfRule type="expression" dxfId="1884" priority="2004">
      <formula>AA34="A"</formula>
    </cfRule>
    <cfRule type="expression" dxfId="1883" priority="2005">
      <formula>AA34="T"</formula>
    </cfRule>
  </conditionalFormatting>
  <conditionalFormatting sqref="AA37">
    <cfRule type="expression" dxfId="1882" priority="2000">
      <formula>AA36="X"</formula>
    </cfRule>
    <cfRule type="expression" dxfId="1881" priority="2001">
      <formula>AA36="A"</formula>
    </cfRule>
    <cfRule type="expression" dxfId="1880" priority="2002">
      <formula>AA36="T"</formula>
    </cfRule>
  </conditionalFormatting>
  <conditionalFormatting sqref="AA40">
    <cfRule type="expression" dxfId="1879" priority="1997">
      <formula>AA39="X"</formula>
    </cfRule>
    <cfRule type="expression" dxfId="1878" priority="1998">
      <formula>AA39="A"</formula>
    </cfRule>
    <cfRule type="expression" dxfId="1877" priority="1999">
      <formula>AA39="T"</formula>
    </cfRule>
  </conditionalFormatting>
  <conditionalFormatting sqref="AA42">
    <cfRule type="expression" dxfId="1876" priority="1994">
      <formula>AA41="X"</formula>
    </cfRule>
    <cfRule type="expression" dxfId="1875" priority="1995">
      <formula>AA41="A"</formula>
    </cfRule>
    <cfRule type="expression" dxfId="1874" priority="1996">
      <formula>AA41="T"</formula>
    </cfRule>
  </conditionalFormatting>
  <conditionalFormatting sqref="AA44">
    <cfRule type="expression" dxfId="1873" priority="1991">
      <formula>AA43="X"</formula>
    </cfRule>
    <cfRule type="expression" dxfId="1872" priority="1992">
      <formula>AA43="A"</formula>
    </cfRule>
    <cfRule type="expression" dxfId="1871" priority="1993">
      <formula>AA43="T"</formula>
    </cfRule>
  </conditionalFormatting>
  <conditionalFormatting sqref="AA46">
    <cfRule type="expression" dxfId="1870" priority="1988">
      <formula>AA45="X"</formula>
    </cfRule>
    <cfRule type="expression" dxfId="1869" priority="1989">
      <formula>AA45="A"</formula>
    </cfRule>
    <cfRule type="expression" dxfId="1868" priority="1990">
      <formula>AA45="T"</formula>
    </cfRule>
  </conditionalFormatting>
  <conditionalFormatting sqref="AA49">
    <cfRule type="expression" dxfId="1867" priority="1985">
      <formula>AA48="X"</formula>
    </cfRule>
    <cfRule type="expression" dxfId="1866" priority="1986">
      <formula>AA48="A"</formula>
    </cfRule>
    <cfRule type="expression" dxfId="1865" priority="1987">
      <formula>AA48="T"</formula>
    </cfRule>
  </conditionalFormatting>
  <conditionalFormatting sqref="AA51">
    <cfRule type="expression" dxfId="1864" priority="1982">
      <formula>AA50="X"</formula>
    </cfRule>
    <cfRule type="expression" dxfId="1863" priority="1983">
      <formula>AA50="A"</formula>
    </cfRule>
    <cfRule type="expression" dxfId="1862" priority="1984">
      <formula>AA50="T"</formula>
    </cfRule>
  </conditionalFormatting>
  <conditionalFormatting sqref="AA53">
    <cfRule type="expression" dxfId="1861" priority="1979">
      <formula>AA52="X"</formula>
    </cfRule>
    <cfRule type="expression" dxfId="1860" priority="1980">
      <formula>AA52="A"</formula>
    </cfRule>
    <cfRule type="expression" dxfId="1859" priority="1981">
      <formula>AA52="T"</formula>
    </cfRule>
  </conditionalFormatting>
  <conditionalFormatting sqref="AA55">
    <cfRule type="expression" dxfId="1858" priority="1976">
      <formula>AA54="X"</formula>
    </cfRule>
    <cfRule type="expression" dxfId="1857" priority="1977">
      <formula>AA54="A"</formula>
    </cfRule>
    <cfRule type="expression" dxfId="1856" priority="1978">
      <formula>AA54="T"</formula>
    </cfRule>
  </conditionalFormatting>
  <conditionalFormatting sqref="AA57">
    <cfRule type="expression" dxfId="1855" priority="1973">
      <formula>AA56="X"</formula>
    </cfRule>
    <cfRule type="expression" dxfId="1854" priority="1974">
      <formula>AA56="A"</formula>
    </cfRule>
    <cfRule type="expression" dxfId="1853" priority="1975">
      <formula>AA56="T"</formula>
    </cfRule>
  </conditionalFormatting>
  <conditionalFormatting sqref="AA59">
    <cfRule type="expression" dxfId="1852" priority="1970">
      <formula>AA58="X"</formula>
    </cfRule>
    <cfRule type="expression" dxfId="1851" priority="1971">
      <formula>AA58="A"</formula>
    </cfRule>
    <cfRule type="expression" dxfId="1850" priority="1972">
      <formula>AA58="T"</formula>
    </cfRule>
  </conditionalFormatting>
  <conditionalFormatting sqref="AA64">
    <cfRule type="expression" dxfId="1849" priority="1967">
      <formula>AA63="X"</formula>
    </cfRule>
    <cfRule type="expression" dxfId="1848" priority="1968">
      <formula>AA63="A"</formula>
    </cfRule>
    <cfRule type="expression" dxfId="1847" priority="1969">
      <formula>AA63="T"</formula>
    </cfRule>
  </conditionalFormatting>
  <conditionalFormatting sqref="AA66">
    <cfRule type="expression" dxfId="1846" priority="1964">
      <formula>AA65="X"</formula>
    </cfRule>
    <cfRule type="expression" dxfId="1845" priority="1965">
      <formula>AA65="A"</formula>
    </cfRule>
    <cfRule type="expression" dxfId="1844" priority="1966">
      <formula>AA65="T"</formula>
    </cfRule>
  </conditionalFormatting>
  <conditionalFormatting sqref="AA68">
    <cfRule type="expression" dxfId="1843" priority="1961">
      <formula>AA67="X"</formula>
    </cfRule>
    <cfRule type="expression" dxfId="1842" priority="1962">
      <formula>AA67="A"</formula>
    </cfRule>
    <cfRule type="expression" dxfId="1841" priority="1963">
      <formula>AA67="T"</formula>
    </cfRule>
  </conditionalFormatting>
  <conditionalFormatting sqref="AA82">
    <cfRule type="expression" dxfId="1840" priority="1958">
      <formula>AA81="X"</formula>
    </cfRule>
    <cfRule type="expression" dxfId="1839" priority="1959">
      <formula>AA81="A"</formula>
    </cfRule>
    <cfRule type="expression" dxfId="1838" priority="1960">
      <formula>AA81="T"</formula>
    </cfRule>
  </conditionalFormatting>
  <conditionalFormatting sqref="AA84">
    <cfRule type="expression" dxfId="1837" priority="1955">
      <formula>AA83="X"</formula>
    </cfRule>
    <cfRule type="expression" dxfId="1836" priority="1956">
      <formula>AA83="A"</formula>
    </cfRule>
    <cfRule type="expression" dxfId="1835" priority="1957">
      <formula>AA83="T"</formula>
    </cfRule>
  </conditionalFormatting>
  <conditionalFormatting sqref="AA86">
    <cfRule type="expression" dxfId="1834" priority="1952">
      <formula>AA85="X"</formula>
    </cfRule>
    <cfRule type="expression" dxfId="1833" priority="1953">
      <formula>AA85="A"</formula>
    </cfRule>
    <cfRule type="expression" dxfId="1832" priority="1954">
      <formula>AA85="T"</formula>
    </cfRule>
  </conditionalFormatting>
  <conditionalFormatting sqref="AA89">
    <cfRule type="expression" dxfId="1831" priority="1949">
      <formula>AA88="X"</formula>
    </cfRule>
    <cfRule type="expression" dxfId="1830" priority="1950">
      <formula>AA88="A"</formula>
    </cfRule>
    <cfRule type="expression" dxfId="1829" priority="1951">
      <formula>AA88="T"</formula>
    </cfRule>
  </conditionalFormatting>
  <conditionalFormatting sqref="AA91">
    <cfRule type="expression" dxfId="1828" priority="1946">
      <formula>AA90="X"</formula>
    </cfRule>
    <cfRule type="expression" dxfId="1827" priority="1947">
      <formula>AA90="A"</formula>
    </cfRule>
    <cfRule type="expression" dxfId="1826" priority="1948">
      <formula>AA90="T"</formula>
    </cfRule>
  </conditionalFormatting>
  <conditionalFormatting sqref="AA93">
    <cfRule type="expression" dxfId="1825" priority="1943">
      <formula>AA92="X"</formula>
    </cfRule>
    <cfRule type="expression" dxfId="1824" priority="1944">
      <formula>AA92="A"</formula>
    </cfRule>
    <cfRule type="expression" dxfId="1823" priority="1945">
      <formula>AA92="T"</formula>
    </cfRule>
  </conditionalFormatting>
  <conditionalFormatting sqref="AA95">
    <cfRule type="expression" dxfId="1822" priority="1940">
      <formula>AA94="X"</formula>
    </cfRule>
    <cfRule type="expression" dxfId="1821" priority="1941">
      <formula>AA94="A"</formula>
    </cfRule>
    <cfRule type="expression" dxfId="1820" priority="1942">
      <formula>AA94="T"</formula>
    </cfRule>
  </conditionalFormatting>
  <conditionalFormatting sqref="AA97">
    <cfRule type="expression" dxfId="1819" priority="1937">
      <formula>AA96="X"</formula>
    </cfRule>
    <cfRule type="expression" dxfId="1818" priority="1938">
      <formula>AA96="A"</formula>
    </cfRule>
    <cfRule type="expression" dxfId="1817" priority="1939">
      <formula>AA96="T"</formula>
    </cfRule>
  </conditionalFormatting>
  <conditionalFormatting sqref="AA99">
    <cfRule type="expression" dxfId="1816" priority="1934">
      <formula>AA98="X"</formula>
    </cfRule>
    <cfRule type="expression" dxfId="1815" priority="1935">
      <formula>AA98="A"</formula>
    </cfRule>
    <cfRule type="expression" dxfId="1814" priority="1936">
      <formula>AA98="T"</formula>
    </cfRule>
  </conditionalFormatting>
  <conditionalFormatting sqref="AA101">
    <cfRule type="expression" dxfId="1813" priority="1931">
      <formula>AA100="X"</formula>
    </cfRule>
    <cfRule type="expression" dxfId="1812" priority="1932">
      <formula>AA100="A"</formula>
    </cfRule>
    <cfRule type="expression" dxfId="1811" priority="1933">
      <formula>AA100="T"</formula>
    </cfRule>
  </conditionalFormatting>
  <conditionalFormatting sqref="AA103">
    <cfRule type="expression" dxfId="1810" priority="1928">
      <formula>AA102="X"</formula>
    </cfRule>
    <cfRule type="expression" dxfId="1809" priority="1929">
      <formula>AA102="A"</formula>
    </cfRule>
    <cfRule type="expression" dxfId="1808" priority="1930">
      <formula>AA102="T"</formula>
    </cfRule>
  </conditionalFormatting>
  <conditionalFormatting sqref="AA106">
    <cfRule type="expression" dxfId="1807" priority="1925">
      <formula>AA105="X"</formula>
    </cfRule>
    <cfRule type="expression" dxfId="1806" priority="1926">
      <formula>AA105="A"</formula>
    </cfRule>
    <cfRule type="expression" dxfId="1805" priority="1927">
      <formula>AA105="T"</formula>
    </cfRule>
  </conditionalFormatting>
  <conditionalFormatting sqref="AA108">
    <cfRule type="expression" dxfId="1804" priority="1922">
      <formula>AA107="X"</formula>
    </cfRule>
    <cfRule type="expression" dxfId="1803" priority="1923">
      <formula>AA107="A"</formula>
    </cfRule>
    <cfRule type="expression" dxfId="1802" priority="1924">
      <formula>AA107="T"</formula>
    </cfRule>
  </conditionalFormatting>
  <conditionalFormatting sqref="AA110">
    <cfRule type="expression" dxfId="1801" priority="1919">
      <formula>AA109="X"</formula>
    </cfRule>
    <cfRule type="expression" dxfId="1800" priority="1920">
      <formula>AA109="A"</formula>
    </cfRule>
    <cfRule type="expression" dxfId="1799" priority="1921">
      <formula>AA109="T"</formula>
    </cfRule>
  </conditionalFormatting>
  <conditionalFormatting sqref="AA112">
    <cfRule type="expression" dxfId="1798" priority="1916">
      <formula>AA111="X"</formula>
    </cfRule>
    <cfRule type="expression" dxfId="1797" priority="1917">
      <formula>AA111="A"</formula>
    </cfRule>
    <cfRule type="expression" dxfId="1796" priority="1918">
      <formula>AA111="T"</formula>
    </cfRule>
  </conditionalFormatting>
  <conditionalFormatting sqref="AA114">
    <cfRule type="expression" dxfId="1795" priority="1913">
      <formula>AA113="X"</formula>
    </cfRule>
    <cfRule type="expression" dxfId="1794" priority="1914">
      <formula>AA113="A"</formula>
    </cfRule>
    <cfRule type="expression" dxfId="1793" priority="1915">
      <formula>AA113="T"</formula>
    </cfRule>
  </conditionalFormatting>
  <conditionalFormatting sqref="AA117">
    <cfRule type="expression" dxfId="1792" priority="1910">
      <formula>AA116="X"</formula>
    </cfRule>
    <cfRule type="expression" dxfId="1791" priority="1911">
      <formula>AA116="A"</formula>
    </cfRule>
    <cfRule type="expression" dxfId="1790" priority="1912">
      <formula>AA116="T"</formula>
    </cfRule>
  </conditionalFormatting>
  <conditionalFormatting sqref="AA119">
    <cfRule type="expression" dxfId="1789" priority="1907">
      <formula>AA118="X"</formula>
    </cfRule>
    <cfRule type="expression" dxfId="1788" priority="1908">
      <formula>AA118="A"</formula>
    </cfRule>
    <cfRule type="expression" dxfId="1787" priority="1909">
      <formula>AA118="T"</formula>
    </cfRule>
  </conditionalFormatting>
  <conditionalFormatting sqref="AA121">
    <cfRule type="expression" dxfId="1786" priority="1904">
      <formula>AA120="X"</formula>
    </cfRule>
    <cfRule type="expression" dxfId="1785" priority="1905">
      <formula>AA120="A"</formula>
    </cfRule>
    <cfRule type="expression" dxfId="1784" priority="1906">
      <formula>AA120="T"</formula>
    </cfRule>
  </conditionalFormatting>
  <conditionalFormatting sqref="AA123">
    <cfRule type="expression" dxfId="1783" priority="1901">
      <formula>AA122="X"</formula>
    </cfRule>
    <cfRule type="expression" dxfId="1782" priority="1902">
      <formula>AA122="A"</formula>
    </cfRule>
    <cfRule type="expression" dxfId="1781" priority="1903">
      <formula>AA122="T"</formula>
    </cfRule>
  </conditionalFormatting>
  <conditionalFormatting sqref="AA126">
    <cfRule type="expression" dxfId="1780" priority="1898">
      <formula>AA125="X"</formula>
    </cfRule>
    <cfRule type="expression" dxfId="1779" priority="1899">
      <formula>AA125="A"</formula>
    </cfRule>
    <cfRule type="expression" dxfId="1778" priority="1900">
      <formula>AA125="T"</formula>
    </cfRule>
  </conditionalFormatting>
  <conditionalFormatting sqref="AA128">
    <cfRule type="expression" dxfId="1777" priority="1895">
      <formula>AA127="X"</formula>
    </cfRule>
    <cfRule type="expression" dxfId="1776" priority="1896">
      <formula>AA127="A"</formula>
    </cfRule>
    <cfRule type="expression" dxfId="1775" priority="1897">
      <formula>AA127="T"</formula>
    </cfRule>
  </conditionalFormatting>
  <conditionalFormatting sqref="AA142">
    <cfRule type="expression" dxfId="1774" priority="1892">
      <formula>AA141="X"</formula>
    </cfRule>
    <cfRule type="expression" dxfId="1773" priority="1893">
      <formula>AA141="A"</formula>
    </cfRule>
    <cfRule type="expression" dxfId="1772" priority="1894">
      <formula>AA141="T"</formula>
    </cfRule>
  </conditionalFormatting>
  <conditionalFormatting sqref="AA144">
    <cfRule type="expression" dxfId="1771" priority="1889">
      <formula>AA143="X"</formula>
    </cfRule>
    <cfRule type="expression" dxfId="1770" priority="1890">
      <formula>AA143="A"</formula>
    </cfRule>
    <cfRule type="expression" dxfId="1769" priority="1891">
      <formula>AA143="T"</formula>
    </cfRule>
  </conditionalFormatting>
  <conditionalFormatting sqref="AA150">
    <cfRule type="expression" dxfId="1768" priority="1886">
      <formula>AA149="X"</formula>
    </cfRule>
    <cfRule type="expression" dxfId="1767" priority="1887">
      <formula>AA149="A"</formula>
    </cfRule>
    <cfRule type="expression" dxfId="1766" priority="1888">
      <formula>AA149="T"</formula>
    </cfRule>
  </conditionalFormatting>
  <conditionalFormatting sqref="AA152">
    <cfRule type="expression" dxfId="1765" priority="1883">
      <formula>AA151="X"</formula>
    </cfRule>
    <cfRule type="expression" dxfId="1764" priority="1884">
      <formula>AA151="A"</formula>
    </cfRule>
    <cfRule type="expression" dxfId="1763" priority="1885">
      <formula>AA151="T"</formula>
    </cfRule>
  </conditionalFormatting>
  <conditionalFormatting sqref="AA156">
    <cfRule type="expression" dxfId="1762" priority="1880">
      <formula>AA155="X"</formula>
    </cfRule>
    <cfRule type="expression" dxfId="1761" priority="1881">
      <formula>AA155="A"</formula>
    </cfRule>
    <cfRule type="expression" dxfId="1760" priority="1882">
      <formula>AA155="T"</formula>
    </cfRule>
  </conditionalFormatting>
  <conditionalFormatting sqref="AA168">
    <cfRule type="expression" dxfId="1759" priority="1877">
      <formula>AA167="X"</formula>
    </cfRule>
    <cfRule type="expression" dxfId="1758" priority="1878">
      <formula>AA167="A"</formula>
    </cfRule>
    <cfRule type="expression" dxfId="1757" priority="1879">
      <formula>AA167="T"</formula>
    </cfRule>
  </conditionalFormatting>
  <conditionalFormatting sqref="AA170">
    <cfRule type="expression" dxfId="1756" priority="1874">
      <formula>AA169="X"</formula>
    </cfRule>
    <cfRule type="expression" dxfId="1755" priority="1875">
      <formula>AA169="A"</formula>
    </cfRule>
    <cfRule type="expression" dxfId="1754" priority="1876">
      <formula>AA169="T"</formula>
    </cfRule>
  </conditionalFormatting>
  <conditionalFormatting sqref="AA172">
    <cfRule type="expression" dxfId="1753" priority="1871">
      <formula>AA171="X"</formula>
    </cfRule>
    <cfRule type="expression" dxfId="1752" priority="1872">
      <formula>AA171="A"</formula>
    </cfRule>
    <cfRule type="expression" dxfId="1751" priority="1873">
      <formula>AA171="T"</formula>
    </cfRule>
  </conditionalFormatting>
  <conditionalFormatting sqref="AA174">
    <cfRule type="expression" dxfId="1750" priority="1868">
      <formula>AA173="X"</formula>
    </cfRule>
    <cfRule type="expression" dxfId="1749" priority="1869">
      <formula>AA173="A"</formula>
    </cfRule>
    <cfRule type="expression" dxfId="1748" priority="1870">
      <formula>AA173="T"</formula>
    </cfRule>
  </conditionalFormatting>
  <conditionalFormatting sqref="AA176">
    <cfRule type="expression" dxfId="1747" priority="1865">
      <formula>AA175="X"</formula>
    </cfRule>
    <cfRule type="expression" dxfId="1746" priority="1866">
      <formula>AA175="A"</formula>
    </cfRule>
    <cfRule type="expression" dxfId="1745" priority="1867">
      <formula>AA175="T"</formula>
    </cfRule>
  </conditionalFormatting>
  <conditionalFormatting sqref="AA178">
    <cfRule type="expression" dxfId="1744" priority="1862">
      <formula>AA177="X"</formula>
    </cfRule>
    <cfRule type="expression" dxfId="1743" priority="1863">
      <formula>AA177="A"</formula>
    </cfRule>
    <cfRule type="expression" dxfId="1742" priority="1864">
      <formula>AA177="T"</formula>
    </cfRule>
  </conditionalFormatting>
  <conditionalFormatting sqref="AA180">
    <cfRule type="expression" dxfId="1741" priority="1859">
      <formula>AA179="X"</formula>
    </cfRule>
    <cfRule type="expression" dxfId="1740" priority="1860">
      <formula>AA179="A"</formula>
    </cfRule>
    <cfRule type="expression" dxfId="1739" priority="1861">
      <formula>AA179="T"</formula>
    </cfRule>
  </conditionalFormatting>
  <conditionalFormatting sqref="AA184">
    <cfRule type="expression" dxfId="1738" priority="1856">
      <formula>AA183="X"</formula>
    </cfRule>
    <cfRule type="expression" dxfId="1737" priority="1857">
      <formula>AA183="A"</formula>
    </cfRule>
    <cfRule type="expression" dxfId="1736" priority="1858">
      <formula>AA183="T"</formula>
    </cfRule>
  </conditionalFormatting>
  <conditionalFormatting sqref="AA186">
    <cfRule type="expression" dxfId="1735" priority="1853">
      <formula>AA185="X"</formula>
    </cfRule>
    <cfRule type="expression" dxfId="1734" priority="1854">
      <formula>AA185="A"</formula>
    </cfRule>
    <cfRule type="expression" dxfId="1733" priority="1855">
      <formula>AA185="T"</formula>
    </cfRule>
  </conditionalFormatting>
  <conditionalFormatting sqref="AA190">
    <cfRule type="expression" dxfId="1732" priority="1850">
      <formula>AA189="X"</formula>
    </cfRule>
    <cfRule type="expression" dxfId="1731" priority="1851">
      <formula>AA189="A"</formula>
    </cfRule>
    <cfRule type="expression" dxfId="1730" priority="1852">
      <formula>AA189="T"</formula>
    </cfRule>
  </conditionalFormatting>
  <conditionalFormatting sqref="AA192">
    <cfRule type="expression" dxfId="1729" priority="1847">
      <formula>AA191="X"</formula>
    </cfRule>
    <cfRule type="expression" dxfId="1728" priority="1848">
      <formula>AA191="A"</formula>
    </cfRule>
    <cfRule type="expression" dxfId="1727" priority="1849">
      <formula>AA191="T"</formula>
    </cfRule>
  </conditionalFormatting>
  <conditionalFormatting sqref="AA208">
    <cfRule type="expression" dxfId="1726" priority="1844">
      <formula>AA207="X"</formula>
    </cfRule>
    <cfRule type="expression" dxfId="1725" priority="1845">
      <formula>AA207="A"</formula>
    </cfRule>
    <cfRule type="expression" dxfId="1724" priority="1846">
      <formula>AA207="T"</formula>
    </cfRule>
  </conditionalFormatting>
  <conditionalFormatting sqref="AA211">
    <cfRule type="expression" dxfId="1723" priority="1841">
      <formula>AA211="X"</formula>
    </cfRule>
    <cfRule type="expression" dxfId="1722" priority="1842">
      <formula>AA211="A"</formula>
    </cfRule>
    <cfRule type="expression" dxfId="1721" priority="1843">
      <formula>AA211="T"</formula>
    </cfRule>
  </conditionalFormatting>
  <conditionalFormatting sqref="AA212">
    <cfRule type="expression" dxfId="1720" priority="1838">
      <formula>AA211="X"</formula>
    </cfRule>
    <cfRule type="expression" dxfId="1719" priority="1839">
      <formula>AA211="A"</formula>
    </cfRule>
    <cfRule type="expression" dxfId="1718" priority="1840">
      <formula>AA211="T"</formula>
    </cfRule>
  </conditionalFormatting>
  <conditionalFormatting sqref="AA213">
    <cfRule type="expression" dxfId="1717" priority="1835">
      <formula>AA213="X"</formula>
    </cfRule>
    <cfRule type="expression" dxfId="1716" priority="1836">
      <formula>AA213="A"</formula>
    </cfRule>
    <cfRule type="expression" dxfId="1715" priority="1837">
      <formula>AA213="T"</formula>
    </cfRule>
  </conditionalFormatting>
  <conditionalFormatting sqref="AA214">
    <cfRule type="expression" dxfId="1714" priority="1832">
      <formula>AA213="X"</formula>
    </cfRule>
    <cfRule type="expression" dxfId="1713" priority="1833">
      <formula>AA213="A"</formula>
    </cfRule>
    <cfRule type="expression" dxfId="1712" priority="1834">
      <formula>AA213="T"</formula>
    </cfRule>
  </conditionalFormatting>
  <conditionalFormatting sqref="AA215">
    <cfRule type="expression" dxfId="1711" priority="1829">
      <formula>AA215="X"</formula>
    </cfRule>
    <cfRule type="expression" dxfId="1710" priority="1830">
      <formula>AA215="A"</formula>
    </cfRule>
    <cfRule type="expression" dxfId="1709" priority="1831">
      <formula>AA215="T"</formula>
    </cfRule>
  </conditionalFormatting>
  <conditionalFormatting sqref="AA216">
    <cfRule type="expression" dxfId="1708" priority="1826">
      <formula>AA215="X"</formula>
    </cfRule>
    <cfRule type="expression" dxfId="1707" priority="1827">
      <formula>AA215="A"</formula>
    </cfRule>
    <cfRule type="expression" dxfId="1706" priority="1828">
      <formula>AA215="T"</formula>
    </cfRule>
  </conditionalFormatting>
  <conditionalFormatting sqref="AA217">
    <cfRule type="expression" dxfId="1705" priority="1823">
      <formula>AA217="X"</formula>
    </cfRule>
    <cfRule type="expression" dxfId="1704" priority="1824">
      <formula>AA217="A"</formula>
    </cfRule>
    <cfRule type="expression" dxfId="1703" priority="1825">
      <formula>AA217="T"</formula>
    </cfRule>
  </conditionalFormatting>
  <conditionalFormatting sqref="AA218">
    <cfRule type="expression" dxfId="1702" priority="1820">
      <formula>AA217="X"</formula>
    </cfRule>
    <cfRule type="expression" dxfId="1701" priority="1821">
      <formula>AA217="A"</formula>
    </cfRule>
    <cfRule type="expression" dxfId="1700" priority="1822">
      <formula>AA217="T"</formula>
    </cfRule>
  </conditionalFormatting>
  <conditionalFormatting sqref="AA219">
    <cfRule type="expression" dxfId="1699" priority="1817">
      <formula>AA219="X"</formula>
    </cfRule>
    <cfRule type="expression" dxfId="1698" priority="1818">
      <formula>AA219="A"</formula>
    </cfRule>
    <cfRule type="expression" dxfId="1697" priority="1819">
      <formula>AA219="T"</formula>
    </cfRule>
  </conditionalFormatting>
  <conditionalFormatting sqref="AA220">
    <cfRule type="expression" dxfId="1696" priority="1814">
      <formula>AA219="X"</formula>
    </cfRule>
    <cfRule type="expression" dxfId="1695" priority="1815">
      <formula>AA219="A"</formula>
    </cfRule>
    <cfRule type="expression" dxfId="1694" priority="1816">
      <formula>AA219="T"</formula>
    </cfRule>
  </conditionalFormatting>
  <conditionalFormatting sqref="AA221">
    <cfRule type="expression" dxfId="1693" priority="1811">
      <formula>AA221="X"</formula>
    </cfRule>
    <cfRule type="expression" dxfId="1692" priority="1812">
      <formula>AA221="A"</formula>
    </cfRule>
    <cfRule type="expression" dxfId="1691" priority="1813">
      <formula>AA221="T"</formula>
    </cfRule>
  </conditionalFormatting>
  <conditionalFormatting sqref="AA222">
    <cfRule type="expression" dxfId="1690" priority="1808">
      <formula>AA221="X"</formula>
    </cfRule>
    <cfRule type="expression" dxfId="1689" priority="1809">
      <formula>AA221="A"</formula>
    </cfRule>
    <cfRule type="expression" dxfId="1688" priority="1810">
      <formula>AA221="T"</formula>
    </cfRule>
  </conditionalFormatting>
  <conditionalFormatting sqref="AA223">
    <cfRule type="expression" dxfId="1687" priority="1805">
      <formula>AA223="X"</formula>
    </cfRule>
    <cfRule type="expression" dxfId="1686" priority="1806">
      <formula>AA223="A"</formula>
    </cfRule>
    <cfRule type="expression" dxfId="1685" priority="1807">
      <formula>AA223="T"</formula>
    </cfRule>
  </conditionalFormatting>
  <conditionalFormatting sqref="AA224">
    <cfRule type="expression" dxfId="1684" priority="1802">
      <formula>AA223="X"</formula>
    </cfRule>
    <cfRule type="expression" dxfId="1683" priority="1803">
      <formula>AA223="A"</formula>
    </cfRule>
    <cfRule type="expression" dxfId="1682" priority="1804">
      <formula>AA223="T"</formula>
    </cfRule>
  </conditionalFormatting>
  <conditionalFormatting sqref="AA4">
    <cfRule type="expression" dxfId="1681" priority="1799">
      <formula>AA4="X"</formula>
    </cfRule>
    <cfRule type="expression" dxfId="1680" priority="1800">
      <formula>AA4="A"</formula>
    </cfRule>
    <cfRule type="expression" dxfId="1679" priority="1801">
      <formula>AA4="T"</formula>
    </cfRule>
  </conditionalFormatting>
  <conditionalFormatting sqref="AA5">
    <cfRule type="expression" dxfId="1678" priority="1796">
      <formula>AA4="X"</formula>
    </cfRule>
    <cfRule type="expression" dxfId="1677" priority="1797">
      <formula>AA4="A"</formula>
    </cfRule>
    <cfRule type="expression" dxfId="1676" priority="1798">
      <formula>AA4="T"</formula>
    </cfRule>
  </conditionalFormatting>
  <conditionalFormatting sqref="AA6">
    <cfRule type="expression" dxfId="1675" priority="1793">
      <formula>AA6="X"</formula>
    </cfRule>
    <cfRule type="expression" dxfId="1674" priority="1794">
      <formula>AA6="A"</formula>
    </cfRule>
    <cfRule type="expression" dxfId="1673" priority="1795">
      <formula>AA6="T"</formula>
    </cfRule>
  </conditionalFormatting>
  <conditionalFormatting sqref="AA7">
    <cfRule type="expression" dxfId="1672" priority="1790">
      <formula>AA6="X"</formula>
    </cfRule>
    <cfRule type="expression" dxfId="1671" priority="1791">
      <formula>AA6="A"</formula>
    </cfRule>
    <cfRule type="expression" dxfId="1670" priority="1792">
      <formula>AA6="T"</formula>
    </cfRule>
  </conditionalFormatting>
  <conditionalFormatting sqref="AA8">
    <cfRule type="expression" dxfId="1669" priority="1787">
      <formula>AA8="X"</formula>
    </cfRule>
    <cfRule type="expression" dxfId="1668" priority="1788">
      <formula>AA8="A"</formula>
    </cfRule>
    <cfRule type="expression" dxfId="1667" priority="1789">
      <formula>AA8="T"</formula>
    </cfRule>
  </conditionalFormatting>
  <conditionalFormatting sqref="AA9">
    <cfRule type="expression" dxfId="1666" priority="1784">
      <formula>AA8="X"</formula>
    </cfRule>
    <cfRule type="expression" dxfId="1665" priority="1785">
      <formula>AA8="A"</formula>
    </cfRule>
    <cfRule type="expression" dxfId="1664" priority="1786">
      <formula>AA8="T"</formula>
    </cfRule>
  </conditionalFormatting>
  <conditionalFormatting sqref="AA74">
    <cfRule type="expression" dxfId="1663" priority="1781">
      <formula>AA74="X"</formula>
    </cfRule>
    <cfRule type="expression" dxfId="1662" priority="1782">
      <formula>AA74="A"</formula>
    </cfRule>
    <cfRule type="expression" dxfId="1661" priority="1783">
      <formula>AA74="T"</formula>
    </cfRule>
  </conditionalFormatting>
  <conditionalFormatting sqref="AA75">
    <cfRule type="expression" dxfId="1660" priority="1778">
      <formula>AA74="X"</formula>
    </cfRule>
    <cfRule type="expression" dxfId="1659" priority="1779">
      <formula>AA74="A"</formula>
    </cfRule>
    <cfRule type="expression" dxfId="1658" priority="1780">
      <formula>AA74="T"</formula>
    </cfRule>
  </conditionalFormatting>
  <conditionalFormatting sqref="AA76">
    <cfRule type="expression" dxfId="1657" priority="1775">
      <formula>AA76="X"</formula>
    </cfRule>
    <cfRule type="expression" dxfId="1656" priority="1776">
      <formula>AA76="A"</formula>
    </cfRule>
    <cfRule type="expression" dxfId="1655" priority="1777">
      <formula>AA76="T"</formula>
    </cfRule>
  </conditionalFormatting>
  <conditionalFormatting sqref="AA77">
    <cfRule type="expression" dxfId="1654" priority="1772">
      <formula>AA76="X"</formula>
    </cfRule>
    <cfRule type="expression" dxfId="1653" priority="1773">
      <formula>AA76="A"</formula>
    </cfRule>
    <cfRule type="expression" dxfId="1652" priority="1774">
      <formula>AA76="T"</formula>
    </cfRule>
  </conditionalFormatting>
  <conditionalFormatting sqref="AA78">
    <cfRule type="expression" dxfId="1651" priority="1769">
      <formula>AA78="X"</formula>
    </cfRule>
    <cfRule type="expression" dxfId="1650" priority="1770">
      <formula>AA78="A"</formula>
    </cfRule>
    <cfRule type="expression" dxfId="1649" priority="1771">
      <formula>AA78="T"</formula>
    </cfRule>
  </conditionalFormatting>
  <conditionalFormatting sqref="AA79">
    <cfRule type="expression" dxfId="1648" priority="1766">
      <formula>AA78="X"</formula>
    </cfRule>
    <cfRule type="expression" dxfId="1647" priority="1767">
      <formula>AA78="A"</formula>
    </cfRule>
    <cfRule type="expression" dxfId="1646" priority="1768">
      <formula>AA78="T"</formula>
    </cfRule>
  </conditionalFormatting>
  <conditionalFormatting sqref="AA134">
    <cfRule type="expression" dxfId="1645" priority="1763">
      <formula>AA134="X"</formula>
    </cfRule>
    <cfRule type="expression" dxfId="1644" priority="1764">
      <formula>AA134="A"</formula>
    </cfRule>
    <cfRule type="expression" dxfId="1643" priority="1765">
      <formula>AA134="T"</formula>
    </cfRule>
  </conditionalFormatting>
  <conditionalFormatting sqref="AA135">
    <cfRule type="expression" dxfId="1642" priority="1760">
      <formula>AA134="X"</formula>
    </cfRule>
    <cfRule type="expression" dxfId="1641" priority="1761">
      <formula>AA134="A"</formula>
    </cfRule>
    <cfRule type="expression" dxfId="1640" priority="1762">
      <formula>AA134="T"</formula>
    </cfRule>
  </conditionalFormatting>
  <conditionalFormatting sqref="AA136">
    <cfRule type="expression" dxfId="1639" priority="1757">
      <formula>AA136="X"</formula>
    </cfRule>
    <cfRule type="expression" dxfId="1638" priority="1758">
      <formula>AA136="A"</formula>
    </cfRule>
    <cfRule type="expression" dxfId="1637" priority="1759">
      <formula>AA136="T"</formula>
    </cfRule>
  </conditionalFormatting>
  <conditionalFormatting sqref="AA137">
    <cfRule type="expression" dxfId="1636" priority="1754">
      <formula>AA136="X"</formula>
    </cfRule>
    <cfRule type="expression" dxfId="1635" priority="1755">
      <formula>AA136="A"</formula>
    </cfRule>
    <cfRule type="expression" dxfId="1634" priority="1756">
      <formula>AA136="T"</formula>
    </cfRule>
  </conditionalFormatting>
  <conditionalFormatting sqref="AA138">
    <cfRule type="expression" dxfId="1633" priority="1751">
      <formula>AA138="X"</formula>
    </cfRule>
    <cfRule type="expression" dxfId="1632" priority="1752">
      <formula>AA138="A"</formula>
    </cfRule>
    <cfRule type="expression" dxfId="1631" priority="1753">
      <formula>AA138="T"</formula>
    </cfRule>
  </conditionalFormatting>
  <conditionalFormatting sqref="AA139">
    <cfRule type="expression" dxfId="1630" priority="1748">
      <formula>AA138="X"</formula>
    </cfRule>
    <cfRule type="expression" dxfId="1629" priority="1749">
      <formula>AA138="A"</formula>
    </cfRule>
    <cfRule type="expression" dxfId="1628" priority="1750">
      <formula>AA138="T"</formula>
    </cfRule>
  </conditionalFormatting>
  <conditionalFormatting sqref="AA10">
    <cfRule type="expression" dxfId="1627" priority="1745" stopIfTrue="1">
      <formula>AA4=""</formula>
    </cfRule>
  </conditionalFormatting>
  <conditionalFormatting sqref="AA10">
    <cfRule type="expression" dxfId="1626" priority="1746" stopIfTrue="1">
      <formula>AA10=1</formula>
    </cfRule>
    <cfRule type="colorScale" priority="1747">
      <colorScale>
        <cfvo type="num" val="0"/>
        <cfvo type="num" val="0.5"/>
        <cfvo type="num" val="1"/>
        <color rgb="FFF8696B"/>
        <color theme="4" tint="0.79998168889431442"/>
        <color rgb="FF5A8AC6"/>
      </colorScale>
    </cfRule>
  </conditionalFormatting>
  <conditionalFormatting sqref="AA15">
    <cfRule type="expression" dxfId="1625" priority="1742" stopIfTrue="1">
      <formula>AA11=""</formula>
    </cfRule>
  </conditionalFormatting>
  <conditionalFormatting sqref="AA15">
    <cfRule type="expression" dxfId="1624" priority="1743" stopIfTrue="1">
      <formula>AA15=1</formula>
    </cfRule>
    <cfRule type="colorScale" priority="1744">
      <colorScale>
        <cfvo type="num" val="0"/>
        <cfvo type="num" val="0.5"/>
        <cfvo type="num" val="1"/>
        <color rgb="FFF8696B"/>
        <color theme="4" tint="0.79998168889431442"/>
        <color rgb="FF5A8AC6"/>
      </colorScale>
    </cfRule>
  </conditionalFormatting>
  <conditionalFormatting sqref="AA38">
    <cfRule type="expression" dxfId="1623" priority="1739" stopIfTrue="1">
      <formula>AA16=""</formula>
    </cfRule>
  </conditionalFormatting>
  <conditionalFormatting sqref="AA38">
    <cfRule type="expression" dxfId="1622" priority="1740" stopIfTrue="1">
      <formula>AA38=1</formula>
    </cfRule>
    <cfRule type="colorScale" priority="1741">
      <colorScale>
        <cfvo type="num" val="0"/>
        <cfvo type="num" val="0.5"/>
        <cfvo type="num" val="1"/>
        <color rgb="FFF8696B"/>
        <color theme="4" tint="0.79998168889431442"/>
        <color rgb="FF5A8AC6"/>
      </colorScale>
    </cfRule>
  </conditionalFormatting>
  <conditionalFormatting sqref="AA47">
    <cfRule type="expression" dxfId="1621" priority="1736" stopIfTrue="1">
      <formula>AA39=""</formula>
    </cfRule>
  </conditionalFormatting>
  <conditionalFormatting sqref="AA47">
    <cfRule type="expression" dxfId="1620" priority="1737" stopIfTrue="1">
      <formula>AA47=1</formula>
    </cfRule>
    <cfRule type="colorScale" priority="1738">
      <colorScale>
        <cfvo type="num" val="0"/>
        <cfvo type="num" val="0.5"/>
        <cfvo type="num" val="1"/>
        <color rgb="FFF8696B"/>
        <color theme="4" tint="0.79998168889431442"/>
        <color rgb="FF5A8AC6"/>
      </colorScale>
    </cfRule>
  </conditionalFormatting>
  <conditionalFormatting sqref="AA69">
    <cfRule type="expression" dxfId="1619" priority="1731" stopIfTrue="1">
      <formula>AA69=1</formula>
    </cfRule>
    <cfRule type="colorScale" priority="1732">
      <colorScale>
        <cfvo type="num" val="0"/>
        <cfvo type="num" val="0.5"/>
        <cfvo type="num" val="1"/>
        <color rgb="FFF8696B"/>
        <color theme="4" tint="0.79998168889431442"/>
        <color rgb="FF5A8AC6"/>
      </colorScale>
    </cfRule>
  </conditionalFormatting>
  <conditionalFormatting sqref="AA69">
    <cfRule type="expression" dxfId="1618" priority="1730" stopIfTrue="1">
      <formula>AA63=""</formula>
    </cfRule>
  </conditionalFormatting>
  <conditionalFormatting sqref="AA80">
    <cfRule type="expression" dxfId="1617" priority="1727" stopIfTrue="1">
      <formula>AA74=""</formula>
    </cfRule>
  </conditionalFormatting>
  <conditionalFormatting sqref="AA80">
    <cfRule type="expression" dxfId="1616" priority="1728" stopIfTrue="1">
      <formula>AA80=1</formula>
    </cfRule>
    <cfRule type="colorScale" priority="1729">
      <colorScale>
        <cfvo type="num" val="0"/>
        <cfvo type="num" val="0.5"/>
        <cfvo type="num" val="1"/>
        <color rgb="FFF8696B"/>
        <color theme="4" tint="0.79998168889431442"/>
        <color rgb="FF5A8AC6"/>
      </colorScale>
    </cfRule>
  </conditionalFormatting>
  <conditionalFormatting sqref="AA87">
    <cfRule type="expression" dxfId="1615" priority="1724" stopIfTrue="1">
      <formula>AA81=""</formula>
    </cfRule>
  </conditionalFormatting>
  <conditionalFormatting sqref="AA87">
    <cfRule type="expression" dxfId="1614" priority="1725" stopIfTrue="1">
      <formula>AA87=1</formula>
    </cfRule>
    <cfRule type="colorScale" priority="1726">
      <colorScale>
        <cfvo type="num" val="0"/>
        <cfvo type="num" val="0.5"/>
        <cfvo type="num" val="1"/>
        <color rgb="FFF8696B"/>
        <color theme="4" tint="0.79998168889431442"/>
        <color rgb="FF5A8AC6"/>
      </colorScale>
    </cfRule>
  </conditionalFormatting>
  <conditionalFormatting sqref="AA104">
    <cfRule type="expression" dxfId="1613" priority="1721" stopIfTrue="1">
      <formula>AA88=""</formula>
    </cfRule>
  </conditionalFormatting>
  <conditionalFormatting sqref="AA104">
    <cfRule type="expression" dxfId="1612" priority="1722" stopIfTrue="1">
      <formula>AA104=1</formula>
    </cfRule>
    <cfRule type="colorScale" priority="1723">
      <colorScale>
        <cfvo type="num" val="0"/>
        <cfvo type="num" val="0.5"/>
        <cfvo type="num" val="1"/>
        <color rgb="FFF8696B"/>
        <color theme="4" tint="0.79998168889431442"/>
        <color rgb="FF5A8AC6"/>
      </colorScale>
    </cfRule>
  </conditionalFormatting>
  <conditionalFormatting sqref="AA115">
    <cfRule type="expression" dxfId="1611" priority="1718" stopIfTrue="1">
      <formula>AA105=""</formula>
    </cfRule>
  </conditionalFormatting>
  <conditionalFormatting sqref="AA115">
    <cfRule type="expression" dxfId="1610" priority="1719" stopIfTrue="1">
      <formula>AA115=1</formula>
    </cfRule>
    <cfRule type="colorScale" priority="1720">
      <colorScale>
        <cfvo type="num" val="0"/>
        <cfvo type="num" val="0.5"/>
        <cfvo type="num" val="1"/>
        <color rgb="FFF8696B"/>
        <color theme="4" tint="0.79998168889431442"/>
        <color rgb="FF5A8AC6"/>
      </colorScale>
    </cfRule>
  </conditionalFormatting>
  <conditionalFormatting sqref="AA124">
    <cfRule type="expression" dxfId="1609" priority="1715" stopIfTrue="1">
      <formula>AA116=""</formula>
    </cfRule>
  </conditionalFormatting>
  <conditionalFormatting sqref="AA124">
    <cfRule type="expression" dxfId="1608" priority="1716" stopIfTrue="1">
      <formula>AA124=1</formula>
    </cfRule>
    <cfRule type="colorScale" priority="1717">
      <colorScale>
        <cfvo type="num" val="0"/>
        <cfvo type="num" val="0.5"/>
        <cfvo type="num" val="1"/>
        <color rgb="FFF8696B"/>
        <color theme="4" tint="0.79998168889431442"/>
        <color rgb="FF5A8AC6"/>
      </colorScale>
    </cfRule>
  </conditionalFormatting>
  <conditionalFormatting sqref="AA129">
    <cfRule type="expression" dxfId="1607" priority="1712" stopIfTrue="1">
      <formula>AA125=""</formula>
    </cfRule>
  </conditionalFormatting>
  <conditionalFormatting sqref="AA129">
    <cfRule type="expression" dxfId="1606" priority="1713" stopIfTrue="1">
      <formula>AA129=1</formula>
    </cfRule>
    <cfRule type="colorScale" priority="1714">
      <colorScale>
        <cfvo type="num" val="0"/>
        <cfvo type="num" val="0.5"/>
        <cfvo type="num" val="1"/>
        <color rgb="FFF8696B"/>
        <color theme="4" tint="0.79998168889431442"/>
        <color rgb="FF5A8AC6"/>
      </colorScale>
    </cfRule>
  </conditionalFormatting>
  <conditionalFormatting sqref="AA140">
    <cfRule type="expression" dxfId="1605" priority="1709" stopIfTrue="1">
      <formula>AA134=""</formula>
    </cfRule>
  </conditionalFormatting>
  <conditionalFormatting sqref="AA140">
    <cfRule type="expression" dxfId="1604" priority="1710" stopIfTrue="1">
      <formula>AA140=1</formula>
    </cfRule>
    <cfRule type="colorScale" priority="1711">
      <colorScale>
        <cfvo type="num" val="0"/>
        <cfvo type="num" val="0.5"/>
        <cfvo type="num" val="1"/>
        <color rgb="FFF8696B"/>
        <color theme="4" tint="0.79998168889431442"/>
        <color rgb="FF5A8AC6"/>
      </colorScale>
    </cfRule>
  </conditionalFormatting>
  <conditionalFormatting sqref="AA145">
    <cfRule type="expression" dxfId="1603" priority="1706" stopIfTrue="1">
      <formula>AA141=""</formula>
    </cfRule>
  </conditionalFormatting>
  <conditionalFormatting sqref="AA145">
    <cfRule type="expression" dxfId="1602" priority="1707" stopIfTrue="1">
      <formula>AA145=1</formula>
    </cfRule>
    <cfRule type="colorScale" priority="1708">
      <colorScale>
        <cfvo type="num" val="0"/>
        <cfvo type="num" val="0.5"/>
        <cfvo type="num" val="1"/>
        <color rgb="FFF8696B"/>
        <color theme="4" tint="0.79998168889431442"/>
        <color rgb="FF5A8AC6"/>
      </colorScale>
    </cfRule>
  </conditionalFormatting>
  <conditionalFormatting sqref="AA153">
    <cfRule type="expression" dxfId="1601" priority="1703" stopIfTrue="1">
      <formula>AA149=""</formula>
    </cfRule>
  </conditionalFormatting>
  <conditionalFormatting sqref="AA153">
    <cfRule type="expression" dxfId="1600" priority="1704" stopIfTrue="1">
      <formula>AA153=1</formula>
    </cfRule>
    <cfRule type="colorScale" priority="1705">
      <colorScale>
        <cfvo type="num" val="0"/>
        <cfvo type="num" val="0.5"/>
        <cfvo type="num" val="1"/>
        <color rgb="FFF8696B"/>
        <color theme="4" tint="0.79998168889431442"/>
        <color rgb="FF5A8AC6"/>
      </colorScale>
    </cfRule>
  </conditionalFormatting>
  <conditionalFormatting sqref="AA165">
    <cfRule type="expression" dxfId="1599" priority="1700" stopIfTrue="1">
      <formula>AA155=""</formula>
    </cfRule>
  </conditionalFormatting>
  <conditionalFormatting sqref="AA165">
    <cfRule type="expression" dxfId="1598" priority="1701" stopIfTrue="1">
      <formula>AA165=1</formula>
    </cfRule>
    <cfRule type="colorScale" priority="1702">
      <colorScale>
        <cfvo type="num" val="0"/>
        <cfvo type="num" val="0.5"/>
        <cfvo type="num" val="1"/>
        <color rgb="FFF8696B"/>
        <color theme="4" tint="0.79998168889431442"/>
        <color rgb="FF5A8AC6"/>
      </colorScale>
    </cfRule>
  </conditionalFormatting>
  <conditionalFormatting sqref="AA187">
    <cfRule type="expression" dxfId="1597" priority="1697" stopIfTrue="1">
      <formula>AA183=""</formula>
    </cfRule>
  </conditionalFormatting>
  <conditionalFormatting sqref="AA187">
    <cfRule type="expression" dxfId="1596" priority="1698" stopIfTrue="1">
      <formula>AA187=1</formula>
    </cfRule>
    <cfRule type="colorScale" priority="1699">
      <colorScale>
        <cfvo type="num" val="0"/>
        <cfvo type="num" val="0.5"/>
        <cfvo type="num" val="1"/>
        <color rgb="FFF8696B"/>
        <color theme="4" tint="0.79998168889431442"/>
        <color rgb="FF5A8AC6"/>
      </colorScale>
    </cfRule>
  </conditionalFormatting>
  <conditionalFormatting sqref="AA193">
    <cfRule type="expression" dxfId="1595" priority="1694" stopIfTrue="1">
      <formula>AA189=""</formula>
    </cfRule>
  </conditionalFormatting>
  <conditionalFormatting sqref="AA193">
    <cfRule type="expression" dxfId="1594" priority="1695" stopIfTrue="1">
      <formula>AA193=1</formula>
    </cfRule>
    <cfRule type="colorScale" priority="1696">
      <colorScale>
        <cfvo type="num" val="0"/>
        <cfvo type="num" val="0.5"/>
        <cfvo type="num" val="1"/>
        <color rgb="FFF8696B"/>
        <color theme="4" tint="0.79998168889431442"/>
        <color rgb="FF5A8AC6"/>
      </colorScale>
    </cfRule>
  </conditionalFormatting>
  <conditionalFormatting sqref="AA181">
    <cfRule type="expression" dxfId="1593" priority="1691" stopIfTrue="1">
      <formula>AA167=""</formula>
    </cfRule>
  </conditionalFormatting>
  <conditionalFormatting sqref="AA181">
    <cfRule type="expression" dxfId="1592" priority="1692" stopIfTrue="1">
      <formula>AA181=1</formula>
    </cfRule>
    <cfRule type="colorScale" priority="1693">
      <colorScale>
        <cfvo type="num" val="0"/>
        <cfvo type="num" val="0.5"/>
        <cfvo type="num" val="1"/>
        <color rgb="FFF8696B"/>
        <color theme="4" tint="0.79998168889431442"/>
        <color rgb="FF5A8AC6"/>
      </colorScale>
    </cfRule>
  </conditionalFormatting>
  <conditionalFormatting sqref="AA209">
    <cfRule type="expression" dxfId="1591" priority="1688" stopIfTrue="1">
      <formula>AA195=""</formula>
    </cfRule>
  </conditionalFormatting>
  <conditionalFormatting sqref="AA209">
    <cfRule type="expression" dxfId="1590" priority="1689" stopIfTrue="1">
      <formula>AA209=1</formula>
    </cfRule>
    <cfRule type="colorScale" priority="1690">
      <colorScale>
        <cfvo type="num" val="0"/>
        <cfvo type="num" val="0.5"/>
        <cfvo type="num" val="1"/>
        <color rgb="FFF8696B"/>
        <color theme="4" tint="0.79998168889431442"/>
        <color rgb="FF5A8AC6"/>
      </colorScale>
    </cfRule>
  </conditionalFormatting>
  <conditionalFormatting sqref="AA225">
    <cfRule type="expression" dxfId="1589" priority="1685" stopIfTrue="1">
      <formula>AA211=""</formula>
    </cfRule>
  </conditionalFormatting>
  <conditionalFormatting sqref="AA225">
    <cfRule type="expression" dxfId="1588" priority="1686" stopIfTrue="1">
      <formula>AA225=1</formula>
    </cfRule>
    <cfRule type="colorScale" priority="1687">
      <colorScale>
        <cfvo type="num" val="0"/>
        <cfvo type="num" val="0.5"/>
        <cfvo type="num" val="1"/>
        <color rgb="FFF8696B"/>
        <color theme="4" tint="0.79998168889431442"/>
        <color rgb="FF5A8AC6"/>
      </colorScale>
    </cfRule>
  </conditionalFormatting>
  <conditionalFormatting sqref="AA71">
    <cfRule type="expression" dxfId="1587" priority="1677" stopIfTrue="1">
      <formula>AA71=1</formula>
    </cfRule>
    <cfRule type="colorScale" priority="1678">
      <colorScale>
        <cfvo type="num" val="0"/>
        <cfvo type="num" val="0.5"/>
        <cfvo type="num" val="1"/>
        <color rgb="FFF8696B"/>
        <color theme="4" tint="0.79998168889431442"/>
        <color rgb="FF5A8AC6"/>
      </colorScale>
    </cfRule>
  </conditionalFormatting>
  <conditionalFormatting sqref="AA147">
    <cfRule type="expression" dxfId="1586" priority="1682" stopIfTrue="1">
      <formula>AA134=""</formula>
    </cfRule>
  </conditionalFormatting>
  <conditionalFormatting sqref="AA147">
    <cfRule type="expression" dxfId="1585" priority="1683" stopIfTrue="1">
      <formula>AA147=1</formula>
    </cfRule>
    <cfRule type="colorScale" priority="1684">
      <colorScale>
        <cfvo type="num" val="0"/>
        <cfvo type="num" val="0.5"/>
        <cfvo type="num" val="1"/>
        <color rgb="FFF8696B"/>
        <color theme="4" tint="0.79998168889431442"/>
        <color rgb="FF5A8AC6"/>
      </colorScale>
    </cfRule>
  </conditionalFormatting>
  <conditionalFormatting sqref="AA131">
    <cfRule type="expression" dxfId="1584" priority="1679" stopIfTrue="1">
      <formula>AA74=""</formula>
    </cfRule>
  </conditionalFormatting>
  <conditionalFormatting sqref="AA131">
    <cfRule type="expression" dxfId="1583" priority="1680" stopIfTrue="1">
      <formula>AA131=1</formula>
    </cfRule>
    <cfRule type="colorScale" priority="1681">
      <colorScale>
        <cfvo type="num" val="0"/>
        <cfvo type="num" val="0.5"/>
        <cfvo type="num" val="1"/>
        <color rgb="FFF8696B"/>
        <color theme="4" tint="0.79998168889431442"/>
        <color rgb="FF5A8AC6"/>
      </colorScale>
    </cfRule>
  </conditionalFormatting>
  <conditionalFormatting sqref="AA71">
    <cfRule type="expression" dxfId="1582" priority="1676" stopIfTrue="1">
      <formula>AA65=""</formula>
    </cfRule>
  </conditionalFormatting>
  <conditionalFormatting sqref="AA72">
    <cfRule type="expression" dxfId="1581" priority="1673" stopIfTrue="1">
      <formula>AA4=""</formula>
    </cfRule>
  </conditionalFormatting>
  <conditionalFormatting sqref="AA72">
    <cfRule type="expression" dxfId="1580" priority="1674" stopIfTrue="1">
      <formula>AA72=1</formula>
    </cfRule>
    <cfRule type="colorScale" priority="1675">
      <colorScale>
        <cfvo type="num" val="0"/>
        <cfvo type="num" val="0.5"/>
        <cfvo type="num" val="1"/>
        <color rgb="FFF8696B"/>
        <color theme="4" tint="0.79998168889431442"/>
        <color rgb="FF5A8AC6"/>
      </colorScale>
    </cfRule>
  </conditionalFormatting>
  <conditionalFormatting sqref="AA132">
    <cfRule type="expression" dxfId="1579" priority="1671" stopIfTrue="1">
      <formula>AA132=1</formula>
    </cfRule>
    <cfRule type="colorScale" priority="1672">
      <colorScale>
        <cfvo type="num" val="0"/>
        <cfvo type="num" val="0.5"/>
        <cfvo type="num" val="1"/>
        <color rgb="FFF8696B"/>
        <color theme="4" tint="0.79998168889431442"/>
        <color rgb="FF5A8AC6"/>
      </colorScale>
    </cfRule>
  </conditionalFormatting>
  <conditionalFormatting sqref="AA132">
    <cfRule type="expression" dxfId="1578" priority="1670" stopIfTrue="1">
      <formula>AA74=""</formula>
    </cfRule>
  </conditionalFormatting>
  <conditionalFormatting sqref="AA237:AA238">
    <cfRule type="expression" dxfId="1577" priority="1666" stopIfTrue="1">
      <formula>AA237=_xlfn.UNICHAR(10003)</formula>
    </cfRule>
    <cfRule type="colorScale" priority="1667">
      <colorScale>
        <cfvo type="num" val="0"/>
        <cfvo type="num" val="0.5"/>
        <cfvo type="num" val="1"/>
        <color rgb="FFF8696B"/>
        <color theme="4" tint="0.79998168889431442"/>
        <color rgb="FF5A8AC6"/>
      </colorScale>
    </cfRule>
  </conditionalFormatting>
  <conditionalFormatting sqref="AA230:AA236">
    <cfRule type="expression" dxfId="1576" priority="1664" stopIfTrue="1">
      <formula>AA230=_xlfn.UNICHAR(10003)</formula>
    </cfRule>
    <cfRule type="colorScale" priority="1665">
      <colorScale>
        <cfvo type="num" val="0"/>
        <cfvo type="num" val="0.5"/>
        <cfvo type="num" val="1"/>
        <color rgb="FFF8696B"/>
        <color theme="4" tint="0.79998168889431442"/>
        <color rgb="FF5A8AC6"/>
      </colorScale>
    </cfRule>
  </conditionalFormatting>
  <conditionalFormatting sqref="AA239">
    <cfRule type="expression" dxfId="1575" priority="1662" stopIfTrue="1">
      <formula>AA239=_xlfn.UNICHAR(10003)</formula>
    </cfRule>
    <cfRule type="colorScale" priority="1663">
      <colorScale>
        <cfvo type="num" val="0"/>
        <cfvo type="num" val="0.5"/>
        <cfvo type="num" val="1"/>
        <color rgb="FFF8696B"/>
        <color theme="4" tint="0.79998168889431442"/>
        <color rgb="FF5A8AC6"/>
      </colorScale>
    </cfRule>
  </conditionalFormatting>
  <conditionalFormatting sqref="AA239">
    <cfRule type="expression" dxfId="1574" priority="1660" stopIfTrue="1">
      <formula>AA239=1</formula>
    </cfRule>
    <cfRule type="colorScale" priority="1661">
      <colorScale>
        <cfvo type="num" val="0"/>
        <cfvo type="num" val="0.5"/>
        <cfvo type="num" val="1"/>
        <color rgb="FFF8696B"/>
        <color theme="4" tint="0.79998168889431442"/>
        <color rgb="FF5A8AC6"/>
      </colorScale>
    </cfRule>
  </conditionalFormatting>
  <conditionalFormatting sqref="AA228">
    <cfRule type="expression" dxfId="1573" priority="1659" stopIfTrue="1">
      <formula>AA228=UNICAHR(10003)</formula>
    </cfRule>
    <cfRule type="expression" dxfId="1572" priority="1668" stopIfTrue="1">
      <formula>AA228=CONCATENATE(_xlfn.UNICHAR(10003),_xlfn.UNICHAR(10003))</formula>
    </cfRule>
    <cfRule type="colorScale" priority="1669">
      <colorScale>
        <cfvo type="num" val="0"/>
        <cfvo type="num" val="0.5"/>
        <cfvo type="num" val="1"/>
        <color rgb="FFF8696B"/>
        <color theme="4" tint="0.79998168889431442"/>
        <color rgb="FF5A8AC6"/>
      </colorScale>
    </cfRule>
  </conditionalFormatting>
  <conditionalFormatting sqref="AA238 AA229">
    <cfRule type="expression" dxfId="1571" priority="1656" stopIfTrue="1">
      <formula>AA229=_xlfn.UNICHAR(10003)</formula>
    </cfRule>
    <cfRule type="expression" dxfId="1570" priority="1657" stopIfTrue="1">
      <formula>AA229=CONCATENATE(_xlfn.UNICHAR(10003),_xlfn.UNICHAR(10003))</formula>
    </cfRule>
    <cfRule type="colorScale" priority="1658">
      <colorScale>
        <cfvo type="num" val="0"/>
        <cfvo type="num" val="0.5"/>
        <cfvo type="num" val="1"/>
        <color rgb="FFF8696B"/>
        <color theme="4" tint="0.79998168889431442"/>
        <color rgb="FF5A8AC6"/>
      </colorScale>
    </cfRule>
  </conditionalFormatting>
  <conditionalFormatting sqref="AA160">
    <cfRule type="expression" dxfId="1569" priority="1653">
      <formula>AA159="X"</formula>
    </cfRule>
    <cfRule type="expression" dxfId="1568" priority="1654">
      <formula>AA159="A"</formula>
    </cfRule>
    <cfRule type="expression" dxfId="1567" priority="1655">
      <formula>AA159="T"</formula>
    </cfRule>
  </conditionalFormatting>
  <conditionalFormatting sqref="AA159">
    <cfRule type="expression" dxfId="1566" priority="1650">
      <formula>AA159="X"</formula>
    </cfRule>
    <cfRule type="expression" dxfId="1565" priority="1651">
      <formula>AA159="A"</formula>
    </cfRule>
    <cfRule type="expression" dxfId="1564" priority="1652">
      <formula>AA159="T"</formula>
    </cfRule>
  </conditionalFormatting>
  <conditionalFormatting sqref="AA162">
    <cfRule type="expression" dxfId="1563" priority="1647">
      <formula>AA161="X"</formula>
    </cfRule>
    <cfRule type="expression" dxfId="1562" priority="1648">
      <formula>AA161="A"</formula>
    </cfRule>
    <cfRule type="expression" dxfId="1561" priority="1649">
      <formula>AA161="T"</formula>
    </cfRule>
  </conditionalFormatting>
  <conditionalFormatting sqref="AA161">
    <cfRule type="expression" dxfId="1560" priority="1644">
      <formula>AA161="X"</formula>
    </cfRule>
    <cfRule type="expression" dxfId="1559" priority="1645">
      <formula>AA161="A"</formula>
    </cfRule>
    <cfRule type="expression" dxfId="1558" priority="1646">
      <formula>AA161="T"</formula>
    </cfRule>
  </conditionalFormatting>
  <conditionalFormatting sqref="AA164">
    <cfRule type="expression" dxfId="1557" priority="1641">
      <formula>AA163="X"</formula>
    </cfRule>
    <cfRule type="expression" dxfId="1556" priority="1642">
      <formula>AA163="A"</formula>
    </cfRule>
    <cfRule type="expression" dxfId="1555" priority="1643">
      <formula>AA163="T"</formula>
    </cfRule>
  </conditionalFormatting>
  <conditionalFormatting sqref="AA163">
    <cfRule type="expression" dxfId="1554" priority="1638">
      <formula>AA163="X"</formula>
    </cfRule>
    <cfRule type="expression" dxfId="1553" priority="1639">
      <formula>AA163="A"</formula>
    </cfRule>
    <cfRule type="expression" dxfId="1552" priority="1640">
      <formula>AA163="T"</formula>
    </cfRule>
  </conditionalFormatting>
  <conditionalFormatting sqref="AA241">
    <cfRule type="colorScale" priority="1637">
      <colorScale>
        <cfvo type="min"/>
        <cfvo type="percentile" val="50"/>
        <cfvo type="max"/>
        <color rgb="FF63BE7B"/>
        <color rgb="FFFFEB84"/>
        <color rgb="FFF8696B"/>
      </colorScale>
    </cfRule>
  </conditionalFormatting>
  <conditionalFormatting sqref="AA195">
    <cfRule type="expression" dxfId="1551" priority="1634">
      <formula>AA195="X"</formula>
    </cfRule>
    <cfRule type="expression" dxfId="1550" priority="1635">
      <formula>AA195="A"</formula>
    </cfRule>
    <cfRule type="expression" dxfId="1549" priority="1636">
      <formula>AA195="T"</formula>
    </cfRule>
  </conditionalFormatting>
  <conditionalFormatting sqref="AA203">
    <cfRule type="expression" dxfId="1548" priority="1631">
      <formula>AA203="X"</formula>
    </cfRule>
    <cfRule type="expression" dxfId="1547" priority="1632">
      <formula>AA203="A"</formula>
    </cfRule>
    <cfRule type="expression" dxfId="1546" priority="1633">
      <formula>AA203="T"</formula>
    </cfRule>
  </conditionalFormatting>
  <conditionalFormatting sqref="AA205">
    <cfRule type="expression" dxfId="1545" priority="1628">
      <formula>AA205="X"</formula>
    </cfRule>
    <cfRule type="expression" dxfId="1544" priority="1629">
      <formula>AA205="A"</formula>
    </cfRule>
    <cfRule type="expression" dxfId="1543" priority="1630">
      <formula>AA205="T"</formula>
    </cfRule>
  </conditionalFormatting>
  <conditionalFormatting sqref="AA207">
    <cfRule type="expression" dxfId="1542" priority="1625">
      <formula>AA207="X"</formula>
    </cfRule>
    <cfRule type="expression" dxfId="1541" priority="1626">
      <formula>AA207="A"</formula>
    </cfRule>
    <cfRule type="expression" dxfId="1540" priority="1627">
      <formula>AA207="T"</formula>
    </cfRule>
  </conditionalFormatting>
  <conditionalFormatting sqref="AA204">
    <cfRule type="expression" dxfId="1539" priority="1622">
      <formula>AA203="X"</formula>
    </cfRule>
    <cfRule type="expression" dxfId="1538" priority="1623">
      <formula>AA203="A"</formula>
    </cfRule>
    <cfRule type="expression" dxfId="1537" priority="1624">
      <formula>AA203="T"</formula>
    </cfRule>
  </conditionalFormatting>
  <conditionalFormatting sqref="AA206">
    <cfRule type="expression" dxfId="1536" priority="1619">
      <formula>AA205="X"</formula>
    </cfRule>
    <cfRule type="expression" dxfId="1535" priority="1620">
      <formula>AA205="A"</formula>
    </cfRule>
    <cfRule type="expression" dxfId="1534" priority="1621">
      <formula>AA205="T"</formula>
    </cfRule>
  </conditionalFormatting>
  <conditionalFormatting sqref="AA196">
    <cfRule type="expression" dxfId="1533" priority="1616">
      <formula>AA195="X"</formula>
    </cfRule>
    <cfRule type="expression" dxfId="1532" priority="1617">
      <formula>AA195="A"</formula>
    </cfRule>
    <cfRule type="expression" dxfId="1531" priority="1618">
      <formula>AA195="T"</formula>
    </cfRule>
  </conditionalFormatting>
  <conditionalFormatting sqref="AA197">
    <cfRule type="expression" dxfId="1530" priority="1613">
      <formula>AA197="X"</formula>
    </cfRule>
    <cfRule type="expression" dxfId="1529" priority="1614">
      <formula>AA197="A"</formula>
    </cfRule>
    <cfRule type="expression" dxfId="1528" priority="1615">
      <formula>AA197="T"</formula>
    </cfRule>
  </conditionalFormatting>
  <conditionalFormatting sqref="AA198">
    <cfRule type="expression" dxfId="1527" priority="1610">
      <formula>AA197="X"</formula>
    </cfRule>
    <cfRule type="expression" dxfId="1526" priority="1611">
      <formula>AA197="A"</formula>
    </cfRule>
    <cfRule type="expression" dxfId="1525" priority="1612">
      <formula>AA197="T"</formula>
    </cfRule>
  </conditionalFormatting>
  <conditionalFormatting sqref="AA199">
    <cfRule type="expression" dxfId="1524" priority="1607">
      <formula>AA199="X"</formula>
    </cfRule>
    <cfRule type="expression" dxfId="1523" priority="1608">
      <formula>AA199="A"</formula>
    </cfRule>
    <cfRule type="expression" dxfId="1522" priority="1609">
      <formula>AA199="T"</formula>
    </cfRule>
  </conditionalFormatting>
  <conditionalFormatting sqref="AA200">
    <cfRule type="expression" dxfId="1521" priority="1604">
      <formula>AA199="X"</formula>
    </cfRule>
    <cfRule type="expression" dxfId="1520" priority="1605">
      <formula>AA199="A"</formula>
    </cfRule>
    <cfRule type="expression" dxfId="1519" priority="1606">
      <formula>AA199="T"</formula>
    </cfRule>
  </conditionalFormatting>
  <conditionalFormatting sqref="AA201">
    <cfRule type="expression" dxfId="1518" priority="1601">
      <formula>AA201="X"</formula>
    </cfRule>
    <cfRule type="expression" dxfId="1517" priority="1602">
      <formula>AA201="A"</formula>
    </cfRule>
    <cfRule type="expression" dxfId="1516" priority="1603">
      <formula>AA201="T"</formula>
    </cfRule>
  </conditionalFormatting>
  <conditionalFormatting sqref="AA202">
    <cfRule type="expression" dxfId="1515" priority="1598">
      <formula>AA201="X"</formula>
    </cfRule>
    <cfRule type="expression" dxfId="1514" priority="1599">
      <formula>AA201="A"</formula>
    </cfRule>
    <cfRule type="expression" dxfId="1513" priority="1600">
      <formula>AA201="T"</formula>
    </cfRule>
  </conditionalFormatting>
  <conditionalFormatting sqref="AB158">
    <cfRule type="expression" dxfId="1512" priority="1594">
      <formula>AB157="X"</formula>
    </cfRule>
    <cfRule type="expression" dxfId="1511" priority="1595">
      <formula>AB157="A"</formula>
    </cfRule>
    <cfRule type="expression" dxfId="1510" priority="1596">
      <formula>AB157="T"</formula>
    </cfRule>
  </conditionalFormatting>
  <conditionalFormatting sqref="AB15 AB10 AB38 AB69 AB71:AB72 AB80 AB87 AB104 AB115 AB124 AB129 AB131:AB132 AB140 AB145 AB147 AB153 AB181 AB187 AB193 AB209 AB225">
    <cfRule type="expression" dxfId="1509" priority="1591" stopIfTrue="1">
      <formula>AB10=1</formula>
    </cfRule>
    <cfRule type="colorScale" priority="1592">
      <colorScale>
        <cfvo type="num" val="0"/>
        <cfvo type="num" val="0.5"/>
        <cfvo type="num" val="1"/>
        <color rgb="FFF8696B"/>
        <color theme="4" tint="0.79998168889431442"/>
        <color rgb="FF5A8AC6"/>
      </colorScale>
    </cfRule>
  </conditionalFormatting>
  <conditionalFormatting sqref="AB71">
    <cfRule type="expression" dxfId="1508" priority="1593" stopIfTrue="1">
      <formula>AB4=""</formula>
    </cfRule>
  </conditionalFormatting>
  <conditionalFormatting sqref="AB131">
    <cfRule type="expression" dxfId="1507" priority="1590" stopIfTrue="1">
      <formula>AB74=""</formula>
    </cfRule>
  </conditionalFormatting>
  <conditionalFormatting sqref="AB15 AB129 AB145 AB153 AB187 AB193">
    <cfRule type="expression" dxfId="1506" priority="1589" stopIfTrue="1">
      <formula>AB11=""</formula>
    </cfRule>
  </conditionalFormatting>
  <conditionalFormatting sqref="AB38">
    <cfRule type="expression" dxfId="1505" priority="1588" stopIfTrue="1">
      <formula>AB16=""</formula>
    </cfRule>
  </conditionalFormatting>
  <conditionalFormatting sqref="AB124">
    <cfRule type="expression" dxfId="1504" priority="1587" stopIfTrue="1">
      <formula>AB116=""</formula>
    </cfRule>
  </conditionalFormatting>
  <conditionalFormatting sqref="AB10 AB69 AB80 AB87 AB140">
    <cfRule type="expression" dxfId="1503" priority="1585" stopIfTrue="1">
      <formula>AB4=""</formula>
    </cfRule>
  </conditionalFormatting>
  <conditionalFormatting sqref="AB147">
    <cfRule type="expression" dxfId="1502" priority="1582" stopIfTrue="1">
      <formula>AB134=""</formula>
    </cfRule>
  </conditionalFormatting>
  <conditionalFormatting sqref="AB237:AB238">
    <cfRule type="expression" dxfId="1501" priority="1580" stopIfTrue="1">
      <formula>AB237=_xlfn.UNICHAR(10003)</formula>
    </cfRule>
    <cfRule type="colorScale" priority="1581">
      <colorScale>
        <cfvo type="num" val="0"/>
        <cfvo type="num" val="0.5"/>
        <cfvo type="num" val="1"/>
        <color rgb="FFF8696B"/>
        <color theme="4" tint="0.79998168889431442"/>
        <color rgb="FF5A8AC6"/>
      </colorScale>
    </cfRule>
  </conditionalFormatting>
  <conditionalFormatting sqref="AB16 AB18 AB20 AB22 AB26 AB28 AB81 AB88 AB90 AB92 AB94 AB96 AB98 AB105 AB107 AB109 AB111 AB116 AB24">
    <cfRule type="expression" dxfId="1500" priority="1577">
      <formula>AB16="X"</formula>
    </cfRule>
    <cfRule type="expression" dxfId="1499" priority="1578">
      <formula>AB16="A"</formula>
    </cfRule>
    <cfRule type="expression" dxfId="1498" priority="1579">
      <formula>AB16="T"</formula>
    </cfRule>
  </conditionalFormatting>
  <conditionalFormatting sqref="AB36">
    <cfRule type="expression" dxfId="1497" priority="1574">
      <formula>AB36="X"</formula>
    </cfRule>
    <cfRule type="expression" dxfId="1496" priority="1575">
      <formula>AB36="A"</formula>
    </cfRule>
    <cfRule type="expression" dxfId="1495" priority="1576">
      <formula>AB36="T"</formula>
    </cfRule>
  </conditionalFormatting>
  <conditionalFormatting sqref="AB32">
    <cfRule type="expression" dxfId="1494" priority="1568">
      <formula>AB32="X"</formula>
    </cfRule>
    <cfRule type="expression" dxfId="1493" priority="1569">
      <formula>AB32="A"</formula>
    </cfRule>
    <cfRule type="expression" dxfId="1492" priority="1570">
      <formula>AB32="T"</formula>
    </cfRule>
  </conditionalFormatting>
  <conditionalFormatting sqref="AB52">
    <cfRule type="expression" dxfId="1491" priority="1562">
      <formula>AB52="X"</formula>
    </cfRule>
    <cfRule type="expression" dxfId="1490" priority="1563">
      <formula>AB52="A"</formula>
    </cfRule>
    <cfRule type="expression" dxfId="1489" priority="1564">
      <formula>AB52="T"</formula>
    </cfRule>
  </conditionalFormatting>
  <conditionalFormatting sqref="AB54">
    <cfRule type="expression" dxfId="1488" priority="1556">
      <formula>AB54="X"</formula>
    </cfRule>
    <cfRule type="expression" dxfId="1487" priority="1557">
      <formula>AB54="A"</formula>
    </cfRule>
    <cfRule type="expression" dxfId="1486" priority="1558">
      <formula>AB54="T"</formula>
    </cfRule>
  </conditionalFormatting>
  <conditionalFormatting sqref="AB63">
    <cfRule type="expression" dxfId="1485" priority="1547">
      <formula>AB63="X"</formula>
    </cfRule>
    <cfRule type="expression" dxfId="1484" priority="1548">
      <formula>AB63="A"</formula>
    </cfRule>
    <cfRule type="expression" dxfId="1483" priority="1549">
      <formula>AB63="T"</formula>
    </cfRule>
  </conditionalFormatting>
  <conditionalFormatting sqref="AB65">
    <cfRule type="expression" dxfId="1482" priority="1544">
      <formula>AB65="X"</formula>
    </cfRule>
    <cfRule type="expression" dxfId="1481" priority="1545">
      <formula>AB65="A"</formula>
    </cfRule>
    <cfRule type="expression" dxfId="1480" priority="1546">
      <formula>AB65="T"</formula>
    </cfRule>
  </conditionalFormatting>
  <conditionalFormatting sqref="AB83">
    <cfRule type="expression" dxfId="1479" priority="1541">
      <formula>AB83="X"</formula>
    </cfRule>
    <cfRule type="expression" dxfId="1478" priority="1542">
      <formula>AB83="A"</formula>
    </cfRule>
    <cfRule type="expression" dxfId="1477" priority="1543">
      <formula>AB83="T"</formula>
    </cfRule>
  </conditionalFormatting>
  <conditionalFormatting sqref="AB85">
    <cfRule type="expression" dxfId="1476" priority="1538">
      <formula>AB85="X"</formula>
    </cfRule>
    <cfRule type="expression" dxfId="1475" priority="1539">
      <formula>AB85="A"</formula>
    </cfRule>
    <cfRule type="expression" dxfId="1474" priority="1540">
      <formula>AB85="T"</formula>
    </cfRule>
  </conditionalFormatting>
  <conditionalFormatting sqref="AB67">
    <cfRule type="expression" dxfId="1473" priority="1535">
      <formula>AB67="X"</formula>
    </cfRule>
    <cfRule type="expression" dxfId="1472" priority="1536">
      <formula>AB67="A"</formula>
    </cfRule>
    <cfRule type="expression" dxfId="1471" priority="1537">
      <formula>AB67="T"</formula>
    </cfRule>
  </conditionalFormatting>
  <conditionalFormatting sqref="AB113">
    <cfRule type="expression" dxfId="1470" priority="1532">
      <formula>AB113="X"</formula>
    </cfRule>
    <cfRule type="expression" dxfId="1469" priority="1533">
      <formula>AB113="A"</formula>
    </cfRule>
    <cfRule type="expression" dxfId="1468" priority="1534">
      <formula>AB113="T"</formula>
    </cfRule>
  </conditionalFormatting>
  <conditionalFormatting sqref="AB118">
    <cfRule type="expression" dxfId="1467" priority="1529">
      <formula>AB118="X"</formula>
    </cfRule>
    <cfRule type="expression" dxfId="1466" priority="1530">
      <formula>AB118="A"</formula>
    </cfRule>
    <cfRule type="expression" dxfId="1465" priority="1531">
      <formula>AB118="T"</formula>
    </cfRule>
  </conditionalFormatting>
  <conditionalFormatting sqref="AB120">
    <cfRule type="expression" dxfId="1464" priority="1526">
      <formula>AB120="X"</formula>
    </cfRule>
    <cfRule type="expression" dxfId="1463" priority="1527">
      <formula>AB120="A"</formula>
    </cfRule>
    <cfRule type="expression" dxfId="1462" priority="1528">
      <formula>AB120="T"</formula>
    </cfRule>
  </conditionalFormatting>
  <conditionalFormatting sqref="AB122">
    <cfRule type="expression" dxfId="1461" priority="1523">
      <formula>AB122="X"</formula>
    </cfRule>
    <cfRule type="expression" dxfId="1460" priority="1524">
      <formula>AB122="A"</formula>
    </cfRule>
    <cfRule type="expression" dxfId="1459" priority="1525">
      <formula>AB122="T"</formula>
    </cfRule>
  </conditionalFormatting>
  <conditionalFormatting sqref="AB125">
    <cfRule type="expression" dxfId="1458" priority="1520">
      <formula>AB125="X"</formula>
    </cfRule>
    <cfRule type="expression" dxfId="1457" priority="1521">
      <formula>AB125="A"</formula>
    </cfRule>
    <cfRule type="expression" dxfId="1456" priority="1522">
      <formula>AB125="T"</formula>
    </cfRule>
  </conditionalFormatting>
  <conditionalFormatting sqref="AB127">
    <cfRule type="expression" dxfId="1455" priority="1517">
      <formula>AB127="X"</formula>
    </cfRule>
    <cfRule type="expression" dxfId="1454" priority="1518">
      <formula>AB127="A"</formula>
    </cfRule>
    <cfRule type="expression" dxfId="1453" priority="1519">
      <formula>AB127="T"</formula>
    </cfRule>
  </conditionalFormatting>
  <conditionalFormatting sqref="AB141">
    <cfRule type="expression" dxfId="1452" priority="1514">
      <formula>AB141="X"</formula>
    </cfRule>
    <cfRule type="expression" dxfId="1451" priority="1515">
      <formula>AB141="A"</formula>
    </cfRule>
    <cfRule type="expression" dxfId="1450" priority="1516">
      <formula>AB141="T"</formula>
    </cfRule>
  </conditionalFormatting>
  <conditionalFormatting sqref="AB143">
    <cfRule type="expression" dxfId="1449" priority="1511">
      <formula>AB143="X"</formula>
    </cfRule>
    <cfRule type="expression" dxfId="1448" priority="1512">
      <formula>AB143="A"</formula>
    </cfRule>
    <cfRule type="expression" dxfId="1447" priority="1513">
      <formula>AB143="T"</formula>
    </cfRule>
  </conditionalFormatting>
  <conditionalFormatting sqref="AB151">
    <cfRule type="expression" dxfId="1446" priority="1505">
      <formula>AB151="X"</formula>
    </cfRule>
    <cfRule type="expression" dxfId="1445" priority="1506">
      <formula>AB151="A"</formula>
    </cfRule>
    <cfRule type="expression" dxfId="1444" priority="1507">
      <formula>AB151="T"</formula>
    </cfRule>
  </conditionalFormatting>
  <conditionalFormatting sqref="AB155">
    <cfRule type="expression" dxfId="1443" priority="1502">
      <formula>AB155="X"</formula>
    </cfRule>
    <cfRule type="expression" dxfId="1442" priority="1503">
      <formula>AB155="A"</formula>
    </cfRule>
    <cfRule type="expression" dxfId="1441" priority="1504">
      <formula>AB155="T"</formula>
    </cfRule>
  </conditionalFormatting>
  <conditionalFormatting sqref="AB157">
    <cfRule type="expression" dxfId="1440" priority="1499">
      <formula>AB157="X"</formula>
    </cfRule>
    <cfRule type="expression" dxfId="1439" priority="1500">
      <formula>AB157="A"</formula>
    </cfRule>
    <cfRule type="expression" dxfId="1438" priority="1501">
      <formula>AB157="T"</formula>
    </cfRule>
  </conditionalFormatting>
  <conditionalFormatting sqref="AB167">
    <cfRule type="expression" dxfId="1437" priority="1496">
      <formula>AB167="X"</formula>
    </cfRule>
    <cfRule type="expression" dxfId="1436" priority="1497">
      <formula>AB167="A"</formula>
    </cfRule>
    <cfRule type="expression" dxfId="1435" priority="1498">
      <formula>AB167="T"</formula>
    </cfRule>
  </conditionalFormatting>
  <conditionalFormatting sqref="AB173">
    <cfRule type="expression" dxfId="1434" priority="1493">
      <formula>AB173="X"</formula>
    </cfRule>
    <cfRule type="expression" dxfId="1433" priority="1494">
      <formula>AB173="A"</formula>
    </cfRule>
    <cfRule type="expression" dxfId="1432" priority="1495">
      <formula>AB173="T"</formula>
    </cfRule>
  </conditionalFormatting>
  <conditionalFormatting sqref="AB175">
    <cfRule type="expression" dxfId="1431" priority="1490">
      <formula>AB175="X"</formula>
    </cfRule>
    <cfRule type="expression" dxfId="1430" priority="1491">
      <formula>AB175="A"</formula>
    </cfRule>
    <cfRule type="expression" dxfId="1429" priority="1492">
      <formula>AB175="T"</formula>
    </cfRule>
  </conditionalFormatting>
  <conditionalFormatting sqref="AB177">
    <cfRule type="expression" dxfId="1428" priority="1487">
      <formula>AB177="X"</formula>
    </cfRule>
    <cfRule type="expression" dxfId="1427" priority="1488">
      <formula>AB177="A"</formula>
    </cfRule>
    <cfRule type="expression" dxfId="1426" priority="1489">
      <formula>AB177="T"</formula>
    </cfRule>
  </conditionalFormatting>
  <conditionalFormatting sqref="AB179">
    <cfRule type="expression" dxfId="1425" priority="1484">
      <formula>AB179="X"</formula>
    </cfRule>
    <cfRule type="expression" dxfId="1424" priority="1485">
      <formula>AB179="A"</formula>
    </cfRule>
    <cfRule type="expression" dxfId="1423" priority="1486">
      <formula>AB179="T"</formula>
    </cfRule>
  </conditionalFormatting>
  <conditionalFormatting sqref="AB169">
    <cfRule type="expression" dxfId="1422" priority="1481">
      <formula>AB169="X"</formula>
    </cfRule>
    <cfRule type="expression" dxfId="1421" priority="1482">
      <formula>AB169="A"</formula>
    </cfRule>
    <cfRule type="expression" dxfId="1420" priority="1483">
      <formula>AB169="T"</formula>
    </cfRule>
  </conditionalFormatting>
  <conditionalFormatting sqref="AB171">
    <cfRule type="expression" dxfId="1419" priority="1478">
      <formula>AB171="X"</formula>
    </cfRule>
    <cfRule type="expression" dxfId="1418" priority="1479">
      <formula>AB171="A"</formula>
    </cfRule>
    <cfRule type="expression" dxfId="1417" priority="1480">
      <formula>AB171="T"</formula>
    </cfRule>
  </conditionalFormatting>
  <conditionalFormatting sqref="AB183">
    <cfRule type="expression" dxfId="1416" priority="1475">
      <formula>AB183="X"</formula>
    </cfRule>
    <cfRule type="expression" dxfId="1415" priority="1476">
      <formula>AB183="A"</formula>
    </cfRule>
    <cfRule type="expression" dxfId="1414" priority="1477">
      <formula>AB183="T"</formula>
    </cfRule>
  </conditionalFormatting>
  <conditionalFormatting sqref="AB185">
    <cfRule type="expression" dxfId="1413" priority="1472">
      <formula>AB185="X"</formula>
    </cfRule>
    <cfRule type="expression" dxfId="1412" priority="1473">
      <formula>AB185="A"</formula>
    </cfRule>
    <cfRule type="expression" dxfId="1411" priority="1474">
      <formula>AB185="T"</formula>
    </cfRule>
  </conditionalFormatting>
  <conditionalFormatting sqref="AB189">
    <cfRule type="expression" dxfId="1410" priority="1469">
      <formula>AB189="X"</formula>
    </cfRule>
    <cfRule type="expression" dxfId="1409" priority="1470">
      <formula>AB189="A"</formula>
    </cfRule>
    <cfRule type="expression" dxfId="1408" priority="1471">
      <formula>AB189="T"</formula>
    </cfRule>
  </conditionalFormatting>
  <conditionalFormatting sqref="AB191">
    <cfRule type="expression" dxfId="1407" priority="1466">
      <formula>AB191="X"</formula>
    </cfRule>
    <cfRule type="expression" dxfId="1406" priority="1467">
      <formula>AB191="A"</formula>
    </cfRule>
    <cfRule type="expression" dxfId="1405" priority="1468">
      <formula>AB191="T"</formula>
    </cfRule>
  </conditionalFormatting>
  <conditionalFormatting sqref="AB11">
    <cfRule type="expression" dxfId="1404" priority="1463">
      <formula>AB11="X"</formula>
    </cfRule>
    <cfRule type="expression" dxfId="1403" priority="1464">
      <formula>AB11="A"</formula>
    </cfRule>
    <cfRule type="expression" dxfId="1402" priority="1465">
      <formula>AB11="T"</formula>
    </cfRule>
  </conditionalFormatting>
  <conditionalFormatting sqref="AB12">
    <cfRule type="expression" dxfId="1401" priority="1460">
      <formula>AB11="X"</formula>
    </cfRule>
    <cfRule type="expression" dxfId="1400" priority="1461">
      <formula>AB11="A"</formula>
    </cfRule>
    <cfRule type="expression" dxfId="1399" priority="1462">
      <formula>AB11="T"</formula>
    </cfRule>
  </conditionalFormatting>
  <conditionalFormatting sqref="AB13">
    <cfRule type="expression" dxfId="1398" priority="1457">
      <formula>AB13="X"</formula>
    </cfRule>
    <cfRule type="expression" dxfId="1397" priority="1458">
      <formula>AB13="A"</formula>
    </cfRule>
    <cfRule type="expression" dxfId="1396" priority="1459">
      <formula>AB13="T"</formula>
    </cfRule>
  </conditionalFormatting>
  <conditionalFormatting sqref="AB14">
    <cfRule type="expression" dxfId="1395" priority="1454">
      <formula>AB13="X"</formula>
    </cfRule>
    <cfRule type="expression" dxfId="1394" priority="1455">
      <formula>AB13="A"</formula>
    </cfRule>
    <cfRule type="expression" dxfId="1393" priority="1456">
      <formula>AB13="T"</formula>
    </cfRule>
  </conditionalFormatting>
  <conditionalFormatting sqref="AB17">
    <cfRule type="expression" dxfId="1392" priority="1451">
      <formula>AB16="X"</formula>
    </cfRule>
    <cfRule type="expression" dxfId="1391" priority="1452">
      <formula>AB16="A"</formula>
    </cfRule>
    <cfRule type="expression" dxfId="1390" priority="1453">
      <formula>AB16="T"</formula>
    </cfRule>
  </conditionalFormatting>
  <conditionalFormatting sqref="AB19">
    <cfRule type="expression" dxfId="1389" priority="1445">
      <formula>AB18="X"</formula>
    </cfRule>
    <cfRule type="expression" dxfId="1388" priority="1446">
      <formula>AB18="A"</formula>
    </cfRule>
    <cfRule type="expression" dxfId="1387" priority="1447">
      <formula>AB18="T"</formula>
    </cfRule>
  </conditionalFormatting>
  <conditionalFormatting sqref="AB21">
    <cfRule type="expression" dxfId="1386" priority="1442">
      <formula>AB20="X"</formula>
    </cfRule>
    <cfRule type="expression" dxfId="1385" priority="1443">
      <formula>AB20="A"</formula>
    </cfRule>
    <cfRule type="expression" dxfId="1384" priority="1444">
      <formula>AB20="T"</formula>
    </cfRule>
  </conditionalFormatting>
  <conditionalFormatting sqref="AB23">
    <cfRule type="expression" dxfId="1383" priority="1439">
      <formula>AB22="X"</formula>
    </cfRule>
    <cfRule type="expression" dxfId="1382" priority="1440">
      <formula>AB22="A"</formula>
    </cfRule>
    <cfRule type="expression" dxfId="1381" priority="1441">
      <formula>AB22="T"</formula>
    </cfRule>
  </conditionalFormatting>
  <conditionalFormatting sqref="AB25">
    <cfRule type="expression" dxfId="1380" priority="1436">
      <formula>AB24="X"</formula>
    </cfRule>
    <cfRule type="expression" dxfId="1379" priority="1437">
      <formula>AB24="A"</formula>
    </cfRule>
    <cfRule type="expression" dxfId="1378" priority="1438">
      <formula>AB24="T"</formula>
    </cfRule>
  </conditionalFormatting>
  <conditionalFormatting sqref="AB27">
    <cfRule type="expression" dxfId="1377" priority="1433">
      <formula>AB26="X"</formula>
    </cfRule>
    <cfRule type="expression" dxfId="1376" priority="1434">
      <formula>AB26="A"</formula>
    </cfRule>
    <cfRule type="expression" dxfId="1375" priority="1435">
      <formula>AB26="T"</formula>
    </cfRule>
  </conditionalFormatting>
  <conditionalFormatting sqref="AB29">
    <cfRule type="expression" dxfId="1374" priority="1430">
      <formula>AB28="X"</formula>
    </cfRule>
    <cfRule type="expression" dxfId="1373" priority="1431">
      <formula>AB28="A"</formula>
    </cfRule>
    <cfRule type="expression" dxfId="1372" priority="1432">
      <formula>AB28="T"</formula>
    </cfRule>
  </conditionalFormatting>
  <conditionalFormatting sqref="AB31">
    <cfRule type="expression" dxfId="1371" priority="1427">
      <formula>AB30="X"</formula>
    </cfRule>
    <cfRule type="expression" dxfId="1370" priority="1428">
      <formula>AB30="A"</formula>
    </cfRule>
    <cfRule type="expression" dxfId="1369" priority="1429">
      <formula>AB30="T"</formula>
    </cfRule>
  </conditionalFormatting>
  <conditionalFormatting sqref="AB33">
    <cfRule type="expression" dxfId="1368" priority="1424">
      <formula>AB32="X"</formula>
    </cfRule>
    <cfRule type="expression" dxfId="1367" priority="1425">
      <formula>AB32="A"</formula>
    </cfRule>
    <cfRule type="expression" dxfId="1366" priority="1426">
      <formula>AB32="T"</formula>
    </cfRule>
  </conditionalFormatting>
  <conditionalFormatting sqref="AB35">
    <cfRule type="expression" dxfId="1365" priority="1421">
      <formula>AB34="X"</formula>
    </cfRule>
    <cfRule type="expression" dxfId="1364" priority="1422">
      <formula>AB34="A"</formula>
    </cfRule>
    <cfRule type="expression" dxfId="1363" priority="1423">
      <formula>AB34="T"</formula>
    </cfRule>
  </conditionalFormatting>
  <conditionalFormatting sqref="AB37">
    <cfRule type="expression" dxfId="1362" priority="1418">
      <formula>AB36="X"</formula>
    </cfRule>
    <cfRule type="expression" dxfId="1361" priority="1419">
      <formula>AB36="A"</formula>
    </cfRule>
    <cfRule type="expression" dxfId="1360" priority="1420">
      <formula>AB36="T"</formula>
    </cfRule>
  </conditionalFormatting>
  <conditionalFormatting sqref="AB40">
    <cfRule type="expression" dxfId="1359" priority="1415">
      <formula>AB39="X"</formula>
    </cfRule>
    <cfRule type="expression" dxfId="1358" priority="1416">
      <formula>AB39="A"</formula>
    </cfRule>
    <cfRule type="expression" dxfId="1357" priority="1417">
      <formula>AB39="T"</formula>
    </cfRule>
  </conditionalFormatting>
  <conditionalFormatting sqref="AB42">
    <cfRule type="expression" dxfId="1356" priority="1412">
      <formula>AB41="X"</formula>
    </cfRule>
    <cfRule type="expression" dxfId="1355" priority="1413">
      <formula>AB41="A"</formula>
    </cfRule>
    <cfRule type="expression" dxfId="1354" priority="1414">
      <formula>AB41="T"</formula>
    </cfRule>
  </conditionalFormatting>
  <conditionalFormatting sqref="AB44">
    <cfRule type="expression" dxfId="1353" priority="1409">
      <formula>AB43="X"</formula>
    </cfRule>
    <cfRule type="expression" dxfId="1352" priority="1410">
      <formula>AB43="A"</formula>
    </cfRule>
    <cfRule type="expression" dxfId="1351" priority="1411">
      <formula>AB43="T"</formula>
    </cfRule>
  </conditionalFormatting>
  <conditionalFormatting sqref="AB46">
    <cfRule type="expression" dxfId="1350" priority="1406">
      <formula>AB45="X"</formula>
    </cfRule>
    <cfRule type="expression" dxfId="1349" priority="1407">
      <formula>AB45="A"</formula>
    </cfRule>
    <cfRule type="expression" dxfId="1348" priority="1408">
      <formula>AB45="T"</formula>
    </cfRule>
  </conditionalFormatting>
  <conditionalFormatting sqref="AB49">
    <cfRule type="expression" dxfId="1347" priority="1403">
      <formula>AB48="X"</formula>
    </cfRule>
    <cfRule type="expression" dxfId="1346" priority="1404">
      <formula>AB48="A"</formula>
    </cfRule>
    <cfRule type="expression" dxfId="1345" priority="1405">
      <formula>AB48="T"</formula>
    </cfRule>
  </conditionalFormatting>
  <conditionalFormatting sqref="AB51">
    <cfRule type="expression" dxfId="1344" priority="1400">
      <formula>AB50="X"</formula>
    </cfRule>
    <cfRule type="expression" dxfId="1343" priority="1401">
      <formula>AB50="A"</formula>
    </cfRule>
    <cfRule type="expression" dxfId="1342" priority="1402">
      <formula>AB50="T"</formula>
    </cfRule>
  </conditionalFormatting>
  <conditionalFormatting sqref="AB53">
    <cfRule type="expression" dxfId="1341" priority="1397">
      <formula>AB52="X"</formula>
    </cfRule>
    <cfRule type="expression" dxfId="1340" priority="1398">
      <formula>AB52="A"</formula>
    </cfRule>
    <cfRule type="expression" dxfId="1339" priority="1399">
      <formula>AB52="T"</formula>
    </cfRule>
  </conditionalFormatting>
  <conditionalFormatting sqref="AB55">
    <cfRule type="expression" dxfId="1338" priority="1394">
      <formula>AB54="X"</formula>
    </cfRule>
    <cfRule type="expression" dxfId="1337" priority="1395">
      <formula>AB54="A"</formula>
    </cfRule>
    <cfRule type="expression" dxfId="1336" priority="1396">
      <formula>AB54="T"</formula>
    </cfRule>
  </conditionalFormatting>
  <conditionalFormatting sqref="AB57">
    <cfRule type="expression" dxfId="1335" priority="1391">
      <formula>AB56="X"</formula>
    </cfRule>
    <cfRule type="expression" dxfId="1334" priority="1392">
      <formula>AB56="A"</formula>
    </cfRule>
    <cfRule type="expression" dxfId="1333" priority="1393">
      <formula>AB56="T"</formula>
    </cfRule>
  </conditionalFormatting>
  <conditionalFormatting sqref="AB59">
    <cfRule type="expression" dxfId="1332" priority="1388">
      <formula>AB58="X"</formula>
    </cfRule>
    <cfRule type="expression" dxfId="1331" priority="1389">
      <formula>AB58="A"</formula>
    </cfRule>
    <cfRule type="expression" dxfId="1330" priority="1390">
      <formula>AB58="T"</formula>
    </cfRule>
  </conditionalFormatting>
  <conditionalFormatting sqref="AB64">
    <cfRule type="expression" dxfId="1329" priority="1385">
      <formula>AB63="X"</formula>
    </cfRule>
    <cfRule type="expression" dxfId="1328" priority="1386">
      <formula>AB63="A"</formula>
    </cfRule>
    <cfRule type="expression" dxfId="1327" priority="1387">
      <formula>AB63="T"</formula>
    </cfRule>
  </conditionalFormatting>
  <conditionalFormatting sqref="AB66">
    <cfRule type="expression" dxfId="1326" priority="1382">
      <formula>AB65="X"</formula>
    </cfRule>
    <cfRule type="expression" dxfId="1325" priority="1383">
      <formula>AB65="A"</formula>
    </cfRule>
    <cfRule type="expression" dxfId="1324" priority="1384">
      <formula>AB65="T"</formula>
    </cfRule>
  </conditionalFormatting>
  <conditionalFormatting sqref="AB68">
    <cfRule type="expression" dxfId="1323" priority="1379">
      <formula>AB67="X"</formula>
    </cfRule>
    <cfRule type="expression" dxfId="1322" priority="1380">
      <formula>AB67="A"</formula>
    </cfRule>
    <cfRule type="expression" dxfId="1321" priority="1381">
      <formula>AB67="T"</formula>
    </cfRule>
  </conditionalFormatting>
  <conditionalFormatting sqref="AB82">
    <cfRule type="expression" dxfId="1320" priority="1376">
      <formula>AB81="X"</formula>
    </cfRule>
    <cfRule type="expression" dxfId="1319" priority="1377">
      <formula>AB81="A"</formula>
    </cfRule>
    <cfRule type="expression" dxfId="1318" priority="1378">
      <formula>AB81="T"</formula>
    </cfRule>
  </conditionalFormatting>
  <conditionalFormatting sqref="AB84">
    <cfRule type="expression" dxfId="1317" priority="1373">
      <formula>AB83="X"</formula>
    </cfRule>
    <cfRule type="expression" dxfId="1316" priority="1374">
      <formula>AB83="A"</formula>
    </cfRule>
    <cfRule type="expression" dxfId="1315" priority="1375">
      <formula>AB83="T"</formula>
    </cfRule>
  </conditionalFormatting>
  <conditionalFormatting sqref="AB86">
    <cfRule type="expression" dxfId="1314" priority="1370">
      <formula>AB85="X"</formula>
    </cfRule>
    <cfRule type="expression" dxfId="1313" priority="1371">
      <formula>AB85="A"</formula>
    </cfRule>
    <cfRule type="expression" dxfId="1312" priority="1372">
      <formula>AB85="T"</formula>
    </cfRule>
  </conditionalFormatting>
  <conditionalFormatting sqref="AB89">
    <cfRule type="expression" dxfId="1311" priority="1367">
      <formula>AB88="X"</formula>
    </cfRule>
    <cfRule type="expression" dxfId="1310" priority="1368">
      <formula>AB88="A"</formula>
    </cfRule>
    <cfRule type="expression" dxfId="1309" priority="1369">
      <formula>AB88="T"</formula>
    </cfRule>
  </conditionalFormatting>
  <conditionalFormatting sqref="AB91">
    <cfRule type="expression" dxfId="1308" priority="1364">
      <formula>AB90="X"</formula>
    </cfRule>
    <cfRule type="expression" dxfId="1307" priority="1365">
      <formula>AB90="A"</formula>
    </cfRule>
    <cfRule type="expression" dxfId="1306" priority="1366">
      <formula>AB90="T"</formula>
    </cfRule>
  </conditionalFormatting>
  <conditionalFormatting sqref="AB93">
    <cfRule type="expression" dxfId="1305" priority="1361">
      <formula>AB92="X"</formula>
    </cfRule>
    <cfRule type="expression" dxfId="1304" priority="1362">
      <formula>AB92="A"</formula>
    </cfRule>
    <cfRule type="expression" dxfId="1303" priority="1363">
      <formula>AB92="T"</formula>
    </cfRule>
  </conditionalFormatting>
  <conditionalFormatting sqref="AB95">
    <cfRule type="expression" dxfId="1302" priority="1358">
      <formula>AB94="X"</formula>
    </cfRule>
    <cfRule type="expression" dxfId="1301" priority="1359">
      <formula>AB94="A"</formula>
    </cfRule>
    <cfRule type="expression" dxfId="1300" priority="1360">
      <formula>AB94="T"</formula>
    </cfRule>
  </conditionalFormatting>
  <conditionalFormatting sqref="AB97">
    <cfRule type="expression" dxfId="1299" priority="1355">
      <formula>AB96="X"</formula>
    </cfRule>
    <cfRule type="expression" dxfId="1298" priority="1356">
      <formula>AB96="A"</formula>
    </cfRule>
    <cfRule type="expression" dxfId="1297" priority="1357">
      <formula>AB96="T"</formula>
    </cfRule>
  </conditionalFormatting>
  <conditionalFormatting sqref="AB99">
    <cfRule type="expression" dxfId="1296" priority="1352">
      <formula>AB98="X"</formula>
    </cfRule>
    <cfRule type="expression" dxfId="1295" priority="1353">
      <formula>AB98="A"</formula>
    </cfRule>
    <cfRule type="expression" dxfId="1294" priority="1354">
      <formula>AB98="T"</formula>
    </cfRule>
  </conditionalFormatting>
  <conditionalFormatting sqref="AB101">
    <cfRule type="expression" dxfId="1293" priority="1349">
      <formula>AB100="X"</formula>
    </cfRule>
    <cfRule type="expression" dxfId="1292" priority="1350">
      <formula>AB100="A"</formula>
    </cfRule>
    <cfRule type="expression" dxfId="1291" priority="1351">
      <formula>AB100="T"</formula>
    </cfRule>
  </conditionalFormatting>
  <conditionalFormatting sqref="AB103">
    <cfRule type="expression" dxfId="1290" priority="1346">
      <formula>AB102="X"</formula>
    </cfRule>
    <cfRule type="expression" dxfId="1289" priority="1347">
      <formula>AB102="A"</formula>
    </cfRule>
    <cfRule type="expression" dxfId="1288" priority="1348">
      <formula>AB102="T"</formula>
    </cfRule>
  </conditionalFormatting>
  <conditionalFormatting sqref="AB106">
    <cfRule type="expression" dxfId="1287" priority="1343">
      <formula>AB105="X"</formula>
    </cfRule>
    <cfRule type="expression" dxfId="1286" priority="1344">
      <formula>AB105="A"</formula>
    </cfRule>
    <cfRule type="expression" dxfId="1285" priority="1345">
      <formula>AB105="T"</formula>
    </cfRule>
  </conditionalFormatting>
  <conditionalFormatting sqref="AB108">
    <cfRule type="expression" dxfId="1284" priority="1340">
      <formula>AB107="X"</formula>
    </cfRule>
    <cfRule type="expression" dxfId="1283" priority="1341">
      <formula>AB107="A"</formula>
    </cfRule>
    <cfRule type="expression" dxfId="1282" priority="1342">
      <formula>AB107="T"</formula>
    </cfRule>
  </conditionalFormatting>
  <conditionalFormatting sqref="AB110">
    <cfRule type="expression" dxfId="1281" priority="1337">
      <formula>AB109="X"</formula>
    </cfRule>
    <cfRule type="expression" dxfId="1280" priority="1338">
      <formula>AB109="A"</formula>
    </cfRule>
    <cfRule type="expression" dxfId="1279" priority="1339">
      <formula>AB109="T"</formula>
    </cfRule>
  </conditionalFormatting>
  <conditionalFormatting sqref="AB112">
    <cfRule type="expression" dxfId="1278" priority="1334">
      <formula>AB111="X"</formula>
    </cfRule>
    <cfRule type="expression" dxfId="1277" priority="1335">
      <formula>AB111="A"</formula>
    </cfRule>
    <cfRule type="expression" dxfId="1276" priority="1336">
      <formula>AB111="T"</formula>
    </cfRule>
  </conditionalFormatting>
  <conditionalFormatting sqref="AB114">
    <cfRule type="expression" dxfId="1275" priority="1331">
      <formula>AB113="X"</formula>
    </cfRule>
    <cfRule type="expression" dxfId="1274" priority="1332">
      <formula>AB113="A"</formula>
    </cfRule>
    <cfRule type="expression" dxfId="1273" priority="1333">
      <formula>AB113="T"</formula>
    </cfRule>
  </conditionalFormatting>
  <conditionalFormatting sqref="AB117">
    <cfRule type="expression" dxfId="1272" priority="1328">
      <formula>AB116="X"</formula>
    </cfRule>
    <cfRule type="expression" dxfId="1271" priority="1329">
      <formula>AB116="A"</formula>
    </cfRule>
    <cfRule type="expression" dxfId="1270" priority="1330">
      <formula>AB116="T"</formula>
    </cfRule>
  </conditionalFormatting>
  <conditionalFormatting sqref="AB119">
    <cfRule type="expression" dxfId="1269" priority="1325">
      <formula>AB118="X"</formula>
    </cfRule>
    <cfRule type="expression" dxfId="1268" priority="1326">
      <formula>AB118="A"</formula>
    </cfRule>
    <cfRule type="expression" dxfId="1267" priority="1327">
      <formula>AB118="T"</formula>
    </cfRule>
  </conditionalFormatting>
  <conditionalFormatting sqref="AB121">
    <cfRule type="expression" dxfId="1266" priority="1322">
      <formula>AB120="X"</formula>
    </cfRule>
    <cfRule type="expression" dxfId="1265" priority="1323">
      <formula>AB120="A"</formula>
    </cfRule>
    <cfRule type="expression" dxfId="1264" priority="1324">
      <formula>AB120="T"</formula>
    </cfRule>
  </conditionalFormatting>
  <conditionalFormatting sqref="AB123">
    <cfRule type="expression" dxfId="1263" priority="1319">
      <formula>AB122="X"</formula>
    </cfRule>
    <cfRule type="expression" dxfId="1262" priority="1320">
      <formula>AB122="A"</formula>
    </cfRule>
    <cfRule type="expression" dxfId="1261" priority="1321">
      <formula>AB122="T"</formula>
    </cfRule>
  </conditionalFormatting>
  <conditionalFormatting sqref="AB126">
    <cfRule type="expression" dxfId="1260" priority="1316">
      <formula>AB125="X"</formula>
    </cfRule>
    <cfRule type="expression" dxfId="1259" priority="1317">
      <formula>AB125="A"</formula>
    </cfRule>
    <cfRule type="expression" dxfId="1258" priority="1318">
      <formula>AB125="T"</formula>
    </cfRule>
  </conditionalFormatting>
  <conditionalFormatting sqref="AB128">
    <cfRule type="expression" dxfId="1257" priority="1313">
      <formula>AB127="X"</formula>
    </cfRule>
    <cfRule type="expression" dxfId="1256" priority="1314">
      <formula>AB127="A"</formula>
    </cfRule>
    <cfRule type="expression" dxfId="1255" priority="1315">
      <formula>AB127="T"</formula>
    </cfRule>
  </conditionalFormatting>
  <conditionalFormatting sqref="AB142">
    <cfRule type="expression" dxfId="1254" priority="1310">
      <formula>AB141="X"</formula>
    </cfRule>
    <cfRule type="expression" dxfId="1253" priority="1311">
      <formula>AB141="A"</formula>
    </cfRule>
    <cfRule type="expression" dxfId="1252" priority="1312">
      <formula>AB141="T"</formula>
    </cfRule>
  </conditionalFormatting>
  <conditionalFormatting sqref="AB144">
    <cfRule type="expression" dxfId="1251" priority="1307">
      <formula>AB143="X"</formula>
    </cfRule>
    <cfRule type="expression" dxfId="1250" priority="1308">
      <formula>AB143="A"</formula>
    </cfRule>
    <cfRule type="expression" dxfId="1249" priority="1309">
      <formula>AB143="T"</formula>
    </cfRule>
  </conditionalFormatting>
  <conditionalFormatting sqref="AB150">
    <cfRule type="expression" dxfId="1248" priority="1304">
      <formula>AB149="X"</formula>
    </cfRule>
    <cfRule type="expression" dxfId="1247" priority="1305">
      <formula>AB149="A"</formula>
    </cfRule>
    <cfRule type="expression" dxfId="1246" priority="1306">
      <formula>AB149="T"</formula>
    </cfRule>
  </conditionalFormatting>
  <conditionalFormatting sqref="AB152">
    <cfRule type="expression" dxfId="1245" priority="1301">
      <formula>AB151="X"</formula>
    </cfRule>
    <cfRule type="expression" dxfId="1244" priority="1302">
      <formula>AB151="A"</formula>
    </cfRule>
    <cfRule type="expression" dxfId="1243" priority="1303">
      <formula>AB151="T"</formula>
    </cfRule>
  </conditionalFormatting>
  <conditionalFormatting sqref="AB156">
    <cfRule type="expression" dxfId="1242" priority="1298">
      <formula>AB155="X"</formula>
    </cfRule>
    <cfRule type="expression" dxfId="1241" priority="1299">
      <formula>AB155="A"</formula>
    </cfRule>
    <cfRule type="expression" dxfId="1240" priority="1300">
      <formula>AB155="T"</formula>
    </cfRule>
  </conditionalFormatting>
  <conditionalFormatting sqref="AB168">
    <cfRule type="expression" dxfId="1239" priority="1295">
      <formula>AB167="X"</formula>
    </cfRule>
    <cfRule type="expression" dxfId="1238" priority="1296">
      <formula>AB167="A"</formula>
    </cfRule>
    <cfRule type="expression" dxfId="1237" priority="1297">
      <formula>AB167="T"</formula>
    </cfRule>
  </conditionalFormatting>
  <conditionalFormatting sqref="AB170">
    <cfRule type="expression" dxfId="1236" priority="1292">
      <formula>AB169="X"</formula>
    </cfRule>
    <cfRule type="expression" dxfId="1235" priority="1293">
      <formula>AB169="A"</formula>
    </cfRule>
    <cfRule type="expression" dxfId="1234" priority="1294">
      <formula>AB169="T"</formula>
    </cfRule>
  </conditionalFormatting>
  <conditionalFormatting sqref="AB172">
    <cfRule type="expression" dxfId="1233" priority="1289">
      <formula>AB171="X"</formula>
    </cfRule>
    <cfRule type="expression" dxfId="1232" priority="1290">
      <formula>AB171="A"</formula>
    </cfRule>
    <cfRule type="expression" dxfId="1231" priority="1291">
      <formula>AB171="T"</formula>
    </cfRule>
  </conditionalFormatting>
  <conditionalFormatting sqref="AB174">
    <cfRule type="expression" dxfId="1230" priority="1286">
      <formula>AB173="X"</formula>
    </cfRule>
    <cfRule type="expression" dxfId="1229" priority="1287">
      <formula>AB173="A"</formula>
    </cfRule>
    <cfRule type="expression" dxfId="1228" priority="1288">
      <formula>AB173="T"</formula>
    </cfRule>
  </conditionalFormatting>
  <conditionalFormatting sqref="AB176">
    <cfRule type="expression" dxfId="1227" priority="1283">
      <formula>AB175="X"</formula>
    </cfRule>
    <cfRule type="expression" dxfId="1226" priority="1284">
      <formula>AB175="A"</formula>
    </cfRule>
    <cfRule type="expression" dxfId="1225" priority="1285">
      <formula>AB175="T"</formula>
    </cfRule>
  </conditionalFormatting>
  <conditionalFormatting sqref="AB178">
    <cfRule type="expression" dxfId="1224" priority="1280">
      <formula>AB177="X"</formula>
    </cfRule>
    <cfRule type="expression" dxfId="1223" priority="1281">
      <formula>AB177="A"</formula>
    </cfRule>
    <cfRule type="expression" dxfId="1222" priority="1282">
      <formula>AB177="T"</formula>
    </cfRule>
  </conditionalFormatting>
  <conditionalFormatting sqref="AB180">
    <cfRule type="expression" dxfId="1221" priority="1277">
      <formula>AB179="X"</formula>
    </cfRule>
    <cfRule type="expression" dxfId="1220" priority="1278">
      <formula>AB179="A"</formula>
    </cfRule>
    <cfRule type="expression" dxfId="1219" priority="1279">
      <formula>AB179="T"</formula>
    </cfRule>
  </conditionalFormatting>
  <conditionalFormatting sqref="AB184">
    <cfRule type="expression" dxfId="1218" priority="1274">
      <formula>AB183="X"</formula>
    </cfRule>
    <cfRule type="expression" dxfId="1217" priority="1275">
      <formula>AB183="A"</formula>
    </cfRule>
    <cfRule type="expression" dxfId="1216" priority="1276">
      <formula>AB183="T"</formula>
    </cfRule>
  </conditionalFormatting>
  <conditionalFormatting sqref="AB186">
    <cfRule type="expression" dxfId="1215" priority="1271">
      <formula>AB185="X"</formula>
    </cfRule>
    <cfRule type="expression" dxfId="1214" priority="1272">
      <formula>AB185="A"</formula>
    </cfRule>
    <cfRule type="expression" dxfId="1213" priority="1273">
      <formula>AB185="T"</formula>
    </cfRule>
  </conditionalFormatting>
  <conditionalFormatting sqref="AB190">
    <cfRule type="expression" dxfId="1212" priority="1268">
      <formula>AB189="X"</formula>
    </cfRule>
    <cfRule type="expression" dxfId="1211" priority="1269">
      <formula>AB189="A"</formula>
    </cfRule>
    <cfRule type="expression" dxfId="1210" priority="1270">
      <formula>AB189="T"</formula>
    </cfRule>
  </conditionalFormatting>
  <conditionalFormatting sqref="AB192">
    <cfRule type="expression" dxfId="1209" priority="1265">
      <formula>AB191="X"</formula>
    </cfRule>
    <cfRule type="expression" dxfId="1208" priority="1266">
      <formula>AB191="A"</formula>
    </cfRule>
    <cfRule type="expression" dxfId="1207" priority="1267">
      <formula>AB191="T"</formula>
    </cfRule>
  </conditionalFormatting>
  <conditionalFormatting sqref="AB208">
    <cfRule type="expression" dxfId="1206" priority="1262">
      <formula>AB207="X"</formula>
    </cfRule>
    <cfRule type="expression" dxfId="1205" priority="1263">
      <formula>AB207="A"</formula>
    </cfRule>
    <cfRule type="expression" dxfId="1204" priority="1264">
      <formula>AB207="T"</formula>
    </cfRule>
  </conditionalFormatting>
  <conditionalFormatting sqref="AB211">
    <cfRule type="expression" dxfId="1203" priority="1259">
      <formula>AB211="X"</formula>
    </cfRule>
    <cfRule type="expression" dxfId="1202" priority="1260">
      <formula>AB211="A"</formula>
    </cfRule>
    <cfRule type="expression" dxfId="1201" priority="1261">
      <formula>AB211="T"</formula>
    </cfRule>
  </conditionalFormatting>
  <conditionalFormatting sqref="AB212">
    <cfRule type="expression" dxfId="1200" priority="1256">
      <formula>AB211="X"</formula>
    </cfRule>
    <cfRule type="expression" dxfId="1199" priority="1257">
      <formula>AB211="A"</formula>
    </cfRule>
    <cfRule type="expression" dxfId="1198" priority="1258">
      <formula>AB211="T"</formula>
    </cfRule>
  </conditionalFormatting>
  <conditionalFormatting sqref="AB213">
    <cfRule type="expression" dxfId="1197" priority="1253">
      <formula>AB213="X"</formula>
    </cfRule>
    <cfRule type="expression" dxfId="1196" priority="1254">
      <formula>AB213="A"</formula>
    </cfRule>
    <cfRule type="expression" dxfId="1195" priority="1255">
      <formula>AB213="T"</formula>
    </cfRule>
  </conditionalFormatting>
  <conditionalFormatting sqref="AB214">
    <cfRule type="expression" dxfId="1194" priority="1250">
      <formula>AB213="X"</formula>
    </cfRule>
    <cfRule type="expression" dxfId="1193" priority="1251">
      <formula>AB213="A"</formula>
    </cfRule>
    <cfRule type="expression" dxfId="1192" priority="1252">
      <formula>AB213="T"</formula>
    </cfRule>
  </conditionalFormatting>
  <conditionalFormatting sqref="AB215">
    <cfRule type="expression" dxfId="1191" priority="1247">
      <formula>AB215="X"</formula>
    </cfRule>
    <cfRule type="expression" dxfId="1190" priority="1248">
      <formula>AB215="A"</formula>
    </cfRule>
    <cfRule type="expression" dxfId="1189" priority="1249">
      <formula>AB215="T"</formula>
    </cfRule>
  </conditionalFormatting>
  <conditionalFormatting sqref="AB216">
    <cfRule type="expression" dxfId="1188" priority="1244">
      <formula>AB215="X"</formula>
    </cfRule>
    <cfRule type="expression" dxfId="1187" priority="1245">
      <formula>AB215="A"</formula>
    </cfRule>
    <cfRule type="expression" dxfId="1186" priority="1246">
      <formula>AB215="T"</formula>
    </cfRule>
  </conditionalFormatting>
  <conditionalFormatting sqref="AB217">
    <cfRule type="expression" dxfId="1185" priority="1241">
      <formula>AB217="X"</formula>
    </cfRule>
    <cfRule type="expression" dxfId="1184" priority="1242">
      <formula>AB217="A"</formula>
    </cfRule>
    <cfRule type="expression" dxfId="1183" priority="1243">
      <formula>AB217="T"</formula>
    </cfRule>
  </conditionalFormatting>
  <conditionalFormatting sqref="AB218">
    <cfRule type="expression" dxfId="1182" priority="1238">
      <formula>AB217="X"</formula>
    </cfRule>
    <cfRule type="expression" dxfId="1181" priority="1239">
      <formula>AB217="A"</formula>
    </cfRule>
    <cfRule type="expression" dxfId="1180" priority="1240">
      <formula>AB217="T"</formula>
    </cfRule>
  </conditionalFormatting>
  <conditionalFormatting sqref="AB219">
    <cfRule type="expression" dxfId="1179" priority="1235">
      <formula>AB219="X"</formula>
    </cfRule>
    <cfRule type="expression" dxfId="1178" priority="1236">
      <formula>AB219="A"</formula>
    </cfRule>
    <cfRule type="expression" dxfId="1177" priority="1237">
      <formula>AB219="T"</formula>
    </cfRule>
  </conditionalFormatting>
  <conditionalFormatting sqref="AB220">
    <cfRule type="expression" dxfId="1176" priority="1232">
      <formula>AB219="X"</formula>
    </cfRule>
    <cfRule type="expression" dxfId="1175" priority="1233">
      <formula>AB219="A"</formula>
    </cfRule>
    <cfRule type="expression" dxfId="1174" priority="1234">
      <formula>AB219="T"</formula>
    </cfRule>
  </conditionalFormatting>
  <conditionalFormatting sqref="AB221">
    <cfRule type="expression" dxfId="1173" priority="1229">
      <formula>AB221="X"</formula>
    </cfRule>
    <cfRule type="expression" dxfId="1172" priority="1230">
      <formula>AB221="A"</formula>
    </cfRule>
    <cfRule type="expression" dxfId="1171" priority="1231">
      <formula>AB221="T"</formula>
    </cfRule>
  </conditionalFormatting>
  <conditionalFormatting sqref="AB222">
    <cfRule type="expression" dxfId="1170" priority="1226">
      <formula>AB221="X"</formula>
    </cfRule>
    <cfRule type="expression" dxfId="1169" priority="1227">
      <formula>AB221="A"</formula>
    </cfRule>
    <cfRule type="expression" dxfId="1168" priority="1228">
      <formula>AB221="T"</formula>
    </cfRule>
  </conditionalFormatting>
  <conditionalFormatting sqref="AB223">
    <cfRule type="expression" dxfId="1167" priority="1223">
      <formula>AB223="X"</formula>
    </cfRule>
    <cfRule type="expression" dxfId="1166" priority="1224">
      <formula>AB223="A"</formula>
    </cfRule>
    <cfRule type="expression" dxfId="1165" priority="1225">
      <formula>AB223="T"</formula>
    </cfRule>
  </conditionalFormatting>
  <conditionalFormatting sqref="AB224">
    <cfRule type="expression" dxfId="1164" priority="1220">
      <formula>AB223="X"</formula>
    </cfRule>
    <cfRule type="expression" dxfId="1163" priority="1221">
      <formula>AB223="A"</formula>
    </cfRule>
    <cfRule type="expression" dxfId="1162" priority="1222">
      <formula>AB223="T"</formula>
    </cfRule>
  </conditionalFormatting>
  <conditionalFormatting sqref="AB4">
    <cfRule type="expression" dxfId="1161" priority="1217">
      <formula>AB4="X"</formula>
    </cfRule>
    <cfRule type="expression" dxfId="1160" priority="1218">
      <formula>AB4="A"</formula>
    </cfRule>
    <cfRule type="expression" dxfId="1159" priority="1219">
      <formula>AB4="T"</formula>
    </cfRule>
  </conditionalFormatting>
  <conditionalFormatting sqref="AB5">
    <cfRule type="expression" dxfId="1158" priority="1214">
      <formula>AB4="X"</formula>
    </cfRule>
    <cfRule type="expression" dxfId="1157" priority="1215">
      <formula>AB4="A"</formula>
    </cfRule>
    <cfRule type="expression" dxfId="1156" priority="1216">
      <formula>AB4="T"</formula>
    </cfRule>
  </conditionalFormatting>
  <conditionalFormatting sqref="AB6">
    <cfRule type="expression" dxfId="1155" priority="1211">
      <formula>AB6="X"</formula>
    </cfRule>
    <cfRule type="expression" dxfId="1154" priority="1212">
      <formula>AB6="A"</formula>
    </cfRule>
    <cfRule type="expression" dxfId="1153" priority="1213">
      <formula>AB6="T"</formula>
    </cfRule>
  </conditionalFormatting>
  <conditionalFormatting sqref="AB7">
    <cfRule type="expression" dxfId="1152" priority="1208">
      <formula>AB6="X"</formula>
    </cfRule>
    <cfRule type="expression" dxfId="1151" priority="1209">
      <formula>AB6="A"</formula>
    </cfRule>
    <cfRule type="expression" dxfId="1150" priority="1210">
      <formula>AB6="T"</formula>
    </cfRule>
  </conditionalFormatting>
  <conditionalFormatting sqref="AB8">
    <cfRule type="expression" dxfId="1149" priority="1205">
      <formula>AB8="X"</formula>
    </cfRule>
    <cfRule type="expression" dxfId="1148" priority="1206">
      <formula>AB8="A"</formula>
    </cfRule>
    <cfRule type="expression" dxfId="1147" priority="1207">
      <formula>AB8="T"</formula>
    </cfRule>
  </conditionalFormatting>
  <conditionalFormatting sqref="AB9">
    <cfRule type="expression" dxfId="1146" priority="1202">
      <formula>AB8="X"</formula>
    </cfRule>
    <cfRule type="expression" dxfId="1145" priority="1203">
      <formula>AB8="A"</formula>
    </cfRule>
    <cfRule type="expression" dxfId="1144" priority="1204">
      <formula>AB8="T"</formula>
    </cfRule>
  </conditionalFormatting>
  <conditionalFormatting sqref="AB74">
    <cfRule type="expression" dxfId="1143" priority="1199">
      <formula>AB74="X"</formula>
    </cfRule>
    <cfRule type="expression" dxfId="1142" priority="1200">
      <formula>AB74="A"</formula>
    </cfRule>
    <cfRule type="expression" dxfId="1141" priority="1201">
      <formula>AB74="T"</formula>
    </cfRule>
  </conditionalFormatting>
  <conditionalFormatting sqref="AB75">
    <cfRule type="expression" dxfId="1140" priority="1196">
      <formula>AB74="X"</formula>
    </cfRule>
    <cfRule type="expression" dxfId="1139" priority="1197">
      <formula>AB74="A"</formula>
    </cfRule>
    <cfRule type="expression" dxfId="1138" priority="1198">
      <formula>AB74="T"</formula>
    </cfRule>
  </conditionalFormatting>
  <conditionalFormatting sqref="AB76">
    <cfRule type="expression" dxfId="1137" priority="1193">
      <formula>AB76="X"</formula>
    </cfRule>
    <cfRule type="expression" dxfId="1136" priority="1194">
      <formula>AB76="A"</formula>
    </cfRule>
    <cfRule type="expression" dxfId="1135" priority="1195">
      <formula>AB76="T"</formula>
    </cfRule>
  </conditionalFormatting>
  <conditionalFormatting sqref="AB77">
    <cfRule type="expression" dxfId="1134" priority="1190">
      <formula>AB76="X"</formula>
    </cfRule>
    <cfRule type="expression" dxfId="1133" priority="1191">
      <formula>AB76="A"</formula>
    </cfRule>
    <cfRule type="expression" dxfId="1132" priority="1192">
      <formula>AB76="T"</formula>
    </cfRule>
  </conditionalFormatting>
  <conditionalFormatting sqref="AB78">
    <cfRule type="expression" dxfId="1131" priority="1187">
      <formula>AB78="X"</formula>
    </cfRule>
    <cfRule type="expression" dxfId="1130" priority="1188">
      <formula>AB78="A"</formula>
    </cfRule>
    <cfRule type="expression" dxfId="1129" priority="1189">
      <formula>AB78="T"</formula>
    </cfRule>
  </conditionalFormatting>
  <conditionalFormatting sqref="AB79">
    <cfRule type="expression" dxfId="1128" priority="1184">
      <formula>AB78="X"</formula>
    </cfRule>
    <cfRule type="expression" dxfId="1127" priority="1185">
      <formula>AB78="A"</formula>
    </cfRule>
    <cfRule type="expression" dxfId="1126" priority="1186">
      <formula>AB78="T"</formula>
    </cfRule>
  </conditionalFormatting>
  <conditionalFormatting sqref="AB134">
    <cfRule type="expression" dxfId="1125" priority="1181">
      <formula>AB134="X"</formula>
    </cfRule>
    <cfRule type="expression" dxfId="1124" priority="1182">
      <formula>AB134="A"</formula>
    </cfRule>
    <cfRule type="expression" dxfId="1123" priority="1183">
      <formula>AB134="T"</formula>
    </cfRule>
  </conditionalFormatting>
  <conditionalFormatting sqref="AB135">
    <cfRule type="expression" dxfId="1122" priority="1178">
      <formula>AB134="X"</formula>
    </cfRule>
    <cfRule type="expression" dxfId="1121" priority="1179">
      <formula>AB134="A"</formula>
    </cfRule>
    <cfRule type="expression" dxfId="1120" priority="1180">
      <formula>AB134="T"</formula>
    </cfRule>
  </conditionalFormatting>
  <conditionalFormatting sqref="AB136">
    <cfRule type="expression" dxfId="1119" priority="1175">
      <formula>AB136="X"</formula>
    </cfRule>
    <cfRule type="expression" dxfId="1118" priority="1176">
      <formula>AB136="A"</formula>
    </cfRule>
    <cfRule type="expression" dxfId="1117" priority="1177">
      <formula>AB136="T"</formula>
    </cfRule>
  </conditionalFormatting>
  <conditionalFormatting sqref="AB137">
    <cfRule type="expression" dxfId="1116" priority="1172">
      <formula>AB136="X"</formula>
    </cfRule>
    <cfRule type="expression" dxfId="1115" priority="1173">
      <formula>AB136="A"</formula>
    </cfRule>
    <cfRule type="expression" dxfId="1114" priority="1174">
      <formula>AB136="T"</formula>
    </cfRule>
  </conditionalFormatting>
  <conditionalFormatting sqref="AB138">
    <cfRule type="expression" dxfId="1113" priority="1169">
      <formula>AB138="X"</formula>
    </cfRule>
    <cfRule type="expression" dxfId="1112" priority="1170">
      <formula>AB138="A"</formula>
    </cfRule>
    <cfRule type="expression" dxfId="1111" priority="1171">
      <formula>AB138="T"</formula>
    </cfRule>
  </conditionalFormatting>
  <conditionalFormatting sqref="AB139">
    <cfRule type="expression" dxfId="1110" priority="1166">
      <formula>AB138="X"</formula>
    </cfRule>
    <cfRule type="expression" dxfId="1109" priority="1167">
      <formula>AB138="A"</formula>
    </cfRule>
    <cfRule type="expression" dxfId="1108" priority="1168">
      <formula>AB138="T"</formula>
    </cfRule>
  </conditionalFormatting>
  <conditionalFormatting sqref="AB15">
    <cfRule type="expression" dxfId="1107" priority="1163" stopIfTrue="1">
      <formula>AB11=""</formula>
    </cfRule>
  </conditionalFormatting>
  <conditionalFormatting sqref="AB15">
    <cfRule type="expression" dxfId="1106" priority="1164" stopIfTrue="1">
      <formula>AB15=1</formula>
    </cfRule>
    <cfRule type="colorScale" priority="1165">
      <colorScale>
        <cfvo type="num" val="0"/>
        <cfvo type="num" val="0.5"/>
        <cfvo type="num" val="1"/>
        <color rgb="FFF8696B"/>
        <color theme="4" tint="0.79998168889431442"/>
        <color rgb="FF5A8AC6"/>
      </colorScale>
    </cfRule>
  </conditionalFormatting>
  <conditionalFormatting sqref="AB38">
    <cfRule type="expression" dxfId="1105" priority="1160" stopIfTrue="1">
      <formula>AB16=""</formula>
    </cfRule>
  </conditionalFormatting>
  <conditionalFormatting sqref="AB38">
    <cfRule type="expression" dxfId="1104" priority="1161" stopIfTrue="1">
      <formula>AB38=1</formula>
    </cfRule>
    <cfRule type="colorScale" priority="1162">
      <colorScale>
        <cfvo type="num" val="0"/>
        <cfvo type="num" val="0.5"/>
        <cfvo type="num" val="1"/>
        <color rgb="FFF8696B"/>
        <color theme="4" tint="0.79998168889431442"/>
        <color rgb="FF5A8AC6"/>
      </colorScale>
    </cfRule>
  </conditionalFormatting>
  <conditionalFormatting sqref="AB69">
    <cfRule type="expression" dxfId="1103" priority="1155" stopIfTrue="1">
      <formula>AB69=1</formula>
    </cfRule>
    <cfRule type="colorScale" priority="1156">
      <colorScale>
        <cfvo type="num" val="0"/>
        <cfvo type="num" val="0.5"/>
        <cfvo type="num" val="1"/>
        <color rgb="FFF8696B"/>
        <color theme="4" tint="0.79998168889431442"/>
        <color rgb="FF5A8AC6"/>
      </colorScale>
    </cfRule>
  </conditionalFormatting>
  <conditionalFormatting sqref="AB69">
    <cfRule type="expression" dxfId="1102" priority="1154" stopIfTrue="1">
      <formula>AB63=""</formula>
    </cfRule>
  </conditionalFormatting>
  <conditionalFormatting sqref="AB230:AB236">
    <cfRule type="expression" dxfId="1101" priority="1152" stopIfTrue="1">
      <formula>AB230=_xlfn.UNICHAR(10003)</formula>
    </cfRule>
    <cfRule type="colorScale" priority="1153">
      <colorScale>
        <cfvo type="num" val="0"/>
        <cfvo type="num" val="0.5"/>
        <cfvo type="num" val="1"/>
        <color rgb="FFF8696B"/>
        <color theme="4" tint="0.79998168889431442"/>
        <color rgb="FF5A8AC6"/>
      </colorScale>
    </cfRule>
  </conditionalFormatting>
  <conditionalFormatting sqref="AB239">
    <cfRule type="expression" dxfId="1100" priority="1150" stopIfTrue="1">
      <formula>AB239=_xlfn.UNICHAR(10003)</formula>
    </cfRule>
    <cfRule type="colorScale" priority="1151">
      <colorScale>
        <cfvo type="num" val="0"/>
        <cfvo type="num" val="0.5"/>
        <cfvo type="num" val="1"/>
        <color rgb="FFF8696B"/>
        <color theme="4" tint="0.79998168889431442"/>
        <color rgb="FF5A8AC6"/>
      </colorScale>
    </cfRule>
  </conditionalFormatting>
  <conditionalFormatting sqref="AB239">
    <cfRule type="expression" dxfId="1099" priority="1148" stopIfTrue="1">
      <formula>AB239=1</formula>
    </cfRule>
    <cfRule type="colorScale" priority="1149">
      <colorScale>
        <cfvo type="num" val="0"/>
        <cfvo type="num" val="0.5"/>
        <cfvo type="num" val="1"/>
        <color rgb="FFF8696B"/>
        <color theme="4" tint="0.79998168889431442"/>
        <color rgb="FF5A8AC6"/>
      </colorScale>
    </cfRule>
  </conditionalFormatting>
  <conditionalFormatting sqref="AB195">
    <cfRule type="expression" dxfId="1098" priority="1145">
      <formula>AB195="X"</formula>
    </cfRule>
    <cfRule type="expression" dxfId="1097" priority="1146">
      <formula>AB195="A"</formula>
    </cfRule>
    <cfRule type="expression" dxfId="1096" priority="1147">
      <formula>AB195="T"</formula>
    </cfRule>
  </conditionalFormatting>
  <conditionalFormatting sqref="AB203">
    <cfRule type="expression" dxfId="1095" priority="1142">
      <formula>AB203="X"</formula>
    </cfRule>
    <cfRule type="expression" dxfId="1094" priority="1143">
      <formula>AB203="A"</formula>
    </cfRule>
    <cfRule type="expression" dxfId="1093" priority="1144">
      <formula>AB203="T"</formula>
    </cfRule>
  </conditionalFormatting>
  <conditionalFormatting sqref="AB205">
    <cfRule type="expression" dxfId="1092" priority="1139">
      <formula>AB205="X"</formula>
    </cfRule>
    <cfRule type="expression" dxfId="1091" priority="1140">
      <formula>AB205="A"</formula>
    </cfRule>
    <cfRule type="expression" dxfId="1090" priority="1141">
      <formula>AB205="T"</formula>
    </cfRule>
  </conditionalFormatting>
  <conditionalFormatting sqref="AB207">
    <cfRule type="expression" dxfId="1089" priority="1136">
      <formula>AB207="X"</formula>
    </cfRule>
    <cfRule type="expression" dxfId="1088" priority="1137">
      <formula>AB207="A"</formula>
    </cfRule>
    <cfRule type="expression" dxfId="1087" priority="1138">
      <formula>AB207="T"</formula>
    </cfRule>
  </conditionalFormatting>
  <conditionalFormatting sqref="AB204">
    <cfRule type="expression" dxfId="1086" priority="1133">
      <formula>AB203="X"</formula>
    </cfRule>
    <cfRule type="expression" dxfId="1085" priority="1134">
      <formula>AB203="A"</formula>
    </cfRule>
    <cfRule type="expression" dxfId="1084" priority="1135">
      <formula>AB203="T"</formula>
    </cfRule>
  </conditionalFormatting>
  <conditionalFormatting sqref="AB206">
    <cfRule type="expression" dxfId="1083" priority="1130">
      <formula>AB205="X"</formula>
    </cfRule>
    <cfRule type="expression" dxfId="1082" priority="1131">
      <formula>AB205="A"</formula>
    </cfRule>
    <cfRule type="expression" dxfId="1081" priority="1132">
      <formula>AB205="T"</formula>
    </cfRule>
  </conditionalFormatting>
  <conditionalFormatting sqref="AB196">
    <cfRule type="expression" dxfId="1080" priority="1127">
      <formula>AB195="X"</formula>
    </cfRule>
    <cfRule type="expression" dxfId="1079" priority="1128">
      <formula>AB195="A"</formula>
    </cfRule>
    <cfRule type="expression" dxfId="1078" priority="1129">
      <formula>AB195="T"</formula>
    </cfRule>
  </conditionalFormatting>
  <conditionalFormatting sqref="AB197">
    <cfRule type="expression" dxfId="1077" priority="1124">
      <formula>AB197="X"</formula>
    </cfRule>
    <cfRule type="expression" dxfId="1076" priority="1125">
      <formula>AB197="A"</formula>
    </cfRule>
    <cfRule type="expression" dxfId="1075" priority="1126">
      <formula>AB197="T"</formula>
    </cfRule>
  </conditionalFormatting>
  <conditionalFormatting sqref="AB198">
    <cfRule type="expression" dxfId="1074" priority="1121">
      <formula>AB197="X"</formula>
    </cfRule>
    <cfRule type="expression" dxfId="1073" priority="1122">
      <formula>AB197="A"</formula>
    </cfRule>
    <cfRule type="expression" dxfId="1072" priority="1123">
      <formula>AB197="T"</formula>
    </cfRule>
  </conditionalFormatting>
  <conditionalFormatting sqref="AB199">
    <cfRule type="expression" dxfId="1071" priority="1118">
      <formula>AB199="X"</formula>
    </cfRule>
    <cfRule type="expression" dxfId="1070" priority="1119">
      <formula>AB199="A"</formula>
    </cfRule>
    <cfRule type="expression" dxfId="1069" priority="1120">
      <formula>AB199="T"</formula>
    </cfRule>
  </conditionalFormatting>
  <conditionalFormatting sqref="AB200">
    <cfRule type="expression" dxfId="1068" priority="1115">
      <formula>AB199="X"</formula>
    </cfRule>
    <cfRule type="expression" dxfId="1067" priority="1116">
      <formula>AB199="A"</formula>
    </cfRule>
    <cfRule type="expression" dxfId="1066" priority="1117">
      <formula>AB199="T"</formula>
    </cfRule>
  </conditionalFormatting>
  <conditionalFormatting sqref="AB201">
    <cfRule type="expression" dxfId="1065" priority="1112">
      <formula>AB201="X"</formula>
    </cfRule>
    <cfRule type="expression" dxfId="1064" priority="1113">
      <formula>AB201="A"</formula>
    </cfRule>
    <cfRule type="expression" dxfId="1063" priority="1114">
      <formula>AB201="T"</formula>
    </cfRule>
  </conditionalFormatting>
  <conditionalFormatting sqref="AB202">
    <cfRule type="expression" dxfId="1062" priority="1109">
      <formula>AB201="X"</formula>
    </cfRule>
    <cfRule type="expression" dxfId="1061" priority="1110">
      <formula>AB201="A"</formula>
    </cfRule>
    <cfRule type="expression" dxfId="1060" priority="1111">
      <formula>AB201="T"</formula>
    </cfRule>
  </conditionalFormatting>
  <conditionalFormatting sqref="AB104">
    <cfRule type="expression" dxfId="1059" priority="1108" stopIfTrue="1">
      <formula>AB88=""</formula>
    </cfRule>
  </conditionalFormatting>
  <conditionalFormatting sqref="AB115">
    <cfRule type="expression" dxfId="1058" priority="1107" stopIfTrue="1">
      <formula>AB105=""</formula>
    </cfRule>
  </conditionalFormatting>
  <conditionalFormatting sqref="AB181 AB209 AB225">
    <cfRule type="expression" dxfId="1057" priority="1106" stopIfTrue="1">
      <formula>AB167=""</formula>
    </cfRule>
  </conditionalFormatting>
  <conditionalFormatting sqref="AB72">
    <cfRule type="expression" dxfId="1056" priority="1105" stopIfTrue="1">
      <formula>AB4=""</formula>
    </cfRule>
  </conditionalFormatting>
  <conditionalFormatting sqref="AB132">
    <cfRule type="expression" dxfId="1055" priority="1104" stopIfTrue="1">
      <formula>AB74=""</formula>
    </cfRule>
  </conditionalFormatting>
  <conditionalFormatting sqref="AB228">
    <cfRule type="expression" dxfId="1054" priority="1103" stopIfTrue="1">
      <formula>AB228=UNICAHR(10003)</formula>
    </cfRule>
    <cfRule type="expression" dxfId="1053" priority="1583" stopIfTrue="1">
      <formula>AB228=CONCATENATE(_xlfn.UNICHAR(10003),_xlfn.UNICHAR(10003))</formula>
    </cfRule>
    <cfRule type="colorScale" priority="1584">
      <colorScale>
        <cfvo type="num" val="0"/>
        <cfvo type="num" val="0.5"/>
        <cfvo type="num" val="1"/>
        <color rgb="FFF8696B"/>
        <color theme="4" tint="0.79998168889431442"/>
        <color rgb="FF5A8AC6"/>
      </colorScale>
    </cfRule>
  </conditionalFormatting>
  <conditionalFormatting sqref="AB238 AB229">
    <cfRule type="expression" dxfId="1052" priority="1100" stopIfTrue="1">
      <formula>AB229=_xlfn.UNICHAR(10003)</formula>
    </cfRule>
    <cfRule type="expression" dxfId="1051" priority="1101" stopIfTrue="1">
      <formula>AB229=CONCATENATE(_xlfn.UNICHAR(10003),_xlfn.UNICHAR(10003))</formula>
    </cfRule>
    <cfRule type="colorScale" priority="1102">
      <colorScale>
        <cfvo type="num" val="0"/>
        <cfvo type="num" val="0.5"/>
        <cfvo type="num" val="1"/>
        <color rgb="FFF8696B"/>
        <color theme="4" tint="0.79998168889431442"/>
        <color rgb="FF5A8AC6"/>
      </colorScale>
    </cfRule>
  </conditionalFormatting>
  <conditionalFormatting sqref="AB160">
    <cfRule type="expression" dxfId="1050" priority="1097">
      <formula>AB159="X"</formula>
    </cfRule>
    <cfRule type="expression" dxfId="1049" priority="1098">
      <formula>AB159="A"</formula>
    </cfRule>
    <cfRule type="expression" dxfId="1048" priority="1099">
      <formula>AB159="T"</formula>
    </cfRule>
  </conditionalFormatting>
  <conditionalFormatting sqref="AB159">
    <cfRule type="expression" dxfId="1047" priority="1094">
      <formula>AB159="X"</formula>
    </cfRule>
    <cfRule type="expression" dxfId="1046" priority="1095">
      <formula>AB159="A"</formula>
    </cfRule>
    <cfRule type="expression" dxfId="1045" priority="1096">
      <formula>AB159="T"</formula>
    </cfRule>
  </conditionalFormatting>
  <conditionalFormatting sqref="AB162">
    <cfRule type="expression" dxfId="1044" priority="1091">
      <formula>AB161="X"</formula>
    </cfRule>
    <cfRule type="expression" dxfId="1043" priority="1092">
      <formula>AB161="A"</formula>
    </cfRule>
    <cfRule type="expression" dxfId="1042" priority="1093">
      <formula>AB161="T"</formula>
    </cfRule>
  </conditionalFormatting>
  <conditionalFormatting sqref="AB161">
    <cfRule type="expression" dxfId="1041" priority="1088">
      <formula>AB161="X"</formula>
    </cfRule>
    <cfRule type="expression" dxfId="1040" priority="1089">
      <formula>AB161="A"</formula>
    </cfRule>
    <cfRule type="expression" dxfId="1039" priority="1090">
      <formula>AB161="T"</formula>
    </cfRule>
  </conditionalFormatting>
  <conditionalFormatting sqref="AB164">
    <cfRule type="expression" dxfId="1038" priority="1085">
      <formula>AB163="X"</formula>
    </cfRule>
    <cfRule type="expression" dxfId="1037" priority="1086">
      <formula>AB163="A"</formula>
    </cfRule>
    <cfRule type="expression" dxfId="1036" priority="1087">
      <formula>AB163="T"</formula>
    </cfRule>
  </conditionalFormatting>
  <conditionalFormatting sqref="AB163">
    <cfRule type="expression" dxfId="1035" priority="1082">
      <formula>AB163="X"</formula>
    </cfRule>
    <cfRule type="expression" dxfId="1034" priority="1083">
      <formula>AB163="A"</formula>
    </cfRule>
    <cfRule type="expression" dxfId="1033" priority="1084">
      <formula>AB163="T"</formula>
    </cfRule>
  </conditionalFormatting>
  <conditionalFormatting sqref="AB165">
    <cfRule type="expression" dxfId="1032" priority="1079" stopIfTrue="1">
      <formula>AB155=""</formula>
    </cfRule>
  </conditionalFormatting>
  <conditionalFormatting sqref="AB165">
    <cfRule type="expression" dxfId="1031" priority="1080" stopIfTrue="1">
      <formula>AB165=1</formula>
    </cfRule>
    <cfRule type="colorScale" priority="1081">
      <colorScale>
        <cfvo type="num" val="0"/>
        <cfvo type="num" val="0.5"/>
        <cfvo type="num" val="1"/>
        <color rgb="FFF8696B"/>
        <color theme="4" tint="0.79998168889431442"/>
        <color rgb="FF5A8AC6"/>
      </colorScale>
    </cfRule>
  </conditionalFormatting>
  <conditionalFormatting sqref="AB47">
    <cfRule type="expression" dxfId="1030" priority="1076" stopIfTrue="1">
      <formula>AB39=""</formula>
    </cfRule>
  </conditionalFormatting>
  <conditionalFormatting sqref="AB47">
    <cfRule type="expression" dxfId="1029" priority="1077" stopIfTrue="1">
      <formula>AB47=1</formula>
    </cfRule>
    <cfRule type="colorScale" priority="1078">
      <colorScale>
        <cfvo type="num" val="0"/>
        <cfvo type="num" val="0.5"/>
        <cfvo type="num" val="1"/>
        <color rgb="FFF8696B"/>
        <color theme="4" tint="0.79998168889431442"/>
        <color rgb="FF5A8AC6"/>
      </colorScale>
    </cfRule>
  </conditionalFormatting>
  <conditionalFormatting sqref="AB241">
    <cfRule type="colorScale" priority="1597">
      <colorScale>
        <cfvo type="min"/>
        <cfvo type="percentile" val="50"/>
        <cfvo type="max"/>
        <color rgb="FF63BE7B"/>
        <color rgb="FFFFEB84"/>
        <color rgb="FFF8696B"/>
      </colorScale>
    </cfRule>
  </conditionalFormatting>
  <conditionalFormatting sqref="AB30">
    <cfRule type="expression" dxfId="1028" priority="1073">
      <formula>AB30="X"</formula>
    </cfRule>
    <cfRule type="expression" dxfId="1027" priority="1074">
      <formula>AB30="A"</formula>
    </cfRule>
    <cfRule type="expression" dxfId="1026" priority="1075">
      <formula>AB30="T"</formula>
    </cfRule>
  </conditionalFormatting>
  <conditionalFormatting sqref="AB34">
    <cfRule type="expression" dxfId="1025" priority="1070">
      <formula>AB34="X"</formula>
    </cfRule>
    <cfRule type="expression" dxfId="1024" priority="1071">
      <formula>AB34="A"</formula>
    </cfRule>
    <cfRule type="expression" dxfId="1023" priority="1072">
      <formula>AB34="T"</formula>
    </cfRule>
  </conditionalFormatting>
  <conditionalFormatting sqref="AB39">
    <cfRule type="expression" dxfId="1022" priority="1067">
      <formula>AB39="X"</formula>
    </cfRule>
    <cfRule type="expression" dxfId="1021" priority="1068">
      <formula>AB39="A"</formula>
    </cfRule>
    <cfRule type="expression" dxfId="1020" priority="1069">
      <formula>AB39="T"</formula>
    </cfRule>
  </conditionalFormatting>
  <conditionalFormatting sqref="AB41">
    <cfRule type="expression" dxfId="1019" priority="1064">
      <formula>AB41="X"</formula>
    </cfRule>
    <cfRule type="expression" dxfId="1018" priority="1065">
      <formula>AB41="A"</formula>
    </cfRule>
    <cfRule type="expression" dxfId="1017" priority="1066">
      <formula>AB41="T"</formula>
    </cfRule>
  </conditionalFormatting>
  <conditionalFormatting sqref="AB43">
    <cfRule type="expression" dxfId="1016" priority="1061">
      <formula>AB43="X"</formula>
    </cfRule>
    <cfRule type="expression" dxfId="1015" priority="1062">
      <formula>AB43="A"</formula>
    </cfRule>
    <cfRule type="expression" dxfId="1014" priority="1063">
      <formula>AB43="T"</formula>
    </cfRule>
  </conditionalFormatting>
  <conditionalFormatting sqref="AB45">
    <cfRule type="expression" dxfId="1013" priority="1058">
      <formula>AB45="X"</formula>
    </cfRule>
    <cfRule type="expression" dxfId="1012" priority="1059">
      <formula>AB45="A"</formula>
    </cfRule>
    <cfRule type="expression" dxfId="1011" priority="1060">
      <formula>AB45="T"</formula>
    </cfRule>
  </conditionalFormatting>
  <conditionalFormatting sqref="AB48">
    <cfRule type="expression" dxfId="1010" priority="1055">
      <formula>AB48="X"</formula>
    </cfRule>
    <cfRule type="expression" dxfId="1009" priority="1056">
      <formula>AB48="A"</formula>
    </cfRule>
    <cfRule type="expression" dxfId="1008" priority="1057">
      <formula>AB48="T"</formula>
    </cfRule>
  </conditionalFormatting>
  <conditionalFormatting sqref="AB50">
    <cfRule type="expression" dxfId="1007" priority="1052">
      <formula>AB50="X"</formula>
    </cfRule>
    <cfRule type="expression" dxfId="1006" priority="1053">
      <formula>AB50="A"</formula>
    </cfRule>
    <cfRule type="expression" dxfId="1005" priority="1054">
      <formula>AB50="T"</formula>
    </cfRule>
  </conditionalFormatting>
  <conditionalFormatting sqref="AB56">
    <cfRule type="expression" dxfId="1004" priority="1049">
      <formula>AB56="X"</formula>
    </cfRule>
    <cfRule type="expression" dxfId="1003" priority="1050">
      <formula>AB56="A"</formula>
    </cfRule>
    <cfRule type="expression" dxfId="1002" priority="1051">
      <formula>AB56="T"</formula>
    </cfRule>
  </conditionalFormatting>
  <conditionalFormatting sqref="AB58">
    <cfRule type="expression" dxfId="1001" priority="1046">
      <formula>AB58="X"</formula>
    </cfRule>
    <cfRule type="expression" dxfId="1000" priority="1047">
      <formula>AB58="A"</formula>
    </cfRule>
    <cfRule type="expression" dxfId="999" priority="1048">
      <formula>AB58="T"</formula>
    </cfRule>
  </conditionalFormatting>
  <conditionalFormatting sqref="AB102">
    <cfRule type="expression" dxfId="998" priority="1040">
      <formula>AB102="X"</formula>
    </cfRule>
    <cfRule type="expression" dxfId="997" priority="1041">
      <formula>AB102="A"</formula>
    </cfRule>
    <cfRule type="expression" dxfId="996" priority="1042">
      <formula>AB102="T"</formula>
    </cfRule>
  </conditionalFormatting>
  <conditionalFormatting sqref="AB100">
    <cfRule type="expression" dxfId="995" priority="1037">
      <formula>AB100="X"</formula>
    </cfRule>
    <cfRule type="expression" dxfId="994" priority="1038">
      <formula>AB100="A"</formula>
    </cfRule>
    <cfRule type="expression" dxfId="993" priority="1039">
      <formula>AB100="T"</formula>
    </cfRule>
  </conditionalFormatting>
  <conditionalFormatting sqref="AB149">
    <cfRule type="expression" dxfId="992" priority="1034">
      <formula>AB149="X"</formula>
    </cfRule>
    <cfRule type="expression" dxfId="991" priority="1035">
      <formula>AB149="A"</formula>
    </cfRule>
    <cfRule type="expression" dxfId="990" priority="1036">
      <formula>AB149="T"</formula>
    </cfRule>
  </conditionalFormatting>
  <conditionalFormatting sqref="AI158">
    <cfRule type="expression" dxfId="989" priority="1031">
      <formula>AI157="X"</formula>
    </cfRule>
    <cfRule type="expression" dxfId="988" priority="1032">
      <formula>AI157="A"</formula>
    </cfRule>
    <cfRule type="expression" dxfId="987" priority="1033">
      <formula>AI157="T"</formula>
    </cfRule>
  </conditionalFormatting>
  <conditionalFormatting sqref="AI16 AI18 AI20 AI22 AI24 AI26 AI28 AI39 AI41 AI43 AI45 AI48 AI81 AI88 AI90 AI92 AI94 AI96 AI98 AI100 AI102 AI105 AI107 AI109 AI111 AI116">
    <cfRule type="expression" dxfId="986" priority="1028">
      <formula>AI16="X"</formula>
    </cfRule>
    <cfRule type="expression" dxfId="985" priority="1029">
      <formula>AI16="A"</formula>
    </cfRule>
    <cfRule type="expression" dxfId="984" priority="1030">
      <formula>AI16="T"</formula>
    </cfRule>
  </conditionalFormatting>
  <conditionalFormatting sqref="AI36">
    <cfRule type="expression" dxfId="983" priority="1025">
      <formula>AI36="X"</formula>
    </cfRule>
    <cfRule type="expression" dxfId="982" priority="1026">
      <formula>AI36="A"</formula>
    </cfRule>
    <cfRule type="expression" dxfId="981" priority="1027">
      <formula>AI36="T"</formula>
    </cfRule>
  </conditionalFormatting>
  <conditionalFormatting sqref="AI34">
    <cfRule type="expression" dxfId="980" priority="1022">
      <formula>AI34="X"</formula>
    </cfRule>
    <cfRule type="expression" dxfId="979" priority="1023">
      <formula>AI34="A"</formula>
    </cfRule>
    <cfRule type="expression" dxfId="978" priority="1024">
      <formula>AI34="T"</formula>
    </cfRule>
  </conditionalFormatting>
  <conditionalFormatting sqref="AI32">
    <cfRule type="expression" dxfId="977" priority="1019">
      <formula>AI32="X"</formula>
    </cfRule>
    <cfRule type="expression" dxfId="976" priority="1020">
      <formula>AI32="A"</formula>
    </cfRule>
    <cfRule type="expression" dxfId="975" priority="1021">
      <formula>AI32="T"</formula>
    </cfRule>
  </conditionalFormatting>
  <conditionalFormatting sqref="AI30">
    <cfRule type="expression" dxfId="974" priority="1016">
      <formula>AI30="X"</formula>
    </cfRule>
    <cfRule type="expression" dxfId="973" priority="1017">
      <formula>AI30="A"</formula>
    </cfRule>
    <cfRule type="expression" dxfId="972" priority="1018">
      <formula>AI30="T"</formula>
    </cfRule>
  </conditionalFormatting>
  <conditionalFormatting sqref="AI52">
    <cfRule type="expression" dxfId="971" priority="1013">
      <formula>AI52="X"</formula>
    </cfRule>
    <cfRule type="expression" dxfId="970" priority="1014">
      <formula>AI52="A"</formula>
    </cfRule>
    <cfRule type="expression" dxfId="969" priority="1015">
      <formula>AI52="T"</formula>
    </cfRule>
  </conditionalFormatting>
  <conditionalFormatting sqref="AI50">
    <cfRule type="expression" dxfId="968" priority="1010">
      <formula>AI50="X"</formula>
    </cfRule>
    <cfRule type="expression" dxfId="967" priority="1011">
      <formula>AI50="A"</formula>
    </cfRule>
    <cfRule type="expression" dxfId="966" priority="1012">
      <formula>AI50="T"</formula>
    </cfRule>
  </conditionalFormatting>
  <conditionalFormatting sqref="AI54">
    <cfRule type="expression" dxfId="965" priority="1007">
      <formula>AI54="X"</formula>
    </cfRule>
    <cfRule type="expression" dxfId="964" priority="1008">
      <formula>AI54="A"</formula>
    </cfRule>
    <cfRule type="expression" dxfId="963" priority="1009">
      <formula>AI54="T"</formula>
    </cfRule>
  </conditionalFormatting>
  <conditionalFormatting sqref="AI56">
    <cfRule type="expression" dxfId="962" priority="1004">
      <formula>AI56="X"</formula>
    </cfRule>
    <cfRule type="expression" dxfId="961" priority="1005">
      <formula>AI56="A"</formula>
    </cfRule>
    <cfRule type="expression" dxfId="960" priority="1006">
      <formula>AI56="T"</formula>
    </cfRule>
  </conditionalFormatting>
  <conditionalFormatting sqref="AI58">
    <cfRule type="expression" dxfId="959" priority="1001">
      <formula>AI58="X"</formula>
    </cfRule>
    <cfRule type="expression" dxfId="958" priority="1002">
      <formula>AI58="A"</formula>
    </cfRule>
    <cfRule type="expression" dxfId="957" priority="1003">
      <formula>AI58="T"</formula>
    </cfRule>
  </conditionalFormatting>
  <conditionalFormatting sqref="AI63">
    <cfRule type="expression" dxfId="956" priority="998">
      <formula>AI63="X"</formula>
    </cfRule>
    <cfRule type="expression" dxfId="955" priority="999">
      <formula>AI63="A"</formula>
    </cfRule>
    <cfRule type="expression" dxfId="954" priority="1000">
      <formula>AI63="T"</formula>
    </cfRule>
  </conditionalFormatting>
  <conditionalFormatting sqref="AI65">
    <cfRule type="expression" dxfId="953" priority="995">
      <formula>AI65="X"</formula>
    </cfRule>
    <cfRule type="expression" dxfId="952" priority="996">
      <formula>AI65="A"</formula>
    </cfRule>
    <cfRule type="expression" dxfId="951" priority="997">
      <formula>AI65="T"</formula>
    </cfRule>
  </conditionalFormatting>
  <conditionalFormatting sqref="AI83">
    <cfRule type="expression" dxfId="950" priority="992">
      <formula>AI83="X"</formula>
    </cfRule>
    <cfRule type="expression" dxfId="949" priority="993">
      <formula>AI83="A"</formula>
    </cfRule>
    <cfRule type="expression" dxfId="948" priority="994">
      <formula>AI83="T"</formula>
    </cfRule>
  </conditionalFormatting>
  <conditionalFormatting sqref="AI85">
    <cfRule type="expression" dxfId="947" priority="989">
      <formula>AI85="X"</formula>
    </cfRule>
    <cfRule type="expression" dxfId="946" priority="990">
      <formula>AI85="A"</formula>
    </cfRule>
    <cfRule type="expression" dxfId="945" priority="991">
      <formula>AI85="T"</formula>
    </cfRule>
  </conditionalFormatting>
  <conditionalFormatting sqref="AI67">
    <cfRule type="expression" dxfId="944" priority="986">
      <formula>AI67="X"</formula>
    </cfRule>
    <cfRule type="expression" dxfId="943" priority="987">
      <formula>AI67="A"</formula>
    </cfRule>
    <cfRule type="expression" dxfId="942" priority="988">
      <formula>AI67="T"</formula>
    </cfRule>
  </conditionalFormatting>
  <conditionalFormatting sqref="AI113">
    <cfRule type="expression" dxfId="941" priority="983">
      <formula>AI113="X"</formula>
    </cfRule>
    <cfRule type="expression" dxfId="940" priority="984">
      <formula>AI113="A"</formula>
    </cfRule>
    <cfRule type="expression" dxfId="939" priority="985">
      <formula>AI113="T"</formula>
    </cfRule>
  </conditionalFormatting>
  <conditionalFormatting sqref="AI118">
    <cfRule type="expression" dxfId="938" priority="980">
      <formula>AI118="X"</formula>
    </cfRule>
    <cfRule type="expression" dxfId="937" priority="981">
      <formula>AI118="A"</formula>
    </cfRule>
    <cfRule type="expression" dxfId="936" priority="982">
      <formula>AI118="T"</formula>
    </cfRule>
  </conditionalFormatting>
  <conditionalFormatting sqref="AI120">
    <cfRule type="expression" dxfId="935" priority="977">
      <formula>AI120="X"</formula>
    </cfRule>
    <cfRule type="expression" dxfId="934" priority="978">
      <formula>AI120="A"</formula>
    </cfRule>
    <cfRule type="expression" dxfId="933" priority="979">
      <formula>AI120="T"</formula>
    </cfRule>
  </conditionalFormatting>
  <conditionalFormatting sqref="AI122">
    <cfRule type="expression" dxfId="932" priority="974">
      <formula>AI122="X"</formula>
    </cfRule>
    <cfRule type="expression" dxfId="931" priority="975">
      <formula>AI122="A"</formula>
    </cfRule>
    <cfRule type="expression" dxfId="930" priority="976">
      <formula>AI122="T"</formula>
    </cfRule>
  </conditionalFormatting>
  <conditionalFormatting sqref="AI125">
    <cfRule type="expression" dxfId="929" priority="971">
      <formula>AI125="X"</formula>
    </cfRule>
    <cfRule type="expression" dxfId="928" priority="972">
      <formula>AI125="A"</formula>
    </cfRule>
    <cfRule type="expression" dxfId="927" priority="973">
      <formula>AI125="T"</formula>
    </cfRule>
  </conditionalFormatting>
  <conditionalFormatting sqref="AI127">
    <cfRule type="expression" dxfId="926" priority="968">
      <formula>AI127="X"</formula>
    </cfRule>
    <cfRule type="expression" dxfId="925" priority="969">
      <formula>AI127="A"</formula>
    </cfRule>
    <cfRule type="expression" dxfId="924" priority="970">
      <formula>AI127="T"</formula>
    </cfRule>
  </conditionalFormatting>
  <conditionalFormatting sqref="AI141">
    <cfRule type="expression" dxfId="923" priority="965">
      <formula>AI141="X"</formula>
    </cfRule>
    <cfRule type="expression" dxfId="922" priority="966">
      <formula>AI141="A"</formula>
    </cfRule>
    <cfRule type="expression" dxfId="921" priority="967">
      <formula>AI141="T"</formula>
    </cfRule>
  </conditionalFormatting>
  <conditionalFormatting sqref="AI143">
    <cfRule type="expression" dxfId="920" priority="962">
      <formula>AI143="X"</formula>
    </cfRule>
    <cfRule type="expression" dxfId="919" priority="963">
      <formula>AI143="A"</formula>
    </cfRule>
    <cfRule type="expression" dxfId="918" priority="964">
      <formula>AI143="T"</formula>
    </cfRule>
  </conditionalFormatting>
  <conditionalFormatting sqref="AI149">
    <cfRule type="expression" dxfId="917" priority="959">
      <formula>AI149="X"</formula>
    </cfRule>
    <cfRule type="expression" dxfId="916" priority="960">
      <formula>AI149="A"</formula>
    </cfRule>
    <cfRule type="expression" dxfId="915" priority="961">
      <formula>AI149="T"</formula>
    </cfRule>
  </conditionalFormatting>
  <conditionalFormatting sqref="AI151">
    <cfRule type="expression" dxfId="914" priority="956">
      <formula>AI151="X"</formula>
    </cfRule>
    <cfRule type="expression" dxfId="913" priority="957">
      <formula>AI151="A"</formula>
    </cfRule>
    <cfRule type="expression" dxfId="912" priority="958">
      <formula>AI151="T"</formula>
    </cfRule>
  </conditionalFormatting>
  <conditionalFormatting sqref="AI155">
    <cfRule type="expression" dxfId="911" priority="953">
      <formula>AI155="X"</formula>
    </cfRule>
    <cfRule type="expression" dxfId="910" priority="954">
      <formula>AI155="A"</formula>
    </cfRule>
    <cfRule type="expression" dxfId="909" priority="955">
      <formula>AI155="T"</formula>
    </cfRule>
  </conditionalFormatting>
  <conditionalFormatting sqref="AI157">
    <cfRule type="expression" dxfId="908" priority="950">
      <formula>AI157="X"</formula>
    </cfRule>
    <cfRule type="expression" dxfId="907" priority="951">
      <formula>AI157="A"</formula>
    </cfRule>
    <cfRule type="expression" dxfId="906" priority="952">
      <formula>AI157="T"</formula>
    </cfRule>
  </conditionalFormatting>
  <conditionalFormatting sqref="AI167">
    <cfRule type="expression" dxfId="905" priority="947">
      <formula>AI167="X"</formula>
    </cfRule>
    <cfRule type="expression" dxfId="904" priority="948">
      <formula>AI167="A"</formula>
    </cfRule>
    <cfRule type="expression" dxfId="903" priority="949">
      <formula>AI167="T"</formula>
    </cfRule>
  </conditionalFormatting>
  <conditionalFormatting sqref="AI173">
    <cfRule type="expression" dxfId="902" priority="944">
      <formula>AI173="X"</formula>
    </cfRule>
    <cfRule type="expression" dxfId="901" priority="945">
      <formula>AI173="A"</formula>
    </cfRule>
    <cfRule type="expression" dxfId="900" priority="946">
      <formula>AI173="T"</formula>
    </cfRule>
  </conditionalFormatting>
  <conditionalFormatting sqref="AI175">
    <cfRule type="expression" dxfId="899" priority="941">
      <formula>AI175="X"</formula>
    </cfRule>
    <cfRule type="expression" dxfId="898" priority="942">
      <formula>AI175="A"</formula>
    </cfRule>
    <cfRule type="expression" dxfId="897" priority="943">
      <formula>AI175="T"</formula>
    </cfRule>
  </conditionalFormatting>
  <conditionalFormatting sqref="AI177">
    <cfRule type="expression" dxfId="896" priority="938">
      <formula>AI177="X"</formula>
    </cfRule>
    <cfRule type="expression" dxfId="895" priority="939">
      <formula>AI177="A"</formula>
    </cfRule>
    <cfRule type="expression" dxfId="894" priority="940">
      <formula>AI177="T"</formula>
    </cfRule>
  </conditionalFormatting>
  <conditionalFormatting sqref="AI179">
    <cfRule type="expression" dxfId="893" priority="935">
      <formula>AI179="X"</formula>
    </cfRule>
    <cfRule type="expression" dxfId="892" priority="936">
      <formula>AI179="A"</formula>
    </cfRule>
    <cfRule type="expression" dxfId="891" priority="937">
      <formula>AI179="T"</formula>
    </cfRule>
  </conditionalFormatting>
  <conditionalFormatting sqref="AI169">
    <cfRule type="expression" dxfId="890" priority="932">
      <formula>AI169="X"</formula>
    </cfRule>
    <cfRule type="expression" dxfId="889" priority="933">
      <formula>AI169="A"</formula>
    </cfRule>
    <cfRule type="expression" dxfId="888" priority="934">
      <formula>AI169="T"</formula>
    </cfRule>
  </conditionalFormatting>
  <conditionalFormatting sqref="AI171">
    <cfRule type="expression" dxfId="887" priority="929">
      <formula>AI171="X"</formula>
    </cfRule>
    <cfRule type="expression" dxfId="886" priority="930">
      <formula>AI171="A"</formula>
    </cfRule>
    <cfRule type="expression" dxfId="885" priority="931">
      <formula>AI171="T"</formula>
    </cfRule>
  </conditionalFormatting>
  <conditionalFormatting sqref="AI183">
    <cfRule type="expression" dxfId="884" priority="926">
      <formula>AI183="X"</formula>
    </cfRule>
    <cfRule type="expression" dxfId="883" priority="927">
      <formula>AI183="A"</formula>
    </cfRule>
    <cfRule type="expression" dxfId="882" priority="928">
      <formula>AI183="T"</formula>
    </cfRule>
  </conditionalFormatting>
  <conditionalFormatting sqref="AI185">
    <cfRule type="expression" dxfId="881" priority="923">
      <formula>AI185="X"</formula>
    </cfRule>
    <cfRule type="expression" dxfId="880" priority="924">
      <formula>AI185="A"</formula>
    </cfRule>
    <cfRule type="expression" dxfId="879" priority="925">
      <formula>AI185="T"</formula>
    </cfRule>
  </conditionalFormatting>
  <conditionalFormatting sqref="AI189">
    <cfRule type="expression" dxfId="878" priority="920">
      <formula>AI189="X"</formula>
    </cfRule>
    <cfRule type="expression" dxfId="877" priority="921">
      <formula>AI189="A"</formula>
    </cfRule>
    <cfRule type="expression" dxfId="876" priority="922">
      <formula>AI189="T"</formula>
    </cfRule>
  </conditionalFormatting>
  <conditionalFormatting sqref="AI191">
    <cfRule type="expression" dxfId="875" priority="917">
      <formula>AI191="X"</formula>
    </cfRule>
    <cfRule type="expression" dxfId="874" priority="918">
      <formula>AI191="A"</formula>
    </cfRule>
    <cfRule type="expression" dxfId="873" priority="919">
      <formula>AI191="T"</formula>
    </cfRule>
  </conditionalFormatting>
  <conditionalFormatting sqref="AI11">
    <cfRule type="expression" dxfId="872" priority="914">
      <formula>AI11="X"</formula>
    </cfRule>
    <cfRule type="expression" dxfId="871" priority="915">
      <formula>AI11="A"</formula>
    </cfRule>
    <cfRule type="expression" dxfId="870" priority="916">
      <formula>AI11="T"</formula>
    </cfRule>
  </conditionalFormatting>
  <conditionalFormatting sqref="AI12">
    <cfRule type="expression" dxfId="869" priority="911">
      <formula>AI11="X"</formula>
    </cfRule>
    <cfRule type="expression" dxfId="868" priority="912">
      <formula>AI11="A"</formula>
    </cfRule>
    <cfRule type="expression" dxfId="867" priority="913">
      <formula>AI11="T"</formula>
    </cfRule>
  </conditionalFormatting>
  <conditionalFormatting sqref="AI13">
    <cfRule type="expression" dxfId="866" priority="908">
      <formula>AI13="X"</formula>
    </cfRule>
    <cfRule type="expression" dxfId="865" priority="909">
      <formula>AI13="A"</formula>
    </cfRule>
    <cfRule type="expression" dxfId="864" priority="910">
      <formula>AI13="T"</formula>
    </cfRule>
  </conditionalFormatting>
  <conditionalFormatting sqref="AI14">
    <cfRule type="expression" dxfId="863" priority="905">
      <formula>AI13="X"</formula>
    </cfRule>
    <cfRule type="expression" dxfId="862" priority="906">
      <formula>AI13="A"</formula>
    </cfRule>
    <cfRule type="expression" dxfId="861" priority="907">
      <formula>AI13="T"</formula>
    </cfRule>
  </conditionalFormatting>
  <conditionalFormatting sqref="AI17">
    <cfRule type="expression" dxfId="860" priority="902">
      <formula>AI16="X"</formula>
    </cfRule>
    <cfRule type="expression" dxfId="859" priority="903">
      <formula>AI16="A"</formula>
    </cfRule>
    <cfRule type="expression" dxfId="858" priority="904">
      <formula>AI16="T"</formula>
    </cfRule>
  </conditionalFormatting>
  <conditionalFormatting sqref="AI19">
    <cfRule type="expression" dxfId="857" priority="896">
      <formula>AI18="X"</formula>
    </cfRule>
    <cfRule type="expression" dxfId="856" priority="897">
      <formula>AI18="A"</formula>
    </cfRule>
    <cfRule type="expression" dxfId="855" priority="898">
      <formula>AI18="T"</formula>
    </cfRule>
  </conditionalFormatting>
  <conditionalFormatting sqref="AI21">
    <cfRule type="expression" dxfId="854" priority="893">
      <formula>AI20="X"</formula>
    </cfRule>
    <cfRule type="expression" dxfId="853" priority="894">
      <formula>AI20="A"</formula>
    </cfRule>
    <cfRule type="expression" dxfId="852" priority="895">
      <formula>AI20="T"</formula>
    </cfRule>
  </conditionalFormatting>
  <conditionalFormatting sqref="AI23">
    <cfRule type="expression" dxfId="851" priority="890">
      <formula>AI22="X"</formula>
    </cfRule>
    <cfRule type="expression" dxfId="850" priority="891">
      <formula>AI22="A"</formula>
    </cfRule>
    <cfRule type="expression" dxfId="849" priority="892">
      <formula>AI22="T"</formula>
    </cfRule>
  </conditionalFormatting>
  <conditionalFormatting sqref="AI25">
    <cfRule type="expression" dxfId="848" priority="887">
      <formula>AI24="X"</formula>
    </cfRule>
    <cfRule type="expression" dxfId="847" priority="888">
      <formula>AI24="A"</formula>
    </cfRule>
    <cfRule type="expression" dxfId="846" priority="889">
      <formula>AI24="T"</formula>
    </cfRule>
  </conditionalFormatting>
  <conditionalFormatting sqref="AI27">
    <cfRule type="expression" dxfId="845" priority="884">
      <formula>AI26="X"</formula>
    </cfRule>
    <cfRule type="expression" dxfId="844" priority="885">
      <formula>AI26="A"</formula>
    </cfRule>
    <cfRule type="expression" dxfId="843" priority="886">
      <formula>AI26="T"</formula>
    </cfRule>
  </conditionalFormatting>
  <conditionalFormatting sqref="AI29">
    <cfRule type="expression" dxfId="842" priority="881">
      <formula>AI28="X"</formula>
    </cfRule>
    <cfRule type="expression" dxfId="841" priority="882">
      <formula>AI28="A"</formula>
    </cfRule>
    <cfRule type="expression" dxfId="840" priority="883">
      <formula>AI28="T"</formula>
    </cfRule>
  </conditionalFormatting>
  <conditionalFormatting sqref="AI31">
    <cfRule type="expression" dxfId="839" priority="878">
      <formula>AI30="X"</formula>
    </cfRule>
    <cfRule type="expression" dxfId="838" priority="879">
      <formula>AI30="A"</formula>
    </cfRule>
    <cfRule type="expression" dxfId="837" priority="880">
      <formula>AI30="T"</formula>
    </cfRule>
  </conditionalFormatting>
  <conditionalFormatting sqref="AI33">
    <cfRule type="expression" dxfId="836" priority="875">
      <formula>AI32="X"</formula>
    </cfRule>
    <cfRule type="expression" dxfId="835" priority="876">
      <formula>AI32="A"</formula>
    </cfRule>
    <cfRule type="expression" dxfId="834" priority="877">
      <formula>AI32="T"</formula>
    </cfRule>
  </conditionalFormatting>
  <conditionalFormatting sqref="AI35">
    <cfRule type="expression" dxfId="833" priority="872">
      <formula>AI34="X"</formula>
    </cfRule>
    <cfRule type="expression" dxfId="832" priority="873">
      <formula>AI34="A"</formula>
    </cfRule>
    <cfRule type="expression" dxfId="831" priority="874">
      <formula>AI34="T"</formula>
    </cfRule>
  </conditionalFormatting>
  <conditionalFormatting sqref="AI37">
    <cfRule type="expression" dxfId="830" priority="869">
      <formula>AI36="X"</formula>
    </cfRule>
    <cfRule type="expression" dxfId="829" priority="870">
      <formula>AI36="A"</formula>
    </cfRule>
    <cfRule type="expression" dxfId="828" priority="871">
      <formula>AI36="T"</formula>
    </cfRule>
  </conditionalFormatting>
  <conditionalFormatting sqref="AI40">
    <cfRule type="expression" dxfId="827" priority="866">
      <formula>AI39="X"</formula>
    </cfRule>
    <cfRule type="expression" dxfId="826" priority="867">
      <formula>AI39="A"</formula>
    </cfRule>
    <cfRule type="expression" dxfId="825" priority="868">
      <formula>AI39="T"</formula>
    </cfRule>
  </conditionalFormatting>
  <conditionalFormatting sqref="AI42">
    <cfRule type="expression" dxfId="824" priority="863">
      <formula>AI41="X"</formula>
    </cfRule>
    <cfRule type="expression" dxfId="823" priority="864">
      <formula>AI41="A"</formula>
    </cfRule>
    <cfRule type="expression" dxfId="822" priority="865">
      <formula>AI41="T"</formula>
    </cfRule>
  </conditionalFormatting>
  <conditionalFormatting sqref="AI44">
    <cfRule type="expression" dxfId="821" priority="860">
      <formula>AI43="X"</formula>
    </cfRule>
    <cfRule type="expression" dxfId="820" priority="861">
      <formula>AI43="A"</formula>
    </cfRule>
    <cfRule type="expression" dxfId="819" priority="862">
      <formula>AI43="T"</formula>
    </cfRule>
  </conditionalFormatting>
  <conditionalFormatting sqref="AI46">
    <cfRule type="expression" dxfId="818" priority="857">
      <formula>AI45="X"</formula>
    </cfRule>
    <cfRule type="expression" dxfId="817" priority="858">
      <formula>AI45="A"</formula>
    </cfRule>
    <cfRule type="expression" dxfId="816" priority="859">
      <formula>AI45="T"</formula>
    </cfRule>
  </conditionalFormatting>
  <conditionalFormatting sqref="AI49">
    <cfRule type="expression" dxfId="815" priority="854">
      <formula>AI48="X"</formula>
    </cfRule>
    <cfRule type="expression" dxfId="814" priority="855">
      <formula>AI48="A"</formula>
    </cfRule>
    <cfRule type="expression" dxfId="813" priority="856">
      <formula>AI48="T"</formula>
    </cfRule>
  </conditionalFormatting>
  <conditionalFormatting sqref="AI51">
    <cfRule type="expression" dxfId="812" priority="851">
      <formula>AI50="X"</formula>
    </cfRule>
    <cfRule type="expression" dxfId="811" priority="852">
      <formula>AI50="A"</formula>
    </cfRule>
    <cfRule type="expression" dxfId="810" priority="853">
      <formula>AI50="T"</formula>
    </cfRule>
  </conditionalFormatting>
  <conditionalFormatting sqref="AI53">
    <cfRule type="expression" dxfId="809" priority="848">
      <formula>AI52="X"</formula>
    </cfRule>
    <cfRule type="expression" dxfId="808" priority="849">
      <formula>AI52="A"</formula>
    </cfRule>
    <cfRule type="expression" dxfId="807" priority="850">
      <formula>AI52="T"</formula>
    </cfRule>
  </conditionalFormatting>
  <conditionalFormatting sqref="AI55">
    <cfRule type="expression" dxfId="806" priority="845">
      <formula>AI54="X"</formula>
    </cfRule>
    <cfRule type="expression" dxfId="805" priority="846">
      <formula>AI54="A"</formula>
    </cfRule>
    <cfRule type="expression" dxfId="804" priority="847">
      <formula>AI54="T"</formula>
    </cfRule>
  </conditionalFormatting>
  <conditionalFormatting sqref="AI57">
    <cfRule type="expression" dxfId="803" priority="842">
      <formula>AI56="X"</formula>
    </cfRule>
    <cfRule type="expression" dxfId="802" priority="843">
      <formula>AI56="A"</formula>
    </cfRule>
    <cfRule type="expression" dxfId="801" priority="844">
      <formula>AI56="T"</formula>
    </cfRule>
  </conditionalFormatting>
  <conditionalFormatting sqref="AI59">
    <cfRule type="expression" dxfId="800" priority="839">
      <formula>AI58="X"</formula>
    </cfRule>
    <cfRule type="expression" dxfId="799" priority="840">
      <formula>AI58="A"</formula>
    </cfRule>
    <cfRule type="expression" dxfId="798" priority="841">
      <formula>AI58="T"</formula>
    </cfRule>
  </conditionalFormatting>
  <conditionalFormatting sqref="AI64">
    <cfRule type="expression" dxfId="797" priority="836">
      <formula>AI63="X"</formula>
    </cfRule>
    <cfRule type="expression" dxfId="796" priority="837">
      <formula>AI63="A"</formula>
    </cfRule>
    <cfRule type="expression" dxfId="795" priority="838">
      <formula>AI63="T"</formula>
    </cfRule>
  </conditionalFormatting>
  <conditionalFormatting sqref="AI66">
    <cfRule type="expression" dxfId="794" priority="833">
      <formula>AI65="X"</formula>
    </cfRule>
    <cfRule type="expression" dxfId="793" priority="834">
      <formula>AI65="A"</formula>
    </cfRule>
    <cfRule type="expression" dxfId="792" priority="835">
      <formula>AI65="T"</formula>
    </cfRule>
  </conditionalFormatting>
  <conditionalFormatting sqref="AI68">
    <cfRule type="expression" dxfId="791" priority="830">
      <formula>AI67="X"</formula>
    </cfRule>
    <cfRule type="expression" dxfId="790" priority="831">
      <formula>AI67="A"</formula>
    </cfRule>
    <cfRule type="expression" dxfId="789" priority="832">
      <formula>AI67="T"</formula>
    </cfRule>
  </conditionalFormatting>
  <conditionalFormatting sqref="AI82">
    <cfRule type="expression" dxfId="788" priority="827">
      <formula>AI81="X"</formula>
    </cfRule>
    <cfRule type="expression" dxfId="787" priority="828">
      <formula>AI81="A"</formula>
    </cfRule>
    <cfRule type="expression" dxfId="786" priority="829">
      <formula>AI81="T"</formula>
    </cfRule>
  </conditionalFormatting>
  <conditionalFormatting sqref="AI84">
    <cfRule type="expression" dxfId="785" priority="824">
      <formula>AI83="X"</formula>
    </cfRule>
    <cfRule type="expression" dxfId="784" priority="825">
      <formula>AI83="A"</formula>
    </cfRule>
    <cfRule type="expression" dxfId="783" priority="826">
      <formula>AI83="T"</formula>
    </cfRule>
  </conditionalFormatting>
  <conditionalFormatting sqref="AI86">
    <cfRule type="expression" dxfId="782" priority="821">
      <formula>AI85="X"</formula>
    </cfRule>
    <cfRule type="expression" dxfId="781" priority="822">
      <formula>AI85="A"</formula>
    </cfRule>
    <cfRule type="expression" dxfId="780" priority="823">
      <formula>AI85="T"</formula>
    </cfRule>
  </conditionalFormatting>
  <conditionalFormatting sqref="AI89">
    <cfRule type="expression" dxfId="779" priority="818">
      <formula>AI88="X"</formula>
    </cfRule>
    <cfRule type="expression" dxfId="778" priority="819">
      <formula>AI88="A"</formula>
    </cfRule>
    <cfRule type="expression" dxfId="777" priority="820">
      <formula>AI88="T"</formula>
    </cfRule>
  </conditionalFormatting>
  <conditionalFormatting sqref="AI91">
    <cfRule type="expression" dxfId="776" priority="815">
      <formula>AI90="X"</formula>
    </cfRule>
    <cfRule type="expression" dxfId="775" priority="816">
      <formula>AI90="A"</formula>
    </cfRule>
    <cfRule type="expression" dxfId="774" priority="817">
      <formula>AI90="T"</formula>
    </cfRule>
  </conditionalFormatting>
  <conditionalFormatting sqref="AI93">
    <cfRule type="expression" dxfId="773" priority="812">
      <formula>AI92="X"</formula>
    </cfRule>
    <cfRule type="expression" dxfId="772" priority="813">
      <formula>AI92="A"</formula>
    </cfRule>
    <cfRule type="expression" dxfId="771" priority="814">
      <formula>AI92="T"</formula>
    </cfRule>
  </conditionalFormatting>
  <conditionalFormatting sqref="AI95">
    <cfRule type="expression" dxfId="770" priority="809">
      <formula>AI94="X"</formula>
    </cfRule>
    <cfRule type="expression" dxfId="769" priority="810">
      <formula>AI94="A"</formula>
    </cfRule>
    <cfRule type="expression" dxfId="768" priority="811">
      <formula>AI94="T"</formula>
    </cfRule>
  </conditionalFormatting>
  <conditionalFormatting sqref="AI97">
    <cfRule type="expression" dxfId="767" priority="806">
      <formula>AI96="X"</formula>
    </cfRule>
    <cfRule type="expression" dxfId="766" priority="807">
      <formula>AI96="A"</formula>
    </cfRule>
    <cfRule type="expression" dxfId="765" priority="808">
      <formula>AI96="T"</formula>
    </cfRule>
  </conditionalFormatting>
  <conditionalFormatting sqref="AI99">
    <cfRule type="expression" dxfId="764" priority="803">
      <formula>AI98="X"</formula>
    </cfRule>
    <cfRule type="expression" dxfId="763" priority="804">
      <formula>AI98="A"</formula>
    </cfRule>
    <cfRule type="expression" dxfId="762" priority="805">
      <formula>AI98="T"</formula>
    </cfRule>
  </conditionalFormatting>
  <conditionalFormatting sqref="AI101">
    <cfRule type="expression" dxfId="761" priority="800">
      <formula>AI100="X"</formula>
    </cfRule>
    <cfRule type="expression" dxfId="760" priority="801">
      <formula>AI100="A"</formula>
    </cfRule>
    <cfRule type="expression" dxfId="759" priority="802">
      <formula>AI100="T"</formula>
    </cfRule>
  </conditionalFormatting>
  <conditionalFormatting sqref="AI103">
    <cfRule type="expression" dxfId="758" priority="797">
      <formula>AI102="X"</formula>
    </cfRule>
    <cfRule type="expression" dxfId="757" priority="798">
      <formula>AI102="A"</formula>
    </cfRule>
    <cfRule type="expression" dxfId="756" priority="799">
      <formula>AI102="T"</formula>
    </cfRule>
  </conditionalFormatting>
  <conditionalFormatting sqref="AI106">
    <cfRule type="expression" dxfId="755" priority="794">
      <formula>AI105="X"</formula>
    </cfRule>
    <cfRule type="expression" dxfId="754" priority="795">
      <formula>AI105="A"</formula>
    </cfRule>
    <cfRule type="expression" dxfId="753" priority="796">
      <formula>AI105="T"</formula>
    </cfRule>
  </conditionalFormatting>
  <conditionalFormatting sqref="AI108">
    <cfRule type="expression" dxfId="752" priority="791">
      <formula>AI107="X"</formula>
    </cfRule>
    <cfRule type="expression" dxfId="751" priority="792">
      <formula>AI107="A"</formula>
    </cfRule>
    <cfRule type="expression" dxfId="750" priority="793">
      <formula>AI107="T"</formula>
    </cfRule>
  </conditionalFormatting>
  <conditionalFormatting sqref="AI110">
    <cfRule type="expression" dxfId="749" priority="788">
      <formula>AI109="X"</formula>
    </cfRule>
    <cfRule type="expression" dxfId="748" priority="789">
      <formula>AI109="A"</formula>
    </cfRule>
    <cfRule type="expression" dxfId="747" priority="790">
      <formula>AI109="T"</formula>
    </cfRule>
  </conditionalFormatting>
  <conditionalFormatting sqref="AI112">
    <cfRule type="expression" dxfId="746" priority="785">
      <formula>AI111="X"</formula>
    </cfRule>
    <cfRule type="expression" dxfId="745" priority="786">
      <formula>AI111="A"</formula>
    </cfRule>
    <cfRule type="expression" dxfId="744" priority="787">
      <formula>AI111="T"</formula>
    </cfRule>
  </conditionalFormatting>
  <conditionalFormatting sqref="AI114">
    <cfRule type="expression" dxfId="743" priority="782">
      <formula>AI113="X"</formula>
    </cfRule>
    <cfRule type="expression" dxfId="742" priority="783">
      <formula>AI113="A"</formula>
    </cfRule>
    <cfRule type="expression" dxfId="741" priority="784">
      <formula>AI113="T"</formula>
    </cfRule>
  </conditionalFormatting>
  <conditionalFormatting sqref="AI117">
    <cfRule type="expression" dxfId="740" priority="779">
      <formula>AI116="X"</formula>
    </cfRule>
    <cfRule type="expression" dxfId="739" priority="780">
      <formula>AI116="A"</formula>
    </cfRule>
    <cfRule type="expression" dxfId="738" priority="781">
      <formula>AI116="T"</formula>
    </cfRule>
  </conditionalFormatting>
  <conditionalFormatting sqref="AI119">
    <cfRule type="expression" dxfId="737" priority="776">
      <formula>AI118="X"</formula>
    </cfRule>
    <cfRule type="expression" dxfId="736" priority="777">
      <formula>AI118="A"</formula>
    </cfRule>
    <cfRule type="expression" dxfId="735" priority="778">
      <formula>AI118="T"</formula>
    </cfRule>
  </conditionalFormatting>
  <conditionalFormatting sqref="AI121">
    <cfRule type="expression" dxfId="734" priority="773">
      <formula>AI120="X"</formula>
    </cfRule>
    <cfRule type="expression" dxfId="733" priority="774">
      <formula>AI120="A"</formula>
    </cfRule>
    <cfRule type="expression" dxfId="732" priority="775">
      <formula>AI120="T"</formula>
    </cfRule>
  </conditionalFormatting>
  <conditionalFormatting sqref="AI123">
    <cfRule type="expression" dxfId="731" priority="770">
      <formula>AI122="X"</formula>
    </cfRule>
    <cfRule type="expression" dxfId="730" priority="771">
      <formula>AI122="A"</formula>
    </cfRule>
    <cfRule type="expression" dxfId="729" priority="772">
      <formula>AI122="T"</formula>
    </cfRule>
  </conditionalFormatting>
  <conditionalFormatting sqref="AI126">
    <cfRule type="expression" dxfId="728" priority="767">
      <formula>AI125="X"</formula>
    </cfRule>
    <cfRule type="expression" dxfId="727" priority="768">
      <formula>AI125="A"</formula>
    </cfRule>
    <cfRule type="expression" dxfId="726" priority="769">
      <formula>AI125="T"</formula>
    </cfRule>
  </conditionalFormatting>
  <conditionalFormatting sqref="AI128">
    <cfRule type="expression" dxfId="725" priority="764">
      <formula>AI127="X"</formula>
    </cfRule>
    <cfRule type="expression" dxfId="724" priority="765">
      <formula>AI127="A"</formula>
    </cfRule>
    <cfRule type="expression" dxfId="723" priority="766">
      <formula>AI127="T"</formula>
    </cfRule>
  </conditionalFormatting>
  <conditionalFormatting sqref="AI142">
    <cfRule type="expression" dxfId="722" priority="761">
      <formula>AI141="X"</formula>
    </cfRule>
    <cfRule type="expression" dxfId="721" priority="762">
      <formula>AI141="A"</formula>
    </cfRule>
    <cfRule type="expression" dxfId="720" priority="763">
      <formula>AI141="T"</formula>
    </cfRule>
  </conditionalFormatting>
  <conditionalFormatting sqref="AI144">
    <cfRule type="expression" dxfId="719" priority="758">
      <formula>AI143="X"</formula>
    </cfRule>
    <cfRule type="expression" dxfId="718" priority="759">
      <formula>AI143="A"</formula>
    </cfRule>
    <cfRule type="expression" dxfId="717" priority="760">
      <formula>AI143="T"</formula>
    </cfRule>
  </conditionalFormatting>
  <conditionalFormatting sqref="AI150">
    <cfRule type="expression" dxfId="716" priority="755">
      <formula>AI149="X"</formula>
    </cfRule>
    <cfRule type="expression" dxfId="715" priority="756">
      <formula>AI149="A"</formula>
    </cfRule>
    <cfRule type="expression" dxfId="714" priority="757">
      <formula>AI149="T"</formula>
    </cfRule>
  </conditionalFormatting>
  <conditionalFormatting sqref="AI152">
    <cfRule type="expression" dxfId="713" priority="752">
      <formula>AI151="X"</formula>
    </cfRule>
    <cfRule type="expression" dxfId="712" priority="753">
      <formula>AI151="A"</formula>
    </cfRule>
    <cfRule type="expression" dxfId="711" priority="754">
      <formula>AI151="T"</formula>
    </cfRule>
  </conditionalFormatting>
  <conditionalFormatting sqref="AI156">
    <cfRule type="expression" dxfId="710" priority="749">
      <formula>AI155="X"</formula>
    </cfRule>
    <cfRule type="expression" dxfId="709" priority="750">
      <formula>AI155="A"</formula>
    </cfRule>
    <cfRule type="expression" dxfId="708" priority="751">
      <formula>AI155="T"</formula>
    </cfRule>
  </conditionalFormatting>
  <conditionalFormatting sqref="AI168">
    <cfRule type="expression" dxfId="707" priority="746">
      <formula>AI167="X"</formula>
    </cfRule>
    <cfRule type="expression" dxfId="706" priority="747">
      <formula>AI167="A"</formula>
    </cfRule>
    <cfRule type="expression" dxfId="705" priority="748">
      <formula>AI167="T"</formula>
    </cfRule>
  </conditionalFormatting>
  <conditionalFormatting sqref="AI170">
    <cfRule type="expression" dxfId="704" priority="743">
      <formula>AI169="X"</formula>
    </cfRule>
    <cfRule type="expression" dxfId="703" priority="744">
      <formula>AI169="A"</formula>
    </cfRule>
    <cfRule type="expression" dxfId="702" priority="745">
      <formula>AI169="T"</formula>
    </cfRule>
  </conditionalFormatting>
  <conditionalFormatting sqref="AI172">
    <cfRule type="expression" dxfId="701" priority="740">
      <formula>AI171="X"</formula>
    </cfRule>
    <cfRule type="expression" dxfId="700" priority="741">
      <formula>AI171="A"</formula>
    </cfRule>
    <cfRule type="expression" dxfId="699" priority="742">
      <formula>AI171="T"</formula>
    </cfRule>
  </conditionalFormatting>
  <conditionalFormatting sqref="AI174">
    <cfRule type="expression" dxfId="698" priority="737">
      <formula>AI173="X"</formula>
    </cfRule>
    <cfRule type="expression" dxfId="697" priority="738">
      <formula>AI173="A"</formula>
    </cfRule>
    <cfRule type="expression" dxfId="696" priority="739">
      <formula>AI173="T"</formula>
    </cfRule>
  </conditionalFormatting>
  <conditionalFormatting sqref="AI176">
    <cfRule type="expression" dxfId="695" priority="734">
      <formula>AI175="X"</formula>
    </cfRule>
    <cfRule type="expression" dxfId="694" priority="735">
      <formula>AI175="A"</formula>
    </cfRule>
    <cfRule type="expression" dxfId="693" priority="736">
      <formula>AI175="T"</formula>
    </cfRule>
  </conditionalFormatting>
  <conditionalFormatting sqref="AI178">
    <cfRule type="expression" dxfId="692" priority="731">
      <formula>AI177="X"</formula>
    </cfRule>
    <cfRule type="expression" dxfId="691" priority="732">
      <formula>AI177="A"</formula>
    </cfRule>
    <cfRule type="expression" dxfId="690" priority="733">
      <formula>AI177="T"</formula>
    </cfRule>
  </conditionalFormatting>
  <conditionalFormatting sqref="AI180">
    <cfRule type="expression" dxfId="689" priority="728">
      <formula>AI179="X"</formula>
    </cfRule>
    <cfRule type="expression" dxfId="688" priority="729">
      <formula>AI179="A"</formula>
    </cfRule>
    <cfRule type="expression" dxfId="687" priority="730">
      <formula>AI179="T"</formula>
    </cfRule>
  </conditionalFormatting>
  <conditionalFormatting sqref="AI184">
    <cfRule type="expression" dxfId="686" priority="725">
      <formula>AI183="X"</formula>
    </cfRule>
    <cfRule type="expression" dxfId="685" priority="726">
      <formula>AI183="A"</formula>
    </cfRule>
    <cfRule type="expression" dxfId="684" priority="727">
      <formula>AI183="T"</formula>
    </cfRule>
  </conditionalFormatting>
  <conditionalFormatting sqref="AI186">
    <cfRule type="expression" dxfId="683" priority="722">
      <formula>AI185="X"</formula>
    </cfRule>
    <cfRule type="expression" dxfId="682" priority="723">
      <formula>AI185="A"</formula>
    </cfRule>
    <cfRule type="expression" dxfId="681" priority="724">
      <formula>AI185="T"</formula>
    </cfRule>
  </conditionalFormatting>
  <conditionalFormatting sqref="AI190">
    <cfRule type="expression" dxfId="680" priority="719">
      <formula>AI189="X"</formula>
    </cfRule>
    <cfRule type="expression" dxfId="679" priority="720">
      <formula>AI189="A"</formula>
    </cfRule>
    <cfRule type="expression" dxfId="678" priority="721">
      <formula>AI189="T"</formula>
    </cfRule>
  </conditionalFormatting>
  <conditionalFormatting sqref="AI192">
    <cfRule type="expression" dxfId="677" priority="716">
      <formula>AI191="X"</formula>
    </cfRule>
    <cfRule type="expression" dxfId="676" priority="717">
      <formula>AI191="A"</formula>
    </cfRule>
    <cfRule type="expression" dxfId="675" priority="718">
      <formula>AI191="T"</formula>
    </cfRule>
  </conditionalFormatting>
  <conditionalFormatting sqref="AI208">
    <cfRule type="expression" dxfId="674" priority="713">
      <formula>AI207="X"</formula>
    </cfRule>
    <cfRule type="expression" dxfId="673" priority="714">
      <formula>AI207="A"</formula>
    </cfRule>
    <cfRule type="expression" dxfId="672" priority="715">
      <formula>AI207="T"</formula>
    </cfRule>
  </conditionalFormatting>
  <conditionalFormatting sqref="AI211">
    <cfRule type="expression" dxfId="671" priority="710">
      <formula>AI211="X"</formula>
    </cfRule>
    <cfRule type="expression" dxfId="670" priority="711">
      <formula>AI211="A"</formula>
    </cfRule>
    <cfRule type="expression" dxfId="669" priority="712">
      <formula>AI211="T"</formula>
    </cfRule>
  </conditionalFormatting>
  <conditionalFormatting sqref="AI212">
    <cfRule type="expression" dxfId="668" priority="707">
      <formula>AI211="X"</formula>
    </cfRule>
    <cfRule type="expression" dxfId="667" priority="708">
      <formula>AI211="A"</formula>
    </cfRule>
    <cfRule type="expression" dxfId="666" priority="709">
      <formula>AI211="T"</formula>
    </cfRule>
  </conditionalFormatting>
  <conditionalFormatting sqref="AI213">
    <cfRule type="expression" dxfId="665" priority="704">
      <formula>AI213="X"</formula>
    </cfRule>
    <cfRule type="expression" dxfId="664" priority="705">
      <formula>AI213="A"</formula>
    </cfRule>
    <cfRule type="expression" dxfId="663" priority="706">
      <formula>AI213="T"</formula>
    </cfRule>
  </conditionalFormatting>
  <conditionalFormatting sqref="AI214">
    <cfRule type="expression" dxfId="662" priority="701">
      <formula>AI213="X"</formula>
    </cfRule>
    <cfRule type="expression" dxfId="661" priority="702">
      <formula>AI213="A"</formula>
    </cfRule>
    <cfRule type="expression" dxfId="660" priority="703">
      <formula>AI213="T"</formula>
    </cfRule>
  </conditionalFormatting>
  <conditionalFormatting sqref="AI215">
    <cfRule type="expression" dxfId="659" priority="698">
      <formula>AI215="X"</formula>
    </cfRule>
    <cfRule type="expression" dxfId="658" priority="699">
      <formula>AI215="A"</formula>
    </cfRule>
    <cfRule type="expression" dxfId="657" priority="700">
      <formula>AI215="T"</formula>
    </cfRule>
  </conditionalFormatting>
  <conditionalFormatting sqref="AI216">
    <cfRule type="expression" dxfId="656" priority="695">
      <formula>AI215="X"</formula>
    </cfRule>
    <cfRule type="expression" dxfId="655" priority="696">
      <formula>AI215="A"</formula>
    </cfRule>
    <cfRule type="expression" dxfId="654" priority="697">
      <formula>AI215="T"</formula>
    </cfRule>
  </conditionalFormatting>
  <conditionalFormatting sqref="AI217">
    <cfRule type="expression" dxfId="653" priority="692">
      <formula>AI217="X"</formula>
    </cfRule>
    <cfRule type="expression" dxfId="652" priority="693">
      <formula>AI217="A"</formula>
    </cfRule>
    <cfRule type="expression" dxfId="651" priority="694">
      <formula>AI217="T"</formula>
    </cfRule>
  </conditionalFormatting>
  <conditionalFormatting sqref="AI218">
    <cfRule type="expression" dxfId="650" priority="689">
      <formula>AI217="X"</formula>
    </cfRule>
    <cfRule type="expression" dxfId="649" priority="690">
      <formula>AI217="A"</formula>
    </cfRule>
    <cfRule type="expression" dxfId="648" priority="691">
      <formula>AI217="T"</formula>
    </cfRule>
  </conditionalFormatting>
  <conditionalFormatting sqref="AI219">
    <cfRule type="expression" dxfId="647" priority="686">
      <formula>AI219="X"</formula>
    </cfRule>
    <cfRule type="expression" dxfId="646" priority="687">
      <formula>AI219="A"</formula>
    </cfRule>
    <cfRule type="expression" dxfId="645" priority="688">
      <formula>AI219="T"</formula>
    </cfRule>
  </conditionalFormatting>
  <conditionalFormatting sqref="AI220">
    <cfRule type="expression" dxfId="644" priority="683">
      <formula>AI219="X"</formula>
    </cfRule>
    <cfRule type="expression" dxfId="643" priority="684">
      <formula>AI219="A"</formula>
    </cfRule>
    <cfRule type="expression" dxfId="642" priority="685">
      <formula>AI219="T"</formula>
    </cfRule>
  </conditionalFormatting>
  <conditionalFormatting sqref="AI221">
    <cfRule type="expression" dxfId="641" priority="680">
      <formula>AI221="X"</formula>
    </cfRule>
    <cfRule type="expression" dxfId="640" priority="681">
      <formula>AI221="A"</formula>
    </cfRule>
    <cfRule type="expression" dxfId="639" priority="682">
      <formula>AI221="T"</formula>
    </cfRule>
  </conditionalFormatting>
  <conditionalFormatting sqref="AI222">
    <cfRule type="expression" dxfId="638" priority="677">
      <formula>AI221="X"</formula>
    </cfRule>
    <cfRule type="expression" dxfId="637" priority="678">
      <formula>AI221="A"</formula>
    </cfRule>
    <cfRule type="expression" dxfId="636" priority="679">
      <formula>AI221="T"</formula>
    </cfRule>
  </conditionalFormatting>
  <conditionalFormatting sqref="AI223">
    <cfRule type="expression" dxfId="635" priority="674">
      <formula>AI223="X"</formula>
    </cfRule>
    <cfRule type="expression" dxfId="634" priority="675">
      <formula>AI223="A"</formula>
    </cfRule>
    <cfRule type="expression" dxfId="633" priority="676">
      <formula>AI223="T"</formula>
    </cfRule>
  </conditionalFormatting>
  <conditionalFormatting sqref="AI224">
    <cfRule type="expression" dxfId="632" priority="671">
      <formula>AI223="X"</formula>
    </cfRule>
    <cfRule type="expression" dxfId="631" priority="672">
      <formula>AI223="A"</formula>
    </cfRule>
    <cfRule type="expression" dxfId="630" priority="673">
      <formula>AI223="T"</formula>
    </cfRule>
  </conditionalFormatting>
  <conditionalFormatting sqref="AI4">
    <cfRule type="expression" dxfId="629" priority="668">
      <formula>AI4="X"</formula>
    </cfRule>
    <cfRule type="expression" dxfId="628" priority="669">
      <formula>AI4="A"</formula>
    </cfRule>
    <cfRule type="expression" dxfId="627" priority="670">
      <formula>AI4="T"</formula>
    </cfRule>
  </conditionalFormatting>
  <conditionalFormatting sqref="AI5">
    <cfRule type="expression" dxfId="626" priority="665">
      <formula>AI4="X"</formula>
    </cfRule>
    <cfRule type="expression" dxfId="625" priority="666">
      <formula>AI4="A"</formula>
    </cfRule>
    <cfRule type="expression" dxfId="624" priority="667">
      <formula>AI4="T"</formula>
    </cfRule>
  </conditionalFormatting>
  <conditionalFormatting sqref="AI6">
    <cfRule type="expression" dxfId="623" priority="662">
      <formula>AI6="X"</formula>
    </cfRule>
    <cfRule type="expression" dxfId="622" priority="663">
      <formula>AI6="A"</formula>
    </cfRule>
    <cfRule type="expression" dxfId="621" priority="664">
      <formula>AI6="T"</formula>
    </cfRule>
  </conditionalFormatting>
  <conditionalFormatting sqref="AI7">
    <cfRule type="expression" dxfId="620" priority="659">
      <formula>AI6="X"</formula>
    </cfRule>
    <cfRule type="expression" dxfId="619" priority="660">
      <formula>AI6="A"</formula>
    </cfRule>
    <cfRule type="expression" dxfId="618" priority="661">
      <formula>AI6="T"</formula>
    </cfRule>
  </conditionalFormatting>
  <conditionalFormatting sqref="AI8">
    <cfRule type="expression" dxfId="617" priority="656">
      <formula>AI8="X"</formula>
    </cfRule>
    <cfRule type="expression" dxfId="616" priority="657">
      <formula>AI8="A"</formula>
    </cfRule>
    <cfRule type="expression" dxfId="615" priority="658">
      <formula>AI8="T"</formula>
    </cfRule>
  </conditionalFormatting>
  <conditionalFormatting sqref="AI9">
    <cfRule type="expression" dxfId="614" priority="653">
      <formula>AI8="X"</formula>
    </cfRule>
    <cfRule type="expression" dxfId="613" priority="654">
      <formula>AI8="A"</formula>
    </cfRule>
    <cfRule type="expression" dxfId="612" priority="655">
      <formula>AI8="T"</formula>
    </cfRule>
  </conditionalFormatting>
  <conditionalFormatting sqref="AI74">
    <cfRule type="expression" dxfId="611" priority="650">
      <formula>AI74="X"</formula>
    </cfRule>
    <cfRule type="expression" dxfId="610" priority="651">
      <formula>AI74="A"</formula>
    </cfRule>
    <cfRule type="expression" dxfId="609" priority="652">
      <formula>AI74="T"</formula>
    </cfRule>
  </conditionalFormatting>
  <conditionalFormatting sqref="AI75">
    <cfRule type="expression" dxfId="608" priority="647">
      <formula>AI74="X"</formula>
    </cfRule>
    <cfRule type="expression" dxfId="607" priority="648">
      <formula>AI74="A"</formula>
    </cfRule>
    <cfRule type="expression" dxfId="606" priority="649">
      <formula>AI74="T"</formula>
    </cfRule>
  </conditionalFormatting>
  <conditionalFormatting sqref="AI76">
    <cfRule type="expression" dxfId="605" priority="644">
      <formula>AI76="X"</formula>
    </cfRule>
    <cfRule type="expression" dxfId="604" priority="645">
      <formula>AI76="A"</formula>
    </cfRule>
    <cfRule type="expression" dxfId="603" priority="646">
      <formula>AI76="T"</formula>
    </cfRule>
  </conditionalFormatting>
  <conditionalFormatting sqref="AI77">
    <cfRule type="expression" dxfId="602" priority="641">
      <formula>AI76="X"</formula>
    </cfRule>
    <cfRule type="expression" dxfId="601" priority="642">
      <formula>AI76="A"</formula>
    </cfRule>
    <cfRule type="expression" dxfId="600" priority="643">
      <formula>AI76="T"</formula>
    </cfRule>
  </conditionalFormatting>
  <conditionalFormatting sqref="AI78">
    <cfRule type="expression" dxfId="599" priority="638">
      <formula>AI78="X"</formula>
    </cfRule>
    <cfRule type="expression" dxfId="598" priority="639">
      <formula>AI78="A"</formula>
    </cfRule>
    <cfRule type="expression" dxfId="597" priority="640">
      <formula>AI78="T"</formula>
    </cfRule>
  </conditionalFormatting>
  <conditionalFormatting sqref="AI79">
    <cfRule type="expression" dxfId="596" priority="635">
      <formula>AI78="X"</formula>
    </cfRule>
    <cfRule type="expression" dxfId="595" priority="636">
      <formula>AI78="A"</formula>
    </cfRule>
    <cfRule type="expression" dxfId="594" priority="637">
      <formula>AI78="T"</formula>
    </cfRule>
  </conditionalFormatting>
  <conditionalFormatting sqref="AI134">
    <cfRule type="expression" dxfId="593" priority="632">
      <formula>AI134="X"</formula>
    </cfRule>
    <cfRule type="expression" dxfId="592" priority="633">
      <formula>AI134="A"</formula>
    </cfRule>
    <cfRule type="expression" dxfId="591" priority="634">
      <formula>AI134="T"</formula>
    </cfRule>
  </conditionalFormatting>
  <conditionalFormatting sqref="AI135">
    <cfRule type="expression" dxfId="590" priority="629">
      <formula>AI134="X"</formula>
    </cfRule>
    <cfRule type="expression" dxfId="589" priority="630">
      <formula>AI134="A"</formula>
    </cfRule>
    <cfRule type="expression" dxfId="588" priority="631">
      <formula>AI134="T"</formula>
    </cfRule>
  </conditionalFormatting>
  <conditionalFormatting sqref="AI136">
    <cfRule type="expression" dxfId="587" priority="626">
      <formula>AI136="X"</formula>
    </cfRule>
    <cfRule type="expression" dxfId="586" priority="627">
      <formula>AI136="A"</formula>
    </cfRule>
    <cfRule type="expression" dxfId="585" priority="628">
      <formula>AI136="T"</formula>
    </cfRule>
  </conditionalFormatting>
  <conditionalFormatting sqref="AI137">
    <cfRule type="expression" dxfId="584" priority="623">
      <formula>AI136="X"</formula>
    </cfRule>
    <cfRule type="expression" dxfId="583" priority="624">
      <formula>AI136="A"</formula>
    </cfRule>
    <cfRule type="expression" dxfId="582" priority="625">
      <formula>AI136="T"</formula>
    </cfRule>
  </conditionalFormatting>
  <conditionalFormatting sqref="AI138">
    <cfRule type="expression" dxfId="581" priority="620">
      <formula>AI138="X"</formula>
    </cfRule>
    <cfRule type="expression" dxfId="580" priority="621">
      <formula>AI138="A"</formula>
    </cfRule>
    <cfRule type="expression" dxfId="579" priority="622">
      <formula>AI138="T"</formula>
    </cfRule>
  </conditionalFormatting>
  <conditionalFormatting sqref="AI139">
    <cfRule type="expression" dxfId="578" priority="617">
      <formula>AI138="X"</formula>
    </cfRule>
    <cfRule type="expression" dxfId="577" priority="618">
      <formula>AI138="A"</formula>
    </cfRule>
    <cfRule type="expression" dxfId="576" priority="619">
      <formula>AI138="T"</formula>
    </cfRule>
  </conditionalFormatting>
  <conditionalFormatting sqref="AI10">
    <cfRule type="expression" dxfId="575" priority="614" stopIfTrue="1">
      <formula>AI4=""</formula>
    </cfRule>
  </conditionalFormatting>
  <conditionalFormatting sqref="AI10">
    <cfRule type="expression" dxfId="574" priority="615" stopIfTrue="1">
      <formula>AI10=1</formula>
    </cfRule>
    <cfRule type="colorScale" priority="616">
      <colorScale>
        <cfvo type="num" val="0"/>
        <cfvo type="num" val="0.5"/>
        <cfvo type="num" val="1"/>
        <color rgb="FFF8696B"/>
        <color theme="4" tint="0.79998168889431442"/>
        <color rgb="FF5A8AC6"/>
      </colorScale>
    </cfRule>
  </conditionalFormatting>
  <conditionalFormatting sqref="AI15">
    <cfRule type="expression" dxfId="573" priority="611" stopIfTrue="1">
      <formula>AI11=""</formula>
    </cfRule>
  </conditionalFormatting>
  <conditionalFormatting sqref="AI15">
    <cfRule type="expression" dxfId="572" priority="612" stopIfTrue="1">
      <formula>AI15=1</formula>
    </cfRule>
    <cfRule type="colorScale" priority="613">
      <colorScale>
        <cfvo type="num" val="0"/>
        <cfvo type="num" val="0.5"/>
        <cfvo type="num" val="1"/>
        <color rgb="FFF8696B"/>
        <color theme="4" tint="0.79998168889431442"/>
        <color rgb="FF5A8AC6"/>
      </colorScale>
    </cfRule>
  </conditionalFormatting>
  <conditionalFormatting sqref="AI38">
    <cfRule type="expression" dxfId="571" priority="608" stopIfTrue="1">
      <formula>AI16=""</formula>
    </cfRule>
  </conditionalFormatting>
  <conditionalFormatting sqref="AI38">
    <cfRule type="expression" dxfId="570" priority="609" stopIfTrue="1">
      <formula>AI38=1</formula>
    </cfRule>
    <cfRule type="colorScale" priority="610">
      <colorScale>
        <cfvo type="num" val="0"/>
        <cfvo type="num" val="0.5"/>
        <cfvo type="num" val="1"/>
        <color rgb="FFF8696B"/>
        <color theme="4" tint="0.79998168889431442"/>
        <color rgb="FF5A8AC6"/>
      </colorScale>
    </cfRule>
  </conditionalFormatting>
  <conditionalFormatting sqref="AI47">
    <cfRule type="expression" dxfId="569" priority="605" stopIfTrue="1">
      <formula>AI39=""</formula>
    </cfRule>
  </conditionalFormatting>
  <conditionalFormatting sqref="AI47">
    <cfRule type="expression" dxfId="568" priority="606" stopIfTrue="1">
      <formula>AI47=1</formula>
    </cfRule>
    <cfRule type="colorScale" priority="607">
      <colorScale>
        <cfvo type="num" val="0"/>
        <cfvo type="num" val="0.5"/>
        <cfvo type="num" val="1"/>
        <color rgb="FFF8696B"/>
        <color theme="4" tint="0.79998168889431442"/>
        <color rgb="FF5A8AC6"/>
      </colorScale>
    </cfRule>
  </conditionalFormatting>
  <conditionalFormatting sqref="AI69">
    <cfRule type="expression" dxfId="567" priority="600" stopIfTrue="1">
      <formula>AI69=1</formula>
    </cfRule>
    <cfRule type="colorScale" priority="601">
      <colorScale>
        <cfvo type="num" val="0"/>
        <cfvo type="num" val="0.5"/>
        <cfvo type="num" val="1"/>
        <color rgb="FFF8696B"/>
        <color theme="4" tint="0.79998168889431442"/>
        <color rgb="FF5A8AC6"/>
      </colorScale>
    </cfRule>
  </conditionalFormatting>
  <conditionalFormatting sqref="AI69">
    <cfRule type="expression" dxfId="566" priority="599" stopIfTrue="1">
      <formula>AI63=""</formula>
    </cfRule>
  </conditionalFormatting>
  <conditionalFormatting sqref="AI80">
    <cfRule type="expression" dxfId="565" priority="596" stopIfTrue="1">
      <formula>AI74=""</formula>
    </cfRule>
  </conditionalFormatting>
  <conditionalFormatting sqref="AI80">
    <cfRule type="expression" dxfId="564" priority="597" stopIfTrue="1">
      <formula>AI80=1</formula>
    </cfRule>
    <cfRule type="colorScale" priority="598">
      <colorScale>
        <cfvo type="num" val="0"/>
        <cfvo type="num" val="0.5"/>
        <cfvo type="num" val="1"/>
        <color rgb="FFF8696B"/>
        <color theme="4" tint="0.79998168889431442"/>
        <color rgb="FF5A8AC6"/>
      </colorScale>
    </cfRule>
  </conditionalFormatting>
  <conditionalFormatting sqref="AI87">
    <cfRule type="expression" dxfId="563" priority="593" stopIfTrue="1">
      <formula>AI81=""</formula>
    </cfRule>
  </conditionalFormatting>
  <conditionalFormatting sqref="AI87">
    <cfRule type="expression" dxfId="562" priority="594" stopIfTrue="1">
      <formula>AI87=1</formula>
    </cfRule>
    <cfRule type="colorScale" priority="595">
      <colorScale>
        <cfvo type="num" val="0"/>
        <cfvo type="num" val="0.5"/>
        <cfvo type="num" val="1"/>
        <color rgb="FFF8696B"/>
        <color theme="4" tint="0.79998168889431442"/>
        <color rgb="FF5A8AC6"/>
      </colorScale>
    </cfRule>
  </conditionalFormatting>
  <conditionalFormatting sqref="AI104">
    <cfRule type="expression" dxfId="561" priority="590" stopIfTrue="1">
      <formula>AI88=""</formula>
    </cfRule>
  </conditionalFormatting>
  <conditionalFormatting sqref="AI104">
    <cfRule type="expression" dxfId="560" priority="591" stopIfTrue="1">
      <formula>AI104=1</formula>
    </cfRule>
    <cfRule type="colorScale" priority="592">
      <colorScale>
        <cfvo type="num" val="0"/>
        <cfvo type="num" val="0.5"/>
        <cfvo type="num" val="1"/>
        <color rgb="FFF8696B"/>
        <color theme="4" tint="0.79998168889431442"/>
        <color rgb="FF5A8AC6"/>
      </colorScale>
    </cfRule>
  </conditionalFormatting>
  <conditionalFormatting sqref="AI115">
    <cfRule type="expression" dxfId="559" priority="587" stopIfTrue="1">
      <formula>AI105=""</formula>
    </cfRule>
  </conditionalFormatting>
  <conditionalFormatting sqref="AI115">
    <cfRule type="expression" dxfId="558" priority="588" stopIfTrue="1">
      <formula>AI115=1</formula>
    </cfRule>
    <cfRule type="colorScale" priority="589">
      <colorScale>
        <cfvo type="num" val="0"/>
        <cfvo type="num" val="0.5"/>
        <cfvo type="num" val="1"/>
        <color rgb="FFF8696B"/>
        <color theme="4" tint="0.79998168889431442"/>
        <color rgb="FF5A8AC6"/>
      </colorScale>
    </cfRule>
  </conditionalFormatting>
  <conditionalFormatting sqref="AI124">
    <cfRule type="expression" dxfId="557" priority="584" stopIfTrue="1">
      <formula>AI116=""</formula>
    </cfRule>
  </conditionalFormatting>
  <conditionalFormatting sqref="AI124">
    <cfRule type="expression" dxfId="556" priority="585" stopIfTrue="1">
      <formula>AI124=1</formula>
    </cfRule>
    <cfRule type="colorScale" priority="586">
      <colorScale>
        <cfvo type="num" val="0"/>
        <cfvo type="num" val="0.5"/>
        <cfvo type="num" val="1"/>
        <color rgb="FFF8696B"/>
        <color theme="4" tint="0.79998168889431442"/>
        <color rgb="FF5A8AC6"/>
      </colorScale>
    </cfRule>
  </conditionalFormatting>
  <conditionalFormatting sqref="AI129">
    <cfRule type="expression" dxfId="555" priority="581" stopIfTrue="1">
      <formula>AI125=""</formula>
    </cfRule>
  </conditionalFormatting>
  <conditionalFormatting sqref="AI129">
    <cfRule type="expression" dxfId="554" priority="582" stopIfTrue="1">
      <formula>AI129=1</formula>
    </cfRule>
    <cfRule type="colorScale" priority="583">
      <colorScale>
        <cfvo type="num" val="0"/>
        <cfvo type="num" val="0.5"/>
        <cfvo type="num" val="1"/>
        <color rgb="FFF8696B"/>
        <color theme="4" tint="0.79998168889431442"/>
        <color rgb="FF5A8AC6"/>
      </colorScale>
    </cfRule>
  </conditionalFormatting>
  <conditionalFormatting sqref="AI140">
    <cfRule type="expression" dxfId="553" priority="578" stopIfTrue="1">
      <formula>AI134=""</formula>
    </cfRule>
  </conditionalFormatting>
  <conditionalFormatting sqref="AI140">
    <cfRule type="expression" dxfId="552" priority="579" stopIfTrue="1">
      <formula>AI140=1</formula>
    </cfRule>
    <cfRule type="colorScale" priority="580">
      <colorScale>
        <cfvo type="num" val="0"/>
        <cfvo type="num" val="0.5"/>
        <cfvo type="num" val="1"/>
        <color rgb="FFF8696B"/>
        <color theme="4" tint="0.79998168889431442"/>
        <color rgb="FF5A8AC6"/>
      </colorScale>
    </cfRule>
  </conditionalFormatting>
  <conditionalFormatting sqref="AI145">
    <cfRule type="expression" dxfId="551" priority="575" stopIfTrue="1">
      <formula>AI141=""</formula>
    </cfRule>
  </conditionalFormatting>
  <conditionalFormatting sqref="AI145">
    <cfRule type="expression" dxfId="550" priority="576" stopIfTrue="1">
      <formula>AI145=1</formula>
    </cfRule>
    <cfRule type="colorScale" priority="577">
      <colorScale>
        <cfvo type="num" val="0"/>
        <cfvo type="num" val="0.5"/>
        <cfvo type="num" val="1"/>
        <color rgb="FFF8696B"/>
        <color theme="4" tint="0.79998168889431442"/>
        <color rgb="FF5A8AC6"/>
      </colorScale>
    </cfRule>
  </conditionalFormatting>
  <conditionalFormatting sqref="AI153">
    <cfRule type="expression" dxfId="549" priority="572" stopIfTrue="1">
      <formula>AI149=""</formula>
    </cfRule>
  </conditionalFormatting>
  <conditionalFormatting sqref="AI153">
    <cfRule type="expression" dxfId="548" priority="573" stopIfTrue="1">
      <formula>AI153=1</formula>
    </cfRule>
    <cfRule type="colorScale" priority="574">
      <colorScale>
        <cfvo type="num" val="0"/>
        <cfvo type="num" val="0.5"/>
        <cfvo type="num" val="1"/>
        <color rgb="FFF8696B"/>
        <color theme="4" tint="0.79998168889431442"/>
        <color rgb="FF5A8AC6"/>
      </colorScale>
    </cfRule>
  </conditionalFormatting>
  <conditionalFormatting sqref="AI165">
    <cfRule type="expression" dxfId="547" priority="569" stopIfTrue="1">
      <formula>AI155=""</formula>
    </cfRule>
  </conditionalFormatting>
  <conditionalFormatting sqref="AI165">
    <cfRule type="expression" dxfId="546" priority="570" stopIfTrue="1">
      <formula>AI165=1</formula>
    </cfRule>
    <cfRule type="colorScale" priority="571">
      <colorScale>
        <cfvo type="num" val="0"/>
        <cfvo type="num" val="0.5"/>
        <cfvo type="num" val="1"/>
        <color rgb="FFF8696B"/>
        <color theme="4" tint="0.79998168889431442"/>
        <color rgb="FF5A8AC6"/>
      </colorScale>
    </cfRule>
  </conditionalFormatting>
  <conditionalFormatting sqref="AI187">
    <cfRule type="expression" dxfId="545" priority="566" stopIfTrue="1">
      <formula>AI183=""</formula>
    </cfRule>
  </conditionalFormatting>
  <conditionalFormatting sqref="AI187">
    <cfRule type="expression" dxfId="544" priority="567" stopIfTrue="1">
      <formula>AI187=1</formula>
    </cfRule>
    <cfRule type="colorScale" priority="568">
      <colorScale>
        <cfvo type="num" val="0"/>
        <cfvo type="num" val="0.5"/>
        <cfvo type="num" val="1"/>
        <color rgb="FFF8696B"/>
        <color theme="4" tint="0.79998168889431442"/>
        <color rgb="FF5A8AC6"/>
      </colorScale>
    </cfRule>
  </conditionalFormatting>
  <conditionalFormatting sqref="AI193">
    <cfRule type="expression" dxfId="543" priority="563" stopIfTrue="1">
      <formula>AI189=""</formula>
    </cfRule>
  </conditionalFormatting>
  <conditionalFormatting sqref="AI193">
    <cfRule type="expression" dxfId="542" priority="564" stopIfTrue="1">
      <formula>AI193=1</formula>
    </cfRule>
    <cfRule type="colorScale" priority="565">
      <colorScale>
        <cfvo type="num" val="0"/>
        <cfvo type="num" val="0.5"/>
        <cfvo type="num" val="1"/>
        <color rgb="FFF8696B"/>
        <color theme="4" tint="0.79998168889431442"/>
        <color rgb="FF5A8AC6"/>
      </colorScale>
    </cfRule>
  </conditionalFormatting>
  <conditionalFormatting sqref="AI181">
    <cfRule type="expression" dxfId="541" priority="560" stopIfTrue="1">
      <formula>AI167=""</formula>
    </cfRule>
  </conditionalFormatting>
  <conditionalFormatting sqref="AI181">
    <cfRule type="expression" dxfId="540" priority="561" stopIfTrue="1">
      <formula>AI181=1</formula>
    </cfRule>
    <cfRule type="colorScale" priority="562">
      <colorScale>
        <cfvo type="num" val="0"/>
        <cfvo type="num" val="0.5"/>
        <cfvo type="num" val="1"/>
        <color rgb="FFF8696B"/>
        <color theme="4" tint="0.79998168889431442"/>
        <color rgb="FF5A8AC6"/>
      </colorScale>
    </cfRule>
  </conditionalFormatting>
  <conditionalFormatting sqref="AI209">
    <cfRule type="expression" dxfId="539" priority="557" stopIfTrue="1">
      <formula>AI195=""</formula>
    </cfRule>
  </conditionalFormatting>
  <conditionalFormatting sqref="AI209">
    <cfRule type="expression" dxfId="538" priority="558" stopIfTrue="1">
      <formula>AI209=1</formula>
    </cfRule>
    <cfRule type="colorScale" priority="559">
      <colorScale>
        <cfvo type="num" val="0"/>
        <cfvo type="num" val="0.5"/>
        <cfvo type="num" val="1"/>
        <color rgb="FFF8696B"/>
        <color theme="4" tint="0.79998168889431442"/>
        <color rgb="FF5A8AC6"/>
      </colorScale>
    </cfRule>
  </conditionalFormatting>
  <conditionalFormatting sqref="AI225">
    <cfRule type="expression" dxfId="537" priority="554" stopIfTrue="1">
      <formula>AI211=""</formula>
    </cfRule>
  </conditionalFormatting>
  <conditionalFormatting sqref="AI225">
    <cfRule type="expression" dxfId="536" priority="555" stopIfTrue="1">
      <formula>AI225=1</formula>
    </cfRule>
    <cfRule type="colorScale" priority="556">
      <colorScale>
        <cfvo type="num" val="0"/>
        <cfvo type="num" val="0.5"/>
        <cfvo type="num" val="1"/>
        <color rgb="FFF8696B"/>
        <color theme="4" tint="0.79998168889431442"/>
        <color rgb="FF5A8AC6"/>
      </colorScale>
    </cfRule>
  </conditionalFormatting>
  <conditionalFormatting sqref="AI71">
    <cfRule type="expression" dxfId="535" priority="546" stopIfTrue="1">
      <formula>AI71=1</formula>
    </cfRule>
    <cfRule type="colorScale" priority="547">
      <colorScale>
        <cfvo type="num" val="0"/>
        <cfvo type="num" val="0.5"/>
        <cfvo type="num" val="1"/>
        <color rgb="FFF8696B"/>
        <color theme="4" tint="0.79998168889431442"/>
        <color rgb="FF5A8AC6"/>
      </colorScale>
    </cfRule>
  </conditionalFormatting>
  <conditionalFormatting sqref="AI147">
    <cfRule type="expression" dxfId="534" priority="551" stopIfTrue="1">
      <formula>AI134=""</formula>
    </cfRule>
  </conditionalFormatting>
  <conditionalFormatting sqref="AI147">
    <cfRule type="expression" dxfId="533" priority="552" stopIfTrue="1">
      <formula>AI147=1</formula>
    </cfRule>
    <cfRule type="colorScale" priority="553">
      <colorScale>
        <cfvo type="num" val="0"/>
        <cfvo type="num" val="0.5"/>
        <cfvo type="num" val="1"/>
        <color rgb="FFF8696B"/>
        <color theme="4" tint="0.79998168889431442"/>
        <color rgb="FF5A8AC6"/>
      </colorScale>
    </cfRule>
  </conditionalFormatting>
  <conditionalFormatting sqref="AI131">
    <cfRule type="expression" dxfId="532" priority="548" stopIfTrue="1">
      <formula>AI74=""</formula>
    </cfRule>
  </conditionalFormatting>
  <conditionalFormatting sqref="AI131">
    <cfRule type="expression" dxfId="531" priority="549" stopIfTrue="1">
      <formula>AI131=1</formula>
    </cfRule>
    <cfRule type="colorScale" priority="550">
      <colorScale>
        <cfvo type="num" val="0"/>
        <cfvo type="num" val="0.5"/>
        <cfvo type="num" val="1"/>
        <color rgb="FFF8696B"/>
        <color theme="4" tint="0.79998168889431442"/>
        <color rgb="FF5A8AC6"/>
      </colorScale>
    </cfRule>
  </conditionalFormatting>
  <conditionalFormatting sqref="AI71">
    <cfRule type="expression" dxfId="530" priority="545" stopIfTrue="1">
      <formula>AI65=""</formula>
    </cfRule>
  </conditionalFormatting>
  <conditionalFormatting sqref="AI195">
    <cfRule type="expression" dxfId="529" priority="542">
      <formula>AI195="X"</formula>
    </cfRule>
    <cfRule type="expression" dxfId="528" priority="543">
      <formula>AI195="A"</formula>
    </cfRule>
    <cfRule type="expression" dxfId="527" priority="544">
      <formula>AI195="T"</formula>
    </cfRule>
  </conditionalFormatting>
  <conditionalFormatting sqref="AI203">
    <cfRule type="expression" dxfId="526" priority="539">
      <formula>AI203="X"</formula>
    </cfRule>
    <cfRule type="expression" dxfId="525" priority="540">
      <formula>AI203="A"</formula>
    </cfRule>
    <cfRule type="expression" dxfId="524" priority="541">
      <formula>AI203="T"</formula>
    </cfRule>
  </conditionalFormatting>
  <conditionalFormatting sqref="AI205">
    <cfRule type="expression" dxfId="523" priority="536">
      <formula>AI205="X"</formula>
    </cfRule>
    <cfRule type="expression" dxfId="522" priority="537">
      <formula>AI205="A"</formula>
    </cfRule>
    <cfRule type="expression" dxfId="521" priority="538">
      <formula>AI205="T"</formula>
    </cfRule>
  </conditionalFormatting>
  <conditionalFormatting sqref="AI207">
    <cfRule type="expression" dxfId="520" priority="533">
      <formula>AI207="X"</formula>
    </cfRule>
    <cfRule type="expression" dxfId="519" priority="534">
      <formula>AI207="A"</formula>
    </cfRule>
    <cfRule type="expression" dxfId="518" priority="535">
      <formula>AI207="T"</formula>
    </cfRule>
  </conditionalFormatting>
  <conditionalFormatting sqref="AI204">
    <cfRule type="expression" dxfId="517" priority="530">
      <formula>AI203="X"</formula>
    </cfRule>
    <cfRule type="expression" dxfId="516" priority="531">
      <formula>AI203="A"</formula>
    </cfRule>
    <cfRule type="expression" dxfId="515" priority="532">
      <formula>AI203="T"</formula>
    </cfRule>
  </conditionalFormatting>
  <conditionalFormatting sqref="AI206">
    <cfRule type="expression" dxfId="514" priority="527">
      <formula>AI205="X"</formula>
    </cfRule>
    <cfRule type="expression" dxfId="513" priority="528">
      <formula>AI205="A"</formula>
    </cfRule>
    <cfRule type="expression" dxfId="512" priority="529">
      <formula>AI205="T"</formula>
    </cfRule>
  </conditionalFormatting>
  <conditionalFormatting sqref="AI196">
    <cfRule type="expression" dxfId="511" priority="524">
      <formula>AI195="X"</formula>
    </cfRule>
    <cfRule type="expression" dxfId="510" priority="525">
      <formula>AI195="A"</formula>
    </cfRule>
    <cfRule type="expression" dxfId="509" priority="526">
      <formula>AI195="T"</formula>
    </cfRule>
  </conditionalFormatting>
  <conditionalFormatting sqref="AI197">
    <cfRule type="expression" dxfId="508" priority="521">
      <formula>AI197="X"</formula>
    </cfRule>
    <cfRule type="expression" dxfId="507" priority="522">
      <formula>AI197="A"</formula>
    </cfRule>
    <cfRule type="expression" dxfId="506" priority="523">
      <formula>AI197="T"</formula>
    </cfRule>
  </conditionalFormatting>
  <conditionalFormatting sqref="AI198">
    <cfRule type="expression" dxfId="505" priority="518">
      <formula>AI197="X"</formula>
    </cfRule>
    <cfRule type="expression" dxfId="504" priority="519">
      <formula>AI197="A"</formula>
    </cfRule>
    <cfRule type="expression" dxfId="503" priority="520">
      <formula>AI197="T"</formula>
    </cfRule>
  </conditionalFormatting>
  <conditionalFormatting sqref="AI199">
    <cfRule type="expression" dxfId="502" priority="515">
      <formula>AI199="X"</formula>
    </cfRule>
    <cfRule type="expression" dxfId="501" priority="516">
      <formula>AI199="A"</formula>
    </cfRule>
    <cfRule type="expression" dxfId="500" priority="517">
      <formula>AI199="T"</formula>
    </cfRule>
  </conditionalFormatting>
  <conditionalFormatting sqref="AI200">
    <cfRule type="expression" dxfId="499" priority="512">
      <formula>AI199="X"</formula>
    </cfRule>
    <cfRule type="expression" dxfId="498" priority="513">
      <formula>AI199="A"</formula>
    </cfRule>
    <cfRule type="expression" dxfId="497" priority="514">
      <formula>AI199="T"</formula>
    </cfRule>
  </conditionalFormatting>
  <conditionalFormatting sqref="AI201">
    <cfRule type="expression" dxfId="496" priority="509">
      <formula>AI201="X"</formula>
    </cfRule>
    <cfRule type="expression" dxfId="495" priority="510">
      <formula>AI201="A"</formula>
    </cfRule>
    <cfRule type="expression" dxfId="494" priority="511">
      <formula>AI201="T"</formula>
    </cfRule>
  </conditionalFormatting>
  <conditionalFormatting sqref="AI202">
    <cfRule type="expression" dxfId="493" priority="506">
      <formula>AI201="X"</formula>
    </cfRule>
    <cfRule type="expression" dxfId="492" priority="507">
      <formula>AI201="A"</formula>
    </cfRule>
    <cfRule type="expression" dxfId="491" priority="508">
      <formula>AI201="T"</formula>
    </cfRule>
  </conditionalFormatting>
  <conditionalFormatting sqref="AI72">
    <cfRule type="expression" dxfId="490" priority="503" stopIfTrue="1">
      <formula>AI4=""</formula>
    </cfRule>
  </conditionalFormatting>
  <conditionalFormatting sqref="AI72">
    <cfRule type="expression" dxfId="489" priority="504" stopIfTrue="1">
      <formula>AI72=1</formula>
    </cfRule>
    <cfRule type="colorScale" priority="505">
      <colorScale>
        <cfvo type="num" val="0"/>
        <cfvo type="num" val="0.5"/>
        <cfvo type="num" val="1"/>
        <color rgb="FFF8696B"/>
        <color theme="4" tint="0.79998168889431442"/>
        <color rgb="FF5A8AC6"/>
      </colorScale>
    </cfRule>
  </conditionalFormatting>
  <conditionalFormatting sqref="AI132">
    <cfRule type="expression" dxfId="488" priority="501" stopIfTrue="1">
      <formula>AI132=1</formula>
    </cfRule>
    <cfRule type="colorScale" priority="502">
      <colorScale>
        <cfvo type="num" val="0"/>
        <cfvo type="num" val="0.5"/>
        <cfvo type="num" val="1"/>
        <color rgb="FFF8696B"/>
        <color theme="4" tint="0.79998168889431442"/>
        <color rgb="FF5A8AC6"/>
      </colorScale>
    </cfRule>
  </conditionalFormatting>
  <conditionalFormatting sqref="AI132">
    <cfRule type="expression" dxfId="487" priority="500" stopIfTrue="1">
      <formula>AI74=""</formula>
    </cfRule>
  </conditionalFormatting>
  <conditionalFormatting sqref="AI237:AI238">
    <cfRule type="expression" dxfId="486" priority="496" stopIfTrue="1">
      <formula>AI237=_xlfn.UNICHAR(10003)</formula>
    </cfRule>
    <cfRule type="colorScale" priority="497">
      <colorScale>
        <cfvo type="num" val="0"/>
        <cfvo type="num" val="0.5"/>
        <cfvo type="num" val="1"/>
        <color rgb="FFF8696B"/>
        <color theme="4" tint="0.79998168889431442"/>
        <color rgb="FF5A8AC6"/>
      </colorScale>
    </cfRule>
  </conditionalFormatting>
  <conditionalFormatting sqref="AI234:AI236 AI230:AI232">
    <cfRule type="expression" dxfId="485" priority="494" stopIfTrue="1">
      <formula>AI230=_xlfn.UNICHAR(10003)</formula>
    </cfRule>
    <cfRule type="colorScale" priority="495">
      <colorScale>
        <cfvo type="num" val="0"/>
        <cfvo type="num" val="0.5"/>
        <cfvo type="num" val="1"/>
        <color rgb="FFF8696B"/>
        <color theme="4" tint="0.79998168889431442"/>
        <color rgb="FF5A8AC6"/>
      </colorScale>
    </cfRule>
  </conditionalFormatting>
  <conditionalFormatting sqref="AI239:AI241">
    <cfRule type="expression" dxfId="484" priority="492" stopIfTrue="1">
      <formula>AI239=_xlfn.UNICHAR(10003)</formula>
    </cfRule>
    <cfRule type="colorScale" priority="493">
      <colorScale>
        <cfvo type="num" val="0"/>
        <cfvo type="num" val="0.5"/>
        <cfvo type="num" val="1"/>
        <color rgb="FFF8696B"/>
        <color theme="4" tint="0.79998168889431442"/>
        <color rgb="FF5A8AC6"/>
      </colorScale>
    </cfRule>
  </conditionalFormatting>
  <conditionalFormatting sqref="AI239:AI241">
    <cfRule type="expression" dxfId="483" priority="490" stopIfTrue="1">
      <formula>AI239=1</formula>
    </cfRule>
    <cfRule type="colorScale" priority="491">
      <colorScale>
        <cfvo type="num" val="0"/>
        <cfvo type="num" val="0.5"/>
        <cfvo type="num" val="1"/>
        <color rgb="FFF8696B"/>
        <color theme="4" tint="0.79998168889431442"/>
        <color rgb="FF5A8AC6"/>
      </colorScale>
    </cfRule>
  </conditionalFormatting>
  <conditionalFormatting sqref="AI233">
    <cfRule type="expression" dxfId="482" priority="488" stopIfTrue="1">
      <formula>AI233=_xlfn.UNICHAR(10003)</formula>
    </cfRule>
    <cfRule type="colorScale" priority="489">
      <colorScale>
        <cfvo type="num" val="0"/>
        <cfvo type="num" val="0.5"/>
        <cfvo type="num" val="1"/>
        <color rgb="FFF8696B"/>
        <color theme="4" tint="0.79998168889431442"/>
        <color rgb="FF5A8AC6"/>
      </colorScale>
    </cfRule>
  </conditionalFormatting>
  <conditionalFormatting sqref="AI228">
    <cfRule type="expression" dxfId="481" priority="487" stopIfTrue="1">
      <formula>AI228=UNICAHR(10003)</formula>
    </cfRule>
    <cfRule type="expression" dxfId="480" priority="498" stopIfTrue="1">
      <formula>AI228=CONCATENATE(_xlfn.UNICHAR(10003),_xlfn.UNICHAR(10003))</formula>
    </cfRule>
    <cfRule type="colorScale" priority="499">
      <colorScale>
        <cfvo type="num" val="0"/>
        <cfvo type="num" val="0.5"/>
        <cfvo type="num" val="1"/>
        <color rgb="FFF8696B"/>
        <color theme="4" tint="0.79998168889431442"/>
        <color rgb="FF5A8AC6"/>
      </colorScale>
    </cfRule>
  </conditionalFormatting>
  <conditionalFormatting sqref="AI229 AI238">
    <cfRule type="expression" dxfId="479" priority="484" stopIfTrue="1">
      <formula>AI229=_xlfn.UNICHAR(10003)</formula>
    </cfRule>
    <cfRule type="expression" dxfId="478" priority="485" stopIfTrue="1">
      <formula>AI229=CONCATENATE(_xlfn.UNICHAR(10003),_xlfn.UNICHAR(10003))</formula>
    </cfRule>
    <cfRule type="colorScale" priority="486">
      <colorScale>
        <cfvo type="num" val="0"/>
        <cfvo type="num" val="0.5"/>
        <cfvo type="num" val="1"/>
        <color rgb="FFF8696B"/>
        <color theme="4" tint="0.79998168889431442"/>
        <color rgb="FF5A8AC6"/>
      </colorScale>
    </cfRule>
  </conditionalFormatting>
  <conditionalFormatting sqref="AI160">
    <cfRule type="expression" dxfId="477" priority="481">
      <formula>AI159="X"</formula>
    </cfRule>
    <cfRule type="expression" dxfId="476" priority="482">
      <formula>AI159="A"</formula>
    </cfRule>
    <cfRule type="expression" dxfId="475" priority="483">
      <formula>AI159="T"</formula>
    </cfRule>
  </conditionalFormatting>
  <conditionalFormatting sqref="AI159">
    <cfRule type="expression" dxfId="474" priority="478">
      <formula>AI159="X"</formula>
    </cfRule>
    <cfRule type="expression" dxfId="473" priority="479">
      <formula>AI159="A"</formula>
    </cfRule>
    <cfRule type="expression" dxfId="472" priority="480">
      <formula>AI159="T"</formula>
    </cfRule>
  </conditionalFormatting>
  <conditionalFormatting sqref="AI162">
    <cfRule type="expression" dxfId="471" priority="475">
      <formula>AI161="X"</formula>
    </cfRule>
    <cfRule type="expression" dxfId="470" priority="476">
      <formula>AI161="A"</formula>
    </cfRule>
    <cfRule type="expression" dxfId="469" priority="477">
      <formula>AI161="T"</formula>
    </cfRule>
  </conditionalFormatting>
  <conditionalFormatting sqref="AI161">
    <cfRule type="expression" dxfId="468" priority="472">
      <formula>AI161="X"</formula>
    </cfRule>
    <cfRule type="expression" dxfId="467" priority="473">
      <formula>AI161="A"</formula>
    </cfRule>
    <cfRule type="expression" dxfId="466" priority="474">
      <formula>AI161="T"</formula>
    </cfRule>
  </conditionalFormatting>
  <conditionalFormatting sqref="AI164">
    <cfRule type="expression" dxfId="465" priority="469">
      <formula>AI163="X"</formula>
    </cfRule>
    <cfRule type="expression" dxfId="464" priority="470">
      <formula>AI163="A"</formula>
    </cfRule>
    <cfRule type="expression" dxfId="463" priority="471">
      <formula>AI163="T"</formula>
    </cfRule>
  </conditionalFormatting>
  <conditionalFormatting sqref="AI163">
    <cfRule type="expression" dxfId="462" priority="466">
      <formula>AI163="X"</formula>
    </cfRule>
    <cfRule type="expression" dxfId="461" priority="467">
      <formula>AI163="A"</formula>
    </cfRule>
    <cfRule type="expression" dxfId="460" priority="468">
      <formula>AI163="T"</formula>
    </cfRule>
  </conditionalFormatting>
  <conditionalFormatting sqref="AE241:AH241 AJ241:AK241">
    <cfRule type="colorScale" priority="26366">
      <colorScale>
        <cfvo type="min"/>
        <cfvo type="percentile" val="50"/>
        <cfvo type="max"/>
        <color rgb="FF63BE7B"/>
        <color rgb="FFFFEB84"/>
        <color rgb="FFF8696B"/>
      </colorScale>
    </cfRule>
  </conditionalFormatting>
  <conditionalFormatting sqref="G60 AO60 W60">
    <cfRule type="expression" dxfId="459" priority="463">
      <formula>G60="X"</formula>
    </cfRule>
    <cfRule type="expression" dxfId="458" priority="464">
      <formula>G60="A"</formula>
    </cfRule>
    <cfRule type="expression" dxfId="457" priority="465">
      <formula>G60="T"</formula>
    </cfRule>
  </conditionalFormatting>
  <conditionalFormatting sqref="AO61 W61">
    <cfRule type="expression" dxfId="456" priority="460">
      <formula>W60="X"</formula>
    </cfRule>
    <cfRule type="expression" dxfId="455" priority="461">
      <formula>W60="A"</formula>
    </cfRule>
    <cfRule type="expression" dxfId="454" priority="462">
      <formula>W60="T"</formula>
    </cfRule>
  </conditionalFormatting>
  <conditionalFormatting sqref="G61">
    <cfRule type="expression" dxfId="453" priority="457">
      <formula>G60="X"</formula>
    </cfRule>
    <cfRule type="expression" dxfId="452" priority="458">
      <formula>G60="A"</formula>
    </cfRule>
    <cfRule type="expression" dxfId="451" priority="459">
      <formula>G60="T"</formula>
    </cfRule>
  </conditionalFormatting>
  <conditionalFormatting sqref="H60">
    <cfRule type="expression" dxfId="450" priority="454">
      <formula>H60="X"</formula>
    </cfRule>
    <cfRule type="expression" dxfId="449" priority="455">
      <formula>H60="A"</formula>
    </cfRule>
    <cfRule type="expression" dxfId="448" priority="456">
      <formula>H60="T"</formula>
    </cfRule>
  </conditionalFormatting>
  <conditionalFormatting sqref="H61">
    <cfRule type="expression" dxfId="447" priority="451">
      <formula>H60="X"</formula>
    </cfRule>
    <cfRule type="expression" dxfId="446" priority="452">
      <formula>H60="A"</formula>
    </cfRule>
    <cfRule type="expression" dxfId="445" priority="453">
      <formula>H60="T"</formula>
    </cfRule>
  </conditionalFormatting>
  <conditionalFormatting sqref="I60">
    <cfRule type="expression" dxfId="444" priority="448">
      <formula>I60="X"</formula>
    </cfRule>
    <cfRule type="expression" dxfId="443" priority="449">
      <formula>I60="A"</formula>
    </cfRule>
    <cfRule type="expression" dxfId="442" priority="450">
      <formula>I60="T"</formula>
    </cfRule>
  </conditionalFormatting>
  <conditionalFormatting sqref="I61">
    <cfRule type="expression" dxfId="441" priority="445">
      <formula>I60="X"</formula>
    </cfRule>
    <cfRule type="expression" dxfId="440" priority="446">
      <formula>I60="A"</formula>
    </cfRule>
    <cfRule type="expression" dxfId="439" priority="447">
      <formula>I60="T"</formula>
    </cfRule>
  </conditionalFormatting>
  <conditionalFormatting sqref="J60">
    <cfRule type="expression" dxfId="438" priority="442">
      <formula>J60="X"</formula>
    </cfRule>
    <cfRule type="expression" dxfId="437" priority="443">
      <formula>J60="A"</formula>
    </cfRule>
    <cfRule type="expression" dxfId="436" priority="444">
      <formula>J60="T"</formula>
    </cfRule>
  </conditionalFormatting>
  <conditionalFormatting sqref="J61">
    <cfRule type="expression" dxfId="435" priority="439">
      <formula>J60="X"</formula>
    </cfRule>
    <cfRule type="expression" dxfId="434" priority="440">
      <formula>J60="A"</formula>
    </cfRule>
    <cfRule type="expression" dxfId="433" priority="441">
      <formula>J60="T"</formula>
    </cfRule>
  </conditionalFormatting>
  <conditionalFormatting sqref="K60">
    <cfRule type="expression" dxfId="432" priority="436">
      <formula>K60="X"</formula>
    </cfRule>
    <cfRule type="expression" dxfId="431" priority="437">
      <formula>K60="A"</formula>
    </cfRule>
    <cfRule type="expression" dxfId="430" priority="438">
      <formula>K60="T"</formula>
    </cfRule>
  </conditionalFormatting>
  <conditionalFormatting sqref="L60">
    <cfRule type="expression" dxfId="429" priority="430">
      <formula>L60="X"</formula>
    </cfRule>
    <cfRule type="expression" dxfId="428" priority="431">
      <formula>L60="A"</formula>
    </cfRule>
    <cfRule type="expression" dxfId="427" priority="432">
      <formula>L60="T"</formula>
    </cfRule>
  </conditionalFormatting>
  <conditionalFormatting sqref="L61">
    <cfRule type="expression" dxfId="426" priority="427">
      <formula>L60="X"</formula>
    </cfRule>
    <cfRule type="expression" dxfId="425" priority="428">
      <formula>L60="A"</formula>
    </cfRule>
    <cfRule type="expression" dxfId="424" priority="429">
      <formula>L60="T"</formula>
    </cfRule>
  </conditionalFormatting>
  <conditionalFormatting sqref="P60">
    <cfRule type="expression" dxfId="423" priority="424">
      <formula>P60="X"</formula>
    </cfRule>
    <cfRule type="expression" dxfId="422" priority="425">
      <formula>P60="A"</formula>
    </cfRule>
    <cfRule type="expression" dxfId="421" priority="426">
      <formula>P60="T"</formula>
    </cfRule>
  </conditionalFormatting>
  <conditionalFormatting sqref="P61">
    <cfRule type="expression" dxfId="420" priority="421">
      <formula>P60="X"</formula>
    </cfRule>
    <cfRule type="expression" dxfId="419" priority="422">
      <formula>P60="A"</formula>
    </cfRule>
    <cfRule type="expression" dxfId="418" priority="423">
      <formula>P60="T"</formula>
    </cfRule>
  </conditionalFormatting>
  <conditionalFormatting sqref="AF60">
    <cfRule type="expression" dxfId="417" priority="418">
      <formula>AF60="X"</formula>
    </cfRule>
    <cfRule type="expression" dxfId="416" priority="419">
      <formula>AF60="A"</formula>
    </cfRule>
    <cfRule type="expression" dxfId="415" priority="420">
      <formula>AF60="T"</formula>
    </cfRule>
  </conditionalFormatting>
  <conditionalFormatting sqref="AF61">
    <cfRule type="expression" dxfId="414" priority="415">
      <formula>AF60="X"</formula>
    </cfRule>
    <cfRule type="expression" dxfId="413" priority="416">
      <formula>AF60="A"</formula>
    </cfRule>
    <cfRule type="expression" dxfId="412" priority="417">
      <formula>AF60="T"</formula>
    </cfRule>
  </conditionalFormatting>
  <conditionalFormatting sqref="AM60:AN60">
    <cfRule type="expression" dxfId="411" priority="412">
      <formula>AM60="X"</formula>
    </cfRule>
    <cfRule type="expression" dxfId="410" priority="413">
      <formula>AM60="A"</formula>
    </cfRule>
    <cfRule type="expression" dxfId="409" priority="414">
      <formula>AM60="T"</formula>
    </cfRule>
  </conditionalFormatting>
  <conditionalFormatting sqref="AM61:AN61">
    <cfRule type="expression" dxfId="408" priority="409">
      <formula>AM60="X"</formula>
    </cfRule>
    <cfRule type="expression" dxfId="407" priority="410">
      <formula>AM60="A"</formula>
    </cfRule>
    <cfRule type="expression" dxfId="406" priority="411">
      <formula>AM60="T"</formula>
    </cfRule>
  </conditionalFormatting>
  <conditionalFormatting sqref="AP60">
    <cfRule type="expression" dxfId="405" priority="406">
      <formula>AP60="X"</formula>
    </cfRule>
    <cfRule type="expression" dxfId="404" priority="407">
      <formula>AP60="A"</formula>
    </cfRule>
    <cfRule type="expression" dxfId="403" priority="408">
      <formula>AP60="T"</formula>
    </cfRule>
  </conditionalFormatting>
  <conditionalFormatting sqref="AP61">
    <cfRule type="expression" dxfId="402" priority="403">
      <formula>AP60="X"</formula>
    </cfRule>
    <cfRule type="expression" dxfId="401" priority="404">
      <formula>AP60="A"</formula>
    </cfRule>
    <cfRule type="expression" dxfId="400" priority="405">
      <formula>AP60="T"</formula>
    </cfRule>
  </conditionalFormatting>
  <conditionalFormatting sqref="AR60">
    <cfRule type="expression" dxfId="399" priority="400">
      <formula>AR60="X"</formula>
    </cfRule>
    <cfRule type="expression" dxfId="398" priority="401">
      <formula>AR60="A"</formula>
    </cfRule>
    <cfRule type="expression" dxfId="397" priority="402">
      <formula>AR60="T"</formula>
    </cfRule>
  </conditionalFormatting>
  <conditionalFormatting sqref="AR61">
    <cfRule type="expression" dxfId="396" priority="397">
      <formula>AR60="X"</formula>
    </cfRule>
    <cfRule type="expression" dxfId="395" priority="398">
      <formula>AR60="A"</formula>
    </cfRule>
    <cfRule type="expression" dxfId="394" priority="399">
      <formula>AR60="T"</formula>
    </cfRule>
  </conditionalFormatting>
  <conditionalFormatting sqref="AS60">
    <cfRule type="expression" dxfId="393" priority="394">
      <formula>AS60="X"</formula>
    </cfRule>
    <cfRule type="expression" dxfId="392" priority="395">
      <formula>AS60="A"</formula>
    </cfRule>
    <cfRule type="expression" dxfId="391" priority="396">
      <formula>AS60="T"</formula>
    </cfRule>
  </conditionalFormatting>
  <conditionalFormatting sqref="AS61">
    <cfRule type="expression" dxfId="390" priority="391">
      <formula>AS60="X"</formula>
    </cfRule>
    <cfRule type="expression" dxfId="389" priority="392">
      <formula>AS60="A"</formula>
    </cfRule>
    <cfRule type="expression" dxfId="388" priority="393">
      <formula>AS60="T"</formula>
    </cfRule>
  </conditionalFormatting>
  <conditionalFormatting sqref="AT60">
    <cfRule type="expression" dxfId="387" priority="388">
      <formula>AT60="X"</formula>
    </cfRule>
    <cfRule type="expression" dxfId="386" priority="389">
      <formula>AT60="A"</formula>
    </cfRule>
    <cfRule type="expression" dxfId="385" priority="390">
      <formula>AT60="T"</formula>
    </cfRule>
  </conditionalFormatting>
  <conditionalFormatting sqref="AT61">
    <cfRule type="expression" dxfId="384" priority="385">
      <formula>AT60="X"</formula>
    </cfRule>
    <cfRule type="expression" dxfId="383" priority="386">
      <formula>AT60="A"</formula>
    </cfRule>
    <cfRule type="expression" dxfId="382" priority="387">
      <formula>AT60="T"</formula>
    </cfRule>
  </conditionalFormatting>
  <conditionalFormatting sqref="AU60">
    <cfRule type="expression" dxfId="381" priority="382">
      <formula>AU60="X"</formula>
    </cfRule>
    <cfRule type="expression" dxfId="380" priority="383">
      <formula>AU60="A"</formula>
    </cfRule>
    <cfRule type="expression" dxfId="379" priority="384">
      <formula>AU60="T"</formula>
    </cfRule>
  </conditionalFormatting>
  <conditionalFormatting sqref="AU61">
    <cfRule type="expression" dxfId="378" priority="379">
      <formula>AU60="X"</formula>
    </cfRule>
    <cfRule type="expression" dxfId="377" priority="380">
      <formula>AU60="A"</formula>
    </cfRule>
    <cfRule type="expression" dxfId="376" priority="381">
      <formula>AU60="T"</formula>
    </cfRule>
  </conditionalFormatting>
  <conditionalFormatting sqref="AQ60">
    <cfRule type="expression" dxfId="375" priority="376">
      <formula>AQ60="X"</formula>
    </cfRule>
    <cfRule type="expression" dxfId="374" priority="377">
      <formula>AQ60="A"</formula>
    </cfRule>
    <cfRule type="expression" dxfId="373" priority="378">
      <formula>AQ60="T"</formula>
    </cfRule>
  </conditionalFormatting>
  <conditionalFormatting sqref="AQ61">
    <cfRule type="expression" dxfId="372" priority="373">
      <formula>AQ60="X"</formula>
    </cfRule>
    <cfRule type="expression" dxfId="371" priority="374">
      <formula>AQ60="A"</formula>
    </cfRule>
    <cfRule type="expression" dxfId="370" priority="375">
      <formula>AQ60="T"</formula>
    </cfRule>
  </conditionalFormatting>
  <conditionalFormatting sqref="X60">
    <cfRule type="expression" dxfId="369" priority="370">
      <formula>X60="X"</formula>
    </cfRule>
    <cfRule type="expression" dxfId="368" priority="371">
      <formula>X60="A"</formula>
    </cfRule>
    <cfRule type="expression" dxfId="367" priority="372">
      <formula>X60="T"</formula>
    </cfRule>
  </conditionalFormatting>
  <conditionalFormatting sqref="X61">
    <cfRule type="expression" dxfId="366" priority="367">
      <formula>X60="X"</formula>
    </cfRule>
    <cfRule type="expression" dxfId="365" priority="368">
      <formula>X60="A"</formula>
    </cfRule>
    <cfRule type="expression" dxfId="364" priority="369">
      <formula>X60="T"</formula>
    </cfRule>
  </conditionalFormatting>
  <conditionalFormatting sqref="U60">
    <cfRule type="expression" dxfId="363" priority="364">
      <formula>U60="X"</formula>
    </cfRule>
    <cfRule type="expression" dxfId="362" priority="365">
      <formula>U60="A"</formula>
    </cfRule>
    <cfRule type="expression" dxfId="361" priority="366">
      <formula>U60="T"</formula>
    </cfRule>
  </conditionalFormatting>
  <conditionalFormatting sqref="U61">
    <cfRule type="expression" dxfId="360" priority="361">
      <formula>U60="X"</formula>
    </cfRule>
    <cfRule type="expression" dxfId="359" priority="362">
      <formula>U60="A"</formula>
    </cfRule>
    <cfRule type="expression" dxfId="358" priority="363">
      <formula>U60="T"</formula>
    </cfRule>
  </conditionalFormatting>
  <conditionalFormatting sqref="AG60">
    <cfRule type="expression" dxfId="357" priority="358">
      <formula>AG60="X"</formula>
    </cfRule>
    <cfRule type="expression" dxfId="356" priority="359">
      <formula>AG60="A"</formula>
    </cfRule>
    <cfRule type="expression" dxfId="355" priority="360">
      <formula>AG60="T"</formula>
    </cfRule>
  </conditionalFormatting>
  <conditionalFormatting sqref="AG61">
    <cfRule type="expression" dxfId="354" priority="355">
      <formula>AG60="X"</formula>
    </cfRule>
    <cfRule type="expression" dxfId="353" priority="356">
      <formula>AG60="A"</formula>
    </cfRule>
    <cfRule type="expression" dxfId="352" priority="357">
      <formula>AG60="T"</formula>
    </cfRule>
  </conditionalFormatting>
  <conditionalFormatting sqref="AH60">
    <cfRule type="expression" dxfId="351" priority="352">
      <formula>AH60="X"</formula>
    </cfRule>
    <cfRule type="expression" dxfId="350" priority="353">
      <formula>AH60="A"</formula>
    </cfRule>
    <cfRule type="expression" dxfId="349" priority="354">
      <formula>AH60="T"</formula>
    </cfRule>
  </conditionalFormatting>
  <conditionalFormatting sqref="AH61">
    <cfRule type="expression" dxfId="348" priority="349">
      <formula>AH60="X"</formula>
    </cfRule>
    <cfRule type="expression" dxfId="347" priority="350">
      <formula>AH60="A"</formula>
    </cfRule>
    <cfRule type="expression" dxfId="346" priority="351">
      <formula>AH60="T"</formula>
    </cfRule>
  </conditionalFormatting>
  <conditionalFormatting sqref="V60">
    <cfRule type="expression" dxfId="345" priority="346">
      <formula>V60="X"</formula>
    </cfRule>
    <cfRule type="expression" dxfId="344" priority="347">
      <formula>V60="A"</formula>
    </cfRule>
    <cfRule type="expression" dxfId="343" priority="348">
      <formula>V60="T"</formula>
    </cfRule>
  </conditionalFormatting>
  <conditionalFormatting sqref="V61">
    <cfRule type="expression" dxfId="342" priority="343">
      <formula>V60="X"</formula>
    </cfRule>
    <cfRule type="expression" dxfId="341" priority="344">
      <formula>V60="A"</formula>
    </cfRule>
    <cfRule type="expression" dxfId="340" priority="345">
      <formula>V60="T"</formula>
    </cfRule>
  </conditionalFormatting>
  <conditionalFormatting sqref="Y60">
    <cfRule type="expression" dxfId="339" priority="340">
      <formula>Y60="X"</formula>
    </cfRule>
    <cfRule type="expression" dxfId="338" priority="341">
      <formula>Y60="A"</formula>
    </cfRule>
    <cfRule type="expression" dxfId="337" priority="342">
      <formula>Y60="T"</formula>
    </cfRule>
  </conditionalFormatting>
  <conditionalFormatting sqref="Y61">
    <cfRule type="expression" dxfId="336" priority="337">
      <formula>Y60="X"</formula>
    </cfRule>
    <cfRule type="expression" dxfId="335" priority="338">
      <formula>Y60="A"</formula>
    </cfRule>
    <cfRule type="expression" dxfId="334" priority="339">
      <formula>Y60="T"</formula>
    </cfRule>
  </conditionalFormatting>
  <conditionalFormatting sqref="AK60">
    <cfRule type="expression" dxfId="333" priority="334">
      <formula>AK60="X"</formula>
    </cfRule>
    <cfRule type="expression" dxfId="332" priority="335">
      <formula>AK60="A"</formula>
    </cfRule>
    <cfRule type="expression" dxfId="331" priority="336">
      <formula>AK60="T"</formula>
    </cfRule>
  </conditionalFormatting>
  <conditionalFormatting sqref="AK61">
    <cfRule type="expression" dxfId="330" priority="331">
      <formula>AK60="X"</formula>
    </cfRule>
    <cfRule type="expression" dxfId="329" priority="332">
      <formula>AK60="A"</formula>
    </cfRule>
    <cfRule type="expression" dxfId="328" priority="333">
      <formula>AK60="T"</formula>
    </cfRule>
  </conditionalFormatting>
  <conditionalFormatting sqref="AE60">
    <cfRule type="expression" dxfId="327" priority="328">
      <formula>AE60="X"</formula>
    </cfRule>
    <cfRule type="expression" dxfId="326" priority="329">
      <formula>AE60="A"</formula>
    </cfRule>
    <cfRule type="expression" dxfId="325" priority="330">
      <formula>AE60="T"</formula>
    </cfRule>
  </conditionalFormatting>
  <conditionalFormatting sqref="AE61">
    <cfRule type="expression" dxfId="324" priority="325">
      <formula>AE60="X"</formula>
    </cfRule>
    <cfRule type="expression" dxfId="323" priority="326">
      <formula>AE60="A"</formula>
    </cfRule>
    <cfRule type="expression" dxfId="322" priority="327">
      <formula>AE60="T"</formula>
    </cfRule>
  </conditionalFormatting>
  <conditionalFormatting sqref="Z60 AC60">
    <cfRule type="expression" dxfId="321" priority="322">
      <formula>Z60="X"</formula>
    </cfRule>
    <cfRule type="expression" dxfId="320" priority="323">
      <formula>Z60="A"</formula>
    </cfRule>
    <cfRule type="expression" dxfId="319" priority="324">
      <formula>Z60="T"</formula>
    </cfRule>
  </conditionalFormatting>
  <conditionalFormatting sqref="Z61 AC61">
    <cfRule type="expression" dxfId="318" priority="319">
      <formula>Z60="X"</formula>
    </cfRule>
    <cfRule type="expression" dxfId="317" priority="320">
      <formula>Z60="A"</formula>
    </cfRule>
    <cfRule type="expression" dxfId="316" priority="321">
      <formula>Z60="T"</formula>
    </cfRule>
  </conditionalFormatting>
  <conditionalFormatting sqref="M60">
    <cfRule type="expression" dxfId="315" priority="316">
      <formula>M60="X"</formula>
    </cfRule>
    <cfRule type="expression" dxfId="314" priority="317">
      <formula>M60="A"</formula>
    </cfRule>
    <cfRule type="expression" dxfId="313" priority="318">
      <formula>M60="T"</formula>
    </cfRule>
  </conditionalFormatting>
  <conditionalFormatting sqref="M61">
    <cfRule type="expression" dxfId="312" priority="313">
      <formula>M60="X"</formula>
    </cfRule>
    <cfRule type="expression" dxfId="311" priority="314">
      <formula>M60="A"</formula>
    </cfRule>
    <cfRule type="expression" dxfId="310" priority="315">
      <formula>M60="T"</formula>
    </cfRule>
  </conditionalFormatting>
  <conditionalFormatting sqref="R60">
    <cfRule type="expression" dxfId="309" priority="310">
      <formula>R60="X"</formula>
    </cfRule>
    <cfRule type="expression" dxfId="308" priority="311">
      <formula>R60="A"</formula>
    </cfRule>
    <cfRule type="expression" dxfId="307" priority="312">
      <formula>R60="T"</formula>
    </cfRule>
  </conditionalFormatting>
  <conditionalFormatting sqref="R61">
    <cfRule type="expression" dxfId="306" priority="307">
      <formula>R60="X"</formula>
    </cfRule>
    <cfRule type="expression" dxfId="305" priority="308">
      <formula>R60="A"</formula>
    </cfRule>
    <cfRule type="expression" dxfId="304" priority="309">
      <formula>R60="T"</formula>
    </cfRule>
  </conditionalFormatting>
  <conditionalFormatting sqref="N60">
    <cfRule type="expression" dxfId="303" priority="304">
      <formula>N60="X"</formula>
    </cfRule>
    <cfRule type="expression" dxfId="302" priority="305">
      <formula>N60="A"</formula>
    </cfRule>
    <cfRule type="expression" dxfId="301" priority="306">
      <formula>N60="T"</formula>
    </cfRule>
  </conditionalFormatting>
  <conditionalFormatting sqref="N61">
    <cfRule type="expression" dxfId="300" priority="301">
      <formula>N60="X"</formula>
    </cfRule>
    <cfRule type="expression" dxfId="299" priority="302">
      <formula>N60="A"</formula>
    </cfRule>
    <cfRule type="expression" dxfId="298" priority="303">
      <formula>N60="T"</formula>
    </cfRule>
  </conditionalFormatting>
  <conditionalFormatting sqref="Q60">
    <cfRule type="expression" dxfId="297" priority="298">
      <formula>Q60="X"</formula>
    </cfRule>
    <cfRule type="expression" dxfId="296" priority="299">
      <formula>Q60="A"</formula>
    </cfRule>
    <cfRule type="expression" dxfId="295" priority="300">
      <formula>Q60="T"</formula>
    </cfRule>
  </conditionalFormatting>
  <conditionalFormatting sqref="Q61">
    <cfRule type="expression" dxfId="294" priority="295">
      <formula>Q60="X"</formula>
    </cfRule>
    <cfRule type="expression" dxfId="293" priority="296">
      <formula>Q60="A"</formula>
    </cfRule>
    <cfRule type="expression" dxfId="292" priority="297">
      <formula>Q60="T"</formula>
    </cfRule>
  </conditionalFormatting>
  <conditionalFormatting sqref="AJ60">
    <cfRule type="expression" dxfId="291" priority="292">
      <formula>AJ60="X"</formula>
    </cfRule>
    <cfRule type="expression" dxfId="290" priority="293">
      <formula>AJ60="A"</formula>
    </cfRule>
    <cfRule type="expression" dxfId="289" priority="294">
      <formula>AJ60="T"</formula>
    </cfRule>
  </conditionalFormatting>
  <conditionalFormatting sqref="AJ61">
    <cfRule type="expression" dxfId="288" priority="289">
      <formula>AJ60="X"</formula>
    </cfRule>
    <cfRule type="expression" dxfId="287" priority="290">
      <formula>AJ60="A"</formula>
    </cfRule>
    <cfRule type="expression" dxfId="286" priority="291">
      <formula>AJ60="T"</formula>
    </cfRule>
  </conditionalFormatting>
  <conditionalFormatting sqref="S60">
    <cfRule type="expression" dxfId="285" priority="286">
      <formula>S60="X"</formula>
    </cfRule>
    <cfRule type="expression" dxfId="284" priority="287">
      <formula>S60="A"</formula>
    </cfRule>
    <cfRule type="expression" dxfId="283" priority="288">
      <formula>S60="T"</formula>
    </cfRule>
  </conditionalFormatting>
  <conditionalFormatting sqref="S61">
    <cfRule type="expression" dxfId="282" priority="283">
      <formula>S60="X"</formula>
    </cfRule>
    <cfRule type="expression" dxfId="281" priority="284">
      <formula>S60="A"</formula>
    </cfRule>
    <cfRule type="expression" dxfId="280" priority="285">
      <formula>S60="T"</formula>
    </cfRule>
  </conditionalFormatting>
  <conditionalFormatting sqref="AL60:AL61">
    <cfRule type="expression" dxfId="279" priority="280">
      <formula>AL60="X"</formula>
    </cfRule>
    <cfRule type="expression" dxfId="278" priority="281">
      <formula>AL60="A"</formula>
    </cfRule>
    <cfRule type="expression" dxfId="277" priority="282">
      <formula>AL60="T"</formula>
    </cfRule>
  </conditionalFormatting>
  <conditionalFormatting sqref="AA60">
    <cfRule type="expression" dxfId="276" priority="277">
      <formula>AA60="X"</formula>
    </cfRule>
    <cfRule type="expression" dxfId="275" priority="278">
      <formula>AA60="A"</formula>
    </cfRule>
    <cfRule type="expression" dxfId="274" priority="279">
      <formula>AA60="T"</formula>
    </cfRule>
  </conditionalFormatting>
  <conditionalFormatting sqref="AA61">
    <cfRule type="expression" dxfId="273" priority="274">
      <formula>AA60="X"</formula>
    </cfRule>
    <cfRule type="expression" dxfId="272" priority="275">
      <formula>AA60="A"</formula>
    </cfRule>
    <cfRule type="expression" dxfId="271" priority="276">
      <formula>AA60="T"</formula>
    </cfRule>
  </conditionalFormatting>
  <conditionalFormatting sqref="AB60">
    <cfRule type="expression" dxfId="270" priority="271">
      <formula>AB60="X"</formula>
    </cfRule>
    <cfRule type="expression" dxfId="269" priority="272">
      <formula>AB60="A"</formula>
    </cfRule>
    <cfRule type="expression" dxfId="268" priority="273">
      <formula>AB60="T"</formula>
    </cfRule>
  </conditionalFormatting>
  <conditionalFormatting sqref="AB61">
    <cfRule type="expression" dxfId="267" priority="268">
      <formula>AB60="X"</formula>
    </cfRule>
    <cfRule type="expression" dxfId="266" priority="269">
      <formula>AB60="A"</formula>
    </cfRule>
    <cfRule type="expression" dxfId="265" priority="270">
      <formula>AB60="T"</formula>
    </cfRule>
  </conditionalFormatting>
  <conditionalFormatting sqref="AI60">
    <cfRule type="expression" dxfId="264" priority="265">
      <formula>AI60="X"</formula>
    </cfRule>
    <cfRule type="expression" dxfId="263" priority="266">
      <formula>AI60="A"</formula>
    </cfRule>
    <cfRule type="expression" dxfId="262" priority="267">
      <formula>AI60="T"</formula>
    </cfRule>
  </conditionalFormatting>
  <conditionalFormatting sqref="AI61">
    <cfRule type="expression" dxfId="261" priority="262">
      <formula>AI60="X"</formula>
    </cfRule>
    <cfRule type="expression" dxfId="260" priority="263">
      <formula>AI60="A"</formula>
    </cfRule>
    <cfRule type="expression" dxfId="259" priority="264">
      <formula>AI60="T"</formula>
    </cfRule>
  </conditionalFormatting>
  <conditionalFormatting sqref="P62:S62">
    <cfRule type="expression" dxfId="258" priority="259" stopIfTrue="1">
      <formula>P48=""</formula>
    </cfRule>
  </conditionalFormatting>
  <conditionalFormatting sqref="P62:S62">
    <cfRule type="expression" dxfId="257" priority="260" stopIfTrue="1">
      <formula>P62=1</formula>
    </cfRule>
    <cfRule type="colorScale" priority="261">
      <colorScale>
        <cfvo type="num" val="0"/>
        <cfvo type="num" val="0.5"/>
        <cfvo type="num" val="1"/>
        <color rgb="FFF8696B"/>
        <color theme="4" tint="0.79998168889431442"/>
        <color rgb="FF5A8AC6"/>
      </colorScale>
    </cfRule>
  </conditionalFormatting>
  <conditionalFormatting sqref="K19">
    <cfRule type="expression" dxfId="256" priority="256">
      <formula>K18="X"</formula>
    </cfRule>
    <cfRule type="expression" dxfId="255" priority="257">
      <formula>K18="A"</formula>
    </cfRule>
    <cfRule type="expression" dxfId="254" priority="258">
      <formula>K18="T"</formula>
    </cfRule>
  </conditionalFormatting>
  <conditionalFormatting sqref="K21">
    <cfRule type="expression" dxfId="253" priority="253">
      <formula>K20="X"</formula>
    </cfRule>
    <cfRule type="expression" dxfId="252" priority="254">
      <formula>K20="A"</formula>
    </cfRule>
    <cfRule type="expression" dxfId="251" priority="255">
      <formula>K20="T"</formula>
    </cfRule>
  </conditionalFormatting>
  <conditionalFormatting sqref="K23">
    <cfRule type="expression" dxfId="250" priority="250">
      <formula>K22="X"</formula>
    </cfRule>
    <cfRule type="expression" dxfId="249" priority="251">
      <formula>K22="A"</formula>
    </cfRule>
    <cfRule type="expression" dxfId="248" priority="252">
      <formula>K22="T"</formula>
    </cfRule>
  </conditionalFormatting>
  <conditionalFormatting sqref="K25">
    <cfRule type="expression" dxfId="247" priority="247">
      <formula>K24="X"</formula>
    </cfRule>
    <cfRule type="expression" dxfId="246" priority="248">
      <formula>K24="A"</formula>
    </cfRule>
    <cfRule type="expression" dxfId="245" priority="249">
      <formula>K24="T"</formula>
    </cfRule>
  </conditionalFormatting>
  <conditionalFormatting sqref="K27">
    <cfRule type="expression" dxfId="244" priority="244">
      <formula>K26="X"</formula>
    </cfRule>
    <cfRule type="expression" dxfId="243" priority="245">
      <formula>K26="A"</formula>
    </cfRule>
    <cfRule type="expression" dxfId="242" priority="246">
      <formula>K26="T"</formula>
    </cfRule>
  </conditionalFormatting>
  <conditionalFormatting sqref="K29">
    <cfRule type="expression" dxfId="241" priority="241">
      <formula>K28="X"</formula>
    </cfRule>
    <cfRule type="expression" dxfId="240" priority="242">
      <formula>K28="A"</formula>
    </cfRule>
    <cfRule type="expression" dxfId="239" priority="243">
      <formula>K28="T"</formula>
    </cfRule>
  </conditionalFormatting>
  <conditionalFormatting sqref="K31">
    <cfRule type="expression" dxfId="238" priority="238">
      <formula>K30="X"</formula>
    </cfRule>
    <cfRule type="expression" dxfId="237" priority="239">
      <formula>K30="A"</formula>
    </cfRule>
    <cfRule type="expression" dxfId="236" priority="240">
      <formula>K30="T"</formula>
    </cfRule>
  </conditionalFormatting>
  <conditionalFormatting sqref="K33">
    <cfRule type="expression" dxfId="235" priority="235">
      <formula>K32="X"</formula>
    </cfRule>
    <cfRule type="expression" dxfId="234" priority="236">
      <formula>K32="A"</formula>
    </cfRule>
    <cfRule type="expression" dxfId="233" priority="237">
      <formula>K32="T"</formula>
    </cfRule>
  </conditionalFormatting>
  <conditionalFormatting sqref="K35">
    <cfRule type="expression" dxfId="232" priority="232">
      <formula>K34="X"</formula>
    </cfRule>
    <cfRule type="expression" dxfId="231" priority="233">
      <formula>K34="A"</formula>
    </cfRule>
    <cfRule type="expression" dxfId="230" priority="234">
      <formula>K34="T"</formula>
    </cfRule>
  </conditionalFormatting>
  <conditionalFormatting sqref="K37">
    <cfRule type="expression" dxfId="229" priority="229">
      <formula>K36="X"</formula>
    </cfRule>
    <cfRule type="expression" dxfId="228" priority="230">
      <formula>K36="A"</formula>
    </cfRule>
    <cfRule type="expression" dxfId="227" priority="231">
      <formula>K36="T"</formula>
    </cfRule>
  </conditionalFormatting>
  <conditionalFormatting sqref="M19">
    <cfRule type="expression" dxfId="226" priority="226">
      <formula>M18="X"</formula>
    </cfRule>
    <cfRule type="expression" dxfId="225" priority="227">
      <formula>M18="A"</formula>
    </cfRule>
    <cfRule type="expression" dxfId="224" priority="228">
      <formula>M18="T"</formula>
    </cfRule>
  </conditionalFormatting>
  <conditionalFormatting sqref="M21">
    <cfRule type="expression" dxfId="223" priority="223">
      <formula>M20="X"</formula>
    </cfRule>
    <cfRule type="expression" dxfId="222" priority="224">
      <formula>M20="A"</formula>
    </cfRule>
    <cfRule type="expression" dxfId="221" priority="225">
      <formula>M20="T"</formula>
    </cfRule>
  </conditionalFormatting>
  <conditionalFormatting sqref="M23">
    <cfRule type="expression" dxfId="220" priority="220">
      <formula>M22="X"</formula>
    </cfRule>
    <cfRule type="expression" dxfId="219" priority="221">
      <formula>M22="A"</formula>
    </cfRule>
    <cfRule type="expression" dxfId="218" priority="222">
      <formula>M22="T"</formula>
    </cfRule>
  </conditionalFormatting>
  <conditionalFormatting sqref="M25">
    <cfRule type="expression" dxfId="217" priority="217">
      <formula>M24="X"</formula>
    </cfRule>
    <cfRule type="expression" dxfId="216" priority="218">
      <formula>M24="A"</formula>
    </cfRule>
    <cfRule type="expression" dxfId="215" priority="219">
      <formula>M24="T"</formula>
    </cfRule>
  </conditionalFormatting>
  <conditionalFormatting sqref="M27">
    <cfRule type="expression" dxfId="214" priority="214">
      <formula>M26="X"</formula>
    </cfRule>
    <cfRule type="expression" dxfId="213" priority="215">
      <formula>M26="A"</formula>
    </cfRule>
    <cfRule type="expression" dxfId="212" priority="216">
      <formula>M26="T"</formula>
    </cfRule>
  </conditionalFormatting>
  <conditionalFormatting sqref="M29">
    <cfRule type="expression" dxfId="211" priority="211">
      <formula>M28="X"</formula>
    </cfRule>
    <cfRule type="expression" dxfId="210" priority="212">
      <formula>M28="A"</formula>
    </cfRule>
    <cfRule type="expression" dxfId="209" priority="213">
      <formula>M28="T"</formula>
    </cfRule>
  </conditionalFormatting>
  <conditionalFormatting sqref="M31">
    <cfRule type="expression" dxfId="208" priority="208">
      <formula>M30="X"</formula>
    </cfRule>
    <cfRule type="expression" dxfId="207" priority="209">
      <formula>M30="A"</formula>
    </cfRule>
    <cfRule type="expression" dxfId="206" priority="210">
      <formula>M30="T"</formula>
    </cfRule>
  </conditionalFormatting>
  <conditionalFormatting sqref="M33">
    <cfRule type="expression" dxfId="205" priority="205">
      <formula>M32="X"</formula>
    </cfRule>
    <cfRule type="expression" dxfId="204" priority="206">
      <formula>M32="A"</formula>
    </cfRule>
    <cfRule type="expression" dxfId="203" priority="207">
      <formula>M32="T"</formula>
    </cfRule>
  </conditionalFormatting>
  <conditionalFormatting sqref="M35">
    <cfRule type="expression" dxfId="202" priority="202">
      <formula>M34="X"</formula>
    </cfRule>
    <cfRule type="expression" dxfId="201" priority="203">
      <formula>M34="A"</formula>
    </cfRule>
    <cfRule type="expression" dxfId="200" priority="204">
      <formula>M34="T"</formula>
    </cfRule>
  </conditionalFormatting>
  <conditionalFormatting sqref="M37">
    <cfRule type="expression" dxfId="199" priority="199">
      <formula>M36="X"</formula>
    </cfRule>
    <cfRule type="expression" dxfId="198" priority="200">
      <formula>M36="A"</formula>
    </cfRule>
    <cfRule type="expression" dxfId="197" priority="201">
      <formula>M36="T"</formula>
    </cfRule>
  </conditionalFormatting>
  <conditionalFormatting sqref="Z19">
    <cfRule type="expression" dxfId="196" priority="196">
      <formula>Z18="X"</formula>
    </cfRule>
    <cfRule type="expression" dxfId="195" priority="197">
      <formula>Z18="A"</formula>
    </cfRule>
    <cfRule type="expression" dxfId="194" priority="198">
      <formula>Z18="T"</formula>
    </cfRule>
  </conditionalFormatting>
  <conditionalFormatting sqref="Z21">
    <cfRule type="expression" dxfId="193" priority="190">
      <formula>Z20="X"</formula>
    </cfRule>
    <cfRule type="expression" dxfId="192" priority="191">
      <formula>Z20="A"</formula>
    </cfRule>
    <cfRule type="expression" dxfId="191" priority="192">
      <formula>Z20="T"</formula>
    </cfRule>
  </conditionalFormatting>
  <conditionalFormatting sqref="Z23">
    <cfRule type="expression" dxfId="190" priority="187">
      <formula>Z22="X"</formula>
    </cfRule>
    <cfRule type="expression" dxfId="189" priority="188">
      <formula>Z22="A"</formula>
    </cfRule>
    <cfRule type="expression" dxfId="188" priority="189">
      <formula>Z22="T"</formula>
    </cfRule>
  </conditionalFormatting>
  <conditionalFormatting sqref="Z25">
    <cfRule type="expression" dxfId="187" priority="184">
      <formula>Z24="X"</formula>
    </cfRule>
    <cfRule type="expression" dxfId="186" priority="185">
      <formula>Z24="A"</formula>
    </cfRule>
    <cfRule type="expression" dxfId="185" priority="186">
      <formula>Z24="T"</formula>
    </cfRule>
  </conditionalFormatting>
  <conditionalFormatting sqref="Z27">
    <cfRule type="expression" dxfId="184" priority="181">
      <formula>Z26="X"</formula>
    </cfRule>
    <cfRule type="expression" dxfId="183" priority="182">
      <formula>Z26="A"</formula>
    </cfRule>
    <cfRule type="expression" dxfId="182" priority="183">
      <formula>Z26="T"</formula>
    </cfRule>
  </conditionalFormatting>
  <conditionalFormatting sqref="Z29">
    <cfRule type="expression" dxfId="181" priority="178">
      <formula>Z28="X"</formula>
    </cfRule>
    <cfRule type="expression" dxfId="180" priority="179">
      <formula>Z28="A"</formula>
    </cfRule>
    <cfRule type="expression" dxfId="179" priority="180">
      <formula>Z28="T"</formula>
    </cfRule>
  </conditionalFormatting>
  <conditionalFormatting sqref="Z31">
    <cfRule type="expression" dxfId="178" priority="175">
      <formula>Z30="X"</formula>
    </cfRule>
    <cfRule type="expression" dxfId="177" priority="176">
      <formula>Z30="A"</formula>
    </cfRule>
    <cfRule type="expression" dxfId="176" priority="177">
      <formula>Z30="T"</formula>
    </cfRule>
  </conditionalFormatting>
  <conditionalFormatting sqref="Z33">
    <cfRule type="expression" dxfId="175" priority="172">
      <formula>Z32="X"</formula>
    </cfRule>
    <cfRule type="expression" dxfId="174" priority="173">
      <formula>Z32="A"</formula>
    </cfRule>
    <cfRule type="expression" dxfId="173" priority="174">
      <formula>Z32="T"</formula>
    </cfRule>
  </conditionalFormatting>
  <conditionalFormatting sqref="Z35">
    <cfRule type="expression" dxfId="172" priority="169">
      <formula>Z34="X"</formula>
    </cfRule>
    <cfRule type="expression" dxfId="171" priority="170">
      <formula>Z34="A"</formula>
    </cfRule>
    <cfRule type="expression" dxfId="170" priority="171">
      <formula>Z34="T"</formula>
    </cfRule>
  </conditionalFormatting>
  <conditionalFormatting sqref="Z37">
    <cfRule type="expression" dxfId="169" priority="166">
      <formula>Z36="X"</formula>
    </cfRule>
    <cfRule type="expression" dxfId="168" priority="167">
      <formula>Z36="A"</formula>
    </cfRule>
    <cfRule type="expression" dxfId="167" priority="168">
      <formula>Z36="T"</formula>
    </cfRule>
  </conditionalFormatting>
  <conditionalFormatting sqref="Y19">
    <cfRule type="expression" dxfId="166" priority="163">
      <formula>Y18="X"</formula>
    </cfRule>
    <cfRule type="expression" dxfId="165" priority="164">
      <formula>Y18="A"</formula>
    </cfRule>
    <cfRule type="expression" dxfId="164" priority="165">
      <formula>Y18="T"</formula>
    </cfRule>
  </conditionalFormatting>
  <conditionalFormatting sqref="Y21">
    <cfRule type="expression" dxfId="163" priority="160">
      <formula>Y20="X"</formula>
    </cfRule>
    <cfRule type="expression" dxfId="162" priority="161">
      <formula>Y20="A"</formula>
    </cfRule>
    <cfRule type="expression" dxfId="161" priority="162">
      <formula>Y20="T"</formula>
    </cfRule>
  </conditionalFormatting>
  <conditionalFormatting sqref="Y23">
    <cfRule type="expression" dxfId="160" priority="157">
      <formula>Y22="X"</formula>
    </cfRule>
    <cfRule type="expression" dxfId="159" priority="158">
      <formula>Y22="A"</formula>
    </cfRule>
    <cfRule type="expression" dxfId="158" priority="159">
      <formula>Y22="T"</formula>
    </cfRule>
  </conditionalFormatting>
  <conditionalFormatting sqref="Y25">
    <cfRule type="expression" dxfId="157" priority="154">
      <formula>Y24="X"</formula>
    </cfRule>
    <cfRule type="expression" dxfId="156" priority="155">
      <formula>Y24="A"</formula>
    </cfRule>
    <cfRule type="expression" dxfId="155" priority="156">
      <formula>Y24="T"</formula>
    </cfRule>
  </conditionalFormatting>
  <conditionalFormatting sqref="Y27">
    <cfRule type="expression" dxfId="154" priority="151">
      <formula>Y26="X"</formula>
    </cfRule>
    <cfRule type="expression" dxfId="153" priority="152">
      <formula>Y26="A"</formula>
    </cfRule>
    <cfRule type="expression" dxfId="152" priority="153">
      <formula>Y26="T"</formula>
    </cfRule>
  </conditionalFormatting>
  <conditionalFormatting sqref="Y29">
    <cfRule type="expression" dxfId="151" priority="148">
      <formula>Y28="X"</formula>
    </cfRule>
    <cfRule type="expression" dxfId="150" priority="149">
      <formula>Y28="A"</formula>
    </cfRule>
    <cfRule type="expression" dxfId="149" priority="150">
      <formula>Y28="T"</formula>
    </cfRule>
  </conditionalFormatting>
  <conditionalFormatting sqref="Y31">
    <cfRule type="expression" dxfId="148" priority="145">
      <formula>Y30="X"</formula>
    </cfRule>
    <cfRule type="expression" dxfId="147" priority="146">
      <formula>Y30="A"</formula>
    </cfRule>
    <cfRule type="expression" dxfId="146" priority="147">
      <formula>Y30="T"</formula>
    </cfRule>
  </conditionalFormatting>
  <conditionalFormatting sqref="Y33">
    <cfRule type="expression" dxfId="145" priority="142">
      <formula>Y32="X"</formula>
    </cfRule>
    <cfRule type="expression" dxfId="144" priority="143">
      <formula>Y32="A"</formula>
    </cfRule>
    <cfRule type="expression" dxfId="143" priority="144">
      <formula>Y32="T"</formula>
    </cfRule>
  </conditionalFormatting>
  <conditionalFormatting sqref="Y35">
    <cfRule type="expression" dxfId="142" priority="139">
      <formula>Y34="X"</formula>
    </cfRule>
    <cfRule type="expression" dxfId="141" priority="140">
      <formula>Y34="A"</formula>
    </cfRule>
    <cfRule type="expression" dxfId="140" priority="141">
      <formula>Y34="T"</formula>
    </cfRule>
  </conditionalFormatting>
  <conditionalFormatting sqref="Y37">
    <cfRule type="expression" dxfId="139" priority="136">
      <formula>Y36="X"</formula>
    </cfRule>
    <cfRule type="expression" dxfId="138" priority="137">
      <formula>Y36="A"</formula>
    </cfRule>
    <cfRule type="expression" dxfId="137" priority="138">
      <formula>Y36="T"</formula>
    </cfRule>
  </conditionalFormatting>
  <conditionalFormatting sqref="K42">
    <cfRule type="expression" dxfId="136" priority="133">
      <formula>K41="X"</formula>
    </cfRule>
    <cfRule type="expression" dxfId="135" priority="134">
      <formula>K41="A"</formula>
    </cfRule>
    <cfRule type="expression" dxfId="134" priority="135">
      <formula>K41="T"</formula>
    </cfRule>
  </conditionalFormatting>
  <conditionalFormatting sqref="K44">
    <cfRule type="expression" dxfId="133" priority="130">
      <formula>K43="X"</formula>
    </cfRule>
    <cfRule type="expression" dxfId="132" priority="131">
      <formula>K43="A"</formula>
    </cfRule>
    <cfRule type="expression" dxfId="131" priority="132">
      <formula>K43="T"</formula>
    </cfRule>
  </conditionalFormatting>
  <conditionalFormatting sqref="K46">
    <cfRule type="expression" dxfId="130" priority="124">
      <formula>K45="X"</formula>
    </cfRule>
    <cfRule type="expression" dxfId="129" priority="125">
      <formula>K45="A"</formula>
    </cfRule>
    <cfRule type="expression" dxfId="128" priority="126">
      <formula>K45="T"</formula>
    </cfRule>
  </conditionalFormatting>
  <conditionalFormatting sqref="K51">
    <cfRule type="expression" dxfId="127" priority="121">
      <formula>K50="X"</formula>
    </cfRule>
    <cfRule type="expression" dxfId="126" priority="122">
      <formula>K50="A"</formula>
    </cfRule>
    <cfRule type="expression" dxfId="125" priority="123">
      <formula>K50="T"</formula>
    </cfRule>
  </conditionalFormatting>
  <conditionalFormatting sqref="K53">
    <cfRule type="expression" dxfId="124" priority="118">
      <formula>K52="X"</formula>
    </cfRule>
    <cfRule type="expression" dxfId="123" priority="119">
      <formula>K52="A"</formula>
    </cfRule>
    <cfRule type="expression" dxfId="122" priority="120">
      <formula>K52="T"</formula>
    </cfRule>
  </conditionalFormatting>
  <conditionalFormatting sqref="K55">
    <cfRule type="expression" dxfId="121" priority="115">
      <formula>K54="X"</formula>
    </cfRule>
    <cfRule type="expression" dxfId="120" priority="116">
      <formula>K54="A"</formula>
    </cfRule>
    <cfRule type="expression" dxfId="119" priority="117">
      <formula>K54="T"</formula>
    </cfRule>
  </conditionalFormatting>
  <conditionalFormatting sqref="K57">
    <cfRule type="expression" dxfId="118" priority="112">
      <formula>K56="X"</formula>
    </cfRule>
    <cfRule type="expression" dxfId="117" priority="113">
      <formula>K56="A"</formula>
    </cfRule>
    <cfRule type="expression" dxfId="116" priority="114">
      <formula>K56="T"</formula>
    </cfRule>
  </conditionalFormatting>
  <conditionalFormatting sqref="K59">
    <cfRule type="expression" dxfId="115" priority="109">
      <formula>K58="X"</formula>
    </cfRule>
    <cfRule type="expression" dxfId="114" priority="110">
      <formula>K58="A"</formula>
    </cfRule>
    <cfRule type="expression" dxfId="113" priority="111">
      <formula>K58="T"</formula>
    </cfRule>
  </conditionalFormatting>
  <conditionalFormatting sqref="K61">
    <cfRule type="expression" dxfId="112" priority="106">
      <formula>K60="X"</formula>
    </cfRule>
    <cfRule type="expression" dxfId="111" priority="107">
      <formula>K60="A"</formula>
    </cfRule>
    <cfRule type="expression" dxfId="110" priority="108">
      <formula>K60="T"</formula>
    </cfRule>
  </conditionalFormatting>
  <conditionalFormatting sqref="K77">
    <cfRule type="expression" dxfId="109" priority="103">
      <formula>K76="X"</formula>
    </cfRule>
    <cfRule type="expression" dxfId="108" priority="104">
      <formula>K76="A"</formula>
    </cfRule>
    <cfRule type="expression" dxfId="107" priority="105">
      <formula>K76="T"</formula>
    </cfRule>
  </conditionalFormatting>
  <conditionalFormatting sqref="K79">
    <cfRule type="expression" dxfId="106" priority="97">
      <formula>K78="X"</formula>
    </cfRule>
    <cfRule type="expression" dxfId="105" priority="98">
      <formula>K78="A"</formula>
    </cfRule>
    <cfRule type="expression" dxfId="104" priority="99">
      <formula>K78="T"</formula>
    </cfRule>
  </conditionalFormatting>
  <conditionalFormatting sqref="K82">
    <cfRule type="expression" dxfId="103" priority="94">
      <formula>K81="X"</formula>
    </cfRule>
    <cfRule type="expression" dxfId="102" priority="95">
      <formula>K81="A"</formula>
    </cfRule>
    <cfRule type="expression" dxfId="101" priority="96">
      <formula>K81="T"</formula>
    </cfRule>
  </conditionalFormatting>
  <conditionalFormatting sqref="K84">
    <cfRule type="expression" dxfId="100" priority="91">
      <formula>K83="X"</formula>
    </cfRule>
    <cfRule type="expression" dxfId="99" priority="92">
      <formula>K83="A"</formula>
    </cfRule>
    <cfRule type="expression" dxfId="98" priority="93">
      <formula>K83="T"</formula>
    </cfRule>
  </conditionalFormatting>
  <conditionalFormatting sqref="K89">
    <cfRule type="expression" dxfId="97" priority="88">
      <formula>K88="X"</formula>
    </cfRule>
    <cfRule type="expression" dxfId="96" priority="89">
      <formula>K88="A"</formula>
    </cfRule>
    <cfRule type="expression" dxfId="95" priority="90">
      <formula>K88="T"</formula>
    </cfRule>
  </conditionalFormatting>
  <conditionalFormatting sqref="K91">
    <cfRule type="expression" dxfId="94" priority="85">
      <formula>K90="X"</formula>
    </cfRule>
    <cfRule type="expression" dxfId="93" priority="86">
      <formula>K90="A"</formula>
    </cfRule>
    <cfRule type="expression" dxfId="92" priority="87">
      <formula>K90="T"</formula>
    </cfRule>
  </conditionalFormatting>
  <conditionalFormatting sqref="K93">
    <cfRule type="expression" dxfId="91" priority="82">
      <formula>K92="X"</formula>
    </cfRule>
    <cfRule type="expression" dxfId="90" priority="83">
      <formula>K92="A"</formula>
    </cfRule>
    <cfRule type="expression" dxfId="89" priority="84">
      <formula>K92="T"</formula>
    </cfRule>
  </conditionalFormatting>
  <conditionalFormatting sqref="K97">
    <cfRule type="expression" dxfId="88" priority="79">
      <formula>K96="X"</formula>
    </cfRule>
    <cfRule type="expression" dxfId="87" priority="80">
      <formula>K96="A"</formula>
    </cfRule>
    <cfRule type="expression" dxfId="86" priority="81">
      <formula>K96="T"</formula>
    </cfRule>
  </conditionalFormatting>
  <conditionalFormatting sqref="K99">
    <cfRule type="expression" dxfId="85" priority="76">
      <formula>K98="X"</formula>
    </cfRule>
    <cfRule type="expression" dxfId="84" priority="77">
      <formula>K98="A"</formula>
    </cfRule>
    <cfRule type="expression" dxfId="83" priority="78">
      <formula>K98="T"</formula>
    </cfRule>
  </conditionalFormatting>
  <conditionalFormatting sqref="K101">
    <cfRule type="expression" dxfId="82" priority="73">
      <formula>K100="X"</formula>
    </cfRule>
    <cfRule type="expression" dxfId="81" priority="74">
      <formula>K100="A"</formula>
    </cfRule>
    <cfRule type="expression" dxfId="80" priority="75">
      <formula>K100="T"</formula>
    </cfRule>
  </conditionalFormatting>
  <conditionalFormatting sqref="K103">
    <cfRule type="expression" dxfId="79" priority="70">
      <formula>K102="X"</formula>
    </cfRule>
    <cfRule type="expression" dxfId="78" priority="71">
      <formula>K102="A"</formula>
    </cfRule>
    <cfRule type="expression" dxfId="77" priority="72">
      <formula>K102="T"</formula>
    </cfRule>
  </conditionalFormatting>
  <conditionalFormatting sqref="K106">
    <cfRule type="expression" dxfId="76" priority="67">
      <formula>K105="X"</formula>
    </cfRule>
    <cfRule type="expression" dxfId="75" priority="68">
      <formula>K105="A"</formula>
    </cfRule>
    <cfRule type="expression" dxfId="74" priority="69">
      <formula>K105="T"</formula>
    </cfRule>
  </conditionalFormatting>
  <conditionalFormatting sqref="K108">
    <cfRule type="expression" dxfId="73" priority="64">
      <formula>K107="X"</formula>
    </cfRule>
    <cfRule type="expression" dxfId="72" priority="65">
      <formula>K107="A"</formula>
    </cfRule>
    <cfRule type="expression" dxfId="71" priority="66">
      <formula>K107="T"</formula>
    </cfRule>
  </conditionalFormatting>
  <conditionalFormatting sqref="K110">
    <cfRule type="expression" dxfId="70" priority="61">
      <formula>K109="X"</formula>
    </cfRule>
    <cfRule type="expression" dxfId="69" priority="62">
      <formula>K109="A"</formula>
    </cfRule>
    <cfRule type="expression" dxfId="68" priority="63">
      <formula>K109="T"</formula>
    </cfRule>
  </conditionalFormatting>
  <conditionalFormatting sqref="K112">
    <cfRule type="expression" dxfId="67" priority="58">
      <formula>K111="X"</formula>
    </cfRule>
    <cfRule type="expression" dxfId="66" priority="59">
      <formula>K111="A"</formula>
    </cfRule>
    <cfRule type="expression" dxfId="65" priority="60">
      <formula>K111="T"</formula>
    </cfRule>
  </conditionalFormatting>
  <conditionalFormatting sqref="K114">
    <cfRule type="expression" dxfId="64" priority="55">
      <formula>K113="X"</formula>
    </cfRule>
    <cfRule type="expression" dxfId="63" priority="56">
      <formula>K113="A"</formula>
    </cfRule>
    <cfRule type="expression" dxfId="62" priority="57">
      <formula>K113="T"</formula>
    </cfRule>
  </conditionalFormatting>
  <conditionalFormatting sqref="K117">
    <cfRule type="expression" dxfId="61" priority="52">
      <formula>K116="X"</formula>
    </cfRule>
    <cfRule type="expression" dxfId="60" priority="53">
      <formula>K116="A"</formula>
    </cfRule>
    <cfRule type="expression" dxfId="59" priority="54">
      <formula>K116="T"</formula>
    </cfRule>
  </conditionalFormatting>
  <conditionalFormatting sqref="K119">
    <cfRule type="expression" dxfId="58" priority="49">
      <formula>K118="X"</formula>
    </cfRule>
    <cfRule type="expression" dxfId="57" priority="50">
      <formula>K118="A"</formula>
    </cfRule>
    <cfRule type="expression" dxfId="56" priority="51">
      <formula>K118="T"</formula>
    </cfRule>
  </conditionalFormatting>
  <conditionalFormatting sqref="K121">
    <cfRule type="expression" dxfId="55" priority="46">
      <formula>K120="X"</formula>
    </cfRule>
    <cfRule type="expression" dxfId="54" priority="47">
      <formula>K120="A"</formula>
    </cfRule>
    <cfRule type="expression" dxfId="53" priority="48">
      <formula>K120="T"</formula>
    </cfRule>
  </conditionalFormatting>
  <conditionalFormatting sqref="K123">
    <cfRule type="expression" dxfId="52" priority="43">
      <formula>K122="X"</formula>
    </cfRule>
    <cfRule type="expression" dxfId="51" priority="44">
      <formula>K122="A"</formula>
    </cfRule>
    <cfRule type="expression" dxfId="50" priority="45">
      <formula>K122="T"</formula>
    </cfRule>
  </conditionalFormatting>
  <conditionalFormatting sqref="K126">
    <cfRule type="expression" dxfId="49" priority="40">
      <formula>K125="X"</formula>
    </cfRule>
    <cfRule type="expression" dxfId="48" priority="41">
      <formula>K125="A"</formula>
    </cfRule>
    <cfRule type="expression" dxfId="47" priority="42">
      <formula>K125="T"</formula>
    </cfRule>
  </conditionalFormatting>
  <conditionalFormatting sqref="K128">
    <cfRule type="expression" dxfId="46" priority="37">
      <formula>K127="X"</formula>
    </cfRule>
    <cfRule type="expression" dxfId="45" priority="38">
      <formula>K127="A"</formula>
    </cfRule>
    <cfRule type="expression" dxfId="44" priority="39">
      <formula>K127="T"</formula>
    </cfRule>
  </conditionalFormatting>
  <conditionalFormatting sqref="K137">
    <cfRule type="expression" dxfId="43" priority="34">
      <formula>K136="X"</formula>
    </cfRule>
    <cfRule type="expression" dxfId="42" priority="35">
      <formula>K136="A"</formula>
    </cfRule>
    <cfRule type="expression" dxfId="41" priority="36">
      <formula>K136="T"</formula>
    </cfRule>
  </conditionalFormatting>
  <conditionalFormatting sqref="K139">
    <cfRule type="expression" dxfId="40" priority="31">
      <formula>K138="X"</formula>
    </cfRule>
    <cfRule type="expression" dxfId="39" priority="32">
      <formula>K138="A"</formula>
    </cfRule>
    <cfRule type="expression" dxfId="38" priority="33">
      <formula>K138="T"</formula>
    </cfRule>
  </conditionalFormatting>
  <conditionalFormatting sqref="K142">
    <cfRule type="expression" dxfId="37" priority="28">
      <formula>K141="X"</formula>
    </cfRule>
    <cfRule type="expression" dxfId="36" priority="29">
      <formula>K141="A"</formula>
    </cfRule>
    <cfRule type="expression" dxfId="35" priority="30">
      <formula>K141="T"</formula>
    </cfRule>
  </conditionalFormatting>
  <conditionalFormatting sqref="K160">
    <cfRule type="expression" dxfId="34" priority="25">
      <formula>K159="X"</formula>
    </cfRule>
    <cfRule type="expression" dxfId="33" priority="26">
      <formula>K159="A"</formula>
    </cfRule>
    <cfRule type="expression" dxfId="32" priority="27">
      <formula>K159="T"</formula>
    </cfRule>
  </conditionalFormatting>
  <conditionalFormatting sqref="K162">
    <cfRule type="expression" dxfId="31" priority="22">
      <formula>K161="X"</formula>
    </cfRule>
    <cfRule type="expression" dxfId="30" priority="23">
      <formula>K161="A"</formula>
    </cfRule>
    <cfRule type="expression" dxfId="29" priority="24">
      <formula>K161="T"</formula>
    </cfRule>
  </conditionalFormatting>
  <conditionalFormatting sqref="K164">
    <cfRule type="expression" dxfId="28" priority="16">
      <formula>K163="X"</formula>
    </cfRule>
    <cfRule type="expression" dxfId="27" priority="17">
      <formula>K163="A"</formula>
    </cfRule>
    <cfRule type="expression" dxfId="26" priority="18">
      <formula>K163="T"</formula>
    </cfRule>
  </conditionalFormatting>
  <conditionalFormatting sqref="K198">
    <cfRule type="expression" dxfId="25" priority="13">
      <formula>K197="X"</formula>
    </cfRule>
    <cfRule type="expression" dxfId="24" priority="14">
      <formula>K197="A"</formula>
    </cfRule>
    <cfRule type="expression" dxfId="23" priority="15">
      <formula>K197="T"</formula>
    </cfRule>
  </conditionalFormatting>
  <conditionalFormatting sqref="K200">
    <cfRule type="expression" dxfId="22" priority="10">
      <formula>K199="X"</formula>
    </cfRule>
    <cfRule type="expression" dxfId="21" priority="11">
      <formula>K199="A"</formula>
    </cfRule>
    <cfRule type="expression" dxfId="20" priority="12">
      <formula>K199="T"</formula>
    </cfRule>
  </conditionalFormatting>
  <conditionalFormatting sqref="K202">
    <cfRule type="expression" dxfId="19" priority="7">
      <formula>K201="X"</formula>
    </cfRule>
    <cfRule type="expression" dxfId="18" priority="8">
      <formula>K201="A"</formula>
    </cfRule>
    <cfRule type="expression" dxfId="17" priority="9">
      <formula>K201="T"</formula>
    </cfRule>
  </conditionalFormatting>
  <conditionalFormatting sqref="K204">
    <cfRule type="expression" dxfId="16" priority="4">
      <formula>K203="X"</formula>
    </cfRule>
    <cfRule type="expression" dxfId="15" priority="5">
      <formula>K203="A"</formula>
    </cfRule>
    <cfRule type="expression" dxfId="14" priority="6">
      <formula>K203="T"</formula>
    </cfRule>
  </conditionalFormatting>
  <conditionalFormatting sqref="K208">
    <cfRule type="expression" dxfId="13" priority="1">
      <formula>K207="X"</formula>
    </cfRule>
    <cfRule type="expression" dxfId="12" priority="2">
      <formula>K207="A"</formula>
    </cfRule>
    <cfRule type="expression" dxfId="11" priority="3">
      <formula>K207="T"</formula>
    </cfRule>
  </conditionalFormatting>
  <pageMargins left="0.7" right="0.7" top="0.75" bottom="0.75" header="0.3" footer="0.3"/>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2:I14"/>
  <sheetViews>
    <sheetView topLeftCell="A13" zoomScale="85" zoomScaleNormal="85" workbookViewId="0">
      <selection activeCell="D14" sqref="D14"/>
    </sheetView>
  </sheetViews>
  <sheetFormatPr defaultRowHeight="15" x14ac:dyDescent="0.25"/>
  <cols>
    <col min="2" max="2" width="14.42578125" customWidth="1"/>
    <col min="3" max="4" width="13.85546875" customWidth="1"/>
    <col min="5" max="5" width="34.85546875" customWidth="1"/>
    <col min="6" max="6" width="33.42578125" customWidth="1"/>
    <col min="7" max="7" width="49.140625" customWidth="1"/>
    <col min="8" max="8" width="83" customWidth="1"/>
    <col min="9" max="9" width="54.28515625" customWidth="1"/>
  </cols>
  <sheetData>
    <row r="2" spans="2:9" x14ac:dyDescent="0.25">
      <c r="B2" t="s">
        <v>178</v>
      </c>
      <c r="C2" t="s">
        <v>190</v>
      </c>
      <c r="D2" t="s">
        <v>152</v>
      </c>
      <c r="E2" t="s">
        <v>193</v>
      </c>
      <c r="F2" t="s">
        <v>179</v>
      </c>
      <c r="G2" t="s">
        <v>198</v>
      </c>
      <c r="H2" t="s">
        <v>186</v>
      </c>
    </row>
    <row r="3" spans="2:9" ht="219.75" customHeight="1" x14ac:dyDescent="0.25">
      <c r="B3" t="s">
        <v>183</v>
      </c>
      <c r="C3" t="s">
        <v>191</v>
      </c>
      <c r="D3" t="s">
        <v>218</v>
      </c>
      <c r="E3" t="str">
        <f>CONCATENATE(B3&amp;C3&amp;D3)</f>
        <v>TrueBeamMonthlyMonthly QC</v>
      </c>
      <c r="F3" t="s">
        <v>207</v>
      </c>
      <c r="G3" s="55" t="s">
        <v>209</v>
      </c>
      <c r="H3" s="54" t="str">
        <f>CONCATENATE(Pad!I3&amp;'SQL Builder'!C$4&amp;Pad!I14&amp;'SQL Builder'!D5&amp;Mapping!G3)</f>
        <v>SELECT qa_testlistinstance.work_completed,units_unit.name, p.username AS performed_by, r.username AS reviewed_by, qa_testlist.name, qa_testlistinstance.id
FROM qa_testlistinstance
JOIN auth_user AS p ON qa_testlistinstance.created_by_id = p.id
JOIN auth_user AS r ON qa_testlistinstance.reviewed_by_id = r.id
JOIN qa_unittestcollection ON qa_unittestcollection.id = unit_test_collection_id
JOIN units_unit ON units_unit.id = unit_id
JOIN qa_testlist ON qa_testlist.id = test_list_id
JOIN qa_frequency ON qa_frequency.id = qa_unittestcollection.frequency_id
JOIN units_unittype ON units_unittype.id = units_unit.type_id
/*Enter username in lowercase*/
WHERE LOWER(p.username) = 'pree'
/*Enter machine name (or part of) in lowercase, i.e. %hal%, leave blank (%%) for all*/
AND LOWER(units_unittype.name) LIKE '%eclipse%'
/*Enter frequency name (or part of) in lowercase, i.e. %monthly%*/
AND (LOWER(qa_frequency.name) LIKE '%monthly%');</v>
      </c>
    </row>
    <row r="4" spans="2:9" ht="15" customHeight="1" x14ac:dyDescent="0.25">
      <c r="B4" t="s">
        <v>183</v>
      </c>
      <c r="C4" t="s">
        <v>208</v>
      </c>
      <c r="D4" t="s">
        <v>219</v>
      </c>
      <c r="E4" t="str">
        <f>CONCATENATE(B4&amp;C4&amp;D4)</f>
        <v>TrueBeamAnnualAnnual QC</v>
      </c>
      <c r="F4" t="s">
        <v>207</v>
      </c>
      <c r="G4" s="55" t="s">
        <v>210</v>
      </c>
      <c r="H4" s="41" t="str">
        <f>CONCATENATE(Pad!I3&amp;'SQL Builder'!C4&amp;Pad!I14&amp;'SQL Builder'!D5&amp;Mapping!G4)</f>
        <v>SELECT qa_testlistinstance.work_completed,units_unit.name, p.username AS performed_by, r.username AS reviewed_by, qa_testlist.name, qa_testlistinstance.id
FROM qa_testlistinstance
JOIN auth_user AS p ON qa_testlistinstance.created_by_id = p.id
JOIN auth_user AS r ON qa_testlistinstance.reviewed_by_id = r.id
JOIN qa_unittestcollection ON qa_unittestcollection.id = unit_test_collection_id
JOIN units_unit ON units_unit.id = unit_id
JOIN qa_testlist ON qa_testlist.id = test_list_id
JOIN qa_frequency ON qa_frequency.id = qa_unittestcollection.frequency_id
JOIN units_unittype ON units_unittype.id = units_unit.type_id
/*Enter username in lowercase*/
WHERE LOWER(p.username) = 'pree'
/*Enter machine name (or part of) in lowercase, i.e. %hal%, leave blank (%%) for all*/
AND LOWER(units_unittype.name) LIKE '%eclipse%'
/*Enter frequency name (or part of) in lowercase, i.e. %monthly%*/
AND (LOWER(qa_frequency.name) LIKE '%annual%');</v>
      </c>
    </row>
    <row r="5" spans="2:9" ht="15" customHeight="1" x14ac:dyDescent="0.25">
      <c r="B5" t="s">
        <v>183</v>
      </c>
      <c r="C5" t="s">
        <v>191</v>
      </c>
      <c r="D5" t="s">
        <v>22</v>
      </c>
      <c r="E5" t="str">
        <f>CONCATENATE(B5&amp;C5&amp;D5)</f>
        <v>TrueBeamMonthlyMechanicals</v>
      </c>
      <c r="F5" s="41" t="s">
        <v>212</v>
      </c>
      <c r="G5" s="42" t="s">
        <v>189</v>
      </c>
      <c r="H5" s="41" t="str">
        <f>CONCATENATE(Pad!I3&amp;'SQL Builder'!C4&amp;Pad!I14&amp;'SQL Builder'!D5&amp;Mapping!G5)</f>
        <v>SELECT qa_testlistinstance.work_completed,units_unit.name, p.username AS performed_by, r.username AS reviewed_by, qa_testlist.name, qa_testlistinstance.id
FROM qa_testlistinstance
JOIN auth_user AS p ON qa_testlistinstance.created_by_id = p.id
JOIN auth_user AS r ON qa_testlistinstance.reviewed_by_id = r.id
JOIN qa_unittestcollection ON qa_unittestcollection.id = unit_test_collection_id
JOIN units_unit ON units_unit.id = unit_id
JOIN qa_testlist ON qa_testlist.id = test_list_id
JOIN qa_frequency ON qa_frequency.id = qa_unittestcollection.frequency_id
JOIN units_unittype ON units_unittype.id = units_unit.type_id
/*Enter username in lowercase*/
WHERE LOWER(p.username) = 'pree'
/*Enter machine name (or part of) in lowercase, i.e. %hal%, leave blank (%%) for all*/
AND LOWER(units_unittype.name) LIKE '%eclipse%'
/*Enter test name (or part of) in lowercase, i.e. %outputs%*/
AND (LOWER(qa_testlist.name) LIKE '%crosswire%' OR LOWER(qa_testlist.name) LIKE '%lasers%' OR LOWER(qa_testlist.name) LIKE '%optical%' OR LOWER(qa_testlist.name) LIKE '%sag%' OR LOWER(qa_testlist.name) LIKE '%couch scale%' OR LOWER(qa_testlist.name) LIKE '%6dof%');</v>
      </c>
      <c r="I5" s="41"/>
    </row>
    <row r="6" spans="2:9" ht="14.25" customHeight="1" x14ac:dyDescent="0.25">
      <c r="B6" t="s">
        <v>183</v>
      </c>
      <c r="C6" t="s">
        <v>191</v>
      </c>
      <c r="D6" t="s">
        <v>30</v>
      </c>
      <c r="E6" t="str">
        <f t="shared" ref="E6" si="0">CONCATENATE(B6&amp;C6&amp;D6)</f>
        <v>TrueBeamMonthlyOptics Vs Radiation</v>
      </c>
      <c r="F6" s="41" t="s">
        <v>213</v>
      </c>
      <c r="G6" s="42" t="s">
        <v>199</v>
      </c>
      <c r="H6" s="54" t="str">
        <f>CONCATENATE(Pad!I3&amp;'SQL Builder'!C4&amp;Pad!I14&amp;'SQL Builder'!D5&amp;Mapping!G6)</f>
        <v>SELECT qa_testlistinstance.work_completed,units_unit.name, p.username AS performed_by, r.username AS reviewed_by, qa_testlist.name, qa_testlistinstance.id
FROM qa_testlistinstance
JOIN auth_user AS p ON qa_testlistinstance.created_by_id = p.id
JOIN auth_user AS r ON qa_testlistinstance.reviewed_by_id = r.id
JOIN qa_unittestcollection ON qa_unittestcollection.id = unit_test_collection_id
JOIN units_unit ON units_unit.id = unit_id
JOIN qa_testlist ON qa_testlist.id = test_list_id
JOIN qa_frequency ON qa_frequency.id = qa_unittestcollection.frequency_id
JOIN units_unittype ON units_unittype.id = units_unit.type_id
/*Enter username in lowercase*/
WHERE LOWER(p.username) = 'pree'
/*Enter machine name (or part of) in lowercase, i.e. %hal%, leave blank (%%) for all*/
AND LOWER(units_unittype.name) LIKE '%eclipse%'
/*Enter test name (or part of) in lowercase, i.e. %outputs%*/
AND (LOWER(qa_testlist.name) LIKE '%optics vs radiation%');</v>
      </c>
    </row>
    <row r="7" spans="2:9" ht="236.25" customHeight="1" x14ac:dyDescent="0.25">
      <c r="B7" t="s">
        <v>177</v>
      </c>
      <c r="C7" t="s">
        <v>191</v>
      </c>
      <c r="D7" t="s">
        <v>218</v>
      </c>
      <c r="E7" t="str">
        <f t="shared" ref="E7:E14" si="1">CONCATENATE(B7&amp;C7&amp;D7)</f>
        <v>HalcyonMonthlyMonthly QC</v>
      </c>
      <c r="F7" t="s">
        <v>207</v>
      </c>
      <c r="G7" s="55" t="s">
        <v>209</v>
      </c>
      <c r="H7" s="54" t="str">
        <f>CONCATENATE(Pad!I3&amp;'SQL Builder'!C4&amp;Pad!I14&amp;'SQL Builder'!D5&amp;Mapping!G7)</f>
        <v>SELECT qa_testlistinstance.work_completed,units_unit.name, p.username AS performed_by, r.username AS reviewed_by, qa_testlist.name, qa_testlistinstance.id
FROM qa_testlistinstance
JOIN auth_user AS p ON qa_testlistinstance.created_by_id = p.id
JOIN auth_user AS r ON qa_testlistinstance.reviewed_by_id = r.id
JOIN qa_unittestcollection ON qa_unittestcollection.id = unit_test_collection_id
JOIN units_unit ON units_unit.id = unit_id
JOIN qa_testlist ON qa_testlist.id = test_list_id
JOIN qa_frequency ON qa_frequency.id = qa_unittestcollection.frequency_id
JOIN units_unittype ON units_unittype.id = units_unit.type_id
/*Enter username in lowercase*/
WHERE LOWER(p.username) = 'pree'
/*Enter machine name (or part of) in lowercase, i.e. %hal%, leave blank (%%) for all*/
AND LOWER(units_unittype.name) LIKE '%eclipse%'
/*Enter frequency name (or part of) in lowercase, i.e. %monthly%*/
AND (LOWER(qa_frequency.name) LIKE '%monthly%');</v>
      </c>
    </row>
    <row r="8" spans="2:9" ht="15" customHeight="1" x14ac:dyDescent="0.25">
      <c r="B8" t="s">
        <v>223</v>
      </c>
      <c r="C8" t="s">
        <v>223</v>
      </c>
      <c r="D8" t="s">
        <v>224</v>
      </c>
      <c r="E8" t="str">
        <f t="shared" si="1"/>
        <v>AnyAnyDelta4 QC</v>
      </c>
      <c r="F8" t="s">
        <v>207</v>
      </c>
      <c r="G8" s="42" t="s">
        <v>226</v>
      </c>
      <c r="H8" t="str">
        <f>CONCATENATE(Pad!I3&amp;'SQL Builder'!C4&amp;Pad!I14&amp;'SQL Builder'!D5&amp;Mapping!G8)</f>
        <v>SELECT qa_testlistinstance.work_completed,units_unit.name, p.username AS performed_by, r.username AS reviewed_by, qa_testlist.name, qa_testlistinstance.id
FROM qa_testlistinstance
JOIN auth_user AS p ON qa_testlistinstance.created_by_id = p.id
JOIN auth_user AS r ON qa_testlistinstance.reviewed_by_id = r.id
JOIN qa_unittestcollection ON qa_unittestcollection.id = unit_test_collection_id
JOIN units_unit ON units_unit.id = unit_id
JOIN qa_testlist ON qa_testlist.id = test_list_id
JOIN qa_frequency ON qa_frequency.id = qa_unittestcollection.frequency_id
JOIN units_unittype ON units_unittype.id = units_unit.type_id
/*Enter username in lowercase*/
WHERE LOWER(p.username) = 'pree'
/*Enter machine name (or part of) in lowercase, i.e. %hal%, leave blank (%%) for all*/
AND LOWER(units_unittype.name) LIKE '%eclipse%'
/*Enter test name (or part of) in lowercase, i.e. %outputs%*/
AND (LOWER(qa_testlist.name) LIKE '%delta%');</v>
      </c>
    </row>
    <row r="9" spans="2:9" ht="60" x14ac:dyDescent="0.25">
      <c r="B9" t="s">
        <v>91</v>
      </c>
      <c r="C9" t="s">
        <v>223</v>
      </c>
      <c r="D9" t="s">
        <v>230</v>
      </c>
      <c r="E9" t="str">
        <f t="shared" si="1"/>
        <v>DefinitionAnyCT QC</v>
      </c>
      <c r="F9" t="s">
        <v>207</v>
      </c>
      <c r="G9" s="42" t="s">
        <v>231</v>
      </c>
      <c r="H9" t="str">
        <f>CONCATENATE(Pad!I3&amp;'SQL Builder'!C4&amp;Pad!I14&amp;'SQL Builder'!D5&amp;Mapping!G9)</f>
        <v>SELECT qa_testlistinstance.work_completed,units_unit.name, p.username AS performed_by, r.username AS reviewed_by, qa_testlist.name, qa_testlistinstance.id
FROM qa_testlistinstance
JOIN auth_user AS p ON qa_testlistinstance.created_by_id = p.id
JOIN auth_user AS r ON qa_testlistinstance.reviewed_by_id = r.id
JOIN qa_unittestcollection ON qa_unittestcollection.id = unit_test_collection_id
JOIN units_unit ON units_unit.id = unit_id
JOIN qa_testlist ON qa_testlist.id = test_list_id
JOIN qa_frequency ON qa_frequency.id = qa_unittestcollection.frequency_id
JOIN units_unittype ON units_unittype.id = units_unit.type_id
/*Enter username in lowercase*/
WHERE LOWER(p.username) = 'pree'
/*Enter machine name (or part of) in lowercase, i.e. %hal%, leave blank (%%) for all*/
AND LOWER(units_unittype.name) LIKE '%eclipse%'
/*Enter frequency name (or part of) in lowercase, i.e. %monthly%*/
AND (LOWER(qa_frequency.name) LIKE '%%');</v>
      </c>
    </row>
    <row r="10" spans="2:9" ht="60" x14ac:dyDescent="0.25">
      <c r="B10" t="s">
        <v>227</v>
      </c>
      <c r="C10" t="s">
        <v>223</v>
      </c>
      <c r="D10" t="s">
        <v>230</v>
      </c>
      <c r="E10" t="str">
        <f t="shared" si="1"/>
        <v>GoOpenProAnyCT QC</v>
      </c>
      <c r="F10" t="s">
        <v>207</v>
      </c>
      <c r="G10" s="42" t="s">
        <v>231</v>
      </c>
      <c r="H10" t="str">
        <f>CONCATENATE(Pad!I3&amp;'SQL Builder'!C4&amp;Pad!I14&amp;'SQL Builder'!D5&amp;Mapping!G10)</f>
        <v>SELECT qa_testlistinstance.work_completed,units_unit.name, p.username AS performed_by, r.username AS reviewed_by, qa_testlist.name, qa_testlistinstance.id
FROM qa_testlistinstance
JOIN auth_user AS p ON qa_testlistinstance.created_by_id = p.id
JOIN auth_user AS r ON qa_testlistinstance.reviewed_by_id = r.id
JOIN qa_unittestcollection ON qa_unittestcollection.id = unit_test_collection_id
JOIN units_unit ON units_unit.id = unit_id
JOIN qa_testlist ON qa_testlist.id = test_list_id
JOIN qa_frequency ON qa_frequency.id = qa_unittestcollection.frequency_id
JOIN units_unittype ON units_unittype.id = units_unit.type_id
/*Enter username in lowercase*/
WHERE LOWER(p.username) = 'pree'
/*Enter machine name (or part of) in lowercase, i.e. %hal%, leave blank (%%) for all*/
AND LOWER(units_unittype.name) LIKE '%eclipse%'
/*Enter frequency name (or part of) in lowercase, i.e. %monthly%*/
AND (LOWER(qa_frequency.name) LIKE '%%');</v>
      </c>
    </row>
    <row r="11" spans="2:9" ht="225" x14ac:dyDescent="0.25">
      <c r="B11" t="s">
        <v>177</v>
      </c>
      <c r="C11" t="s">
        <v>208</v>
      </c>
      <c r="D11" t="s">
        <v>219</v>
      </c>
      <c r="E11" t="str">
        <f t="shared" si="1"/>
        <v>HalcyonAnnualAnnual QC</v>
      </c>
      <c r="F11" t="s">
        <v>207</v>
      </c>
      <c r="G11" s="55" t="s">
        <v>210</v>
      </c>
      <c r="H11" s="54" t="str">
        <f>CONCATENATE(Pad!I3&amp;'SQL Builder'!C4&amp;Pad!I14&amp;'SQL Builder'!D5&amp;Mapping!G11)</f>
        <v>SELECT qa_testlistinstance.work_completed,units_unit.name, p.username AS performed_by, r.username AS reviewed_by, qa_testlist.name, qa_testlistinstance.id
FROM qa_testlistinstance
JOIN auth_user AS p ON qa_testlistinstance.created_by_id = p.id
JOIN auth_user AS r ON qa_testlistinstance.reviewed_by_id = r.id
JOIN qa_unittestcollection ON qa_unittestcollection.id = unit_test_collection_id
JOIN units_unit ON units_unit.id = unit_id
JOIN qa_testlist ON qa_testlist.id = test_list_id
JOIN qa_frequency ON qa_frequency.id = qa_unittestcollection.frequency_id
JOIN units_unittype ON units_unittype.id = units_unit.type_id
/*Enter username in lowercase*/
WHERE LOWER(p.username) = 'pree'
/*Enter machine name (or part of) in lowercase, i.e. %hal%, leave blank (%%) for all*/
AND LOWER(units_unittype.name) LIKE '%eclipse%'
/*Enter frequency name (or part of) in lowercase, i.e. %monthly%*/
AND (LOWER(qa_frequency.name) LIKE '%annual%');</v>
      </c>
    </row>
    <row r="12" spans="2:9" ht="15" customHeight="1" x14ac:dyDescent="0.25">
      <c r="B12" t="s">
        <v>177</v>
      </c>
      <c r="C12" t="s">
        <v>196</v>
      </c>
      <c r="D12" t="s">
        <v>247</v>
      </c>
      <c r="E12" t="str">
        <f t="shared" si="1"/>
        <v>HalcyonQuarterlyQuarterly QC</v>
      </c>
      <c r="F12" t="s">
        <v>207</v>
      </c>
      <c r="G12" s="55" t="s">
        <v>248</v>
      </c>
      <c r="H12" s="54" t="str">
        <f>CONCATENATE(Pad!I3&amp;'SQL Builder'!C4&amp;Pad!I14&amp;'SQL Builder'!D5&amp;Mapping!G12)</f>
        <v>SELECT qa_testlistinstance.work_completed,units_unit.name, p.username AS performed_by, r.username AS reviewed_by, qa_testlist.name, qa_testlistinstance.id
FROM qa_testlistinstance
JOIN auth_user AS p ON qa_testlistinstance.created_by_id = p.id
JOIN auth_user AS r ON qa_testlistinstance.reviewed_by_id = r.id
JOIN qa_unittestcollection ON qa_unittestcollection.id = unit_test_collection_id
JOIN units_unit ON units_unit.id = unit_id
JOIN qa_testlist ON qa_testlist.id = test_list_id
JOIN qa_frequency ON qa_frequency.id = qa_unittestcollection.frequency_id
JOIN units_unittype ON units_unittype.id = units_unit.type_id
/*Enter username in lowercase*/
WHERE LOWER(p.username) = 'pree'
/*Enter machine name (or part of) in lowercase, i.e. %hal%, leave blank (%%) for all*/
AND LOWER(units_unittype.name) LIKE '%eclipse%'
/*Enter frequency name (or part of) in lowercase, i.e. %monthly%*/
AND (LOWER(qa_frequency.name) LIKE '%quarterly%');</v>
      </c>
    </row>
    <row r="13" spans="2:9" ht="234.75" customHeight="1" x14ac:dyDescent="0.25">
      <c r="B13" t="s">
        <v>177</v>
      </c>
      <c r="C13" t="s">
        <v>223</v>
      </c>
      <c r="D13" t="s">
        <v>223</v>
      </c>
      <c r="E13" t="str">
        <f t="shared" si="1"/>
        <v>HalcyonAnyAny</v>
      </c>
      <c r="F13" t="s">
        <v>207</v>
      </c>
      <c r="G13" s="55" t="s">
        <v>231</v>
      </c>
      <c r="H13" s="77" t="s">
        <v>249</v>
      </c>
    </row>
    <row r="14" spans="2:9" ht="75" x14ac:dyDescent="0.25">
      <c r="B14" t="s">
        <v>305</v>
      </c>
      <c r="C14" t="s">
        <v>191</v>
      </c>
      <c r="D14" t="s">
        <v>218</v>
      </c>
      <c r="E14" t="str">
        <f t="shared" si="1"/>
        <v>EclipseMonthlyMonthly QC</v>
      </c>
      <c r="F14" t="s">
        <v>207</v>
      </c>
      <c r="G14" s="55" t="s">
        <v>209</v>
      </c>
      <c r="H14" s="54" t="str">
        <f>CONCATENATE(Pad!I3&amp;'SQL Builder'!C$4&amp;Pad!I14&amp;'SQL Builder'!D5&amp;Mapping!G14)</f>
        <v>SELECT qa_testlistinstance.work_completed,units_unit.name, p.username AS performed_by, r.username AS reviewed_by, qa_testlist.name, qa_testlistinstance.id
FROM qa_testlistinstance
JOIN auth_user AS p ON qa_testlistinstance.created_by_id = p.id
JOIN auth_user AS r ON qa_testlistinstance.reviewed_by_id = r.id
JOIN qa_unittestcollection ON qa_unittestcollection.id = unit_test_collection_id
JOIN units_unit ON units_unit.id = unit_id
JOIN qa_testlist ON qa_testlist.id = test_list_id
JOIN qa_frequency ON qa_frequency.id = qa_unittestcollection.frequency_id
JOIN units_unittype ON units_unittype.id = units_unit.type_id
/*Enter username in lowercase*/
WHERE LOWER(p.username) = 'pree'
/*Enter machine name (or part of) in lowercase, i.e. %hal%, leave blank (%%) for all*/
AND LOWER(units_unittype.name) LIKE '%eclipse%'
/*Enter frequency name (or part of) in lowercase, i.e. %monthly%*/
AND (LOWER(qa_frequency.name) LIKE '%monthly%');</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B2:R804"/>
  <sheetViews>
    <sheetView workbookViewId="0">
      <selection activeCell="S13" sqref="S13"/>
    </sheetView>
  </sheetViews>
  <sheetFormatPr defaultRowHeight="15" x14ac:dyDescent="0.25"/>
  <cols>
    <col min="1" max="1" width="9.140625" style="1"/>
    <col min="2" max="2" width="14.7109375" style="1" customWidth="1"/>
    <col min="3" max="3" width="15.28515625" style="1" customWidth="1"/>
    <col min="4" max="10" width="9.140625" style="1"/>
    <col min="11" max="11" width="19.140625" style="1" customWidth="1"/>
    <col min="12" max="16384" width="9.140625" style="1"/>
  </cols>
  <sheetData>
    <row r="2" spans="2:18" x14ac:dyDescent="0.25">
      <c r="B2" s="48" t="s">
        <v>200</v>
      </c>
      <c r="C2" s="47"/>
      <c r="D2" s="47"/>
      <c r="E2" s="47"/>
      <c r="F2" s="47"/>
      <c r="G2" s="47"/>
      <c r="H2" s="47"/>
      <c r="I2" s="47"/>
      <c r="K2" s="48" t="s">
        <v>201</v>
      </c>
      <c r="L2" s="47"/>
      <c r="M2" s="47"/>
      <c r="N2" s="47"/>
      <c r="O2" s="47"/>
      <c r="P2" s="47"/>
      <c r="Q2" s="47"/>
      <c r="R2" s="47"/>
    </row>
    <row r="4" spans="2:18" x14ac:dyDescent="0.25">
      <c r="B4" s="46" t="s">
        <v>181</v>
      </c>
      <c r="C4" s="46" t="s">
        <v>246</v>
      </c>
      <c r="K4" t="s">
        <v>250</v>
      </c>
      <c r="L4" t="s">
        <v>251</v>
      </c>
      <c r="M4" t="s">
        <v>295</v>
      </c>
      <c r="N4" t="s">
        <v>296</v>
      </c>
      <c r="O4" t="s">
        <v>251</v>
      </c>
      <c r="P4" t="s">
        <v>252</v>
      </c>
    </row>
    <row r="5" spans="2:18" x14ac:dyDescent="0.25">
      <c r="B5" s="46" t="s">
        <v>182</v>
      </c>
      <c r="C5" s="46" t="s">
        <v>305</v>
      </c>
      <c r="D5" s="43" t="str">
        <f>INDEX(Pad!C3:C8,MATCH(C5,Pad!B3:B8,0),1)</f>
        <v>eclipse</v>
      </c>
      <c r="K5" t="s">
        <v>307</v>
      </c>
      <c r="L5" t="s">
        <v>253</v>
      </c>
      <c r="M5" t="s">
        <v>246</v>
      </c>
      <c r="N5" t="s">
        <v>302</v>
      </c>
      <c r="O5" t="s">
        <v>273</v>
      </c>
      <c r="P5">
        <v>1712</v>
      </c>
    </row>
    <row r="6" spans="2:18" x14ac:dyDescent="0.25">
      <c r="B6" s="46" t="s">
        <v>192</v>
      </c>
      <c r="C6" s="46" t="s">
        <v>194</v>
      </c>
      <c r="D6" s="43"/>
      <c r="K6" t="s">
        <v>308</v>
      </c>
      <c r="L6" t="s">
        <v>253</v>
      </c>
      <c r="M6" t="s">
        <v>246</v>
      </c>
      <c r="N6" t="s">
        <v>302</v>
      </c>
      <c r="O6" t="s">
        <v>267</v>
      </c>
      <c r="P6">
        <v>1713</v>
      </c>
    </row>
    <row r="7" spans="2:18" x14ac:dyDescent="0.25">
      <c r="B7" s="46" t="s">
        <v>184</v>
      </c>
      <c r="C7" s="46" t="s">
        <v>218</v>
      </c>
      <c r="E7" s="43" t="s">
        <v>197</v>
      </c>
      <c r="F7" s="43" t="str">
        <f>CONCATENATE(C5&amp;C6&amp;C7)</f>
        <v>EclipseDailyMonthly QC</v>
      </c>
      <c r="K7" t="s">
        <v>309</v>
      </c>
      <c r="L7" t="s">
        <v>253</v>
      </c>
      <c r="M7" t="s">
        <v>246</v>
      </c>
      <c r="N7" t="s">
        <v>302</v>
      </c>
      <c r="O7" t="s">
        <v>268</v>
      </c>
      <c r="P7">
        <v>1726</v>
      </c>
    </row>
    <row r="8" spans="2:18" ht="15" customHeight="1" x14ac:dyDescent="0.25">
      <c r="B8" s="44" t="s">
        <v>185</v>
      </c>
      <c r="C8" s="190" t="e">
        <f>INDEX(Mapping!H3:H14,(MATCH(F7,Mapping!E3:E14,0)),1)</f>
        <v>#N/A</v>
      </c>
      <c r="D8" s="191"/>
      <c r="E8" s="191"/>
      <c r="F8" s="191"/>
      <c r="G8" s="191"/>
      <c r="H8" s="191"/>
      <c r="I8" s="192"/>
      <c r="K8" t="s">
        <v>329</v>
      </c>
      <c r="L8" t="s">
        <v>272</v>
      </c>
      <c r="M8" t="s">
        <v>246</v>
      </c>
      <c r="N8" t="s">
        <v>330</v>
      </c>
      <c r="O8" t="s">
        <v>284</v>
      </c>
      <c r="P8">
        <v>3013</v>
      </c>
    </row>
    <row r="9" spans="2:18" x14ac:dyDescent="0.25">
      <c r="B9" s="44"/>
      <c r="C9" s="193"/>
      <c r="D9" s="194"/>
      <c r="E9" s="194"/>
      <c r="F9" s="194"/>
      <c r="G9" s="194"/>
      <c r="H9" s="194"/>
      <c r="I9" s="195"/>
      <c r="K9" t="s">
        <v>350</v>
      </c>
      <c r="L9" t="s">
        <v>272</v>
      </c>
      <c r="M9" t="s">
        <v>246</v>
      </c>
      <c r="N9" t="s">
        <v>297</v>
      </c>
      <c r="O9" t="s">
        <v>267</v>
      </c>
      <c r="P9">
        <v>3014</v>
      </c>
    </row>
    <row r="10" spans="2:18" x14ac:dyDescent="0.25">
      <c r="B10" s="44"/>
      <c r="C10" s="193"/>
      <c r="D10" s="194"/>
      <c r="E10" s="194"/>
      <c r="F10" s="194"/>
      <c r="G10" s="194"/>
      <c r="H10" s="194"/>
      <c r="I10" s="195"/>
      <c r="K10" t="s">
        <v>436</v>
      </c>
      <c r="L10" t="s">
        <v>291</v>
      </c>
      <c r="M10" t="s">
        <v>246</v>
      </c>
      <c r="N10" t="s">
        <v>297</v>
      </c>
      <c r="O10" t="s">
        <v>265</v>
      </c>
      <c r="P10">
        <v>3108</v>
      </c>
    </row>
    <row r="11" spans="2:18" x14ac:dyDescent="0.25">
      <c r="B11" s="44"/>
      <c r="C11" s="193"/>
      <c r="D11" s="194"/>
      <c r="E11" s="194"/>
      <c r="F11" s="194"/>
      <c r="G11" s="194"/>
      <c r="H11" s="194"/>
      <c r="I11" s="195"/>
      <c r="K11" t="s">
        <v>444</v>
      </c>
      <c r="L11" t="s">
        <v>291</v>
      </c>
      <c r="M11" t="s">
        <v>246</v>
      </c>
      <c r="N11" t="s">
        <v>298</v>
      </c>
      <c r="O11" t="s">
        <v>271</v>
      </c>
      <c r="P11">
        <v>3109</v>
      </c>
    </row>
    <row r="12" spans="2:18" x14ac:dyDescent="0.25">
      <c r="B12" s="44"/>
      <c r="C12" s="193"/>
      <c r="D12" s="194"/>
      <c r="E12" s="194"/>
      <c r="F12" s="194"/>
      <c r="G12" s="194"/>
      <c r="H12" s="194"/>
      <c r="I12" s="195"/>
      <c r="K12" t="s">
        <v>409</v>
      </c>
      <c r="L12" t="s">
        <v>291</v>
      </c>
      <c r="M12" t="s">
        <v>246</v>
      </c>
      <c r="N12" t="s">
        <v>298</v>
      </c>
      <c r="O12" t="s">
        <v>254</v>
      </c>
      <c r="P12">
        <v>3110</v>
      </c>
    </row>
    <row r="13" spans="2:18" x14ac:dyDescent="0.25">
      <c r="B13" s="44"/>
      <c r="C13" s="193"/>
      <c r="D13" s="194"/>
      <c r="E13" s="194"/>
      <c r="F13" s="194"/>
      <c r="G13" s="194"/>
      <c r="H13" s="194"/>
      <c r="I13" s="195"/>
      <c r="K13" t="s">
        <v>325</v>
      </c>
      <c r="L13" t="s">
        <v>272</v>
      </c>
      <c r="M13" t="s">
        <v>246</v>
      </c>
      <c r="N13" t="s">
        <v>297</v>
      </c>
      <c r="O13" t="s">
        <v>265</v>
      </c>
      <c r="P13">
        <v>3602</v>
      </c>
    </row>
    <row r="14" spans="2:18" x14ac:dyDescent="0.25">
      <c r="B14" s="44"/>
      <c r="C14" s="193"/>
      <c r="D14" s="194"/>
      <c r="E14" s="194"/>
      <c r="F14" s="194"/>
      <c r="G14" s="194"/>
      <c r="H14" s="194"/>
      <c r="I14" s="195"/>
      <c r="K14" t="s">
        <v>339</v>
      </c>
      <c r="L14" t="s">
        <v>272</v>
      </c>
      <c r="M14" t="s">
        <v>246</v>
      </c>
      <c r="N14" t="s">
        <v>297</v>
      </c>
      <c r="O14" t="s">
        <v>260</v>
      </c>
      <c r="P14">
        <v>3603</v>
      </c>
    </row>
    <row r="15" spans="2:18" x14ac:dyDescent="0.25">
      <c r="B15" s="44"/>
      <c r="C15" s="193"/>
      <c r="D15" s="194"/>
      <c r="E15" s="194"/>
      <c r="F15" s="194"/>
      <c r="G15" s="194"/>
      <c r="H15" s="194"/>
      <c r="I15" s="195"/>
      <c r="K15" t="s">
        <v>321</v>
      </c>
      <c r="L15" t="s">
        <v>272</v>
      </c>
      <c r="M15" t="s">
        <v>246</v>
      </c>
      <c r="N15" t="s">
        <v>246</v>
      </c>
      <c r="O15" t="s">
        <v>263</v>
      </c>
      <c r="P15">
        <v>3815</v>
      </c>
    </row>
    <row r="16" spans="2:18" x14ac:dyDescent="0.25">
      <c r="B16" s="44"/>
      <c r="C16" s="193"/>
      <c r="D16" s="194"/>
      <c r="E16" s="194"/>
      <c r="F16" s="194"/>
      <c r="G16" s="194"/>
      <c r="H16" s="194"/>
      <c r="I16" s="195"/>
      <c r="K16" t="s">
        <v>368</v>
      </c>
      <c r="L16" t="s">
        <v>276</v>
      </c>
      <c r="M16" t="s">
        <v>246</v>
      </c>
      <c r="N16" t="s">
        <v>246</v>
      </c>
      <c r="O16" t="s">
        <v>262</v>
      </c>
      <c r="P16">
        <v>3983</v>
      </c>
    </row>
    <row r="17" spans="2:16" ht="15" customHeight="1" x14ac:dyDescent="0.25">
      <c r="B17" s="45"/>
      <c r="C17" s="196"/>
      <c r="D17" s="197"/>
      <c r="E17" s="197"/>
      <c r="F17" s="197"/>
      <c r="G17" s="197"/>
      <c r="H17" s="197"/>
      <c r="I17" s="198"/>
      <c r="K17" t="s">
        <v>360</v>
      </c>
      <c r="L17" t="s">
        <v>276</v>
      </c>
      <c r="M17" t="s">
        <v>246</v>
      </c>
      <c r="N17" t="s">
        <v>297</v>
      </c>
      <c r="O17" t="s">
        <v>264</v>
      </c>
      <c r="P17">
        <v>3985</v>
      </c>
    </row>
    <row r="18" spans="2:16" x14ac:dyDescent="0.25">
      <c r="K18" t="s">
        <v>364</v>
      </c>
      <c r="L18" t="s">
        <v>276</v>
      </c>
      <c r="M18" t="s">
        <v>246</v>
      </c>
      <c r="N18" t="s">
        <v>246</v>
      </c>
      <c r="O18" t="s">
        <v>258</v>
      </c>
      <c r="P18">
        <v>3989</v>
      </c>
    </row>
    <row r="19" spans="2:16" x14ac:dyDescent="0.25">
      <c r="K19" t="s">
        <v>377</v>
      </c>
      <c r="L19" t="s">
        <v>276</v>
      </c>
      <c r="M19" t="s">
        <v>246</v>
      </c>
      <c r="N19" t="s">
        <v>297</v>
      </c>
      <c r="O19" t="s">
        <v>265</v>
      </c>
      <c r="P19">
        <v>3990</v>
      </c>
    </row>
    <row r="20" spans="2:16" x14ac:dyDescent="0.25">
      <c r="K20" t="s">
        <v>361</v>
      </c>
      <c r="L20" t="s">
        <v>276</v>
      </c>
      <c r="M20" t="s">
        <v>246</v>
      </c>
      <c r="N20" t="s">
        <v>297</v>
      </c>
      <c r="O20" t="s">
        <v>275</v>
      </c>
      <c r="P20">
        <v>4416</v>
      </c>
    </row>
    <row r="21" spans="2:16" x14ac:dyDescent="0.25">
      <c r="K21" t="s">
        <v>369</v>
      </c>
      <c r="L21" t="s">
        <v>276</v>
      </c>
      <c r="M21" t="s">
        <v>246</v>
      </c>
      <c r="N21" t="s">
        <v>246</v>
      </c>
      <c r="O21" t="s">
        <v>267</v>
      </c>
      <c r="P21">
        <v>4417</v>
      </c>
    </row>
    <row r="22" spans="2:16" x14ac:dyDescent="0.25">
      <c r="K22" t="s">
        <v>375</v>
      </c>
      <c r="L22" t="s">
        <v>276</v>
      </c>
      <c r="M22" t="s">
        <v>246</v>
      </c>
      <c r="N22" t="s">
        <v>297</v>
      </c>
      <c r="O22" t="s">
        <v>284</v>
      </c>
      <c r="P22">
        <v>4415</v>
      </c>
    </row>
    <row r="23" spans="2:16" x14ac:dyDescent="0.25">
      <c r="K23" t="s">
        <v>437</v>
      </c>
      <c r="L23" t="s">
        <v>291</v>
      </c>
      <c r="M23" t="s">
        <v>246</v>
      </c>
      <c r="N23" t="s">
        <v>297</v>
      </c>
      <c r="O23" t="s">
        <v>256</v>
      </c>
      <c r="P23">
        <v>4922</v>
      </c>
    </row>
    <row r="24" spans="2:16" x14ac:dyDescent="0.25">
      <c r="K24" t="s">
        <v>371</v>
      </c>
      <c r="L24" t="s">
        <v>276</v>
      </c>
      <c r="M24" t="s">
        <v>246</v>
      </c>
      <c r="N24" t="s">
        <v>302</v>
      </c>
      <c r="O24" t="s">
        <v>283</v>
      </c>
      <c r="P24">
        <v>5161</v>
      </c>
    </row>
    <row r="25" spans="2:16" x14ac:dyDescent="0.25">
      <c r="K25" t="s">
        <v>357</v>
      </c>
      <c r="L25" t="s">
        <v>276</v>
      </c>
      <c r="M25" t="s">
        <v>246</v>
      </c>
      <c r="N25" t="s">
        <v>297</v>
      </c>
      <c r="O25" t="s">
        <v>274</v>
      </c>
      <c r="P25">
        <v>5162</v>
      </c>
    </row>
    <row r="26" spans="2:16" x14ac:dyDescent="0.25">
      <c r="K26" t="s">
        <v>400</v>
      </c>
      <c r="L26" t="s">
        <v>285</v>
      </c>
      <c r="M26" t="s">
        <v>246</v>
      </c>
      <c r="N26" t="s">
        <v>297</v>
      </c>
      <c r="O26" t="s">
        <v>254</v>
      </c>
      <c r="P26">
        <v>5474</v>
      </c>
    </row>
    <row r="27" spans="2:16" x14ac:dyDescent="0.25">
      <c r="K27" t="s">
        <v>389</v>
      </c>
      <c r="L27" t="s">
        <v>285</v>
      </c>
      <c r="M27" t="s">
        <v>246</v>
      </c>
      <c r="N27" t="s">
        <v>297</v>
      </c>
      <c r="O27" t="s">
        <v>271</v>
      </c>
      <c r="P27">
        <v>5475</v>
      </c>
    </row>
    <row r="28" spans="2:16" x14ac:dyDescent="0.25">
      <c r="K28" t="s">
        <v>383</v>
      </c>
      <c r="L28" t="s">
        <v>285</v>
      </c>
      <c r="M28" t="s">
        <v>246</v>
      </c>
      <c r="N28" t="s">
        <v>246</v>
      </c>
      <c r="O28" t="s">
        <v>260</v>
      </c>
      <c r="P28">
        <v>6467</v>
      </c>
    </row>
    <row r="29" spans="2:16" x14ac:dyDescent="0.25">
      <c r="K29" t="s">
        <v>385</v>
      </c>
      <c r="L29" t="s">
        <v>285</v>
      </c>
      <c r="M29" t="s">
        <v>246</v>
      </c>
      <c r="N29" t="s">
        <v>246</v>
      </c>
      <c r="O29" t="s">
        <v>262</v>
      </c>
      <c r="P29">
        <v>6468</v>
      </c>
    </row>
    <row r="30" spans="2:16" x14ac:dyDescent="0.25">
      <c r="K30" t="s">
        <v>449</v>
      </c>
      <c r="L30" t="s">
        <v>291</v>
      </c>
      <c r="M30" t="s">
        <v>246</v>
      </c>
      <c r="N30" t="s">
        <v>297</v>
      </c>
      <c r="O30" t="s">
        <v>282</v>
      </c>
      <c r="P30">
        <v>6545</v>
      </c>
    </row>
    <row r="31" spans="2:16" x14ac:dyDescent="0.25">
      <c r="K31" t="s">
        <v>421</v>
      </c>
      <c r="L31" t="s">
        <v>291</v>
      </c>
      <c r="M31" t="s">
        <v>246</v>
      </c>
      <c r="N31" t="s">
        <v>297</v>
      </c>
      <c r="O31" t="s">
        <v>288</v>
      </c>
      <c r="P31">
        <v>6546</v>
      </c>
    </row>
    <row r="32" spans="2:16" x14ac:dyDescent="0.25">
      <c r="K32" t="s">
        <v>419</v>
      </c>
      <c r="L32" t="s">
        <v>291</v>
      </c>
      <c r="M32" t="s">
        <v>246</v>
      </c>
      <c r="N32" t="s">
        <v>297</v>
      </c>
      <c r="O32" t="s">
        <v>259</v>
      </c>
      <c r="P32">
        <v>6547</v>
      </c>
    </row>
    <row r="33" spans="11:16" x14ac:dyDescent="0.25">
      <c r="K33" t="s">
        <v>412</v>
      </c>
      <c r="L33" t="s">
        <v>291</v>
      </c>
      <c r="M33" t="s">
        <v>246</v>
      </c>
      <c r="N33" t="s">
        <v>297</v>
      </c>
      <c r="O33" t="s">
        <v>261</v>
      </c>
      <c r="P33">
        <v>6554</v>
      </c>
    </row>
    <row r="34" spans="11:16" x14ac:dyDescent="0.25">
      <c r="K34" t="s">
        <v>441</v>
      </c>
      <c r="L34" t="s">
        <v>291</v>
      </c>
      <c r="M34" t="s">
        <v>246</v>
      </c>
      <c r="N34" t="s">
        <v>297</v>
      </c>
      <c r="O34" t="s">
        <v>275</v>
      </c>
      <c r="P34">
        <v>6557</v>
      </c>
    </row>
    <row r="35" spans="11:16" x14ac:dyDescent="0.25">
      <c r="K35" t="s">
        <v>417</v>
      </c>
      <c r="L35" t="s">
        <v>291</v>
      </c>
      <c r="M35" t="s">
        <v>246</v>
      </c>
      <c r="N35" t="s">
        <v>297</v>
      </c>
      <c r="O35" t="s">
        <v>292</v>
      </c>
      <c r="P35">
        <v>6559</v>
      </c>
    </row>
    <row r="36" spans="11:16" x14ac:dyDescent="0.25">
      <c r="K36" t="s">
        <v>407</v>
      </c>
      <c r="L36" t="s">
        <v>291</v>
      </c>
      <c r="M36" t="s">
        <v>246</v>
      </c>
      <c r="N36" t="s">
        <v>297</v>
      </c>
      <c r="O36" t="s">
        <v>290</v>
      </c>
      <c r="P36">
        <v>6561</v>
      </c>
    </row>
    <row r="37" spans="11:16" x14ac:dyDescent="0.25">
      <c r="K37" t="s">
        <v>445</v>
      </c>
      <c r="L37" t="s">
        <v>291</v>
      </c>
      <c r="M37" t="s">
        <v>246</v>
      </c>
      <c r="N37" t="s">
        <v>297</v>
      </c>
      <c r="O37" t="s">
        <v>287</v>
      </c>
      <c r="P37">
        <v>6560</v>
      </c>
    </row>
    <row r="38" spans="11:16" x14ac:dyDescent="0.25">
      <c r="K38" t="s">
        <v>414</v>
      </c>
      <c r="L38" t="s">
        <v>291</v>
      </c>
      <c r="M38" t="s">
        <v>246</v>
      </c>
      <c r="N38" t="s">
        <v>301</v>
      </c>
      <c r="O38" t="s">
        <v>269</v>
      </c>
      <c r="P38">
        <v>6566</v>
      </c>
    </row>
    <row r="39" spans="11:16" x14ac:dyDescent="0.25">
      <c r="K39" t="s">
        <v>432</v>
      </c>
      <c r="L39" t="s">
        <v>291</v>
      </c>
      <c r="M39" t="s">
        <v>246</v>
      </c>
      <c r="N39" t="s">
        <v>301</v>
      </c>
      <c r="O39" t="s">
        <v>255</v>
      </c>
      <c r="P39">
        <v>6568</v>
      </c>
    </row>
    <row r="40" spans="11:16" x14ac:dyDescent="0.25">
      <c r="K40" t="s">
        <v>411</v>
      </c>
      <c r="L40" t="s">
        <v>291</v>
      </c>
      <c r="M40" t="s">
        <v>246</v>
      </c>
      <c r="N40" t="s">
        <v>297</v>
      </c>
      <c r="O40" t="s">
        <v>283</v>
      </c>
      <c r="P40">
        <v>6569</v>
      </c>
    </row>
    <row r="41" spans="11:16" x14ac:dyDescent="0.25">
      <c r="K41" t="s">
        <v>312</v>
      </c>
      <c r="L41" t="s">
        <v>272</v>
      </c>
      <c r="M41" t="s">
        <v>246</v>
      </c>
      <c r="N41" t="s">
        <v>297</v>
      </c>
      <c r="O41" t="s">
        <v>271</v>
      </c>
      <c r="P41">
        <v>7501</v>
      </c>
    </row>
    <row r="42" spans="11:16" x14ac:dyDescent="0.25">
      <c r="K42" t="s">
        <v>362</v>
      </c>
      <c r="L42" t="s">
        <v>276</v>
      </c>
      <c r="M42" t="s">
        <v>246</v>
      </c>
      <c r="N42" t="s">
        <v>246</v>
      </c>
      <c r="O42" t="s">
        <v>275</v>
      </c>
      <c r="P42">
        <v>7695</v>
      </c>
    </row>
    <row r="43" spans="11:16" x14ac:dyDescent="0.25">
      <c r="K43" t="s">
        <v>340</v>
      </c>
      <c r="L43" t="s">
        <v>272</v>
      </c>
      <c r="M43" t="s">
        <v>246</v>
      </c>
      <c r="N43" t="s">
        <v>246</v>
      </c>
      <c r="O43" t="s">
        <v>260</v>
      </c>
      <c r="P43">
        <v>8110</v>
      </c>
    </row>
    <row r="44" spans="11:16" x14ac:dyDescent="0.25">
      <c r="K44" t="s">
        <v>333</v>
      </c>
      <c r="L44" t="s">
        <v>272</v>
      </c>
      <c r="M44" t="s">
        <v>246</v>
      </c>
      <c r="N44" t="s">
        <v>297</v>
      </c>
      <c r="O44" t="s">
        <v>262</v>
      </c>
      <c r="P44">
        <v>8111</v>
      </c>
    </row>
    <row r="45" spans="11:16" x14ac:dyDescent="0.25">
      <c r="K45" t="s">
        <v>342</v>
      </c>
      <c r="L45" t="s">
        <v>272</v>
      </c>
      <c r="M45" t="s">
        <v>246</v>
      </c>
      <c r="N45" t="s">
        <v>246</v>
      </c>
      <c r="O45" t="s">
        <v>258</v>
      </c>
      <c r="P45">
        <v>8113</v>
      </c>
    </row>
    <row r="46" spans="11:16" x14ac:dyDescent="0.25">
      <c r="K46" t="s">
        <v>323</v>
      </c>
      <c r="L46" t="s">
        <v>272</v>
      </c>
      <c r="M46" t="s">
        <v>246</v>
      </c>
      <c r="N46" t="s">
        <v>246</v>
      </c>
      <c r="O46" t="s">
        <v>264</v>
      </c>
      <c r="P46">
        <v>8114</v>
      </c>
    </row>
    <row r="47" spans="11:16" x14ac:dyDescent="0.25">
      <c r="K47" t="s">
        <v>337</v>
      </c>
      <c r="L47" t="s">
        <v>272</v>
      </c>
      <c r="M47" t="s">
        <v>246</v>
      </c>
      <c r="N47" t="s">
        <v>246</v>
      </c>
      <c r="O47" t="s">
        <v>278</v>
      </c>
      <c r="P47">
        <v>8115</v>
      </c>
    </row>
    <row r="48" spans="11:16" x14ac:dyDescent="0.25">
      <c r="K48" t="s">
        <v>310</v>
      </c>
      <c r="L48" t="s">
        <v>272</v>
      </c>
      <c r="M48" t="s">
        <v>246</v>
      </c>
      <c r="N48" t="s">
        <v>246</v>
      </c>
      <c r="O48" t="s">
        <v>268</v>
      </c>
      <c r="P48">
        <v>8116</v>
      </c>
    </row>
    <row r="49" spans="11:16" x14ac:dyDescent="0.25">
      <c r="K49" t="s">
        <v>349</v>
      </c>
      <c r="L49" t="s">
        <v>272</v>
      </c>
      <c r="M49" t="s">
        <v>246</v>
      </c>
      <c r="N49" t="s">
        <v>246</v>
      </c>
      <c r="O49" t="s">
        <v>279</v>
      </c>
      <c r="P49">
        <v>8117</v>
      </c>
    </row>
    <row r="50" spans="11:16" x14ac:dyDescent="0.25">
      <c r="K50" t="s">
        <v>311</v>
      </c>
      <c r="L50" t="s">
        <v>272</v>
      </c>
      <c r="M50" t="s">
        <v>246</v>
      </c>
      <c r="N50" t="s">
        <v>246</v>
      </c>
      <c r="O50" t="s">
        <v>282</v>
      </c>
      <c r="P50">
        <v>8118</v>
      </c>
    </row>
    <row r="51" spans="11:16" x14ac:dyDescent="0.25">
      <c r="K51" t="s">
        <v>348</v>
      </c>
      <c r="L51" t="s">
        <v>272</v>
      </c>
      <c r="M51" t="s">
        <v>246</v>
      </c>
      <c r="N51" t="s">
        <v>246</v>
      </c>
      <c r="O51" t="s">
        <v>281</v>
      </c>
      <c r="P51">
        <v>8119</v>
      </c>
    </row>
    <row r="52" spans="11:16" x14ac:dyDescent="0.25">
      <c r="K52" t="s">
        <v>335</v>
      </c>
      <c r="L52" t="s">
        <v>272</v>
      </c>
      <c r="M52" t="s">
        <v>246</v>
      </c>
      <c r="N52" t="s">
        <v>246</v>
      </c>
      <c r="O52" t="s">
        <v>259</v>
      </c>
      <c r="P52">
        <v>8120</v>
      </c>
    </row>
    <row r="53" spans="11:16" x14ac:dyDescent="0.25">
      <c r="K53" t="s">
        <v>328</v>
      </c>
      <c r="L53" t="s">
        <v>272</v>
      </c>
      <c r="M53" t="s">
        <v>246</v>
      </c>
      <c r="N53" t="s">
        <v>246</v>
      </c>
      <c r="O53" t="s">
        <v>288</v>
      </c>
      <c r="P53">
        <v>8121</v>
      </c>
    </row>
    <row r="54" spans="11:16" x14ac:dyDescent="0.25">
      <c r="K54" t="s">
        <v>326</v>
      </c>
      <c r="L54" t="s">
        <v>272</v>
      </c>
      <c r="M54" t="s">
        <v>246</v>
      </c>
      <c r="N54" t="s">
        <v>297</v>
      </c>
      <c r="O54" t="s">
        <v>265</v>
      </c>
      <c r="P54">
        <v>8130</v>
      </c>
    </row>
    <row r="55" spans="11:16" x14ac:dyDescent="0.25">
      <c r="K55" t="s">
        <v>352</v>
      </c>
      <c r="L55" t="s">
        <v>272</v>
      </c>
      <c r="M55" t="s">
        <v>246</v>
      </c>
      <c r="N55" t="s">
        <v>297</v>
      </c>
      <c r="O55" t="s">
        <v>274</v>
      </c>
      <c r="P55">
        <v>8124</v>
      </c>
    </row>
    <row r="56" spans="11:16" x14ac:dyDescent="0.25">
      <c r="K56" t="s">
        <v>344</v>
      </c>
      <c r="L56" t="s">
        <v>272</v>
      </c>
      <c r="M56" t="s">
        <v>246</v>
      </c>
      <c r="N56" t="s">
        <v>297</v>
      </c>
      <c r="O56" t="s">
        <v>283</v>
      </c>
      <c r="P56">
        <v>8125</v>
      </c>
    </row>
    <row r="57" spans="11:16" x14ac:dyDescent="0.25">
      <c r="K57" t="s">
        <v>405</v>
      </c>
      <c r="L57" t="s">
        <v>285</v>
      </c>
      <c r="M57" t="s">
        <v>246</v>
      </c>
      <c r="N57" t="s">
        <v>246</v>
      </c>
      <c r="O57" t="s">
        <v>275</v>
      </c>
      <c r="P57">
        <v>8290</v>
      </c>
    </row>
    <row r="58" spans="11:16" x14ac:dyDescent="0.25">
      <c r="K58" t="s">
        <v>331</v>
      </c>
      <c r="L58" t="s">
        <v>272</v>
      </c>
      <c r="M58" t="s">
        <v>246</v>
      </c>
      <c r="N58" t="s">
        <v>246</v>
      </c>
      <c r="O58" t="s">
        <v>284</v>
      </c>
      <c r="P58">
        <v>8300</v>
      </c>
    </row>
    <row r="59" spans="11:16" x14ac:dyDescent="0.25">
      <c r="K59" t="s">
        <v>406</v>
      </c>
      <c r="L59" t="s">
        <v>285</v>
      </c>
      <c r="M59" t="s">
        <v>246</v>
      </c>
      <c r="N59" t="s">
        <v>246</v>
      </c>
      <c r="O59" t="s">
        <v>275</v>
      </c>
      <c r="P59">
        <v>8413</v>
      </c>
    </row>
    <row r="60" spans="11:16" x14ac:dyDescent="0.25">
      <c r="K60" t="s">
        <v>401</v>
      </c>
      <c r="L60" t="s">
        <v>285</v>
      </c>
      <c r="M60" t="s">
        <v>246</v>
      </c>
      <c r="N60" t="s">
        <v>297</v>
      </c>
      <c r="O60" t="s">
        <v>254</v>
      </c>
      <c r="P60">
        <v>8502</v>
      </c>
    </row>
    <row r="61" spans="11:16" x14ac:dyDescent="0.25">
      <c r="K61" t="s">
        <v>402</v>
      </c>
      <c r="L61" t="s">
        <v>285</v>
      </c>
      <c r="M61" t="s">
        <v>246</v>
      </c>
      <c r="N61" t="s">
        <v>403</v>
      </c>
      <c r="O61" t="s">
        <v>254</v>
      </c>
      <c r="P61">
        <v>9765</v>
      </c>
    </row>
    <row r="62" spans="11:16" x14ac:dyDescent="0.25">
      <c r="K62" t="s">
        <v>379</v>
      </c>
      <c r="L62" t="s">
        <v>276</v>
      </c>
      <c r="M62" t="s">
        <v>246</v>
      </c>
      <c r="N62" t="s">
        <v>300</v>
      </c>
      <c r="O62" t="s">
        <v>271</v>
      </c>
      <c r="P62">
        <v>9860</v>
      </c>
    </row>
    <row r="63" spans="11:16" x14ac:dyDescent="0.25">
      <c r="K63" t="s">
        <v>380</v>
      </c>
      <c r="L63" t="s">
        <v>276</v>
      </c>
      <c r="M63" t="s">
        <v>246</v>
      </c>
      <c r="N63" t="s">
        <v>300</v>
      </c>
      <c r="O63" t="s">
        <v>271</v>
      </c>
      <c r="P63">
        <v>9861</v>
      </c>
    </row>
    <row r="64" spans="11:16" x14ac:dyDescent="0.25">
      <c r="K64" t="s">
        <v>392</v>
      </c>
      <c r="L64" t="s">
        <v>285</v>
      </c>
      <c r="M64" t="s">
        <v>246</v>
      </c>
      <c r="N64" t="s">
        <v>246</v>
      </c>
      <c r="O64" t="s">
        <v>271</v>
      </c>
      <c r="P64">
        <v>10017</v>
      </c>
    </row>
    <row r="65" spans="11:16" x14ac:dyDescent="0.25">
      <c r="K65" t="s">
        <v>390</v>
      </c>
      <c r="L65" t="s">
        <v>285</v>
      </c>
      <c r="M65" t="s">
        <v>246</v>
      </c>
      <c r="N65" t="s">
        <v>246</v>
      </c>
      <c r="O65" t="s">
        <v>271</v>
      </c>
      <c r="P65">
        <v>10019</v>
      </c>
    </row>
    <row r="66" spans="11:16" x14ac:dyDescent="0.25">
      <c r="K66" t="s">
        <v>391</v>
      </c>
      <c r="L66" t="s">
        <v>285</v>
      </c>
      <c r="M66" t="s">
        <v>246</v>
      </c>
      <c r="N66" t="s">
        <v>246</v>
      </c>
      <c r="O66" t="s">
        <v>271</v>
      </c>
      <c r="P66">
        <v>10020</v>
      </c>
    </row>
    <row r="67" spans="11:16" x14ac:dyDescent="0.25">
      <c r="K67" t="s">
        <v>393</v>
      </c>
      <c r="L67" t="s">
        <v>285</v>
      </c>
      <c r="M67" t="s">
        <v>246</v>
      </c>
      <c r="N67" t="s">
        <v>297</v>
      </c>
      <c r="O67" t="s">
        <v>271</v>
      </c>
      <c r="P67">
        <v>10029</v>
      </c>
    </row>
    <row r="68" spans="11:16" x14ac:dyDescent="0.25">
      <c r="K68" t="s">
        <v>394</v>
      </c>
      <c r="L68" t="s">
        <v>285</v>
      </c>
      <c r="M68" t="s">
        <v>246</v>
      </c>
      <c r="N68" t="s">
        <v>246</v>
      </c>
      <c r="O68" t="s">
        <v>271</v>
      </c>
      <c r="P68">
        <v>10201</v>
      </c>
    </row>
    <row r="69" spans="11:16" x14ac:dyDescent="0.25">
      <c r="K69" t="s">
        <v>433</v>
      </c>
      <c r="L69" t="s">
        <v>291</v>
      </c>
      <c r="M69" t="s">
        <v>246</v>
      </c>
      <c r="N69" t="s">
        <v>246</v>
      </c>
      <c r="O69" t="s">
        <v>258</v>
      </c>
      <c r="P69">
        <v>10225</v>
      </c>
    </row>
    <row r="70" spans="11:16" x14ac:dyDescent="0.25">
      <c r="K70" t="s">
        <v>425</v>
      </c>
      <c r="L70" t="s">
        <v>291</v>
      </c>
      <c r="M70" t="s">
        <v>246</v>
      </c>
      <c r="N70" t="s">
        <v>297</v>
      </c>
      <c r="O70" t="s">
        <v>260</v>
      </c>
      <c r="P70">
        <v>10230</v>
      </c>
    </row>
    <row r="71" spans="11:16" x14ac:dyDescent="0.25">
      <c r="K71" t="s">
        <v>428</v>
      </c>
      <c r="L71" t="s">
        <v>291</v>
      </c>
      <c r="M71" t="s">
        <v>246</v>
      </c>
      <c r="N71" t="s">
        <v>246</v>
      </c>
      <c r="O71" t="s">
        <v>264</v>
      </c>
      <c r="P71">
        <v>10231</v>
      </c>
    </row>
    <row r="72" spans="11:16" x14ac:dyDescent="0.25">
      <c r="K72" t="s">
        <v>395</v>
      </c>
      <c r="L72" t="s">
        <v>285</v>
      </c>
      <c r="M72" t="s">
        <v>246</v>
      </c>
      <c r="N72" t="s">
        <v>299</v>
      </c>
      <c r="O72" t="s">
        <v>271</v>
      </c>
      <c r="P72">
        <v>10637</v>
      </c>
    </row>
    <row r="73" spans="11:16" x14ac:dyDescent="0.25">
      <c r="K73" t="s">
        <v>404</v>
      </c>
      <c r="L73" t="s">
        <v>285</v>
      </c>
      <c r="M73" t="s">
        <v>246</v>
      </c>
      <c r="N73" t="s">
        <v>246</v>
      </c>
      <c r="O73" t="s">
        <v>254</v>
      </c>
      <c r="P73">
        <v>11150</v>
      </c>
    </row>
    <row r="74" spans="11:16" x14ac:dyDescent="0.25">
      <c r="K74" t="s">
        <v>396</v>
      </c>
      <c r="L74" t="s">
        <v>285</v>
      </c>
      <c r="M74" t="s">
        <v>246</v>
      </c>
      <c r="N74" t="s">
        <v>246</v>
      </c>
      <c r="O74" t="s">
        <v>271</v>
      </c>
      <c r="P74">
        <v>11152</v>
      </c>
    </row>
    <row r="75" spans="11:16" x14ac:dyDescent="0.25">
      <c r="K75" t="s">
        <v>439</v>
      </c>
      <c r="L75" t="s">
        <v>291</v>
      </c>
      <c r="M75" t="s">
        <v>246</v>
      </c>
      <c r="N75" t="s">
        <v>300</v>
      </c>
      <c r="O75" t="s">
        <v>280</v>
      </c>
      <c r="P75">
        <v>11431</v>
      </c>
    </row>
    <row r="76" spans="11:16" x14ac:dyDescent="0.25">
      <c r="K76" t="s">
        <v>442</v>
      </c>
      <c r="L76" t="s">
        <v>291</v>
      </c>
      <c r="M76" t="s">
        <v>246</v>
      </c>
      <c r="N76" t="s">
        <v>303</v>
      </c>
      <c r="O76" t="s">
        <v>275</v>
      </c>
      <c r="P76">
        <v>12573</v>
      </c>
    </row>
    <row r="77" spans="11:16" x14ac:dyDescent="0.25">
      <c r="K77" t="s">
        <v>387</v>
      </c>
      <c r="L77" t="s">
        <v>285</v>
      </c>
      <c r="M77" t="s">
        <v>246</v>
      </c>
      <c r="N77" t="s">
        <v>297</v>
      </c>
      <c r="O77" t="s">
        <v>270</v>
      </c>
      <c r="P77">
        <v>14843</v>
      </c>
    </row>
    <row r="78" spans="11:16" x14ac:dyDescent="0.25">
      <c r="K78" t="s">
        <v>384</v>
      </c>
      <c r="L78" t="s">
        <v>285</v>
      </c>
      <c r="M78" t="s">
        <v>246</v>
      </c>
      <c r="N78" t="s">
        <v>246</v>
      </c>
      <c r="O78" t="s">
        <v>260</v>
      </c>
      <c r="P78">
        <v>15206</v>
      </c>
    </row>
    <row r="79" spans="11:16" x14ac:dyDescent="0.25">
      <c r="K79" t="s">
        <v>386</v>
      </c>
      <c r="L79" t="s">
        <v>285</v>
      </c>
      <c r="M79" t="s">
        <v>246</v>
      </c>
      <c r="N79" t="s">
        <v>246</v>
      </c>
      <c r="O79" t="s">
        <v>262</v>
      </c>
      <c r="P79">
        <v>15207</v>
      </c>
    </row>
    <row r="80" spans="11:16" x14ac:dyDescent="0.25">
      <c r="K80" t="s">
        <v>381</v>
      </c>
      <c r="L80" t="s">
        <v>285</v>
      </c>
      <c r="M80" t="s">
        <v>246</v>
      </c>
      <c r="N80" t="s">
        <v>382</v>
      </c>
      <c r="O80" t="s">
        <v>274</v>
      </c>
      <c r="P80">
        <v>15209</v>
      </c>
    </row>
    <row r="81" spans="11:16" x14ac:dyDescent="0.25">
      <c r="K81" t="s">
        <v>388</v>
      </c>
      <c r="L81" t="s">
        <v>285</v>
      </c>
      <c r="M81" t="s">
        <v>246</v>
      </c>
      <c r="N81" t="s">
        <v>382</v>
      </c>
      <c r="O81" t="s">
        <v>283</v>
      </c>
      <c r="P81">
        <v>15210</v>
      </c>
    </row>
    <row r="82" spans="11:16" x14ac:dyDescent="0.25">
      <c r="K82" t="s">
        <v>341</v>
      </c>
      <c r="L82" t="s">
        <v>272</v>
      </c>
      <c r="M82" t="s">
        <v>246</v>
      </c>
      <c r="N82" t="s">
        <v>246</v>
      </c>
      <c r="O82" t="s">
        <v>260</v>
      </c>
      <c r="P82">
        <v>15324</v>
      </c>
    </row>
    <row r="83" spans="11:16" x14ac:dyDescent="0.25">
      <c r="K83" t="s">
        <v>334</v>
      </c>
      <c r="L83" t="s">
        <v>272</v>
      </c>
      <c r="M83" t="s">
        <v>246</v>
      </c>
      <c r="N83" t="s">
        <v>246</v>
      </c>
      <c r="O83" t="s">
        <v>262</v>
      </c>
      <c r="P83">
        <v>15326</v>
      </c>
    </row>
    <row r="84" spans="11:16" x14ac:dyDescent="0.25">
      <c r="K84" t="s">
        <v>343</v>
      </c>
      <c r="L84" t="s">
        <v>272</v>
      </c>
      <c r="M84" t="s">
        <v>246</v>
      </c>
      <c r="N84" t="s">
        <v>246</v>
      </c>
      <c r="O84" t="s">
        <v>258</v>
      </c>
      <c r="P84">
        <v>15329</v>
      </c>
    </row>
    <row r="85" spans="11:16" x14ac:dyDescent="0.25">
      <c r="K85" t="s">
        <v>353</v>
      </c>
      <c r="L85" t="s">
        <v>272</v>
      </c>
      <c r="M85" t="s">
        <v>246</v>
      </c>
      <c r="N85" t="s">
        <v>316</v>
      </c>
      <c r="O85" t="s">
        <v>274</v>
      </c>
      <c r="P85">
        <v>15327</v>
      </c>
    </row>
    <row r="86" spans="11:16" x14ac:dyDescent="0.25">
      <c r="K86" t="s">
        <v>324</v>
      </c>
      <c r="L86" t="s">
        <v>272</v>
      </c>
      <c r="M86" t="s">
        <v>246</v>
      </c>
      <c r="N86" t="s">
        <v>246</v>
      </c>
      <c r="O86" t="s">
        <v>264</v>
      </c>
      <c r="P86">
        <v>15330</v>
      </c>
    </row>
    <row r="87" spans="11:16" x14ac:dyDescent="0.25">
      <c r="K87" t="s">
        <v>338</v>
      </c>
      <c r="L87" t="s">
        <v>272</v>
      </c>
      <c r="M87" t="s">
        <v>246</v>
      </c>
      <c r="N87" t="s">
        <v>246</v>
      </c>
      <c r="O87" t="s">
        <v>278</v>
      </c>
      <c r="P87">
        <v>15331</v>
      </c>
    </row>
    <row r="88" spans="11:16" x14ac:dyDescent="0.25">
      <c r="K88" t="s">
        <v>351</v>
      </c>
      <c r="L88" t="s">
        <v>272</v>
      </c>
      <c r="M88" t="s">
        <v>246</v>
      </c>
      <c r="N88" t="s">
        <v>246</v>
      </c>
      <c r="O88" t="s">
        <v>267</v>
      </c>
      <c r="P88">
        <v>15339</v>
      </c>
    </row>
    <row r="89" spans="11:16" x14ac:dyDescent="0.25">
      <c r="K89" t="s">
        <v>356</v>
      </c>
      <c r="L89" t="s">
        <v>272</v>
      </c>
      <c r="M89" t="s">
        <v>246</v>
      </c>
      <c r="N89" t="s">
        <v>246</v>
      </c>
      <c r="O89" t="s">
        <v>275</v>
      </c>
      <c r="P89">
        <v>15340</v>
      </c>
    </row>
    <row r="90" spans="11:16" x14ac:dyDescent="0.25">
      <c r="K90" t="s">
        <v>332</v>
      </c>
      <c r="L90" t="s">
        <v>272</v>
      </c>
      <c r="M90" t="s">
        <v>246</v>
      </c>
      <c r="N90" t="s">
        <v>246</v>
      </c>
      <c r="O90" t="s">
        <v>284</v>
      </c>
      <c r="P90">
        <v>15338</v>
      </c>
    </row>
    <row r="91" spans="11:16" x14ac:dyDescent="0.25">
      <c r="K91" t="s">
        <v>322</v>
      </c>
      <c r="L91" t="s">
        <v>272</v>
      </c>
      <c r="M91" t="s">
        <v>246</v>
      </c>
      <c r="N91" t="s">
        <v>246</v>
      </c>
      <c r="O91" t="s">
        <v>273</v>
      </c>
      <c r="P91">
        <v>15341</v>
      </c>
    </row>
    <row r="92" spans="11:16" x14ac:dyDescent="0.25">
      <c r="K92" t="s">
        <v>443</v>
      </c>
      <c r="L92" t="s">
        <v>291</v>
      </c>
      <c r="M92" t="s">
        <v>246</v>
      </c>
      <c r="N92" t="s">
        <v>246</v>
      </c>
      <c r="O92" t="s">
        <v>275</v>
      </c>
      <c r="P92">
        <v>15377</v>
      </c>
    </row>
    <row r="93" spans="11:16" x14ac:dyDescent="0.25">
      <c r="K93" t="s">
        <v>431</v>
      </c>
      <c r="L93" t="s">
        <v>291</v>
      </c>
      <c r="M93" t="s">
        <v>246</v>
      </c>
      <c r="N93" t="s">
        <v>246</v>
      </c>
      <c r="O93" t="s">
        <v>286</v>
      </c>
      <c r="P93">
        <v>15378</v>
      </c>
    </row>
    <row r="94" spans="11:16" x14ac:dyDescent="0.25">
      <c r="K94" t="s">
        <v>415</v>
      </c>
      <c r="L94" t="s">
        <v>291</v>
      </c>
      <c r="M94" t="s">
        <v>246</v>
      </c>
      <c r="N94" t="s">
        <v>297</v>
      </c>
      <c r="O94" t="s">
        <v>266</v>
      </c>
      <c r="P94">
        <v>15379</v>
      </c>
    </row>
    <row r="95" spans="11:16" x14ac:dyDescent="0.25">
      <c r="K95" t="s">
        <v>423</v>
      </c>
      <c r="L95" t="s">
        <v>291</v>
      </c>
      <c r="M95" t="s">
        <v>246</v>
      </c>
      <c r="N95" t="s">
        <v>246</v>
      </c>
      <c r="O95" t="s">
        <v>262</v>
      </c>
      <c r="P95">
        <v>15380</v>
      </c>
    </row>
    <row r="96" spans="11:16" x14ac:dyDescent="0.25">
      <c r="K96" t="s">
        <v>429</v>
      </c>
      <c r="L96" t="s">
        <v>291</v>
      </c>
      <c r="M96" t="s">
        <v>246</v>
      </c>
      <c r="N96" t="s">
        <v>246</v>
      </c>
      <c r="O96" t="s">
        <v>264</v>
      </c>
      <c r="P96">
        <v>15383</v>
      </c>
    </row>
    <row r="97" spans="11:16" x14ac:dyDescent="0.25">
      <c r="K97" t="s">
        <v>434</v>
      </c>
      <c r="L97" t="s">
        <v>291</v>
      </c>
      <c r="M97" t="s">
        <v>246</v>
      </c>
      <c r="N97" t="s">
        <v>246</v>
      </c>
      <c r="O97" t="s">
        <v>258</v>
      </c>
      <c r="P97">
        <v>15384</v>
      </c>
    </row>
    <row r="98" spans="11:16" x14ac:dyDescent="0.25">
      <c r="K98" t="s">
        <v>426</v>
      </c>
      <c r="L98" t="s">
        <v>291</v>
      </c>
      <c r="M98" t="s">
        <v>246</v>
      </c>
      <c r="N98" t="s">
        <v>246</v>
      </c>
      <c r="O98" t="s">
        <v>260</v>
      </c>
      <c r="P98">
        <v>15381</v>
      </c>
    </row>
    <row r="99" spans="11:16" x14ac:dyDescent="0.25">
      <c r="K99" t="s">
        <v>410</v>
      </c>
      <c r="L99" t="s">
        <v>291</v>
      </c>
      <c r="M99" t="s">
        <v>246</v>
      </c>
      <c r="N99" t="s">
        <v>246</v>
      </c>
      <c r="O99" t="s">
        <v>289</v>
      </c>
      <c r="P99">
        <v>15388</v>
      </c>
    </row>
    <row r="100" spans="11:16" x14ac:dyDescent="0.25">
      <c r="K100" t="s">
        <v>413</v>
      </c>
      <c r="L100" t="s">
        <v>291</v>
      </c>
      <c r="M100" t="s">
        <v>246</v>
      </c>
      <c r="N100" t="s">
        <v>246</v>
      </c>
      <c r="O100" t="s">
        <v>261</v>
      </c>
      <c r="P100">
        <v>15389</v>
      </c>
    </row>
    <row r="101" spans="11:16" x14ac:dyDescent="0.25">
      <c r="K101" t="s">
        <v>440</v>
      </c>
      <c r="L101" t="s">
        <v>291</v>
      </c>
      <c r="M101" t="s">
        <v>246</v>
      </c>
      <c r="N101" t="s">
        <v>246</v>
      </c>
      <c r="O101" t="s">
        <v>279</v>
      </c>
      <c r="P101">
        <v>15390</v>
      </c>
    </row>
    <row r="102" spans="11:16" x14ac:dyDescent="0.25">
      <c r="K102" t="s">
        <v>438</v>
      </c>
      <c r="L102" t="s">
        <v>291</v>
      </c>
      <c r="M102" t="s">
        <v>246</v>
      </c>
      <c r="N102" t="s">
        <v>246</v>
      </c>
      <c r="O102" t="s">
        <v>281</v>
      </c>
      <c r="P102">
        <v>15391</v>
      </c>
    </row>
    <row r="103" spans="11:16" x14ac:dyDescent="0.25">
      <c r="K103" t="s">
        <v>422</v>
      </c>
      <c r="L103" t="s">
        <v>291</v>
      </c>
      <c r="M103" t="s">
        <v>246</v>
      </c>
      <c r="N103" t="s">
        <v>246</v>
      </c>
      <c r="O103" t="s">
        <v>288</v>
      </c>
      <c r="P103">
        <v>15393</v>
      </c>
    </row>
    <row r="104" spans="11:16" x14ac:dyDescent="0.25">
      <c r="K104" t="s">
        <v>420</v>
      </c>
      <c r="L104" t="s">
        <v>291</v>
      </c>
      <c r="M104" t="s">
        <v>246</v>
      </c>
      <c r="N104" t="s">
        <v>246</v>
      </c>
      <c r="O104" t="s">
        <v>259</v>
      </c>
      <c r="P104">
        <v>15394</v>
      </c>
    </row>
    <row r="105" spans="11:16" x14ac:dyDescent="0.25">
      <c r="K105" t="s">
        <v>408</v>
      </c>
      <c r="L105" t="s">
        <v>291</v>
      </c>
      <c r="M105" t="s">
        <v>246</v>
      </c>
      <c r="N105" t="s">
        <v>246</v>
      </c>
      <c r="O105" t="s">
        <v>290</v>
      </c>
      <c r="P105">
        <v>15395</v>
      </c>
    </row>
    <row r="106" spans="11:16" x14ac:dyDescent="0.25">
      <c r="K106" t="s">
        <v>450</v>
      </c>
      <c r="L106" t="s">
        <v>291</v>
      </c>
      <c r="M106" t="s">
        <v>246</v>
      </c>
      <c r="N106" t="s">
        <v>246</v>
      </c>
      <c r="O106" t="s">
        <v>282</v>
      </c>
      <c r="P106">
        <v>15392</v>
      </c>
    </row>
    <row r="107" spans="11:16" x14ac:dyDescent="0.25">
      <c r="K107" t="s">
        <v>418</v>
      </c>
      <c r="L107" t="s">
        <v>291</v>
      </c>
      <c r="M107" t="s">
        <v>246</v>
      </c>
      <c r="N107" t="s">
        <v>246</v>
      </c>
      <c r="O107" t="s">
        <v>292</v>
      </c>
      <c r="P107">
        <v>15397</v>
      </c>
    </row>
    <row r="108" spans="11:16" x14ac:dyDescent="0.25">
      <c r="K108" t="s">
        <v>345</v>
      </c>
      <c r="L108" t="s">
        <v>272</v>
      </c>
      <c r="M108" t="s">
        <v>246</v>
      </c>
      <c r="N108" t="s">
        <v>246</v>
      </c>
      <c r="O108" t="s">
        <v>283</v>
      </c>
      <c r="P108">
        <v>15328</v>
      </c>
    </row>
    <row r="109" spans="11:16" x14ac:dyDescent="0.25">
      <c r="K109" t="s">
        <v>378</v>
      </c>
      <c r="L109" t="s">
        <v>276</v>
      </c>
      <c r="M109" t="s">
        <v>246</v>
      </c>
      <c r="N109" t="s">
        <v>246</v>
      </c>
      <c r="O109" t="s">
        <v>265</v>
      </c>
      <c r="P109">
        <v>15460</v>
      </c>
    </row>
    <row r="110" spans="11:16" x14ac:dyDescent="0.25">
      <c r="K110" t="s">
        <v>365</v>
      </c>
      <c r="L110" t="s">
        <v>276</v>
      </c>
      <c r="M110" t="s">
        <v>246</v>
      </c>
      <c r="N110" t="s">
        <v>246</v>
      </c>
      <c r="O110" t="s">
        <v>280</v>
      </c>
      <c r="P110">
        <v>15461</v>
      </c>
    </row>
    <row r="111" spans="11:16" x14ac:dyDescent="0.25">
      <c r="K111" t="s">
        <v>372</v>
      </c>
      <c r="L111" t="s">
        <v>276</v>
      </c>
      <c r="M111" t="s">
        <v>246</v>
      </c>
      <c r="N111" t="s">
        <v>246</v>
      </c>
      <c r="O111" t="s">
        <v>263</v>
      </c>
      <c r="P111">
        <v>15464</v>
      </c>
    </row>
    <row r="112" spans="11:16" x14ac:dyDescent="0.25">
      <c r="K112" t="s">
        <v>359</v>
      </c>
      <c r="L112" t="s">
        <v>276</v>
      </c>
      <c r="M112" t="s">
        <v>246</v>
      </c>
      <c r="N112" t="s">
        <v>297</v>
      </c>
      <c r="O112" t="s">
        <v>277</v>
      </c>
      <c r="P112">
        <v>15465</v>
      </c>
    </row>
    <row r="113" spans="11:16" x14ac:dyDescent="0.25">
      <c r="K113" t="s">
        <v>366</v>
      </c>
      <c r="L113" t="s">
        <v>276</v>
      </c>
      <c r="M113" t="s">
        <v>246</v>
      </c>
      <c r="N113" t="s">
        <v>246</v>
      </c>
      <c r="O113" t="s">
        <v>280</v>
      </c>
      <c r="P113">
        <v>15468</v>
      </c>
    </row>
    <row r="114" spans="11:16" x14ac:dyDescent="0.25">
      <c r="K114" t="s">
        <v>373</v>
      </c>
      <c r="L114" t="s">
        <v>276</v>
      </c>
      <c r="M114" t="s">
        <v>246</v>
      </c>
      <c r="N114" t="s">
        <v>246</v>
      </c>
      <c r="O114" t="s">
        <v>263</v>
      </c>
      <c r="P114">
        <v>15469</v>
      </c>
    </row>
    <row r="115" spans="11:16" x14ac:dyDescent="0.25">
      <c r="K115" t="s">
        <v>358</v>
      </c>
      <c r="L115" t="s">
        <v>276</v>
      </c>
      <c r="M115" t="s">
        <v>246</v>
      </c>
      <c r="N115" t="s">
        <v>297</v>
      </c>
      <c r="O115" t="s">
        <v>277</v>
      </c>
      <c r="P115">
        <v>15470</v>
      </c>
    </row>
    <row r="116" spans="11:16" x14ac:dyDescent="0.25">
      <c r="K116" t="s">
        <v>376</v>
      </c>
      <c r="L116" t="s">
        <v>276</v>
      </c>
      <c r="M116" t="s">
        <v>246</v>
      </c>
      <c r="N116" t="s">
        <v>246</v>
      </c>
      <c r="O116" t="s">
        <v>284</v>
      </c>
      <c r="P116">
        <v>15471</v>
      </c>
    </row>
    <row r="117" spans="11:16" x14ac:dyDescent="0.25">
      <c r="K117" t="s">
        <v>367</v>
      </c>
      <c r="L117" t="s">
        <v>276</v>
      </c>
      <c r="M117" t="s">
        <v>246</v>
      </c>
      <c r="N117" t="s">
        <v>246</v>
      </c>
      <c r="O117" t="s">
        <v>257</v>
      </c>
      <c r="P117">
        <v>15466</v>
      </c>
    </row>
    <row r="118" spans="11:16" x14ac:dyDescent="0.25">
      <c r="K118" t="s">
        <v>374</v>
      </c>
      <c r="L118" t="s">
        <v>276</v>
      </c>
      <c r="M118" t="s">
        <v>246</v>
      </c>
      <c r="N118" t="s">
        <v>246</v>
      </c>
      <c r="O118" t="s">
        <v>256</v>
      </c>
      <c r="P118">
        <v>15467</v>
      </c>
    </row>
    <row r="119" spans="11:16" x14ac:dyDescent="0.25">
      <c r="K119" t="s">
        <v>446</v>
      </c>
      <c r="L119" t="s">
        <v>291</v>
      </c>
      <c r="M119" t="s">
        <v>246</v>
      </c>
      <c r="N119" t="s">
        <v>297</v>
      </c>
      <c r="O119" t="s">
        <v>287</v>
      </c>
      <c r="P119">
        <v>15396</v>
      </c>
    </row>
    <row r="120" spans="11:16" x14ac:dyDescent="0.25">
      <c r="K120" t="s">
        <v>416</v>
      </c>
      <c r="L120" t="s">
        <v>291</v>
      </c>
      <c r="M120" t="s">
        <v>246</v>
      </c>
      <c r="N120" t="s">
        <v>246</v>
      </c>
      <c r="O120" t="s">
        <v>266</v>
      </c>
      <c r="P120">
        <v>15504</v>
      </c>
    </row>
    <row r="121" spans="11:16" x14ac:dyDescent="0.25">
      <c r="K121" t="s">
        <v>448</v>
      </c>
      <c r="L121" t="s">
        <v>291</v>
      </c>
      <c r="M121" t="s">
        <v>246</v>
      </c>
      <c r="N121" t="s">
        <v>246</v>
      </c>
      <c r="O121" t="s">
        <v>287</v>
      </c>
      <c r="P121">
        <v>15505</v>
      </c>
    </row>
    <row r="122" spans="11:16" x14ac:dyDescent="0.25">
      <c r="K122" t="s">
        <v>447</v>
      </c>
      <c r="L122" t="s">
        <v>291</v>
      </c>
      <c r="M122" t="s">
        <v>246</v>
      </c>
      <c r="N122" t="s">
        <v>246</v>
      </c>
      <c r="O122" t="s">
        <v>287</v>
      </c>
      <c r="P122">
        <v>15509</v>
      </c>
    </row>
    <row r="123" spans="11:16" x14ac:dyDescent="0.25">
      <c r="K123" t="s">
        <v>427</v>
      </c>
      <c r="L123" t="s">
        <v>291</v>
      </c>
      <c r="M123" t="s">
        <v>246</v>
      </c>
      <c r="N123" t="s">
        <v>246</v>
      </c>
      <c r="O123" t="s">
        <v>260</v>
      </c>
      <c r="P123">
        <v>15533</v>
      </c>
    </row>
    <row r="124" spans="11:16" x14ac:dyDescent="0.25">
      <c r="K124" t="s">
        <v>424</v>
      </c>
      <c r="L124" t="s">
        <v>291</v>
      </c>
      <c r="M124" t="s">
        <v>246</v>
      </c>
      <c r="N124" t="s">
        <v>246</v>
      </c>
      <c r="O124" t="s">
        <v>262</v>
      </c>
      <c r="P124">
        <v>15534</v>
      </c>
    </row>
    <row r="125" spans="11:16" x14ac:dyDescent="0.25">
      <c r="K125" t="s">
        <v>430</v>
      </c>
      <c r="L125" t="s">
        <v>291</v>
      </c>
      <c r="M125" t="s">
        <v>246</v>
      </c>
      <c r="N125" t="s">
        <v>246</v>
      </c>
      <c r="O125" t="s">
        <v>264</v>
      </c>
      <c r="P125">
        <v>15535</v>
      </c>
    </row>
    <row r="126" spans="11:16" x14ac:dyDescent="0.25">
      <c r="K126" t="s">
        <v>435</v>
      </c>
      <c r="L126" t="s">
        <v>291</v>
      </c>
      <c r="M126" t="s">
        <v>246</v>
      </c>
      <c r="N126" t="s">
        <v>246</v>
      </c>
      <c r="O126" t="s">
        <v>258</v>
      </c>
      <c r="P126">
        <v>15536</v>
      </c>
    </row>
    <row r="127" spans="11:16" x14ac:dyDescent="0.25">
      <c r="K127" t="s">
        <v>397</v>
      </c>
      <c r="L127" t="s">
        <v>285</v>
      </c>
      <c r="M127" t="s">
        <v>246</v>
      </c>
      <c r="N127" t="s">
        <v>398</v>
      </c>
      <c r="O127" t="s">
        <v>271</v>
      </c>
      <c r="P127">
        <v>16071</v>
      </c>
    </row>
    <row r="128" spans="11:16" x14ac:dyDescent="0.25">
      <c r="K128" t="s">
        <v>313</v>
      </c>
      <c r="L128" t="s">
        <v>272</v>
      </c>
      <c r="M128" t="s">
        <v>246</v>
      </c>
      <c r="N128" t="s">
        <v>297</v>
      </c>
      <c r="O128" t="s">
        <v>271</v>
      </c>
      <c r="P128">
        <v>18224</v>
      </c>
    </row>
    <row r="129" spans="11:16" x14ac:dyDescent="0.25">
      <c r="K129" t="s">
        <v>314</v>
      </c>
      <c r="L129" t="s">
        <v>272</v>
      </c>
      <c r="M129" t="s">
        <v>246</v>
      </c>
      <c r="N129" t="s">
        <v>297</v>
      </c>
      <c r="O129" t="s">
        <v>271</v>
      </c>
      <c r="P129">
        <v>18225</v>
      </c>
    </row>
    <row r="130" spans="11:16" x14ac:dyDescent="0.25">
      <c r="K130" t="s">
        <v>363</v>
      </c>
      <c r="L130" t="s">
        <v>276</v>
      </c>
      <c r="M130" t="s">
        <v>246</v>
      </c>
      <c r="N130" t="s">
        <v>246</v>
      </c>
      <c r="O130" t="s">
        <v>275</v>
      </c>
      <c r="P130">
        <v>18232</v>
      </c>
    </row>
    <row r="131" spans="11:16" x14ac:dyDescent="0.25">
      <c r="K131" t="s">
        <v>370</v>
      </c>
      <c r="L131" t="s">
        <v>276</v>
      </c>
      <c r="M131" t="s">
        <v>246</v>
      </c>
      <c r="N131" t="s">
        <v>297</v>
      </c>
      <c r="O131" t="s">
        <v>267</v>
      </c>
      <c r="P131">
        <v>18667</v>
      </c>
    </row>
    <row r="132" spans="11:16" x14ac:dyDescent="0.25">
      <c r="K132" t="s">
        <v>354</v>
      </c>
      <c r="L132" t="s">
        <v>272</v>
      </c>
      <c r="M132" t="s">
        <v>246</v>
      </c>
      <c r="N132" t="s">
        <v>316</v>
      </c>
      <c r="O132" t="s">
        <v>274</v>
      </c>
      <c r="P132">
        <v>19214</v>
      </c>
    </row>
    <row r="133" spans="11:16" x14ac:dyDescent="0.25">
      <c r="K133" t="s">
        <v>346</v>
      </c>
      <c r="L133" t="s">
        <v>272</v>
      </c>
      <c r="M133" t="s">
        <v>246</v>
      </c>
      <c r="N133" t="s">
        <v>316</v>
      </c>
      <c r="O133" t="s">
        <v>283</v>
      </c>
      <c r="P133">
        <v>19213</v>
      </c>
    </row>
    <row r="134" spans="11:16" x14ac:dyDescent="0.25">
      <c r="K134" t="s">
        <v>318</v>
      </c>
      <c r="L134" t="s">
        <v>272</v>
      </c>
      <c r="M134" t="s">
        <v>246</v>
      </c>
      <c r="N134" t="s">
        <v>316</v>
      </c>
      <c r="O134" t="s">
        <v>271</v>
      </c>
      <c r="P134">
        <v>19207</v>
      </c>
    </row>
    <row r="135" spans="11:16" x14ac:dyDescent="0.25">
      <c r="K135" t="s">
        <v>320</v>
      </c>
      <c r="L135" t="s">
        <v>272</v>
      </c>
      <c r="M135" t="s">
        <v>246</v>
      </c>
      <c r="N135" t="s">
        <v>316</v>
      </c>
      <c r="O135" t="s">
        <v>271</v>
      </c>
      <c r="P135">
        <v>19205</v>
      </c>
    </row>
    <row r="136" spans="11:16" x14ac:dyDescent="0.25">
      <c r="K136" t="s">
        <v>315</v>
      </c>
      <c r="L136" t="s">
        <v>272</v>
      </c>
      <c r="M136" t="s">
        <v>246</v>
      </c>
      <c r="N136" t="s">
        <v>316</v>
      </c>
      <c r="O136" t="s">
        <v>271</v>
      </c>
      <c r="P136">
        <v>19210</v>
      </c>
    </row>
    <row r="137" spans="11:16" x14ac:dyDescent="0.25">
      <c r="K137" t="s">
        <v>317</v>
      </c>
      <c r="L137" t="s">
        <v>272</v>
      </c>
      <c r="M137" t="s">
        <v>246</v>
      </c>
      <c r="N137" t="s">
        <v>316</v>
      </c>
      <c r="O137" t="s">
        <v>271</v>
      </c>
      <c r="P137">
        <v>19212</v>
      </c>
    </row>
    <row r="138" spans="11:16" x14ac:dyDescent="0.25">
      <c r="K138" t="s">
        <v>319</v>
      </c>
      <c r="L138" t="s">
        <v>272</v>
      </c>
      <c r="M138" t="s">
        <v>246</v>
      </c>
      <c r="N138" t="s">
        <v>316</v>
      </c>
      <c r="O138" t="s">
        <v>271</v>
      </c>
      <c r="P138">
        <v>19211</v>
      </c>
    </row>
    <row r="139" spans="11:16" x14ac:dyDescent="0.25">
      <c r="K139" t="s">
        <v>399</v>
      </c>
      <c r="L139" t="s">
        <v>285</v>
      </c>
      <c r="M139" t="s">
        <v>246</v>
      </c>
      <c r="N139" t="s">
        <v>297</v>
      </c>
      <c r="O139" t="s">
        <v>271</v>
      </c>
      <c r="P139">
        <v>19536</v>
      </c>
    </row>
    <row r="140" spans="11:16" x14ac:dyDescent="0.25">
      <c r="K140" t="s">
        <v>327</v>
      </c>
      <c r="L140" t="s">
        <v>272</v>
      </c>
      <c r="M140" t="s">
        <v>246</v>
      </c>
      <c r="N140" t="s">
        <v>246</v>
      </c>
      <c r="O140" t="s">
        <v>265</v>
      </c>
      <c r="P140">
        <v>20448</v>
      </c>
    </row>
    <row r="141" spans="11:16" x14ac:dyDescent="0.25">
      <c r="K141" t="s">
        <v>336</v>
      </c>
      <c r="L141" t="s">
        <v>272</v>
      </c>
      <c r="M141" t="s">
        <v>246</v>
      </c>
      <c r="N141" t="s">
        <v>298</v>
      </c>
      <c r="O141" t="s">
        <v>256</v>
      </c>
      <c r="P141">
        <v>20449</v>
      </c>
    </row>
    <row r="142" spans="11:16" x14ac:dyDescent="0.25">
      <c r="K142" t="s">
        <v>355</v>
      </c>
      <c r="L142" t="s">
        <v>272</v>
      </c>
      <c r="M142" t="s">
        <v>246</v>
      </c>
      <c r="N142" t="s">
        <v>298</v>
      </c>
      <c r="O142" t="s">
        <v>274</v>
      </c>
      <c r="P142">
        <v>20445</v>
      </c>
    </row>
    <row r="143" spans="11:16" x14ac:dyDescent="0.25">
      <c r="K143" t="s">
        <v>347</v>
      </c>
      <c r="L143" t="s">
        <v>272</v>
      </c>
      <c r="M143" t="s">
        <v>246</v>
      </c>
      <c r="N143" t="s">
        <v>298</v>
      </c>
      <c r="O143" t="s">
        <v>283</v>
      </c>
      <c r="P143">
        <v>20447</v>
      </c>
    </row>
    <row r="144" spans="11:16" x14ac:dyDescent="0.25">
      <c r="K144"/>
      <c r="L144"/>
      <c r="M144"/>
      <c r="N144"/>
      <c r="O144"/>
      <c r="P144"/>
    </row>
    <row r="145" spans="11:16" x14ac:dyDescent="0.25">
      <c r="K145"/>
      <c r="L145"/>
      <c r="M145"/>
      <c r="N145"/>
      <c r="O145"/>
      <c r="P145"/>
    </row>
    <row r="146" spans="11:16" x14ac:dyDescent="0.25">
      <c r="K146"/>
      <c r="L146"/>
      <c r="M146"/>
      <c r="N146"/>
      <c r="O146"/>
      <c r="P146"/>
    </row>
    <row r="147" spans="11:16" x14ac:dyDescent="0.25">
      <c r="K147"/>
      <c r="L147"/>
      <c r="M147"/>
      <c r="N147"/>
      <c r="O147"/>
      <c r="P147"/>
    </row>
    <row r="148" spans="11:16" x14ac:dyDescent="0.25">
      <c r="K148"/>
      <c r="L148"/>
      <c r="M148"/>
      <c r="N148"/>
      <c r="O148"/>
      <c r="P148"/>
    </row>
    <row r="149" spans="11:16" x14ac:dyDescent="0.25">
      <c r="K149"/>
      <c r="L149"/>
      <c r="M149"/>
      <c r="N149"/>
      <c r="O149"/>
      <c r="P149"/>
    </row>
    <row r="150" spans="11:16" x14ac:dyDescent="0.25">
      <c r="K150"/>
      <c r="L150"/>
      <c r="M150"/>
      <c r="N150"/>
      <c r="O150"/>
      <c r="P150"/>
    </row>
    <row r="151" spans="11:16" x14ac:dyDescent="0.25">
      <c r="K151"/>
      <c r="L151"/>
      <c r="M151"/>
      <c r="N151"/>
      <c r="O151"/>
      <c r="P151"/>
    </row>
    <row r="152" spans="11:16" x14ac:dyDescent="0.25">
      <c r="K152"/>
      <c r="L152"/>
      <c r="M152"/>
      <c r="N152"/>
      <c r="O152"/>
      <c r="P152"/>
    </row>
    <row r="153" spans="11:16" x14ac:dyDescent="0.25">
      <c r="K153"/>
      <c r="L153"/>
      <c r="M153"/>
      <c r="N153"/>
      <c r="O153"/>
      <c r="P153"/>
    </row>
    <row r="154" spans="11:16" x14ac:dyDescent="0.25">
      <c r="K154"/>
      <c r="L154"/>
      <c r="M154"/>
      <c r="N154"/>
      <c r="O154"/>
      <c r="P154"/>
    </row>
    <row r="155" spans="11:16" x14ac:dyDescent="0.25">
      <c r="K155"/>
      <c r="L155"/>
      <c r="M155"/>
      <c r="N155"/>
      <c r="O155"/>
      <c r="P155"/>
    </row>
    <row r="156" spans="11:16" x14ac:dyDescent="0.25">
      <c r="K156"/>
      <c r="L156"/>
      <c r="M156"/>
      <c r="N156"/>
      <c r="O156"/>
      <c r="P156"/>
    </row>
    <row r="157" spans="11:16" x14ac:dyDescent="0.25">
      <c r="K157"/>
      <c r="L157"/>
      <c r="M157"/>
      <c r="N157"/>
      <c r="O157"/>
      <c r="P157"/>
    </row>
    <row r="158" spans="11:16" x14ac:dyDescent="0.25">
      <c r="K158"/>
      <c r="L158"/>
      <c r="M158"/>
      <c r="N158"/>
      <c r="O158"/>
      <c r="P158"/>
    </row>
    <row r="159" spans="11:16" x14ac:dyDescent="0.25">
      <c r="K159"/>
      <c r="L159"/>
      <c r="M159"/>
      <c r="N159"/>
      <c r="O159"/>
      <c r="P159"/>
    </row>
    <row r="160" spans="11:16" x14ac:dyDescent="0.25">
      <c r="K160"/>
      <c r="L160"/>
      <c r="M160"/>
      <c r="N160"/>
      <c r="O160"/>
      <c r="P160"/>
    </row>
    <row r="161" spans="11:16" x14ac:dyDescent="0.25">
      <c r="K161"/>
      <c r="L161"/>
      <c r="M161"/>
      <c r="N161"/>
      <c r="O161"/>
      <c r="P161"/>
    </row>
    <row r="162" spans="11:16" x14ac:dyDescent="0.25">
      <c r="K162"/>
      <c r="L162"/>
      <c r="M162"/>
      <c r="N162"/>
      <c r="O162"/>
      <c r="P162"/>
    </row>
    <row r="163" spans="11:16" x14ac:dyDescent="0.25">
      <c r="K163"/>
      <c r="L163"/>
      <c r="M163"/>
      <c r="N163"/>
      <c r="O163"/>
      <c r="P163"/>
    </row>
    <row r="164" spans="11:16" x14ac:dyDescent="0.25">
      <c r="K164"/>
      <c r="L164"/>
      <c r="M164"/>
      <c r="N164"/>
      <c r="O164"/>
      <c r="P164"/>
    </row>
    <row r="165" spans="11:16" x14ac:dyDescent="0.25">
      <c r="K165"/>
      <c r="L165"/>
      <c r="M165"/>
      <c r="N165"/>
      <c r="O165"/>
      <c r="P165"/>
    </row>
    <row r="166" spans="11:16" x14ac:dyDescent="0.25">
      <c r="K166"/>
      <c r="L166"/>
      <c r="M166"/>
      <c r="N166"/>
      <c r="O166"/>
      <c r="P166"/>
    </row>
    <row r="167" spans="11:16" x14ac:dyDescent="0.25">
      <c r="K167"/>
      <c r="L167"/>
      <c r="M167"/>
      <c r="N167"/>
      <c r="O167"/>
      <c r="P167"/>
    </row>
    <row r="168" spans="11:16" x14ac:dyDescent="0.25">
      <c r="K168"/>
      <c r="L168"/>
      <c r="M168"/>
      <c r="N168"/>
      <c r="O168"/>
      <c r="P168"/>
    </row>
    <row r="169" spans="11:16" x14ac:dyDescent="0.25">
      <c r="K169"/>
      <c r="L169"/>
      <c r="M169"/>
      <c r="N169"/>
      <c r="O169"/>
      <c r="P169"/>
    </row>
    <row r="170" spans="11:16" x14ac:dyDescent="0.25">
      <c r="K170"/>
      <c r="L170"/>
      <c r="M170"/>
      <c r="N170"/>
      <c r="O170"/>
      <c r="P170"/>
    </row>
    <row r="171" spans="11:16" x14ac:dyDescent="0.25">
      <c r="K171"/>
      <c r="L171"/>
      <c r="M171"/>
      <c r="N171"/>
      <c r="O171"/>
      <c r="P171"/>
    </row>
    <row r="172" spans="11:16" x14ac:dyDescent="0.25">
      <c r="K172"/>
      <c r="L172"/>
      <c r="M172"/>
      <c r="N172"/>
      <c r="O172"/>
      <c r="P172"/>
    </row>
    <row r="173" spans="11:16" x14ac:dyDescent="0.25">
      <c r="K173"/>
      <c r="L173"/>
      <c r="M173"/>
      <c r="N173"/>
      <c r="O173"/>
      <c r="P173"/>
    </row>
    <row r="174" spans="11:16" x14ac:dyDescent="0.25">
      <c r="K174"/>
      <c r="L174"/>
      <c r="M174"/>
      <c r="N174"/>
      <c r="O174"/>
      <c r="P174"/>
    </row>
    <row r="175" spans="11:16" x14ac:dyDescent="0.25">
      <c r="K175"/>
      <c r="L175"/>
      <c r="M175"/>
      <c r="N175"/>
      <c r="O175"/>
      <c r="P175"/>
    </row>
    <row r="176" spans="11:16" x14ac:dyDescent="0.25">
      <c r="K176"/>
      <c r="L176"/>
      <c r="M176"/>
      <c r="N176"/>
      <c r="O176"/>
      <c r="P176"/>
    </row>
    <row r="177" spans="11:16" x14ac:dyDescent="0.25">
      <c r="K177"/>
      <c r="L177"/>
      <c r="M177"/>
      <c r="N177"/>
      <c r="O177"/>
      <c r="P177"/>
    </row>
    <row r="178" spans="11:16" x14ac:dyDescent="0.25">
      <c r="K178"/>
      <c r="L178"/>
      <c r="M178"/>
      <c r="N178"/>
      <c r="O178"/>
      <c r="P178"/>
    </row>
    <row r="179" spans="11:16" x14ac:dyDescent="0.25">
      <c r="K179"/>
      <c r="L179"/>
      <c r="M179"/>
      <c r="N179"/>
      <c r="O179"/>
      <c r="P179"/>
    </row>
    <row r="180" spans="11:16" x14ac:dyDescent="0.25">
      <c r="K180"/>
      <c r="L180"/>
      <c r="M180"/>
      <c r="N180"/>
      <c r="O180"/>
      <c r="P180"/>
    </row>
    <row r="181" spans="11:16" x14ac:dyDescent="0.25">
      <c r="K181"/>
      <c r="L181"/>
      <c r="M181"/>
      <c r="N181"/>
      <c r="O181"/>
      <c r="P181"/>
    </row>
    <row r="182" spans="11:16" x14ac:dyDescent="0.25">
      <c r="K182"/>
      <c r="L182"/>
      <c r="M182"/>
      <c r="N182"/>
      <c r="O182"/>
      <c r="P182"/>
    </row>
    <row r="183" spans="11:16" x14ac:dyDescent="0.25">
      <c r="K183"/>
      <c r="L183"/>
      <c r="M183"/>
      <c r="N183"/>
      <c r="O183"/>
      <c r="P183"/>
    </row>
    <row r="184" spans="11:16" x14ac:dyDescent="0.25">
      <c r="K184"/>
      <c r="L184"/>
      <c r="M184"/>
      <c r="N184"/>
      <c r="O184"/>
      <c r="P184"/>
    </row>
    <row r="185" spans="11:16" x14ac:dyDescent="0.25">
      <c r="K185"/>
      <c r="L185"/>
      <c r="M185"/>
      <c r="N185"/>
      <c r="O185"/>
      <c r="P185"/>
    </row>
    <row r="186" spans="11:16" x14ac:dyDescent="0.25">
      <c r="K186"/>
      <c r="L186"/>
      <c r="M186"/>
      <c r="N186"/>
      <c r="O186"/>
      <c r="P186"/>
    </row>
    <row r="187" spans="11:16" x14ac:dyDescent="0.25">
      <c r="K187"/>
      <c r="L187"/>
      <c r="M187"/>
      <c r="N187"/>
      <c r="O187"/>
      <c r="P187"/>
    </row>
    <row r="188" spans="11:16" x14ac:dyDescent="0.25">
      <c r="K188"/>
      <c r="L188"/>
      <c r="M188"/>
      <c r="N188"/>
      <c r="O188"/>
      <c r="P188"/>
    </row>
    <row r="189" spans="11:16" x14ac:dyDescent="0.25">
      <c r="K189"/>
      <c r="L189"/>
      <c r="M189"/>
      <c r="N189"/>
      <c r="O189"/>
      <c r="P189"/>
    </row>
    <row r="190" spans="11:16" x14ac:dyDescent="0.25">
      <c r="K190"/>
      <c r="L190"/>
      <c r="M190"/>
      <c r="N190"/>
      <c r="O190"/>
      <c r="P190"/>
    </row>
    <row r="191" spans="11:16" x14ac:dyDescent="0.25">
      <c r="K191"/>
      <c r="L191"/>
      <c r="M191"/>
      <c r="N191"/>
      <c r="O191"/>
      <c r="P191"/>
    </row>
    <row r="192" spans="11:16" x14ac:dyDescent="0.25">
      <c r="K192"/>
      <c r="L192"/>
      <c r="M192"/>
      <c r="N192"/>
      <c r="O192"/>
      <c r="P192"/>
    </row>
    <row r="193" spans="11:16" x14ac:dyDescent="0.25">
      <c r="K193"/>
      <c r="L193"/>
      <c r="M193"/>
      <c r="N193"/>
      <c r="O193"/>
      <c r="P193"/>
    </row>
    <row r="194" spans="11:16" x14ac:dyDescent="0.25">
      <c r="K194"/>
      <c r="L194"/>
      <c r="M194"/>
      <c r="N194"/>
      <c r="O194"/>
      <c r="P194"/>
    </row>
    <row r="195" spans="11:16" x14ac:dyDescent="0.25">
      <c r="K195"/>
      <c r="L195"/>
      <c r="M195"/>
      <c r="N195"/>
      <c r="O195"/>
      <c r="P195"/>
    </row>
    <row r="196" spans="11:16" x14ac:dyDescent="0.25">
      <c r="K196"/>
      <c r="L196"/>
      <c r="M196"/>
      <c r="N196"/>
      <c r="O196"/>
      <c r="P196"/>
    </row>
    <row r="197" spans="11:16" x14ac:dyDescent="0.25">
      <c r="K197"/>
      <c r="L197"/>
      <c r="M197"/>
      <c r="N197"/>
      <c r="O197"/>
      <c r="P197"/>
    </row>
    <row r="198" spans="11:16" x14ac:dyDescent="0.25">
      <c r="K198"/>
      <c r="L198"/>
      <c r="M198"/>
      <c r="N198"/>
      <c r="O198"/>
      <c r="P198"/>
    </row>
    <row r="199" spans="11:16" x14ac:dyDescent="0.25">
      <c r="K199"/>
      <c r="L199"/>
      <c r="M199"/>
      <c r="N199"/>
      <c r="O199"/>
      <c r="P199"/>
    </row>
    <row r="200" spans="11:16" x14ac:dyDescent="0.25">
      <c r="K200"/>
      <c r="L200"/>
      <c r="M200"/>
      <c r="N200"/>
      <c r="O200"/>
      <c r="P200"/>
    </row>
    <row r="201" spans="11:16" x14ac:dyDescent="0.25">
      <c r="K201"/>
      <c r="L201"/>
      <c r="M201"/>
      <c r="N201"/>
      <c r="O201"/>
      <c r="P201"/>
    </row>
    <row r="202" spans="11:16" x14ac:dyDescent="0.25">
      <c r="K202"/>
      <c r="L202"/>
      <c r="M202"/>
      <c r="N202"/>
      <c r="O202"/>
      <c r="P202"/>
    </row>
    <row r="203" spans="11:16" x14ac:dyDescent="0.25">
      <c r="K203"/>
      <c r="L203"/>
      <c r="M203"/>
      <c r="N203"/>
      <c r="O203"/>
      <c r="P203"/>
    </row>
    <row r="204" spans="11:16" x14ac:dyDescent="0.25">
      <c r="K204"/>
      <c r="L204"/>
      <c r="M204"/>
      <c r="N204"/>
      <c r="O204"/>
      <c r="P204"/>
    </row>
    <row r="205" spans="11:16" x14ac:dyDescent="0.25">
      <c r="K205"/>
      <c r="L205"/>
      <c r="M205"/>
      <c r="N205"/>
      <c r="O205"/>
      <c r="P205"/>
    </row>
    <row r="206" spans="11:16" x14ac:dyDescent="0.25">
      <c r="K206"/>
      <c r="L206"/>
      <c r="M206"/>
      <c r="N206"/>
      <c r="O206"/>
      <c r="P206"/>
    </row>
    <row r="207" spans="11:16" x14ac:dyDescent="0.25">
      <c r="K207"/>
      <c r="L207"/>
      <c r="M207"/>
      <c r="N207"/>
      <c r="O207"/>
      <c r="P207"/>
    </row>
    <row r="208" spans="11:16" x14ac:dyDescent="0.25">
      <c r="K208"/>
      <c r="L208"/>
      <c r="M208"/>
      <c r="N208"/>
      <c r="O208"/>
      <c r="P208"/>
    </row>
    <row r="209" spans="11:16" x14ac:dyDescent="0.25">
      <c r="K209"/>
      <c r="L209"/>
      <c r="M209"/>
      <c r="N209"/>
      <c r="O209"/>
      <c r="P209"/>
    </row>
    <row r="210" spans="11:16" x14ac:dyDescent="0.25">
      <c r="K210"/>
      <c r="L210"/>
      <c r="M210"/>
      <c r="N210"/>
      <c r="O210"/>
      <c r="P210"/>
    </row>
    <row r="211" spans="11:16" x14ac:dyDescent="0.25">
      <c r="K211"/>
      <c r="L211"/>
      <c r="M211"/>
      <c r="N211"/>
      <c r="O211"/>
      <c r="P211"/>
    </row>
    <row r="212" spans="11:16" x14ac:dyDescent="0.25">
      <c r="K212"/>
      <c r="L212"/>
      <c r="M212"/>
      <c r="N212"/>
      <c r="O212"/>
      <c r="P212"/>
    </row>
    <row r="213" spans="11:16" x14ac:dyDescent="0.25">
      <c r="K213"/>
      <c r="L213"/>
      <c r="M213"/>
      <c r="N213"/>
      <c r="O213"/>
      <c r="P213"/>
    </row>
    <row r="214" spans="11:16" x14ac:dyDescent="0.25">
      <c r="K214"/>
      <c r="L214"/>
      <c r="M214"/>
      <c r="N214"/>
      <c r="O214"/>
      <c r="P214"/>
    </row>
    <row r="215" spans="11:16" x14ac:dyDescent="0.25">
      <c r="K215"/>
      <c r="L215"/>
      <c r="M215"/>
      <c r="N215"/>
      <c r="O215"/>
      <c r="P215"/>
    </row>
    <row r="216" spans="11:16" x14ac:dyDescent="0.25">
      <c r="K216"/>
      <c r="L216"/>
      <c r="M216"/>
      <c r="N216"/>
      <c r="O216"/>
      <c r="P216"/>
    </row>
    <row r="217" spans="11:16" x14ac:dyDescent="0.25">
      <c r="K217"/>
      <c r="L217"/>
      <c r="M217"/>
      <c r="N217"/>
      <c r="O217"/>
      <c r="P217"/>
    </row>
    <row r="218" spans="11:16" x14ac:dyDescent="0.25">
      <c r="K218"/>
      <c r="L218"/>
      <c r="M218"/>
      <c r="N218"/>
      <c r="O218"/>
      <c r="P218"/>
    </row>
    <row r="219" spans="11:16" x14ac:dyDescent="0.25">
      <c r="K219"/>
      <c r="L219"/>
      <c r="M219"/>
      <c r="N219"/>
      <c r="O219"/>
      <c r="P219"/>
    </row>
    <row r="220" spans="11:16" x14ac:dyDescent="0.25">
      <c r="K220"/>
      <c r="L220"/>
      <c r="M220"/>
      <c r="N220"/>
      <c r="O220"/>
      <c r="P220"/>
    </row>
    <row r="221" spans="11:16" x14ac:dyDescent="0.25">
      <c r="K221"/>
      <c r="L221"/>
      <c r="M221"/>
      <c r="N221"/>
      <c r="O221"/>
      <c r="P221"/>
    </row>
    <row r="222" spans="11:16" x14ac:dyDescent="0.25">
      <c r="K222"/>
      <c r="L222"/>
      <c r="M222"/>
      <c r="N222"/>
      <c r="O222"/>
      <c r="P222"/>
    </row>
    <row r="223" spans="11:16" x14ac:dyDescent="0.25">
      <c r="K223"/>
      <c r="L223"/>
      <c r="M223"/>
      <c r="N223"/>
      <c r="O223"/>
      <c r="P223"/>
    </row>
    <row r="224" spans="11:16" x14ac:dyDescent="0.25">
      <c r="K224"/>
      <c r="L224"/>
      <c r="M224"/>
      <c r="N224"/>
      <c r="O224"/>
      <c r="P224"/>
    </row>
    <row r="225" spans="11:16" x14ac:dyDescent="0.25">
      <c r="K225"/>
      <c r="L225"/>
      <c r="M225"/>
      <c r="N225"/>
      <c r="O225"/>
      <c r="P225"/>
    </row>
    <row r="226" spans="11:16" x14ac:dyDescent="0.25">
      <c r="K226"/>
      <c r="L226"/>
      <c r="M226"/>
      <c r="N226"/>
      <c r="O226"/>
      <c r="P226"/>
    </row>
    <row r="227" spans="11:16" x14ac:dyDescent="0.25">
      <c r="K227"/>
      <c r="L227"/>
      <c r="M227"/>
      <c r="N227"/>
      <c r="O227"/>
      <c r="P227"/>
    </row>
    <row r="228" spans="11:16" x14ac:dyDescent="0.25">
      <c r="K228"/>
      <c r="L228"/>
      <c r="M228"/>
      <c r="N228"/>
      <c r="O228"/>
      <c r="P228"/>
    </row>
    <row r="229" spans="11:16" x14ac:dyDescent="0.25">
      <c r="K229"/>
      <c r="L229"/>
      <c r="M229"/>
      <c r="N229"/>
      <c r="O229"/>
      <c r="P229"/>
    </row>
    <row r="230" spans="11:16" x14ac:dyDescent="0.25">
      <c r="K230"/>
      <c r="L230"/>
      <c r="M230"/>
      <c r="N230"/>
      <c r="O230"/>
      <c r="P230"/>
    </row>
    <row r="231" spans="11:16" x14ac:dyDescent="0.25">
      <c r="K231"/>
      <c r="L231"/>
      <c r="M231"/>
      <c r="N231"/>
      <c r="O231"/>
      <c r="P231"/>
    </row>
    <row r="232" spans="11:16" x14ac:dyDescent="0.25">
      <c r="K232"/>
      <c r="L232"/>
      <c r="M232"/>
      <c r="N232"/>
      <c r="O232"/>
      <c r="P232"/>
    </row>
    <row r="233" spans="11:16" x14ac:dyDescent="0.25">
      <c r="K233"/>
      <c r="L233"/>
      <c r="M233"/>
      <c r="N233"/>
      <c r="O233"/>
      <c r="P233"/>
    </row>
    <row r="234" spans="11:16" x14ac:dyDescent="0.25">
      <c r="K234"/>
      <c r="L234"/>
      <c r="M234"/>
      <c r="N234"/>
      <c r="O234"/>
      <c r="P234"/>
    </row>
    <row r="235" spans="11:16" x14ac:dyDescent="0.25">
      <c r="K235"/>
      <c r="L235"/>
      <c r="M235"/>
      <c r="N235"/>
      <c r="O235"/>
      <c r="P235"/>
    </row>
    <row r="236" spans="11:16" x14ac:dyDescent="0.25">
      <c r="K236"/>
      <c r="L236"/>
      <c r="M236"/>
      <c r="N236"/>
      <c r="O236"/>
      <c r="P236"/>
    </row>
    <row r="237" spans="11:16" x14ac:dyDescent="0.25">
      <c r="K237"/>
      <c r="L237"/>
      <c r="M237"/>
      <c r="N237"/>
      <c r="O237"/>
      <c r="P237"/>
    </row>
    <row r="238" spans="11:16" x14ac:dyDescent="0.25">
      <c r="K238"/>
      <c r="L238"/>
      <c r="M238"/>
      <c r="N238"/>
      <c r="O238"/>
      <c r="P238"/>
    </row>
    <row r="239" spans="11:16" x14ac:dyDescent="0.25">
      <c r="K239"/>
      <c r="L239"/>
      <c r="M239"/>
      <c r="N239"/>
      <c r="O239"/>
      <c r="P239"/>
    </row>
    <row r="240" spans="11:16" x14ac:dyDescent="0.25">
      <c r="K240"/>
      <c r="L240"/>
      <c r="M240"/>
      <c r="N240"/>
      <c r="O240"/>
      <c r="P240"/>
    </row>
    <row r="241" spans="11:16" x14ac:dyDescent="0.25">
      <c r="K241"/>
      <c r="L241"/>
      <c r="M241"/>
      <c r="N241"/>
      <c r="O241"/>
      <c r="P241"/>
    </row>
    <row r="242" spans="11:16" x14ac:dyDescent="0.25">
      <c r="K242"/>
      <c r="L242"/>
      <c r="M242"/>
      <c r="N242"/>
      <c r="O242"/>
      <c r="P242"/>
    </row>
    <row r="243" spans="11:16" x14ac:dyDescent="0.25">
      <c r="K243"/>
      <c r="L243"/>
      <c r="M243"/>
      <c r="N243"/>
      <c r="O243"/>
      <c r="P243"/>
    </row>
    <row r="244" spans="11:16" x14ac:dyDescent="0.25">
      <c r="K244"/>
      <c r="L244"/>
      <c r="M244"/>
      <c r="N244"/>
      <c r="O244"/>
      <c r="P244"/>
    </row>
    <row r="245" spans="11:16" x14ac:dyDescent="0.25">
      <c r="K245"/>
      <c r="L245"/>
      <c r="M245"/>
      <c r="N245"/>
      <c r="O245"/>
      <c r="P245"/>
    </row>
    <row r="246" spans="11:16" x14ac:dyDescent="0.25">
      <c r="K246"/>
      <c r="L246"/>
      <c r="M246"/>
      <c r="N246"/>
      <c r="O246"/>
      <c r="P246"/>
    </row>
    <row r="247" spans="11:16" x14ac:dyDescent="0.25">
      <c r="K247"/>
      <c r="L247"/>
      <c r="M247"/>
      <c r="N247"/>
      <c r="O247"/>
      <c r="P247"/>
    </row>
    <row r="248" spans="11:16" x14ac:dyDescent="0.25">
      <c r="K248"/>
      <c r="L248"/>
      <c r="M248"/>
      <c r="N248"/>
      <c r="O248"/>
      <c r="P248"/>
    </row>
    <row r="249" spans="11:16" x14ac:dyDescent="0.25">
      <c r="K249"/>
      <c r="L249"/>
      <c r="M249"/>
      <c r="N249"/>
      <c r="O249"/>
      <c r="P249"/>
    </row>
    <row r="250" spans="11:16" x14ac:dyDescent="0.25">
      <c r="K250"/>
      <c r="L250"/>
      <c r="M250"/>
      <c r="N250"/>
      <c r="O250"/>
      <c r="P250"/>
    </row>
    <row r="251" spans="11:16" x14ac:dyDescent="0.25">
      <c r="K251"/>
      <c r="L251"/>
      <c r="M251"/>
      <c r="N251"/>
      <c r="O251"/>
      <c r="P251"/>
    </row>
    <row r="252" spans="11:16" x14ac:dyDescent="0.25">
      <c r="K252"/>
      <c r="L252"/>
      <c r="M252"/>
      <c r="N252"/>
      <c r="O252"/>
      <c r="P252"/>
    </row>
    <row r="253" spans="11:16" x14ac:dyDescent="0.25">
      <c r="K253"/>
      <c r="L253"/>
      <c r="M253"/>
      <c r="N253"/>
      <c r="O253"/>
      <c r="P253"/>
    </row>
    <row r="254" spans="11:16" x14ac:dyDescent="0.25">
      <c r="K254"/>
      <c r="L254"/>
      <c r="M254"/>
      <c r="N254"/>
      <c r="O254"/>
      <c r="P254"/>
    </row>
    <row r="255" spans="11:16" x14ac:dyDescent="0.25">
      <c r="K255"/>
      <c r="L255"/>
      <c r="M255"/>
      <c r="N255"/>
      <c r="O255"/>
      <c r="P255"/>
    </row>
    <row r="256" spans="11:16" x14ac:dyDescent="0.25">
      <c r="K256"/>
      <c r="L256"/>
      <c r="M256"/>
      <c r="N256"/>
      <c r="O256"/>
      <c r="P256"/>
    </row>
    <row r="257" spans="11:15" x14ac:dyDescent="0.25">
      <c r="K257"/>
      <c r="L257"/>
      <c r="M257"/>
      <c r="N257"/>
      <c r="O257"/>
    </row>
    <row r="258" spans="11:15" x14ac:dyDescent="0.25">
      <c r="K258"/>
      <c r="L258"/>
      <c r="M258"/>
      <c r="N258"/>
      <c r="O258"/>
    </row>
    <row r="259" spans="11:15" x14ac:dyDescent="0.25">
      <c r="K259"/>
      <c r="L259"/>
      <c r="M259"/>
      <c r="N259"/>
      <c r="O259"/>
    </row>
    <row r="260" spans="11:15" x14ac:dyDescent="0.25">
      <c r="K260"/>
      <c r="L260"/>
      <c r="M260"/>
      <c r="N260"/>
      <c r="O260"/>
    </row>
    <row r="261" spans="11:15" x14ac:dyDescent="0.25">
      <c r="K261"/>
      <c r="L261"/>
      <c r="M261"/>
      <c r="N261"/>
      <c r="O261"/>
    </row>
    <row r="262" spans="11:15" x14ac:dyDescent="0.25">
      <c r="K262"/>
      <c r="L262"/>
      <c r="M262"/>
      <c r="N262"/>
      <c r="O262"/>
    </row>
    <row r="263" spans="11:15" x14ac:dyDescent="0.25">
      <c r="K263"/>
      <c r="L263"/>
      <c r="M263"/>
      <c r="N263"/>
      <c r="O263"/>
    </row>
    <row r="264" spans="11:15" x14ac:dyDescent="0.25">
      <c r="K264"/>
      <c r="L264"/>
      <c r="M264"/>
      <c r="N264"/>
      <c r="O264"/>
    </row>
    <row r="265" spans="11:15" x14ac:dyDescent="0.25">
      <c r="K265"/>
      <c r="L265"/>
      <c r="M265"/>
      <c r="N265"/>
      <c r="O265"/>
    </row>
    <row r="266" spans="11:15" x14ac:dyDescent="0.25">
      <c r="K266"/>
      <c r="L266"/>
      <c r="M266"/>
      <c r="N266"/>
      <c r="O266"/>
    </row>
    <row r="267" spans="11:15" x14ac:dyDescent="0.25">
      <c r="K267"/>
      <c r="L267"/>
      <c r="M267"/>
      <c r="N267"/>
      <c r="O267"/>
    </row>
    <row r="268" spans="11:15" x14ac:dyDescent="0.25">
      <c r="K268"/>
      <c r="L268"/>
      <c r="M268"/>
      <c r="N268"/>
      <c r="O268"/>
    </row>
    <row r="269" spans="11:15" x14ac:dyDescent="0.25">
      <c r="K269"/>
      <c r="L269"/>
      <c r="M269"/>
      <c r="N269"/>
      <c r="O269"/>
    </row>
    <row r="270" spans="11:15" x14ac:dyDescent="0.25">
      <c r="K270"/>
      <c r="L270"/>
      <c r="M270"/>
      <c r="N270"/>
      <c r="O270"/>
    </row>
    <row r="271" spans="11:15" x14ac:dyDescent="0.25">
      <c r="K271"/>
      <c r="L271"/>
      <c r="M271"/>
      <c r="N271"/>
      <c r="O271"/>
    </row>
    <row r="272" spans="11:15" x14ac:dyDescent="0.25">
      <c r="K272"/>
      <c r="L272"/>
      <c r="M272"/>
      <c r="N272"/>
      <c r="O272"/>
    </row>
    <row r="273" spans="11:15" x14ac:dyDescent="0.25">
      <c r="K273"/>
      <c r="L273"/>
      <c r="M273"/>
      <c r="N273"/>
      <c r="O273"/>
    </row>
    <row r="274" spans="11:15" x14ac:dyDescent="0.25">
      <c r="K274"/>
      <c r="L274"/>
      <c r="M274"/>
      <c r="N274"/>
      <c r="O274"/>
    </row>
    <row r="275" spans="11:15" x14ac:dyDescent="0.25">
      <c r="K275"/>
      <c r="L275"/>
      <c r="M275"/>
      <c r="N275"/>
      <c r="O275"/>
    </row>
    <row r="276" spans="11:15" x14ac:dyDescent="0.25">
      <c r="K276"/>
      <c r="L276"/>
      <c r="M276"/>
      <c r="N276"/>
      <c r="O276"/>
    </row>
    <row r="277" spans="11:15" x14ac:dyDescent="0.25">
      <c r="K277"/>
      <c r="L277"/>
      <c r="M277"/>
      <c r="N277"/>
      <c r="O277"/>
    </row>
    <row r="278" spans="11:15" x14ac:dyDescent="0.25">
      <c r="K278"/>
      <c r="L278"/>
      <c r="M278"/>
      <c r="N278"/>
      <c r="O278"/>
    </row>
    <row r="279" spans="11:15" x14ac:dyDescent="0.25">
      <c r="K279"/>
      <c r="L279"/>
      <c r="M279"/>
      <c r="N279"/>
      <c r="O279"/>
    </row>
    <row r="280" spans="11:15" x14ac:dyDescent="0.25">
      <c r="K280"/>
      <c r="L280"/>
      <c r="M280"/>
      <c r="N280"/>
      <c r="O280"/>
    </row>
    <row r="281" spans="11:15" x14ac:dyDescent="0.25">
      <c r="K281"/>
      <c r="L281"/>
      <c r="M281"/>
      <c r="N281"/>
      <c r="O281"/>
    </row>
    <row r="282" spans="11:15" x14ac:dyDescent="0.25">
      <c r="K282"/>
      <c r="L282"/>
      <c r="M282"/>
      <c r="N282"/>
      <c r="O282"/>
    </row>
    <row r="283" spans="11:15" x14ac:dyDescent="0.25">
      <c r="K283"/>
      <c r="L283"/>
      <c r="M283"/>
      <c r="N283"/>
      <c r="O283"/>
    </row>
    <row r="284" spans="11:15" x14ac:dyDescent="0.25">
      <c r="K284"/>
      <c r="L284"/>
      <c r="M284"/>
      <c r="N284"/>
      <c r="O284"/>
    </row>
    <row r="285" spans="11:15" x14ac:dyDescent="0.25">
      <c r="K285"/>
      <c r="L285"/>
      <c r="M285"/>
      <c r="N285"/>
      <c r="O285"/>
    </row>
    <row r="286" spans="11:15" x14ac:dyDescent="0.25">
      <c r="K286"/>
      <c r="L286"/>
      <c r="M286"/>
      <c r="N286"/>
      <c r="O286"/>
    </row>
    <row r="287" spans="11:15" x14ac:dyDescent="0.25">
      <c r="K287"/>
      <c r="L287"/>
      <c r="M287"/>
      <c r="N287"/>
      <c r="O287"/>
    </row>
    <row r="288" spans="11:15" x14ac:dyDescent="0.25">
      <c r="K288"/>
      <c r="L288"/>
      <c r="M288"/>
      <c r="N288"/>
      <c r="O288"/>
    </row>
    <row r="289" spans="11:15" x14ac:dyDescent="0.25">
      <c r="K289"/>
      <c r="L289"/>
      <c r="M289"/>
      <c r="N289"/>
      <c r="O289"/>
    </row>
    <row r="290" spans="11:15" x14ac:dyDescent="0.25">
      <c r="K290"/>
      <c r="L290"/>
      <c r="M290"/>
      <c r="N290"/>
      <c r="O290"/>
    </row>
    <row r="291" spans="11:15" x14ac:dyDescent="0.25">
      <c r="K291"/>
      <c r="L291"/>
      <c r="M291"/>
      <c r="N291"/>
      <c r="O291"/>
    </row>
    <row r="292" spans="11:15" x14ac:dyDescent="0.25">
      <c r="K292"/>
      <c r="L292"/>
      <c r="M292"/>
      <c r="N292"/>
      <c r="O292"/>
    </row>
    <row r="293" spans="11:15" x14ac:dyDescent="0.25">
      <c r="K293"/>
      <c r="L293"/>
      <c r="M293"/>
      <c r="N293"/>
      <c r="O293"/>
    </row>
    <row r="294" spans="11:15" x14ac:dyDescent="0.25">
      <c r="K294"/>
      <c r="L294"/>
      <c r="M294"/>
      <c r="N294"/>
      <c r="O294"/>
    </row>
    <row r="295" spans="11:15" x14ac:dyDescent="0.25">
      <c r="K295"/>
      <c r="L295"/>
      <c r="M295"/>
      <c r="N295"/>
      <c r="O295"/>
    </row>
    <row r="296" spans="11:15" x14ac:dyDescent="0.25">
      <c r="K296"/>
      <c r="L296"/>
      <c r="M296"/>
      <c r="N296"/>
      <c r="O296"/>
    </row>
    <row r="297" spans="11:15" x14ac:dyDescent="0.25">
      <c r="K297"/>
      <c r="L297"/>
      <c r="M297"/>
      <c r="N297"/>
      <c r="O297"/>
    </row>
    <row r="298" spans="11:15" x14ac:dyDescent="0.25">
      <c r="K298"/>
      <c r="L298"/>
      <c r="M298"/>
      <c r="N298"/>
      <c r="O298"/>
    </row>
    <row r="299" spans="11:15" x14ac:dyDescent="0.25">
      <c r="K299"/>
      <c r="L299"/>
      <c r="M299"/>
      <c r="N299"/>
      <c r="O299"/>
    </row>
    <row r="300" spans="11:15" x14ac:dyDescent="0.25">
      <c r="K300"/>
      <c r="L300"/>
      <c r="M300"/>
      <c r="N300"/>
      <c r="O300"/>
    </row>
    <row r="301" spans="11:15" x14ac:dyDescent="0.25">
      <c r="K301"/>
      <c r="L301"/>
      <c r="M301"/>
      <c r="N301"/>
      <c r="O301"/>
    </row>
    <row r="302" spans="11:15" x14ac:dyDescent="0.25">
      <c r="K302"/>
      <c r="L302"/>
      <c r="M302"/>
      <c r="N302"/>
      <c r="O302"/>
    </row>
    <row r="303" spans="11:15" x14ac:dyDescent="0.25">
      <c r="K303"/>
      <c r="L303"/>
      <c r="M303"/>
      <c r="N303"/>
      <c r="O303"/>
    </row>
    <row r="304" spans="11:15" x14ac:dyDescent="0.25">
      <c r="K304"/>
      <c r="L304"/>
      <c r="M304"/>
      <c r="N304"/>
      <c r="O304"/>
    </row>
    <row r="305" spans="11:15" x14ac:dyDescent="0.25">
      <c r="K305"/>
      <c r="L305"/>
      <c r="M305"/>
      <c r="N305"/>
      <c r="O305"/>
    </row>
    <row r="306" spans="11:15" x14ac:dyDescent="0.25">
      <c r="K306"/>
      <c r="L306"/>
      <c r="M306"/>
      <c r="N306"/>
      <c r="O306"/>
    </row>
    <row r="307" spans="11:15" x14ac:dyDescent="0.25">
      <c r="K307"/>
      <c r="L307"/>
      <c r="M307"/>
      <c r="N307"/>
      <c r="O307"/>
    </row>
    <row r="308" spans="11:15" x14ac:dyDescent="0.25">
      <c r="K308"/>
      <c r="L308"/>
      <c r="M308"/>
      <c r="N308"/>
      <c r="O308"/>
    </row>
    <row r="309" spans="11:15" x14ac:dyDescent="0.25">
      <c r="K309"/>
      <c r="L309"/>
      <c r="M309"/>
      <c r="N309"/>
      <c r="O309"/>
    </row>
    <row r="310" spans="11:15" x14ac:dyDescent="0.25">
      <c r="K310"/>
      <c r="L310"/>
      <c r="M310"/>
      <c r="N310"/>
      <c r="O310"/>
    </row>
    <row r="311" spans="11:15" x14ac:dyDescent="0.25">
      <c r="K311"/>
      <c r="L311"/>
      <c r="M311"/>
      <c r="N311"/>
      <c r="O311"/>
    </row>
    <row r="312" spans="11:15" x14ac:dyDescent="0.25">
      <c r="K312"/>
      <c r="L312"/>
      <c r="M312"/>
      <c r="N312"/>
      <c r="O312"/>
    </row>
    <row r="313" spans="11:15" x14ac:dyDescent="0.25">
      <c r="K313"/>
      <c r="L313"/>
      <c r="M313"/>
      <c r="N313"/>
      <c r="O313"/>
    </row>
    <row r="314" spans="11:15" x14ac:dyDescent="0.25">
      <c r="K314"/>
      <c r="L314"/>
      <c r="M314"/>
      <c r="N314"/>
      <c r="O314"/>
    </row>
    <row r="315" spans="11:15" x14ac:dyDescent="0.25">
      <c r="K315"/>
      <c r="L315"/>
      <c r="M315"/>
      <c r="N315"/>
      <c r="O315"/>
    </row>
    <row r="316" spans="11:15" x14ac:dyDescent="0.25">
      <c r="K316"/>
      <c r="L316"/>
      <c r="M316"/>
      <c r="N316"/>
      <c r="O316"/>
    </row>
    <row r="317" spans="11:15" x14ac:dyDescent="0.25">
      <c r="K317"/>
      <c r="L317"/>
      <c r="M317"/>
      <c r="N317"/>
      <c r="O317"/>
    </row>
    <row r="318" spans="11:15" x14ac:dyDescent="0.25">
      <c r="K318"/>
      <c r="L318"/>
      <c r="M318"/>
      <c r="N318"/>
      <c r="O318"/>
    </row>
    <row r="319" spans="11:15" x14ac:dyDescent="0.25">
      <c r="K319"/>
      <c r="L319"/>
      <c r="M319"/>
      <c r="N319"/>
      <c r="O319"/>
    </row>
    <row r="320" spans="11:15" x14ac:dyDescent="0.25">
      <c r="K320"/>
      <c r="L320"/>
      <c r="M320"/>
      <c r="N320"/>
      <c r="O320"/>
    </row>
    <row r="321" spans="11:15" x14ac:dyDescent="0.25">
      <c r="K321"/>
      <c r="L321"/>
      <c r="M321"/>
      <c r="N321"/>
      <c r="O321"/>
    </row>
    <row r="322" spans="11:15" x14ac:dyDescent="0.25">
      <c r="K322"/>
      <c r="L322"/>
      <c r="M322"/>
      <c r="N322"/>
      <c r="O322"/>
    </row>
    <row r="323" spans="11:15" x14ac:dyDescent="0.25">
      <c r="K323"/>
      <c r="L323"/>
      <c r="M323"/>
      <c r="N323"/>
      <c r="O323"/>
    </row>
    <row r="324" spans="11:15" x14ac:dyDescent="0.25">
      <c r="K324"/>
      <c r="L324"/>
      <c r="M324"/>
      <c r="N324"/>
      <c r="O324"/>
    </row>
    <row r="325" spans="11:15" x14ac:dyDescent="0.25">
      <c r="K325"/>
      <c r="L325"/>
      <c r="M325"/>
      <c r="N325"/>
      <c r="O325"/>
    </row>
    <row r="326" spans="11:15" x14ac:dyDescent="0.25">
      <c r="K326"/>
      <c r="L326"/>
      <c r="M326"/>
      <c r="N326"/>
      <c r="O326"/>
    </row>
    <row r="327" spans="11:15" x14ac:dyDescent="0.25">
      <c r="K327"/>
      <c r="L327"/>
      <c r="M327"/>
      <c r="N327"/>
      <c r="O327"/>
    </row>
    <row r="328" spans="11:15" x14ac:dyDescent="0.25">
      <c r="K328"/>
      <c r="L328"/>
      <c r="M328"/>
      <c r="N328"/>
      <c r="O328"/>
    </row>
    <row r="329" spans="11:15" x14ac:dyDescent="0.25">
      <c r="K329"/>
      <c r="L329"/>
      <c r="M329"/>
      <c r="N329"/>
      <c r="O329"/>
    </row>
    <row r="330" spans="11:15" x14ac:dyDescent="0.25">
      <c r="K330"/>
      <c r="L330"/>
      <c r="M330"/>
      <c r="N330"/>
      <c r="O330"/>
    </row>
    <row r="331" spans="11:15" x14ac:dyDescent="0.25">
      <c r="K331"/>
      <c r="L331"/>
      <c r="M331"/>
      <c r="N331"/>
      <c r="O331"/>
    </row>
    <row r="332" spans="11:15" x14ac:dyDescent="0.25">
      <c r="K332"/>
      <c r="L332"/>
      <c r="M332"/>
      <c r="N332"/>
      <c r="O332"/>
    </row>
    <row r="333" spans="11:15" x14ac:dyDescent="0.25">
      <c r="K333"/>
      <c r="L333"/>
      <c r="M333"/>
      <c r="N333"/>
      <c r="O333"/>
    </row>
    <row r="334" spans="11:15" x14ac:dyDescent="0.25">
      <c r="K334"/>
      <c r="L334"/>
      <c r="M334"/>
      <c r="N334"/>
      <c r="O334"/>
    </row>
    <row r="335" spans="11:15" x14ac:dyDescent="0.25">
      <c r="K335"/>
      <c r="L335"/>
      <c r="M335"/>
      <c r="N335"/>
      <c r="O335"/>
    </row>
    <row r="336" spans="11:15" x14ac:dyDescent="0.25">
      <c r="K336"/>
      <c r="L336"/>
      <c r="M336"/>
      <c r="N336"/>
      <c r="O336"/>
    </row>
    <row r="337" spans="11:15" x14ac:dyDescent="0.25">
      <c r="K337"/>
      <c r="L337"/>
      <c r="M337"/>
      <c r="N337"/>
      <c r="O337"/>
    </row>
    <row r="338" spans="11:15" x14ac:dyDescent="0.25">
      <c r="K338"/>
      <c r="L338"/>
      <c r="M338"/>
      <c r="N338"/>
      <c r="O338"/>
    </row>
    <row r="339" spans="11:15" x14ac:dyDescent="0.25">
      <c r="K339"/>
      <c r="L339"/>
      <c r="M339"/>
      <c r="N339"/>
      <c r="O339"/>
    </row>
    <row r="340" spans="11:15" x14ac:dyDescent="0.25">
      <c r="K340"/>
      <c r="L340"/>
      <c r="M340"/>
      <c r="N340"/>
      <c r="O340"/>
    </row>
    <row r="341" spans="11:15" x14ac:dyDescent="0.25">
      <c r="K341"/>
      <c r="L341"/>
      <c r="M341"/>
      <c r="N341"/>
      <c r="O341"/>
    </row>
    <row r="342" spans="11:15" x14ac:dyDescent="0.25">
      <c r="K342"/>
      <c r="L342"/>
      <c r="M342"/>
      <c r="N342"/>
      <c r="O342"/>
    </row>
    <row r="343" spans="11:15" x14ac:dyDescent="0.25">
      <c r="K343"/>
      <c r="L343"/>
      <c r="M343"/>
      <c r="N343"/>
      <c r="O343"/>
    </row>
    <row r="344" spans="11:15" x14ac:dyDescent="0.25">
      <c r="K344"/>
      <c r="L344"/>
      <c r="M344"/>
      <c r="N344"/>
      <c r="O344"/>
    </row>
    <row r="345" spans="11:15" x14ac:dyDescent="0.25">
      <c r="K345"/>
      <c r="L345"/>
      <c r="M345"/>
      <c r="N345"/>
      <c r="O345"/>
    </row>
    <row r="346" spans="11:15" x14ac:dyDescent="0.25">
      <c r="K346"/>
      <c r="L346"/>
      <c r="M346"/>
      <c r="N346"/>
      <c r="O346"/>
    </row>
    <row r="347" spans="11:15" x14ac:dyDescent="0.25">
      <c r="K347"/>
      <c r="L347"/>
      <c r="M347"/>
      <c r="N347"/>
      <c r="O347"/>
    </row>
    <row r="348" spans="11:15" x14ac:dyDescent="0.25">
      <c r="K348"/>
      <c r="L348"/>
      <c r="M348"/>
      <c r="N348"/>
      <c r="O348"/>
    </row>
    <row r="349" spans="11:15" x14ac:dyDescent="0.25">
      <c r="K349"/>
      <c r="L349"/>
      <c r="M349"/>
      <c r="N349"/>
      <c r="O349"/>
    </row>
    <row r="350" spans="11:15" x14ac:dyDescent="0.25">
      <c r="K350"/>
      <c r="L350"/>
      <c r="M350"/>
      <c r="N350"/>
      <c r="O350"/>
    </row>
    <row r="351" spans="11:15" x14ac:dyDescent="0.25">
      <c r="K351"/>
      <c r="L351"/>
      <c r="M351"/>
      <c r="N351"/>
      <c r="O351"/>
    </row>
    <row r="352" spans="11:15" x14ac:dyDescent="0.25">
      <c r="K352"/>
      <c r="L352"/>
      <c r="M352"/>
      <c r="N352"/>
      <c r="O352"/>
    </row>
    <row r="353" spans="11:15" x14ac:dyDescent="0.25">
      <c r="K353"/>
      <c r="L353"/>
      <c r="M353"/>
      <c r="N353"/>
      <c r="O353"/>
    </row>
    <row r="354" spans="11:15" x14ac:dyDescent="0.25">
      <c r="K354"/>
      <c r="L354"/>
      <c r="M354"/>
      <c r="N354"/>
      <c r="O354"/>
    </row>
    <row r="355" spans="11:15" x14ac:dyDescent="0.25">
      <c r="K355"/>
      <c r="L355"/>
      <c r="M355"/>
      <c r="N355"/>
      <c r="O355"/>
    </row>
    <row r="356" spans="11:15" x14ac:dyDescent="0.25">
      <c r="K356"/>
      <c r="L356"/>
      <c r="M356"/>
      <c r="N356"/>
      <c r="O356"/>
    </row>
    <row r="357" spans="11:15" x14ac:dyDescent="0.25">
      <c r="K357"/>
      <c r="L357"/>
      <c r="M357"/>
      <c r="N357"/>
      <c r="O357"/>
    </row>
    <row r="358" spans="11:15" x14ac:dyDescent="0.25">
      <c r="K358"/>
      <c r="L358"/>
      <c r="M358"/>
      <c r="N358"/>
      <c r="O358"/>
    </row>
    <row r="359" spans="11:15" x14ac:dyDescent="0.25">
      <c r="K359"/>
      <c r="L359"/>
      <c r="M359"/>
      <c r="N359"/>
      <c r="O359"/>
    </row>
    <row r="360" spans="11:15" x14ac:dyDescent="0.25">
      <c r="K360"/>
      <c r="L360"/>
      <c r="M360"/>
      <c r="N360"/>
      <c r="O360"/>
    </row>
    <row r="361" spans="11:15" x14ac:dyDescent="0.25">
      <c r="K361"/>
      <c r="L361"/>
      <c r="M361"/>
      <c r="N361"/>
      <c r="O361"/>
    </row>
    <row r="362" spans="11:15" x14ac:dyDescent="0.25">
      <c r="K362"/>
      <c r="L362"/>
      <c r="M362"/>
      <c r="N362"/>
      <c r="O362"/>
    </row>
    <row r="363" spans="11:15" x14ac:dyDescent="0.25">
      <c r="K363"/>
      <c r="L363"/>
      <c r="M363"/>
      <c r="N363"/>
      <c r="O363"/>
    </row>
    <row r="364" spans="11:15" x14ac:dyDescent="0.25">
      <c r="K364"/>
      <c r="L364"/>
      <c r="M364"/>
      <c r="N364"/>
      <c r="O364"/>
    </row>
    <row r="365" spans="11:15" x14ac:dyDescent="0.25">
      <c r="K365"/>
      <c r="L365"/>
      <c r="M365"/>
      <c r="N365"/>
      <c r="O365"/>
    </row>
    <row r="366" spans="11:15" x14ac:dyDescent="0.25">
      <c r="K366"/>
      <c r="L366"/>
      <c r="M366"/>
      <c r="N366"/>
      <c r="O366"/>
    </row>
    <row r="367" spans="11:15" x14ac:dyDescent="0.25">
      <c r="K367"/>
      <c r="L367"/>
      <c r="M367"/>
      <c r="N367"/>
      <c r="O367"/>
    </row>
    <row r="368" spans="11:15" x14ac:dyDescent="0.25">
      <c r="K368"/>
      <c r="L368"/>
      <c r="M368"/>
      <c r="N368"/>
      <c r="O368"/>
    </row>
    <row r="369" spans="11:15" x14ac:dyDescent="0.25">
      <c r="K369"/>
      <c r="L369"/>
      <c r="M369"/>
      <c r="N369"/>
      <c r="O369"/>
    </row>
    <row r="370" spans="11:15" x14ac:dyDescent="0.25">
      <c r="K370"/>
      <c r="L370"/>
      <c r="M370"/>
      <c r="N370"/>
      <c r="O370"/>
    </row>
    <row r="371" spans="11:15" x14ac:dyDescent="0.25">
      <c r="K371"/>
      <c r="L371"/>
      <c r="M371"/>
      <c r="N371"/>
      <c r="O371"/>
    </row>
    <row r="372" spans="11:15" x14ac:dyDescent="0.25">
      <c r="K372"/>
      <c r="L372"/>
      <c r="M372"/>
      <c r="N372"/>
      <c r="O372"/>
    </row>
    <row r="373" spans="11:15" x14ac:dyDescent="0.25">
      <c r="K373"/>
      <c r="L373"/>
      <c r="M373"/>
      <c r="N373"/>
      <c r="O373"/>
    </row>
    <row r="374" spans="11:15" x14ac:dyDescent="0.25">
      <c r="K374"/>
      <c r="L374"/>
      <c r="M374"/>
      <c r="N374"/>
      <c r="O374"/>
    </row>
    <row r="375" spans="11:15" x14ac:dyDescent="0.25">
      <c r="K375"/>
      <c r="L375"/>
      <c r="M375"/>
      <c r="N375"/>
      <c r="O375"/>
    </row>
    <row r="376" spans="11:15" x14ac:dyDescent="0.25">
      <c r="K376"/>
      <c r="L376"/>
      <c r="M376"/>
      <c r="N376"/>
      <c r="O376"/>
    </row>
    <row r="377" spans="11:15" x14ac:dyDescent="0.25">
      <c r="K377"/>
      <c r="L377"/>
      <c r="M377"/>
      <c r="N377"/>
      <c r="O377"/>
    </row>
    <row r="378" spans="11:15" x14ac:dyDescent="0.25">
      <c r="K378"/>
      <c r="L378"/>
      <c r="M378"/>
      <c r="N378"/>
      <c r="O378"/>
    </row>
    <row r="379" spans="11:15" x14ac:dyDescent="0.25">
      <c r="K379"/>
      <c r="L379"/>
      <c r="M379"/>
      <c r="N379"/>
      <c r="O379"/>
    </row>
    <row r="380" spans="11:15" x14ac:dyDescent="0.25">
      <c r="K380"/>
      <c r="L380"/>
      <c r="M380"/>
      <c r="N380"/>
      <c r="O380"/>
    </row>
    <row r="381" spans="11:15" x14ac:dyDescent="0.25">
      <c r="K381"/>
      <c r="L381"/>
      <c r="M381"/>
      <c r="N381"/>
      <c r="O381"/>
    </row>
    <row r="382" spans="11:15" x14ac:dyDescent="0.25">
      <c r="K382"/>
      <c r="L382"/>
      <c r="M382"/>
      <c r="N382"/>
      <c r="O382"/>
    </row>
    <row r="383" spans="11:15" x14ac:dyDescent="0.25">
      <c r="K383"/>
      <c r="L383"/>
      <c r="M383"/>
      <c r="N383"/>
      <c r="O383"/>
    </row>
    <row r="384" spans="11:15" x14ac:dyDescent="0.25">
      <c r="K384"/>
      <c r="L384"/>
      <c r="M384"/>
      <c r="N384"/>
      <c r="O384"/>
    </row>
    <row r="385" spans="11:15" x14ac:dyDescent="0.25">
      <c r="K385"/>
      <c r="L385"/>
      <c r="M385"/>
      <c r="N385"/>
      <c r="O385"/>
    </row>
    <row r="386" spans="11:15" x14ac:dyDescent="0.25">
      <c r="K386"/>
      <c r="L386"/>
      <c r="M386"/>
      <c r="N386"/>
      <c r="O386"/>
    </row>
    <row r="387" spans="11:15" x14ac:dyDescent="0.25">
      <c r="K387"/>
      <c r="L387"/>
      <c r="M387"/>
      <c r="N387"/>
      <c r="O387"/>
    </row>
    <row r="388" spans="11:15" x14ac:dyDescent="0.25">
      <c r="K388"/>
      <c r="L388"/>
      <c r="M388"/>
      <c r="N388"/>
      <c r="O388"/>
    </row>
    <row r="389" spans="11:15" x14ac:dyDescent="0.25">
      <c r="K389"/>
      <c r="L389"/>
      <c r="M389"/>
      <c r="N389"/>
      <c r="O389"/>
    </row>
    <row r="390" spans="11:15" x14ac:dyDescent="0.25">
      <c r="K390"/>
      <c r="L390"/>
      <c r="M390"/>
      <c r="N390"/>
      <c r="O390"/>
    </row>
    <row r="391" spans="11:15" x14ac:dyDescent="0.25">
      <c r="K391"/>
      <c r="L391"/>
      <c r="M391"/>
      <c r="N391"/>
      <c r="O391"/>
    </row>
    <row r="392" spans="11:15" x14ac:dyDescent="0.25">
      <c r="K392"/>
      <c r="L392"/>
      <c r="M392"/>
      <c r="N392"/>
      <c r="O392"/>
    </row>
    <row r="393" spans="11:15" x14ac:dyDescent="0.25">
      <c r="K393"/>
      <c r="L393"/>
      <c r="M393"/>
      <c r="N393"/>
      <c r="O393"/>
    </row>
    <row r="394" spans="11:15" x14ac:dyDescent="0.25">
      <c r="K394"/>
      <c r="L394"/>
      <c r="M394"/>
      <c r="N394"/>
      <c r="O394"/>
    </row>
    <row r="395" spans="11:15" x14ac:dyDescent="0.25">
      <c r="K395"/>
      <c r="L395"/>
      <c r="M395"/>
      <c r="N395"/>
      <c r="O395"/>
    </row>
    <row r="396" spans="11:15" x14ac:dyDescent="0.25">
      <c r="K396"/>
      <c r="L396"/>
      <c r="M396"/>
      <c r="N396"/>
      <c r="O396"/>
    </row>
    <row r="397" spans="11:15" x14ac:dyDescent="0.25">
      <c r="K397"/>
      <c r="L397"/>
      <c r="M397"/>
      <c r="N397"/>
      <c r="O397"/>
    </row>
    <row r="398" spans="11:15" x14ac:dyDescent="0.25">
      <c r="K398"/>
      <c r="L398"/>
      <c r="M398"/>
      <c r="N398"/>
      <c r="O398"/>
    </row>
    <row r="399" spans="11:15" x14ac:dyDescent="0.25">
      <c r="K399"/>
      <c r="L399"/>
      <c r="M399"/>
      <c r="N399"/>
      <c r="O399"/>
    </row>
    <row r="400" spans="11:15" x14ac:dyDescent="0.25">
      <c r="K400"/>
      <c r="L400"/>
      <c r="M400"/>
      <c r="N400"/>
      <c r="O400"/>
    </row>
    <row r="401" spans="11:15" x14ac:dyDescent="0.25">
      <c r="K401"/>
      <c r="L401"/>
      <c r="M401"/>
      <c r="N401"/>
      <c r="O401"/>
    </row>
    <row r="402" spans="11:15" x14ac:dyDescent="0.25">
      <c r="K402"/>
      <c r="L402"/>
      <c r="M402"/>
      <c r="N402"/>
      <c r="O402"/>
    </row>
    <row r="403" spans="11:15" x14ac:dyDescent="0.25">
      <c r="K403"/>
      <c r="L403"/>
      <c r="M403"/>
      <c r="N403"/>
      <c r="O403"/>
    </row>
    <row r="404" spans="11:15" x14ac:dyDescent="0.25">
      <c r="K404"/>
      <c r="L404"/>
      <c r="M404"/>
      <c r="N404"/>
      <c r="O404"/>
    </row>
    <row r="405" spans="11:15" x14ac:dyDescent="0.25">
      <c r="K405"/>
      <c r="L405"/>
      <c r="M405"/>
      <c r="N405"/>
      <c r="O405"/>
    </row>
    <row r="406" spans="11:15" x14ac:dyDescent="0.25">
      <c r="K406"/>
      <c r="L406"/>
      <c r="M406"/>
      <c r="N406"/>
      <c r="O406"/>
    </row>
    <row r="407" spans="11:15" x14ac:dyDescent="0.25">
      <c r="K407"/>
      <c r="L407"/>
      <c r="M407"/>
      <c r="N407"/>
      <c r="O407"/>
    </row>
    <row r="408" spans="11:15" x14ac:dyDescent="0.25">
      <c r="K408"/>
      <c r="L408"/>
      <c r="M408"/>
      <c r="N408"/>
      <c r="O408"/>
    </row>
    <row r="409" spans="11:15" x14ac:dyDescent="0.25">
      <c r="K409"/>
      <c r="L409"/>
      <c r="M409"/>
      <c r="N409"/>
      <c r="O409"/>
    </row>
    <row r="410" spans="11:15" x14ac:dyDescent="0.25">
      <c r="K410"/>
      <c r="L410"/>
      <c r="M410"/>
      <c r="N410"/>
      <c r="O410"/>
    </row>
    <row r="411" spans="11:15" x14ac:dyDescent="0.25">
      <c r="K411"/>
      <c r="L411"/>
      <c r="M411"/>
      <c r="N411"/>
      <c r="O411"/>
    </row>
    <row r="412" spans="11:15" x14ac:dyDescent="0.25">
      <c r="K412"/>
      <c r="L412"/>
      <c r="M412"/>
      <c r="N412"/>
      <c r="O412"/>
    </row>
    <row r="413" spans="11:15" x14ac:dyDescent="0.25">
      <c r="K413"/>
      <c r="L413"/>
      <c r="M413"/>
      <c r="N413"/>
      <c r="O413"/>
    </row>
    <row r="414" spans="11:15" x14ac:dyDescent="0.25">
      <c r="K414"/>
      <c r="L414"/>
      <c r="M414"/>
      <c r="N414"/>
      <c r="O414"/>
    </row>
    <row r="415" spans="11:15" x14ac:dyDescent="0.25">
      <c r="K415"/>
      <c r="L415"/>
      <c r="M415"/>
      <c r="N415"/>
      <c r="O415"/>
    </row>
    <row r="416" spans="11:15" x14ac:dyDescent="0.25">
      <c r="K416"/>
      <c r="L416"/>
      <c r="M416"/>
      <c r="N416"/>
      <c r="O416"/>
    </row>
    <row r="417" spans="11:15" x14ac:dyDescent="0.25">
      <c r="K417"/>
      <c r="L417"/>
      <c r="M417"/>
      <c r="N417"/>
      <c r="O417"/>
    </row>
    <row r="418" spans="11:15" x14ac:dyDescent="0.25">
      <c r="K418"/>
      <c r="L418"/>
      <c r="M418"/>
      <c r="N418"/>
      <c r="O418"/>
    </row>
    <row r="419" spans="11:15" x14ac:dyDescent="0.25">
      <c r="K419"/>
      <c r="L419"/>
      <c r="M419"/>
      <c r="N419"/>
      <c r="O419"/>
    </row>
    <row r="420" spans="11:15" x14ac:dyDescent="0.25">
      <c r="K420"/>
      <c r="L420"/>
      <c r="M420"/>
      <c r="N420"/>
      <c r="O420"/>
    </row>
    <row r="421" spans="11:15" x14ac:dyDescent="0.25">
      <c r="K421"/>
      <c r="L421"/>
      <c r="M421"/>
      <c r="N421"/>
      <c r="O421"/>
    </row>
    <row r="422" spans="11:15" x14ac:dyDescent="0.25">
      <c r="K422"/>
      <c r="L422"/>
      <c r="M422"/>
      <c r="N422"/>
      <c r="O422"/>
    </row>
    <row r="423" spans="11:15" x14ac:dyDescent="0.25">
      <c r="K423"/>
      <c r="L423"/>
      <c r="M423"/>
      <c r="N423"/>
      <c r="O423"/>
    </row>
    <row r="424" spans="11:15" x14ac:dyDescent="0.25">
      <c r="K424"/>
      <c r="L424"/>
      <c r="M424"/>
      <c r="N424"/>
      <c r="O424"/>
    </row>
    <row r="425" spans="11:15" x14ac:dyDescent="0.25">
      <c r="K425"/>
      <c r="L425"/>
      <c r="M425"/>
      <c r="N425"/>
      <c r="O425"/>
    </row>
    <row r="426" spans="11:15" x14ac:dyDescent="0.25">
      <c r="K426"/>
      <c r="L426"/>
      <c r="M426"/>
      <c r="N426"/>
      <c r="O426"/>
    </row>
    <row r="427" spans="11:15" x14ac:dyDescent="0.25">
      <c r="K427"/>
      <c r="L427"/>
      <c r="M427"/>
      <c r="N427"/>
      <c r="O427"/>
    </row>
    <row r="428" spans="11:15" x14ac:dyDescent="0.25">
      <c r="K428"/>
      <c r="L428"/>
      <c r="M428"/>
      <c r="N428"/>
      <c r="O428"/>
    </row>
    <row r="429" spans="11:15" x14ac:dyDescent="0.25">
      <c r="K429"/>
      <c r="L429"/>
      <c r="M429"/>
      <c r="N429"/>
      <c r="O429"/>
    </row>
    <row r="430" spans="11:15" x14ac:dyDescent="0.25">
      <c r="K430"/>
      <c r="L430"/>
      <c r="M430"/>
      <c r="N430"/>
      <c r="O430"/>
    </row>
    <row r="431" spans="11:15" x14ac:dyDescent="0.25">
      <c r="K431"/>
      <c r="L431"/>
      <c r="M431"/>
      <c r="N431"/>
      <c r="O431"/>
    </row>
    <row r="432" spans="11:15" x14ac:dyDescent="0.25">
      <c r="K432"/>
      <c r="L432"/>
      <c r="M432"/>
      <c r="N432"/>
      <c r="O432"/>
    </row>
    <row r="433" spans="11:15" x14ac:dyDescent="0.25">
      <c r="K433"/>
      <c r="L433"/>
      <c r="M433"/>
      <c r="N433"/>
      <c r="O433"/>
    </row>
    <row r="434" spans="11:15" x14ac:dyDescent="0.25">
      <c r="K434"/>
      <c r="L434"/>
      <c r="M434"/>
      <c r="N434"/>
      <c r="O434"/>
    </row>
    <row r="435" spans="11:15" x14ac:dyDescent="0.25">
      <c r="K435"/>
      <c r="L435"/>
      <c r="M435"/>
      <c r="N435"/>
      <c r="O435"/>
    </row>
    <row r="436" spans="11:15" x14ac:dyDescent="0.25">
      <c r="K436"/>
      <c r="L436"/>
      <c r="M436"/>
      <c r="N436"/>
      <c r="O436"/>
    </row>
    <row r="437" spans="11:15" x14ac:dyDescent="0.25">
      <c r="K437"/>
      <c r="L437"/>
      <c r="M437"/>
      <c r="N437"/>
      <c r="O437"/>
    </row>
    <row r="438" spans="11:15" x14ac:dyDescent="0.25">
      <c r="K438"/>
      <c r="L438"/>
      <c r="M438"/>
      <c r="N438"/>
      <c r="O438"/>
    </row>
    <row r="439" spans="11:15" x14ac:dyDescent="0.25">
      <c r="K439"/>
      <c r="L439"/>
      <c r="M439"/>
      <c r="N439"/>
      <c r="O439"/>
    </row>
    <row r="440" spans="11:15" x14ac:dyDescent="0.25">
      <c r="K440"/>
      <c r="L440"/>
      <c r="M440"/>
      <c r="N440"/>
      <c r="O440"/>
    </row>
    <row r="441" spans="11:15" x14ac:dyDescent="0.25">
      <c r="K441"/>
      <c r="L441"/>
      <c r="M441"/>
      <c r="N441"/>
      <c r="O441"/>
    </row>
    <row r="442" spans="11:15" x14ac:dyDescent="0.25">
      <c r="K442"/>
      <c r="L442"/>
      <c r="M442"/>
      <c r="N442"/>
      <c r="O442"/>
    </row>
    <row r="443" spans="11:15" x14ac:dyDescent="0.25">
      <c r="K443"/>
      <c r="L443"/>
      <c r="M443"/>
      <c r="N443"/>
      <c r="O443"/>
    </row>
    <row r="444" spans="11:15" x14ac:dyDescent="0.25">
      <c r="K444"/>
      <c r="L444"/>
      <c r="M444"/>
      <c r="N444"/>
      <c r="O444"/>
    </row>
    <row r="445" spans="11:15" x14ac:dyDescent="0.25">
      <c r="K445"/>
      <c r="L445"/>
      <c r="M445"/>
      <c r="N445"/>
      <c r="O445"/>
    </row>
    <row r="446" spans="11:15" x14ac:dyDescent="0.25">
      <c r="K446"/>
      <c r="L446"/>
      <c r="M446"/>
      <c r="N446"/>
      <c r="O446"/>
    </row>
    <row r="447" spans="11:15" x14ac:dyDescent="0.25">
      <c r="K447"/>
      <c r="L447"/>
      <c r="M447"/>
      <c r="N447"/>
      <c r="O447"/>
    </row>
    <row r="448" spans="11:15" x14ac:dyDescent="0.25">
      <c r="K448"/>
      <c r="L448"/>
      <c r="M448"/>
      <c r="N448"/>
      <c r="O448"/>
    </row>
    <row r="449" spans="11:15" x14ac:dyDescent="0.25">
      <c r="K449"/>
      <c r="L449"/>
      <c r="M449"/>
      <c r="N449"/>
      <c r="O449"/>
    </row>
    <row r="450" spans="11:15" x14ac:dyDescent="0.25">
      <c r="K450"/>
      <c r="L450"/>
      <c r="M450"/>
      <c r="N450"/>
      <c r="O450"/>
    </row>
    <row r="451" spans="11:15" x14ac:dyDescent="0.25">
      <c r="K451"/>
      <c r="L451"/>
      <c r="M451"/>
      <c r="N451"/>
      <c r="O451"/>
    </row>
    <row r="452" spans="11:15" x14ac:dyDescent="0.25">
      <c r="K452"/>
      <c r="L452"/>
      <c r="M452"/>
      <c r="N452"/>
      <c r="O452"/>
    </row>
    <row r="453" spans="11:15" x14ac:dyDescent="0.25">
      <c r="K453"/>
      <c r="L453"/>
      <c r="M453"/>
      <c r="N453"/>
      <c r="O453"/>
    </row>
    <row r="454" spans="11:15" x14ac:dyDescent="0.25">
      <c r="K454"/>
      <c r="L454"/>
      <c r="M454"/>
      <c r="N454"/>
      <c r="O454"/>
    </row>
    <row r="455" spans="11:15" x14ac:dyDescent="0.25">
      <c r="K455"/>
      <c r="L455"/>
      <c r="M455"/>
      <c r="N455"/>
      <c r="O455"/>
    </row>
    <row r="456" spans="11:15" x14ac:dyDescent="0.25">
      <c r="K456"/>
      <c r="L456"/>
      <c r="M456"/>
      <c r="N456"/>
      <c r="O456"/>
    </row>
    <row r="457" spans="11:15" x14ac:dyDescent="0.25">
      <c r="K457"/>
      <c r="L457"/>
      <c r="M457"/>
      <c r="N457"/>
      <c r="O457"/>
    </row>
    <row r="458" spans="11:15" x14ac:dyDescent="0.25">
      <c r="K458"/>
      <c r="L458"/>
      <c r="M458"/>
      <c r="N458"/>
      <c r="O458"/>
    </row>
    <row r="459" spans="11:15" x14ac:dyDescent="0.25">
      <c r="K459"/>
      <c r="L459"/>
      <c r="M459"/>
      <c r="N459"/>
      <c r="O459"/>
    </row>
    <row r="460" spans="11:15" x14ac:dyDescent="0.25">
      <c r="K460"/>
      <c r="L460"/>
      <c r="M460"/>
      <c r="N460"/>
      <c r="O460"/>
    </row>
    <row r="461" spans="11:15" x14ac:dyDescent="0.25">
      <c r="K461"/>
      <c r="L461"/>
      <c r="M461"/>
      <c r="N461"/>
      <c r="O461"/>
    </row>
    <row r="462" spans="11:15" x14ac:dyDescent="0.25">
      <c r="K462"/>
      <c r="L462"/>
      <c r="M462"/>
      <c r="N462"/>
      <c r="O462"/>
    </row>
    <row r="463" spans="11:15" x14ac:dyDescent="0.25">
      <c r="K463"/>
      <c r="L463"/>
      <c r="M463"/>
      <c r="N463"/>
      <c r="O463"/>
    </row>
    <row r="464" spans="11:15" x14ac:dyDescent="0.25">
      <c r="K464"/>
      <c r="L464"/>
      <c r="M464"/>
      <c r="N464"/>
      <c r="O464"/>
    </row>
    <row r="465" spans="11:15" x14ac:dyDescent="0.25">
      <c r="K465"/>
      <c r="L465"/>
      <c r="M465"/>
      <c r="N465"/>
      <c r="O465"/>
    </row>
    <row r="466" spans="11:15" x14ac:dyDescent="0.25">
      <c r="K466"/>
      <c r="L466"/>
      <c r="M466"/>
      <c r="N466"/>
      <c r="O466"/>
    </row>
    <row r="467" spans="11:15" x14ac:dyDescent="0.25">
      <c r="K467"/>
      <c r="L467"/>
      <c r="M467"/>
      <c r="N467"/>
      <c r="O467"/>
    </row>
    <row r="468" spans="11:15" x14ac:dyDescent="0.25">
      <c r="K468"/>
      <c r="L468"/>
      <c r="M468"/>
      <c r="N468"/>
      <c r="O468"/>
    </row>
    <row r="469" spans="11:15" x14ac:dyDescent="0.25">
      <c r="K469"/>
      <c r="L469"/>
      <c r="M469"/>
      <c r="N469"/>
      <c r="O469"/>
    </row>
    <row r="470" spans="11:15" x14ac:dyDescent="0.25">
      <c r="K470"/>
      <c r="L470"/>
      <c r="M470"/>
      <c r="N470"/>
      <c r="O470"/>
    </row>
    <row r="471" spans="11:15" x14ac:dyDescent="0.25">
      <c r="K471"/>
      <c r="L471"/>
      <c r="M471"/>
      <c r="N471"/>
      <c r="O471"/>
    </row>
    <row r="472" spans="11:15" x14ac:dyDescent="0.25">
      <c r="K472"/>
      <c r="L472"/>
      <c r="M472"/>
      <c r="N472"/>
      <c r="O472"/>
    </row>
    <row r="473" spans="11:15" x14ac:dyDescent="0.25">
      <c r="K473"/>
      <c r="L473"/>
      <c r="M473"/>
      <c r="N473"/>
      <c r="O473"/>
    </row>
    <row r="474" spans="11:15" x14ac:dyDescent="0.25">
      <c r="K474"/>
      <c r="L474"/>
      <c r="M474"/>
      <c r="N474"/>
      <c r="O474"/>
    </row>
    <row r="475" spans="11:15" x14ac:dyDescent="0.25">
      <c r="K475"/>
      <c r="L475"/>
      <c r="M475"/>
      <c r="N475"/>
      <c r="O475"/>
    </row>
    <row r="476" spans="11:15" x14ac:dyDescent="0.25">
      <c r="K476"/>
      <c r="L476"/>
      <c r="M476"/>
      <c r="N476"/>
      <c r="O476"/>
    </row>
    <row r="477" spans="11:15" x14ac:dyDescent="0.25">
      <c r="K477"/>
      <c r="L477"/>
      <c r="M477"/>
      <c r="N477"/>
      <c r="O477"/>
    </row>
    <row r="478" spans="11:15" x14ac:dyDescent="0.25">
      <c r="K478"/>
      <c r="L478"/>
      <c r="M478"/>
      <c r="N478"/>
      <c r="O478"/>
    </row>
    <row r="479" spans="11:15" x14ac:dyDescent="0.25">
      <c r="K479"/>
      <c r="L479"/>
      <c r="M479"/>
      <c r="N479"/>
      <c r="O479"/>
    </row>
    <row r="480" spans="11:15" x14ac:dyDescent="0.25">
      <c r="K480"/>
      <c r="L480"/>
      <c r="M480"/>
      <c r="N480"/>
      <c r="O480"/>
    </row>
    <row r="481" spans="11:15" x14ac:dyDescent="0.25">
      <c r="K481"/>
      <c r="L481"/>
      <c r="M481"/>
      <c r="N481"/>
      <c r="O481"/>
    </row>
    <row r="482" spans="11:15" x14ac:dyDescent="0.25">
      <c r="K482"/>
      <c r="L482"/>
      <c r="M482"/>
      <c r="N482"/>
      <c r="O482"/>
    </row>
    <row r="483" spans="11:15" x14ac:dyDescent="0.25">
      <c r="K483"/>
      <c r="L483"/>
      <c r="M483"/>
      <c r="N483"/>
      <c r="O483"/>
    </row>
    <row r="484" spans="11:15" x14ac:dyDescent="0.25">
      <c r="K484"/>
      <c r="L484"/>
      <c r="M484"/>
      <c r="N484"/>
      <c r="O484"/>
    </row>
    <row r="485" spans="11:15" x14ac:dyDescent="0.25">
      <c r="K485"/>
      <c r="L485"/>
      <c r="M485"/>
      <c r="N485"/>
      <c r="O485"/>
    </row>
    <row r="486" spans="11:15" x14ac:dyDescent="0.25">
      <c r="K486"/>
      <c r="L486"/>
      <c r="M486"/>
      <c r="N486"/>
      <c r="O486"/>
    </row>
    <row r="487" spans="11:15" x14ac:dyDescent="0.25">
      <c r="K487"/>
      <c r="L487"/>
      <c r="M487"/>
      <c r="N487"/>
      <c r="O487"/>
    </row>
    <row r="488" spans="11:15" x14ac:dyDescent="0.25">
      <c r="K488"/>
      <c r="L488"/>
      <c r="M488"/>
      <c r="N488"/>
      <c r="O488"/>
    </row>
    <row r="489" spans="11:15" x14ac:dyDescent="0.25">
      <c r="K489"/>
      <c r="L489"/>
      <c r="M489"/>
      <c r="N489"/>
      <c r="O489"/>
    </row>
    <row r="490" spans="11:15" x14ac:dyDescent="0.25">
      <c r="K490"/>
      <c r="L490"/>
      <c r="M490"/>
      <c r="N490"/>
      <c r="O490"/>
    </row>
    <row r="491" spans="11:15" x14ac:dyDescent="0.25">
      <c r="K491"/>
      <c r="L491"/>
      <c r="M491"/>
      <c r="N491"/>
      <c r="O491"/>
    </row>
    <row r="492" spans="11:15" x14ac:dyDescent="0.25">
      <c r="K492"/>
      <c r="L492"/>
      <c r="M492"/>
      <c r="N492"/>
      <c r="O492"/>
    </row>
    <row r="493" spans="11:15" x14ac:dyDescent="0.25">
      <c r="K493"/>
      <c r="L493"/>
      <c r="M493"/>
      <c r="N493"/>
      <c r="O493"/>
    </row>
    <row r="494" spans="11:15" x14ac:dyDescent="0.25">
      <c r="K494"/>
      <c r="L494"/>
      <c r="M494"/>
      <c r="N494"/>
      <c r="O494"/>
    </row>
    <row r="495" spans="11:15" x14ac:dyDescent="0.25">
      <c r="K495"/>
      <c r="L495"/>
      <c r="M495"/>
      <c r="N495"/>
      <c r="O495"/>
    </row>
    <row r="496" spans="11:15" x14ac:dyDescent="0.25">
      <c r="K496"/>
      <c r="L496"/>
      <c r="M496"/>
      <c r="N496"/>
      <c r="O496"/>
    </row>
    <row r="497" spans="11:15" x14ac:dyDescent="0.25">
      <c r="K497"/>
      <c r="L497"/>
      <c r="M497"/>
      <c r="N497"/>
      <c r="O497"/>
    </row>
    <row r="498" spans="11:15" x14ac:dyDescent="0.25">
      <c r="K498"/>
      <c r="L498"/>
      <c r="M498"/>
      <c r="N498"/>
      <c r="O498"/>
    </row>
    <row r="499" spans="11:15" x14ac:dyDescent="0.25">
      <c r="K499"/>
      <c r="L499"/>
      <c r="M499"/>
      <c r="N499"/>
      <c r="O499"/>
    </row>
    <row r="500" spans="11:15" x14ac:dyDescent="0.25">
      <c r="K500"/>
      <c r="L500"/>
      <c r="M500"/>
      <c r="N500"/>
      <c r="O500"/>
    </row>
    <row r="501" spans="11:15" x14ac:dyDescent="0.25">
      <c r="K501"/>
      <c r="L501"/>
      <c r="M501"/>
      <c r="N501"/>
      <c r="O501"/>
    </row>
    <row r="502" spans="11:15" x14ac:dyDescent="0.25">
      <c r="K502"/>
      <c r="L502"/>
      <c r="M502"/>
      <c r="N502"/>
      <c r="O502"/>
    </row>
    <row r="503" spans="11:15" x14ac:dyDescent="0.25">
      <c r="K503"/>
      <c r="L503"/>
      <c r="M503"/>
      <c r="N503"/>
      <c r="O503"/>
    </row>
    <row r="504" spans="11:15" x14ac:dyDescent="0.25">
      <c r="K504"/>
      <c r="L504"/>
      <c r="M504"/>
      <c r="N504"/>
      <c r="O504"/>
    </row>
    <row r="505" spans="11:15" x14ac:dyDescent="0.25">
      <c r="K505"/>
      <c r="L505"/>
      <c r="M505"/>
      <c r="N505"/>
      <c r="O505"/>
    </row>
    <row r="506" spans="11:15" x14ac:dyDescent="0.25">
      <c r="K506"/>
      <c r="L506"/>
      <c r="M506"/>
      <c r="N506"/>
      <c r="O506"/>
    </row>
    <row r="507" spans="11:15" x14ac:dyDescent="0.25">
      <c r="K507"/>
      <c r="L507"/>
      <c r="M507"/>
      <c r="N507"/>
      <c r="O507"/>
    </row>
    <row r="508" spans="11:15" x14ac:dyDescent="0.25">
      <c r="K508"/>
      <c r="L508"/>
      <c r="M508"/>
      <c r="N508"/>
      <c r="O508"/>
    </row>
    <row r="509" spans="11:15" x14ac:dyDescent="0.25">
      <c r="K509"/>
      <c r="L509"/>
      <c r="M509"/>
      <c r="N509"/>
      <c r="O509"/>
    </row>
    <row r="510" spans="11:15" x14ac:dyDescent="0.25">
      <c r="K510"/>
      <c r="L510"/>
      <c r="M510"/>
      <c r="N510"/>
      <c r="O510"/>
    </row>
    <row r="511" spans="11:15" x14ac:dyDescent="0.25">
      <c r="K511"/>
      <c r="L511"/>
      <c r="M511"/>
      <c r="N511"/>
      <c r="O511"/>
    </row>
    <row r="512" spans="11:15" x14ac:dyDescent="0.25">
      <c r="K512"/>
      <c r="L512"/>
      <c r="M512"/>
      <c r="N512"/>
      <c r="O512"/>
    </row>
    <row r="513" spans="11:15" x14ac:dyDescent="0.25">
      <c r="K513"/>
      <c r="L513"/>
      <c r="M513"/>
      <c r="N513"/>
      <c r="O513"/>
    </row>
    <row r="514" spans="11:15" x14ac:dyDescent="0.25">
      <c r="K514"/>
      <c r="L514"/>
      <c r="M514"/>
      <c r="N514"/>
      <c r="O514"/>
    </row>
    <row r="515" spans="11:15" x14ac:dyDescent="0.25">
      <c r="K515"/>
      <c r="L515"/>
      <c r="M515"/>
      <c r="N515"/>
      <c r="O515"/>
    </row>
    <row r="516" spans="11:15" x14ac:dyDescent="0.25">
      <c r="K516"/>
      <c r="L516"/>
      <c r="M516"/>
      <c r="N516"/>
      <c r="O516"/>
    </row>
    <row r="517" spans="11:15" x14ac:dyDescent="0.25">
      <c r="K517"/>
      <c r="L517"/>
      <c r="M517"/>
      <c r="N517"/>
      <c r="O517"/>
    </row>
    <row r="518" spans="11:15" x14ac:dyDescent="0.25">
      <c r="K518"/>
      <c r="L518"/>
      <c r="M518"/>
      <c r="N518"/>
      <c r="O518"/>
    </row>
    <row r="519" spans="11:15" x14ac:dyDescent="0.25">
      <c r="K519"/>
      <c r="L519"/>
      <c r="M519"/>
      <c r="N519"/>
      <c r="O519"/>
    </row>
    <row r="520" spans="11:15" x14ac:dyDescent="0.25">
      <c r="K520"/>
      <c r="L520"/>
      <c r="M520"/>
      <c r="N520"/>
      <c r="O520"/>
    </row>
    <row r="521" spans="11:15" x14ac:dyDescent="0.25">
      <c r="K521"/>
      <c r="L521"/>
      <c r="M521"/>
      <c r="N521"/>
      <c r="O521"/>
    </row>
    <row r="522" spans="11:15" x14ac:dyDescent="0.25">
      <c r="K522"/>
      <c r="L522"/>
      <c r="M522"/>
      <c r="N522"/>
      <c r="O522"/>
    </row>
    <row r="523" spans="11:15" x14ac:dyDescent="0.25">
      <c r="K523"/>
      <c r="L523"/>
      <c r="M523"/>
      <c r="N523"/>
      <c r="O523"/>
    </row>
    <row r="524" spans="11:15" x14ac:dyDescent="0.25">
      <c r="K524"/>
      <c r="L524"/>
      <c r="M524"/>
      <c r="N524"/>
      <c r="O524"/>
    </row>
    <row r="525" spans="11:15" x14ac:dyDescent="0.25">
      <c r="K525"/>
      <c r="L525"/>
      <c r="M525"/>
      <c r="N525"/>
      <c r="O525"/>
    </row>
    <row r="526" spans="11:15" x14ac:dyDescent="0.25">
      <c r="K526"/>
      <c r="L526"/>
      <c r="M526"/>
      <c r="N526"/>
      <c r="O526"/>
    </row>
    <row r="527" spans="11:15" x14ac:dyDescent="0.25">
      <c r="K527"/>
      <c r="L527"/>
      <c r="M527"/>
      <c r="N527"/>
      <c r="O527"/>
    </row>
    <row r="528" spans="11:15" x14ac:dyDescent="0.25">
      <c r="K528"/>
      <c r="L528"/>
      <c r="M528"/>
      <c r="N528"/>
      <c r="O528"/>
    </row>
    <row r="529" spans="11:15" x14ac:dyDescent="0.25">
      <c r="K529"/>
      <c r="L529"/>
      <c r="M529"/>
      <c r="N529"/>
      <c r="O529"/>
    </row>
    <row r="530" spans="11:15" x14ac:dyDescent="0.25">
      <c r="K530"/>
      <c r="L530"/>
      <c r="M530"/>
      <c r="N530"/>
      <c r="O530"/>
    </row>
    <row r="531" spans="11:15" x14ac:dyDescent="0.25">
      <c r="K531"/>
      <c r="L531"/>
      <c r="M531"/>
      <c r="N531"/>
      <c r="O531"/>
    </row>
    <row r="532" spans="11:15" x14ac:dyDescent="0.25">
      <c r="K532"/>
      <c r="L532"/>
      <c r="M532"/>
      <c r="N532"/>
      <c r="O532"/>
    </row>
    <row r="533" spans="11:15" x14ac:dyDescent="0.25">
      <c r="K533"/>
      <c r="L533"/>
      <c r="M533"/>
      <c r="N533"/>
      <c r="O533"/>
    </row>
    <row r="534" spans="11:15" x14ac:dyDescent="0.25">
      <c r="K534"/>
      <c r="L534"/>
      <c r="M534"/>
      <c r="N534"/>
      <c r="O534"/>
    </row>
    <row r="535" spans="11:15" x14ac:dyDescent="0.25">
      <c r="K535"/>
      <c r="L535"/>
      <c r="M535"/>
      <c r="N535"/>
      <c r="O535"/>
    </row>
    <row r="536" spans="11:15" x14ac:dyDescent="0.25">
      <c r="K536"/>
      <c r="L536"/>
      <c r="M536"/>
      <c r="N536"/>
      <c r="O536"/>
    </row>
    <row r="537" spans="11:15" x14ac:dyDescent="0.25">
      <c r="K537"/>
      <c r="L537"/>
      <c r="M537"/>
      <c r="N537"/>
      <c r="O537"/>
    </row>
    <row r="538" spans="11:15" x14ac:dyDescent="0.25">
      <c r="K538"/>
      <c r="L538"/>
      <c r="M538"/>
      <c r="N538"/>
      <c r="O538"/>
    </row>
    <row r="539" spans="11:15" x14ac:dyDescent="0.25">
      <c r="K539"/>
      <c r="L539"/>
      <c r="M539"/>
      <c r="N539"/>
      <c r="O539"/>
    </row>
    <row r="540" spans="11:15" x14ac:dyDescent="0.25">
      <c r="K540"/>
      <c r="L540"/>
      <c r="M540"/>
      <c r="N540"/>
      <c r="O540"/>
    </row>
    <row r="541" spans="11:15" x14ac:dyDescent="0.25">
      <c r="K541"/>
      <c r="L541"/>
      <c r="M541"/>
      <c r="N541"/>
      <c r="O541"/>
    </row>
    <row r="542" spans="11:15" x14ac:dyDescent="0.25">
      <c r="K542"/>
      <c r="L542"/>
      <c r="M542"/>
      <c r="N542"/>
      <c r="O542"/>
    </row>
    <row r="543" spans="11:15" x14ac:dyDescent="0.25">
      <c r="K543"/>
      <c r="L543"/>
      <c r="M543"/>
      <c r="N543"/>
      <c r="O543"/>
    </row>
    <row r="544" spans="11:15" x14ac:dyDescent="0.25">
      <c r="K544"/>
      <c r="L544"/>
      <c r="M544"/>
      <c r="N544"/>
      <c r="O544"/>
    </row>
    <row r="545" spans="11:15" x14ac:dyDescent="0.25">
      <c r="K545"/>
      <c r="L545"/>
      <c r="M545"/>
      <c r="N545"/>
      <c r="O545"/>
    </row>
    <row r="546" spans="11:15" x14ac:dyDescent="0.25">
      <c r="K546"/>
      <c r="L546"/>
      <c r="M546"/>
      <c r="N546"/>
      <c r="O546"/>
    </row>
    <row r="547" spans="11:15" x14ac:dyDescent="0.25">
      <c r="K547"/>
      <c r="L547"/>
      <c r="M547"/>
      <c r="N547"/>
      <c r="O547"/>
    </row>
    <row r="548" spans="11:15" x14ac:dyDescent="0.25">
      <c r="K548"/>
      <c r="L548"/>
      <c r="M548"/>
      <c r="N548"/>
      <c r="O548"/>
    </row>
    <row r="549" spans="11:15" x14ac:dyDescent="0.25">
      <c r="K549"/>
      <c r="L549"/>
      <c r="M549"/>
      <c r="N549"/>
      <c r="O549"/>
    </row>
    <row r="550" spans="11:15" x14ac:dyDescent="0.25">
      <c r="K550"/>
      <c r="L550"/>
      <c r="M550"/>
      <c r="N550"/>
      <c r="O550"/>
    </row>
    <row r="551" spans="11:15" x14ac:dyDescent="0.25">
      <c r="K551"/>
      <c r="L551"/>
      <c r="M551"/>
      <c r="N551"/>
      <c r="O551"/>
    </row>
    <row r="552" spans="11:15" x14ac:dyDescent="0.25">
      <c r="K552"/>
      <c r="L552"/>
      <c r="M552"/>
      <c r="N552"/>
      <c r="O552"/>
    </row>
    <row r="553" spans="11:15" x14ac:dyDescent="0.25">
      <c r="K553"/>
      <c r="L553"/>
      <c r="M553"/>
      <c r="N553"/>
      <c r="O553"/>
    </row>
    <row r="554" spans="11:15" x14ac:dyDescent="0.25">
      <c r="K554"/>
      <c r="L554"/>
      <c r="M554"/>
      <c r="N554"/>
      <c r="O554"/>
    </row>
    <row r="555" spans="11:15" x14ac:dyDescent="0.25">
      <c r="K555"/>
      <c r="L555"/>
      <c r="M555"/>
      <c r="N555"/>
      <c r="O555"/>
    </row>
    <row r="556" spans="11:15" x14ac:dyDescent="0.25">
      <c r="K556"/>
      <c r="L556"/>
      <c r="M556"/>
      <c r="N556"/>
      <c r="O556"/>
    </row>
    <row r="557" spans="11:15" x14ac:dyDescent="0.25">
      <c r="K557"/>
      <c r="L557"/>
      <c r="M557"/>
      <c r="N557"/>
      <c r="O557"/>
    </row>
    <row r="558" spans="11:15" x14ac:dyDescent="0.25">
      <c r="K558"/>
      <c r="L558"/>
      <c r="M558"/>
      <c r="N558"/>
      <c r="O558"/>
    </row>
    <row r="559" spans="11:15" x14ac:dyDescent="0.25">
      <c r="K559"/>
      <c r="L559"/>
      <c r="M559"/>
      <c r="N559"/>
      <c r="O559"/>
    </row>
    <row r="560" spans="11:15" x14ac:dyDescent="0.25">
      <c r="K560"/>
      <c r="L560"/>
      <c r="M560"/>
      <c r="N560"/>
      <c r="O560"/>
    </row>
    <row r="561" spans="11:15" x14ac:dyDescent="0.25">
      <c r="K561"/>
      <c r="L561"/>
      <c r="M561"/>
      <c r="N561"/>
      <c r="O561"/>
    </row>
    <row r="562" spans="11:15" x14ac:dyDescent="0.25">
      <c r="K562"/>
      <c r="L562"/>
      <c r="M562"/>
      <c r="N562"/>
      <c r="O562"/>
    </row>
    <row r="563" spans="11:15" x14ac:dyDescent="0.25">
      <c r="K563"/>
      <c r="L563"/>
      <c r="M563"/>
      <c r="N563"/>
      <c r="O563"/>
    </row>
    <row r="564" spans="11:15" x14ac:dyDescent="0.25">
      <c r="K564"/>
      <c r="L564"/>
      <c r="M564"/>
      <c r="N564"/>
      <c r="O564"/>
    </row>
    <row r="565" spans="11:15" x14ac:dyDescent="0.25">
      <c r="K565"/>
      <c r="L565"/>
      <c r="M565"/>
      <c r="N565"/>
      <c r="O565"/>
    </row>
    <row r="566" spans="11:15" x14ac:dyDescent="0.25">
      <c r="K566"/>
      <c r="L566"/>
      <c r="M566"/>
      <c r="N566"/>
      <c r="O566"/>
    </row>
    <row r="567" spans="11:15" x14ac:dyDescent="0.25">
      <c r="K567"/>
      <c r="L567"/>
      <c r="M567"/>
      <c r="N567"/>
      <c r="O567"/>
    </row>
    <row r="568" spans="11:15" x14ac:dyDescent="0.25">
      <c r="K568"/>
      <c r="L568"/>
      <c r="M568"/>
      <c r="N568"/>
      <c r="O568"/>
    </row>
    <row r="569" spans="11:15" x14ac:dyDescent="0.25">
      <c r="K569"/>
      <c r="L569"/>
      <c r="M569"/>
      <c r="N569"/>
      <c r="O569"/>
    </row>
    <row r="570" spans="11:15" x14ac:dyDescent="0.25">
      <c r="K570"/>
      <c r="L570"/>
      <c r="M570"/>
      <c r="N570"/>
      <c r="O570"/>
    </row>
    <row r="571" spans="11:15" x14ac:dyDescent="0.25">
      <c r="K571"/>
      <c r="L571"/>
      <c r="M571"/>
      <c r="N571"/>
      <c r="O571"/>
    </row>
    <row r="572" spans="11:15" x14ac:dyDescent="0.25">
      <c r="K572"/>
      <c r="L572"/>
      <c r="M572"/>
      <c r="N572"/>
      <c r="O572"/>
    </row>
    <row r="573" spans="11:15" x14ac:dyDescent="0.25">
      <c r="K573"/>
      <c r="L573"/>
      <c r="M573"/>
      <c r="N573"/>
      <c r="O573"/>
    </row>
    <row r="574" spans="11:15" x14ac:dyDescent="0.25">
      <c r="K574"/>
      <c r="L574"/>
      <c r="M574"/>
      <c r="N574"/>
      <c r="O574"/>
    </row>
    <row r="575" spans="11:15" x14ac:dyDescent="0.25">
      <c r="K575"/>
      <c r="L575"/>
      <c r="M575"/>
      <c r="N575"/>
      <c r="O575"/>
    </row>
    <row r="576" spans="11:15" x14ac:dyDescent="0.25">
      <c r="K576"/>
      <c r="L576"/>
      <c r="M576"/>
      <c r="N576"/>
      <c r="O576"/>
    </row>
    <row r="577" spans="11:15" x14ac:dyDescent="0.25">
      <c r="K577"/>
      <c r="L577"/>
      <c r="M577"/>
      <c r="N577"/>
      <c r="O577"/>
    </row>
    <row r="578" spans="11:15" x14ac:dyDescent="0.25">
      <c r="K578"/>
      <c r="L578"/>
      <c r="M578"/>
      <c r="N578"/>
      <c r="O578"/>
    </row>
    <row r="579" spans="11:15" x14ac:dyDescent="0.25">
      <c r="K579"/>
      <c r="L579"/>
      <c r="M579"/>
      <c r="N579"/>
      <c r="O579"/>
    </row>
    <row r="580" spans="11:15" x14ac:dyDescent="0.25">
      <c r="K580"/>
      <c r="L580"/>
      <c r="M580"/>
      <c r="N580"/>
      <c r="O580"/>
    </row>
    <row r="581" spans="11:15" x14ac:dyDescent="0.25">
      <c r="K581"/>
      <c r="L581"/>
      <c r="M581"/>
      <c r="N581"/>
      <c r="O581"/>
    </row>
    <row r="582" spans="11:15" x14ac:dyDescent="0.25">
      <c r="K582"/>
      <c r="L582"/>
      <c r="M582"/>
      <c r="N582"/>
      <c r="O582"/>
    </row>
    <row r="583" spans="11:15" x14ac:dyDescent="0.25">
      <c r="K583"/>
      <c r="L583"/>
      <c r="M583"/>
      <c r="N583"/>
      <c r="O583"/>
    </row>
    <row r="584" spans="11:15" x14ac:dyDescent="0.25">
      <c r="K584"/>
      <c r="L584"/>
      <c r="M584"/>
      <c r="N584"/>
      <c r="O584"/>
    </row>
    <row r="585" spans="11:15" x14ac:dyDescent="0.25">
      <c r="K585"/>
      <c r="L585"/>
      <c r="M585"/>
      <c r="N585"/>
      <c r="O585"/>
    </row>
    <row r="586" spans="11:15" x14ac:dyDescent="0.25">
      <c r="K586"/>
      <c r="L586"/>
      <c r="M586"/>
      <c r="N586"/>
      <c r="O586"/>
    </row>
    <row r="587" spans="11:15" x14ac:dyDescent="0.25">
      <c r="K587"/>
      <c r="L587"/>
      <c r="M587"/>
      <c r="N587"/>
      <c r="O587"/>
    </row>
    <row r="588" spans="11:15" x14ac:dyDescent="0.25">
      <c r="K588"/>
      <c r="L588"/>
      <c r="M588"/>
      <c r="N588"/>
      <c r="O588"/>
    </row>
    <row r="589" spans="11:15" x14ac:dyDescent="0.25">
      <c r="K589"/>
      <c r="L589"/>
      <c r="M589"/>
      <c r="N589"/>
      <c r="O589"/>
    </row>
    <row r="590" spans="11:15" x14ac:dyDescent="0.25">
      <c r="K590"/>
      <c r="L590"/>
      <c r="M590"/>
      <c r="N590"/>
      <c r="O590"/>
    </row>
    <row r="591" spans="11:15" x14ac:dyDescent="0.25">
      <c r="K591"/>
      <c r="L591"/>
      <c r="M591"/>
      <c r="N591"/>
      <c r="O591"/>
    </row>
    <row r="592" spans="11:15" x14ac:dyDescent="0.25">
      <c r="K592"/>
      <c r="L592"/>
      <c r="M592"/>
      <c r="N592"/>
      <c r="O592"/>
    </row>
    <row r="593" spans="11:15" x14ac:dyDescent="0.25">
      <c r="K593"/>
      <c r="L593"/>
      <c r="M593"/>
      <c r="N593"/>
      <c r="O593"/>
    </row>
    <row r="594" spans="11:15" x14ac:dyDescent="0.25">
      <c r="K594"/>
      <c r="L594"/>
      <c r="M594"/>
      <c r="N594"/>
      <c r="O594"/>
    </row>
    <row r="595" spans="11:15" x14ac:dyDescent="0.25">
      <c r="K595"/>
      <c r="L595"/>
      <c r="M595"/>
      <c r="N595"/>
      <c r="O595"/>
    </row>
    <row r="596" spans="11:15" x14ac:dyDescent="0.25">
      <c r="K596"/>
      <c r="L596"/>
      <c r="M596"/>
      <c r="N596"/>
      <c r="O596"/>
    </row>
    <row r="597" spans="11:15" x14ac:dyDescent="0.25">
      <c r="K597"/>
      <c r="L597"/>
      <c r="M597"/>
      <c r="N597"/>
      <c r="O597"/>
    </row>
    <row r="598" spans="11:15" x14ac:dyDescent="0.25">
      <c r="K598"/>
      <c r="L598"/>
      <c r="M598"/>
      <c r="N598"/>
      <c r="O598"/>
    </row>
    <row r="599" spans="11:15" x14ac:dyDescent="0.25">
      <c r="K599"/>
      <c r="L599"/>
      <c r="M599"/>
      <c r="N599"/>
      <c r="O599"/>
    </row>
    <row r="600" spans="11:15" x14ac:dyDescent="0.25">
      <c r="K600"/>
      <c r="L600"/>
      <c r="M600"/>
      <c r="N600"/>
      <c r="O600"/>
    </row>
    <row r="601" spans="11:15" x14ac:dyDescent="0.25">
      <c r="K601"/>
      <c r="L601"/>
      <c r="M601"/>
      <c r="N601"/>
      <c r="O601"/>
    </row>
    <row r="602" spans="11:15" x14ac:dyDescent="0.25">
      <c r="K602"/>
      <c r="L602"/>
      <c r="M602"/>
      <c r="N602"/>
      <c r="O602"/>
    </row>
    <row r="603" spans="11:15" x14ac:dyDescent="0.25">
      <c r="K603"/>
      <c r="L603"/>
      <c r="M603"/>
      <c r="N603"/>
      <c r="O603"/>
    </row>
    <row r="604" spans="11:15" x14ac:dyDescent="0.25">
      <c r="K604"/>
      <c r="L604"/>
      <c r="M604"/>
      <c r="N604"/>
      <c r="O604"/>
    </row>
    <row r="605" spans="11:15" x14ac:dyDescent="0.25">
      <c r="K605"/>
      <c r="L605"/>
      <c r="M605"/>
      <c r="N605"/>
      <c r="O605"/>
    </row>
    <row r="606" spans="11:15" x14ac:dyDescent="0.25">
      <c r="K606"/>
      <c r="L606"/>
      <c r="M606"/>
      <c r="N606"/>
      <c r="O606"/>
    </row>
    <row r="607" spans="11:15" x14ac:dyDescent="0.25">
      <c r="K607"/>
      <c r="L607"/>
      <c r="M607"/>
      <c r="N607"/>
      <c r="O607"/>
    </row>
    <row r="608" spans="11:15" x14ac:dyDescent="0.25">
      <c r="K608"/>
      <c r="L608"/>
      <c r="M608"/>
      <c r="N608"/>
      <c r="O608"/>
    </row>
    <row r="609" spans="11:15" x14ac:dyDescent="0.25">
      <c r="K609"/>
      <c r="L609"/>
      <c r="M609"/>
      <c r="N609"/>
      <c r="O609"/>
    </row>
    <row r="610" spans="11:15" x14ac:dyDescent="0.25">
      <c r="K610"/>
      <c r="L610"/>
      <c r="M610"/>
      <c r="N610"/>
      <c r="O610"/>
    </row>
    <row r="611" spans="11:15" x14ac:dyDescent="0.25">
      <c r="K611"/>
      <c r="L611"/>
      <c r="M611"/>
      <c r="N611"/>
      <c r="O611"/>
    </row>
    <row r="612" spans="11:15" x14ac:dyDescent="0.25">
      <c r="K612"/>
      <c r="L612"/>
      <c r="M612"/>
      <c r="N612"/>
      <c r="O612"/>
    </row>
    <row r="613" spans="11:15" x14ac:dyDescent="0.25">
      <c r="K613"/>
      <c r="L613"/>
      <c r="M613"/>
      <c r="N613"/>
      <c r="O613"/>
    </row>
    <row r="614" spans="11:15" x14ac:dyDescent="0.25">
      <c r="K614"/>
      <c r="L614"/>
      <c r="M614"/>
      <c r="N614"/>
      <c r="O614"/>
    </row>
    <row r="615" spans="11:15" x14ac:dyDescent="0.25">
      <c r="K615"/>
      <c r="L615"/>
      <c r="M615"/>
      <c r="N615"/>
      <c r="O615"/>
    </row>
    <row r="616" spans="11:15" x14ac:dyDescent="0.25">
      <c r="K616"/>
      <c r="L616"/>
      <c r="M616"/>
      <c r="N616"/>
      <c r="O616"/>
    </row>
    <row r="617" spans="11:15" x14ac:dyDescent="0.25">
      <c r="K617"/>
      <c r="L617"/>
      <c r="M617"/>
      <c r="N617"/>
      <c r="O617"/>
    </row>
    <row r="618" spans="11:15" x14ac:dyDescent="0.25">
      <c r="K618"/>
      <c r="L618"/>
      <c r="M618"/>
      <c r="N618"/>
      <c r="O618"/>
    </row>
    <row r="619" spans="11:15" x14ac:dyDescent="0.25">
      <c r="K619"/>
      <c r="L619"/>
      <c r="M619"/>
      <c r="N619"/>
      <c r="O619"/>
    </row>
    <row r="620" spans="11:15" x14ac:dyDescent="0.25">
      <c r="K620"/>
      <c r="L620"/>
      <c r="M620"/>
      <c r="N620"/>
      <c r="O620"/>
    </row>
    <row r="621" spans="11:15" x14ac:dyDescent="0.25">
      <c r="K621"/>
      <c r="L621"/>
      <c r="M621"/>
      <c r="N621"/>
      <c r="O621"/>
    </row>
    <row r="622" spans="11:15" x14ac:dyDescent="0.25">
      <c r="K622"/>
      <c r="L622"/>
      <c r="M622"/>
      <c r="N622"/>
      <c r="O622"/>
    </row>
    <row r="623" spans="11:15" x14ac:dyDescent="0.25">
      <c r="K623"/>
      <c r="L623"/>
      <c r="M623"/>
      <c r="N623"/>
      <c r="O623"/>
    </row>
    <row r="624" spans="11:15" x14ac:dyDescent="0.25">
      <c r="K624"/>
      <c r="L624"/>
      <c r="M624"/>
      <c r="N624"/>
      <c r="O624"/>
    </row>
    <row r="625" spans="11:15" x14ac:dyDescent="0.25">
      <c r="K625"/>
      <c r="L625"/>
      <c r="M625"/>
      <c r="N625"/>
      <c r="O625"/>
    </row>
    <row r="626" spans="11:15" x14ac:dyDescent="0.25">
      <c r="K626"/>
      <c r="L626"/>
      <c r="M626"/>
      <c r="N626"/>
      <c r="O626"/>
    </row>
    <row r="627" spans="11:15" x14ac:dyDescent="0.25">
      <c r="K627"/>
      <c r="L627"/>
      <c r="M627"/>
      <c r="N627"/>
      <c r="O627"/>
    </row>
    <row r="628" spans="11:15" x14ac:dyDescent="0.25">
      <c r="K628"/>
      <c r="L628"/>
      <c r="M628"/>
      <c r="N628"/>
      <c r="O628"/>
    </row>
    <row r="629" spans="11:15" x14ac:dyDescent="0.25">
      <c r="K629"/>
      <c r="L629"/>
      <c r="M629"/>
      <c r="N629"/>
      <c r="O629"/>
    </row>
    <row r="630" spans="11:15" x14ac:dyDescent="0.25">
      <c r="K630"/>
      <c r="L630"/>
      <c r="M630"/>
      <c r="N630"/>
      <c r="O630"/>
    </row>
    <row r="631" spans="11:15" x14ac:dyDescent="0.25">
      <c r="K631"/>
      <c r="L631"/>
      <c r="M631"/>
      <c r="N631"/>
      <c r="O631"/>
    </row>
    <row r="632" spans="11:15" x14ac:dyDescent="0.25">
      <c r="K632"/>
      <c r="L632"/>
      <c r="M632"/>
      <c r="N632"/>
      <c r="O632"/>
    </row>
    <row r="633" spans="11:15" x14ac:dyDescent="0.25">
      <c r="K633"/>
      <c r="L633"/>
      <c r="M633"/>
      <c r="N633"/>
      <c r="O633"/>
    </row>
    <row r="634" spans="11:15" x14ac:dyDescent="0.25">
      <c r="K634"/>
      <c r="L634"/>
      <c r="M634"/>
      <c r="N634"/>
      <c r="O634"/>
    </row>
    <row r="635" spans="11:15" x14ac:dyDescent="0.25">
      <c r="K635"/>
      <c r="L635"/>
      <c r="M635"/>
      <c r="N635"/>
      <c r="O635"/>
    </row>
    <row r="636" spans="11:15" x14ac:dyDescent="0.25">
      <c r="K636"/>
      <c r="L636"/>
      <c r="M636"/>
      <c r="N636"/>
      <c r="O636"/>
    </row>
    <row r="637" spans="11:15" x14ac:dyDescent="0.25">
      <c r="K637"/>
      <c r="L637"/>
      <c r="M637"/>
      <c r="N637"/>
      <c r="O637"/>
    </row>
    <row r="638" spans="11:15" x14ac:dyDescent="0.25">
      <c r="K638"/>
      <c r="L638"/>
      <c r="M638"/>
      <c r="N638"/>
      <c r="O638"/>
    </row>
    <row r="639" spans="11:15" x14ac:dyDescent="0.25">
      <c r="K639"/>
      <c r="L639"/>
      <c r="M639"/>
      <c r="N639"/>
      <c r="O639"/>
    </row>
    <row r="640" spans="11:15" x14ac:dyDescent="0.25">
      <c r="K640"/>
      <c r="L640"/>
      <c r="M640"/>
      <c r="N640"/>
      <c r="O640"/>
    </row>
    <row r="641" spans="11:15" x14ac:dyDescent="0.25">
      <c r="K641"/>
      <c r="L641"/>
      <c r="M641"/>
      <c r="N641"/>
      <c r="O641"/>
    </row>
    <row r="642" spans="11:15" x14ac:dyDescent="0.25">
      <c r="K642"/>
      <c r="L642"/>
      <c r="M642"/>
      <c r="N642"/>
      <c r="O642"/>
    </row>
    <row r="643" spans="11:15" x14ac:dyDescent="0.25">
      <c r="K643"/>
      <c r="L643"/>
      <c r="M643"/>
      <c r="N643"/>
      <c r="O643"/>
    </row>
    <row r="644" spans="11:15" x14ac:dyDescent="0.25">
      <c r="K644"/>
      <c r="L644"/>
      <c r="M644"/>
      <c r="N644"/>
      <c r="O644"/>
    </row>
    <row r="645" spans="11:15" x14ac:dyDescent="0.25">
      <c r="K645"/>
      <c r="L645"/>
      <c r="M645"/>
      <c r="N645"/>
      <c r="O645"/>
    </row>
    <row r="646" spans="11:15" x14ac:dyDescent="0.25">
      <c r="K646"/>
      <c r="L646"/>
      <c r="M646"/>
      <c r="N646"/>
      <c r="O646"/>
    </row>
    <row r="647" spans="11:15" x14ac:dyDescent="0.25">
      <c r="K647"/>
      <c r="L647"/>
      <c r="M647"/>
      <c r="N647"/>
      <c r="O647"/>
    </row>
    <row r="648" spans="11:15" x14ac:dyDescent="0.25">
      <c r="K648"/>
      <c r="L648"/>
      <c r="M648"/>
      <c r="N648"/>
      <c r="O648"/>
    </row>
    <row r="649" spans="11:15" x14ac:dyDescent="0.25">
      <c r="K649"/>
      <c r="L649"/>
      <c r="M649"/>
      <c r="N649"/>
      <c r="O649"/>
    </row>
    <row r="650" spans="11:15" x14ac:dyDescent="0.25">
      <c r="K650"/>
      <c r="L650"/>
      <c r="M650"/>
      <c r="N650"/>
      <c r="O650"/>
    </row>
    <row r="651" spans="11:15" x14ac:dyDescent="0.25">
      <c r="K651"/>
      <c r="L651"/>
      <c r="M651"/>
      <c r="N651"/>
      <c r="O651"/>
    </row>
    <row r="652" spans="11:15" x14ac:dyDescent="0.25">
      <c r="K652"/>
      <c r="L652"/>
      <c r="M652"/>
      <c r="N652"/>
      <c r="O652"/>
    </row>
    <row r="653" spans="11:15" x14ac:dyDescent="0.25">
      <c r="K653"/>
      <c r="L653"/>
      <c r="M653"/>
      <c r="N653"/>
      <c r="O653"/>
    </row>
    <row r="654" spans="11:15" x14ac:dyDescent="0.25">
      <c r="K654"/>
      <c r="L654"/>
      <c r="M654"/>
      <c r="N654"/>
      <c r="O654"/>
    </row>
    <row r="655" spans="11:15" x14ac:dyDescent="0.25">
      <c r="K655"/>
      <c r="L655"/>
      <c r="M655"/>
      <c r="N655"/>
      <c r="O655"/>
    </row>
    <row r="656" spans="11:15" x14ac:dyDescent="0.25">
      <c r="K656"/>
      <c r="L656"/>
      <c r="M656"/>
      <c r="N656"/>
      <c r="O656"/>
    </row>
    <row r="657" spans="11:15" x14ac:dyDescent="0.25">
      <c r="K657"/>
      <c r="L657"/>
      <c r="M657"/>
      <c r="N657"/>
      <c r="O657"/>
    </row>
    <row r="658" spans="11:15" x14ac:dyDescent="0.25">
      <c r="K658"/>
      <c r="L658"/>
      <c r="M658"/>
      <c r="N658"/>
      <c r="O658"/>
    </row>
    <row r="659" spans="11:15" x14ac:dyDescent="0.25">
      <c r="K659"/>
      <c r="L659"/>
      <c r="M659"/>
      <c r="N659"/>
      <c r="O659"/>
    </row>
    <row r="660" spans="11:15" x14ac:dyDescent="0.25">
      <c r="K660"/>
      <c r="L660"/>
      <c r="M660"/>
      <c r="N660"/>
      <c r="O660"/>
    </row>
    <row r="661" spans="11:15" x14ac:dyDescent="0.25">
      <c r="K661"/>
      <c r="L661"/>
      <c r="M661"/>
      <c r="N661"/>
      <c r="O661"/>
    </row>
    <row r="662" spans="11:15" x14ac:dyDescent="0.25">
      <c r="K662"/>
      <c r="L662"/>
      <c r="M662"/>
      <c r="N662"/>
      <c r="O662"/>
    </row>
    <row r="663" spans="11:15" x14ac:dyDescent="0.25">
      <c r="K663"/>
      <c r="L663"/>
      <c r="M663"/>
      <c r="N663"/>
      <c r="O663"/>
    </row>
    <row r="664" spans="11:15" x14ac:dyDescent="0.25">
      <c r="K664"/>
      <c r="L664"/>
      <c r="M664"/>
      <c r="N664"/>
      <c r="O664"/>
    </row>
    <row r="665" spans="11:15" x14ac:dyDescent="0.25">
      <c r="K665"/>
      <c r="L665"/>
      <c r="M665"/>
      <c r="N665"/>
      <c r="O665"/>
    </row>
    <row r="666" spans="11:15" x14ac:dyDescent="0.25">
      <c r="K666"/>
      <c r="L666"/>
      <c r="M666"/>
      <c r="N666"/>
      <c r="O666"/>
    </row>
    <row r="667" spans="11:15" x14ac:dyDescent="0.25">
      <c r="K667"/>
      <c r="L667"/>
      <c r="M667"/>
      <c r="N667"/>
      <c r="O667"/>
    </row>
    <row r="668" spans="11:15" x14ac:dyDescent="0.25">
      <c r="K668"/>
      <c r="L668"/>
      <c r="M668"/>
      <c r="N668"/>
      <c r="O668"/>
    </row>
    <row r="669" spans="11:15" x14ac:dyDescent="0.25">
      <c r="K669"/>
      <c r="L669"/>
      <c r="M669"/>
      <c r="N669"/>
      <c r="O669"/>
    </row>
    <row r="670" spans="11:15" x14ac:dyDescent="0.25">
      <c r="K670"/>
      <c r="L670"/>
      <c r="M670"/>
      <c r="N670"/>
      <c r="O670"/>
    </row>
    <row r="671" spans="11:15" x14ac:dyDescent="0.25">
      <c r="K671"/>
      <c r="L671"/>
      <c r="M671"/>
      <c r="N671"/>
      <c r="O671"/>
    </row>
    <row r="672" spans="11:15" x14ac:dyDescent="0.25">
      <c r="K672"/>
      <c r="L672"/>
      <c r="M672"/>
      <c r="N672"/>
      <c r="O672"/>
    </row>
    <row r="673" spans="11:15" x14ac:dyDescent="0.25">
      <c r="K673"/>
      <c r="L673"/>
      <c r="M673"/>
      <c r="N673"/>
      <c r="O673"/>
    </row>
    <row r="674" spans="11:15" x14ac:dyDescent="0.25">
      <c r="K674"/>
      <c r="L674"/>
      <c r="M674"/>
      <c r="N674"/>
      <c r="O674"/>
    </row>
    <row r="675" spans="11:15" x14ac:dyDescent="0.25">
      <c r="K675"/>
      <c r="L675"/>
      <c r="M675"/>
      <c r="N675"/>
      <c r="O675"/>
    </row>
    <row r="676" spans="11:15" x14ac:dyDescent="0.25">
      <c r="K676"/>
      <c r="L676"/>
      <c r="M676"/>
      <c r="N676"/>
      <c r="O676"/>
    </row>
    <row r="677" spans="11:15" x14ac:dyDescent="0.25">
      <c r="K677"/>
      <c r="L677"/>
      <c r="M677"/>
      <c r="N677"/>
      <c r="O677"/>
    </row>
    <row r="678" spans="11:15" x14ac:dyDescent="0.25">
      <c r="K678"/>
      <c r="L678"/>
      <c r="M678"/>
      <c r="N678"/>
      <c r="O678"/>
    </row>
    <row r="679" spans="11:15" x14ac:dyDescent="0.25">
      <c r="K679"/>
      <c r="L679"/>
      <c r="M679"/>
      <c r="N679"/>
      <c r="O679"/>
    </row>
    <row r="680" spans="11:15" x14ac:dyDescent="0.25">
      <c r="K680"/>
      <c r="L680"/>
      <c r="M680"/>
      <c r="N680"/>
      <c r="O680"/>
    </row>
    <row r="681" spans="11:15" x14ac:dyDescent="0.25">
      <c r="K681"/>
      <c r="L681"/>
      <c r="M681"/>
      <c r="N681"/>
      <c r="O681"/>
    </row>
    <row r="682" spans="11:15" x14ac:dyDescent="0.25">
      <c r="K682"/>
      <c r="L682"/>
      <c r="M682"/>
      <c r="N682"/>
      <c r="O682"/>
    </row>
    <row r="683" spans="11:15" x14ac:dyDescent="0.25">
      <c r="K683"/>
      <c r="L683"/>
      <c r="M683"/>
      <c r="N683"/>
      <c r="O683"/>
    </row>
    <row r="684" spans="11:15" x14ac:dyDescent="0.25">
      <c r="K684"/>
      <c r="L684"/>
      <c r="M684"/>
      <c r="N684"/>
      <c r="O684"/>
    </row>
    <row r="685" spans="11:15" x14ac:dyDescent="0.25">
      <c r="K685"/>
      <c r="L685"/>
      <c r="M685"/>
      <c r="N685"/>
      <c r="O685"/>
    </row>
    <row r="686" spans="11:15" x14ac:dyDescent="0.25">
      <c r="K686"/>
      <c r="L686"/>
      <c r="M686"/>
      <c r="N686"/>
      <c r="O686"/>
    </row>
    <row r="687" spans="11:15" x14ac:dyDescent="0.25">
      <c r="K687"/>
      <c r="L687"/>
      <c r="M687"/>
      <c r="N687"/>
      <c r="O687"/>
    </row>
    <row r="688" spans="11:15" x14ac:dyDescent="0.25">
      <c r="K688"/>
      <c r="L688"/>
      <c r="M688"/>
      <c r="N688"/>
      <c r="O688"/>
    </row>
    <row r="689" spans="11:15" x14ac:dyDescent="0.25">
      <c r="K689"/>
      <c r="L689"/>
      <c r="M689"/>
      <c r="N689"/>
      <c r="O689"/>
    </row>
    <row r="690" spans="11:15" x14ac:dyDescent="0.25">
      <c r="K690"/>
      <c r="L690"/>
      <c r="M690"/>
      <c r="N690"/>
      <c r="O690"/>
    </row>
    <row r="691" spans="11:15" x14ac:dyDescent="0.25">
      <c r="K691"/>
      <c r="L691"/>
      <c r="M691"/>
      <c r="N691"/>
      <c r="O691"/>
    </row>
    <row r="692" spans="11:15" x14ac:dyDescent="0.25">
      <c r="K692"/>
      <c r="L692"/>
      <c r="M692"/>
      <c r="N692"/>
      <c r="O692"/>
    </row>
    <row r="693" spans="11:15" x14ac:dyDescent="0.25">
      <c r="K693"/>
      <c r="L693"/>
      <c r="M693"/>
      <c r="N693"/>
      <c r="O693"/>
    </row>
    <row r="694" spans="11:15" x14ac:dyDescent="0.25">
      <c r="K694"/>
      <c r="L694"/>
      <c r="M694"/>
      <c r="N694"/>
      <c r="O694"/>
    </row>
    <row r="695" spans="11:15" x14ac:dyDescent="0.25">
      <c r="K695"/>
      <c r="L695"/>
      <c r="M695"/>
      <c r="N695"/>
      <c r="O695"/>
    </row>
    <row r="696" spans="11:15" x14ac:dyDescent="0.25">
      <c r="K696"/>
      <c r="L696"/>
      <c r="M696"/>
      <c r="N696"/>
      <c r="O696"/>
    </row>
    <row r="697" spans="11:15" x14ac:dyDescent="0.25">
      <c r="K697"/>
      <c r="L697"/>
      <c r="M697"/>
      <c r="N697"/>
      <c r="O697"/>
    </row>
    <row r="698" spans="11:15" x14ac:dyDescent="0.25">
      <c r="K698"/>
      <c r="L698"/>
      <c r="M698"/>
      <c r="N698"/>
      <c r="O698"/>
    </row>
    <row r="699" spans="11:15" x14ac:dyDescent="0.25">
      <c r="K699"/>
      <c r="L699"/>
      <c r="M699"/>
      <c r="N699"/>
      <c r="O699"/>
    </row>
    <row r="700" spans="11:15" x14ac:dyDescent="0.25">
      <c r="K700"/>
      <c r="L700"/>
      <c r="M700"/>
      <c r="N700"/>
      <c r="O700"/>
    </row>
    <row r="701" spans="11:15" x14ac:dyDescent="0.25">
      <c r="K701"/>
      <c r="L701"/>
      <c r="M701"/>
      <c r="N701"/>
      <c r="O701"/>
    </row>
    <row r="702" spans="11:15" x14ac:dyDescent="0.25">
      <c r="K702"/>
      <c r="L702"/>
      <c r="M702"/>
      <c r="N702"/>
      <c r="O702"/>
    </row>
    <row r="703" spans="11:15" x14ac:dyDescent="0.25">
      <c r="K703"/>
      <c r="L703"/>
      <c r="M703"/>
      <c r="N703"/>
      <c r="O703"/>
    </row>
    <row r="704" spans="11:15" x14ac:dyDescent="0.25">
      <c r="K704"/>
      <c r="L704"/>
      <c r="M704"/>
      <c r="N704"/>
      <c r="O704"/>
    </row>
    <row r="705" spans="11:15" x14ac:dyDescent="0.25">
      <c r="K705"/>
      <c r="L705"/>
      <c r="M705"/>
      <c r="N705"/>
      <c r="O705"/>
    </row>
    <row r="706" spans="11:15" x14ac:dyDescent="0.25">
      <c r="K706"/>
      <c r="L706"/>
      <c r="M706"/>
      <c r="N706"/>
      <c r="O706"/>
    </row>
    <row r="707" spans="11:15" x14ac:dyDescent="0.25">
      <c r="K707"/>
      <c r="L707"/>
      <c r="M707"/>
      <c r="N707"/>
      <c r="O707"/>
    </row>
    <row r="708" spans="11:15" x14ac:dyDescent="0.25">
      <c r="K708"/>
      <c r="L708"/>
      <c r="M708"/>
      <c r="N708"/>
      <c r="O708"/>
    </row>
    <row r="709" spans="11:15" x14ac:dyDescent="0.25">
      <c r="K709"/>
      <c r="L709"/>
      <c r="M709"/>
      <c r="N709"/>
      <c r="O709"/>
    </row>
    <row r="710" spans="11:15" x14ac:dyDescent="0.25">
      <c r="K710"/>
      <c r="L710"/>
      <c r="M710"/>
      <c r="N710"/>
      <c r="O710"/>
    </row>
    <row r="711" spans="11:15" x14ac:dyDescent="0.25">
      <c r="K711"/>
      <c r="L711"/>
      <c r="M711"/>
      <c r="N711"/>
      <c r="O711"/>
    </row>
    <row r="712" spans="11:15" x14ac:dyDescent="0.25">
      <c r="K712"/>
      <c r="L712"/>
      <c r="M712"/>
      <c r="N712"/>
      <c r="O712"/>
    </row>
    <row r="713" spans="11:15" x14ac:dyDescent="0.25">
      <c r="K713"/>
      <c r="L713"/>
      <c r="M713"/>
      <c r="N713"/>
      <c r="O713"/>
    </row>
    <row r="714" spans="11:15" x14ac:dyDescent="0.25">
      <c r="K714"/>
      <c r="L714"/>
      <c r="M714"/>
      <c r="N714"/>
      <c r="O714"/>
    </row>
    <row r="715" spans="11:15" x14ac:dyDescent="0.25">
      <c r="K715"/>
      <c r="L715"/>
      <c r="M715"/>
      <c r="N715"/>
      <c r="O715"/>
    </row>
    <row r="716" spans="11:15" x14ac:dyDescent="0.25">
      <c r="K716"/>
      <c r="L716"/>
      <c r="M716"/>
      <c r="N716"/>
      <c r="O716"/>
    </row>
    <row r="717" spans="11:15" x14ac:dyDescent="0.25">
      <c r="K717"/>
      <c r="L717"/>
      <c r="M717"/>
      <c r="N717"/>
      <c r="O717"/>
    </row>
    <row r="718" spans="11:15" x14ac:dyDescent="0.25">
      <c r="K718"/>
      <c r="L718"/>
      <c r="M718"/>
      <c r="N718"/>
      <c r="O718"/>
    </row>
    <row r="719" spans="11:15" x14ac:dyDescent="0.25">
      <c r="K719"/>
      <c r="L719"/>
      <c r="M719"/>
      <c r="N719"/>
      <c r="O719"/>
    </row>
    <row r="720" spans="11:15" x14ac:dyDescent="0.25">
      <c r="K720"/>
      <c r="L720"/>
      <c r="M720"/>
      <c r="N720"/>
      <c r="O720"/>
    </row>
    <row r="721" spans="11:15" x14ac:dyDescent="0.25">
      <c r="K721"/>
      <c r="L721"/>
      <c r="M721"/>
      <c r="N721"/>
      <c r="O721"/>
    </row>
    <row r="722" spans="11:15" x14ac:dyDescent="0.25">
      <c r="K722"/>
      <c r="L722"/>
      <c r="M722"/>
      <c r="N722"/>
      <c r="O722"/>
    </row>
    <row r="723" spans="11:15" x14ac:dyDescent="0.25">
      <c r="K723"/>
      <c r="L723"/>
      <c r="M723"/>
      <c r="N723"/>
      <c r="O723"/>
    </row>
    <row r="724" spans="11:15" x14ac:dyDescent="0.25">
      <c r="K724"/>
      <c r="L724"/>
      <c r="M724"/>
      <c r="N724"/>
      <c r="O724"/>
    </row>
    <row r="725" spans="11:15" x14ac:dyDescent="0.25">
      <c r="K725"/>
      <c r="L725"/>
      <c r="M725"/>
      <c r="N725"/>
      <c r="O725"/>
    </row>
    <row r="726" spans="11:15" x14ac:dyDescent="0.25">
      <c r="K726"/>
      <c r="L726"/>
      <c r="M726"/>
      <c r="N726"/>
      <c r="O726"/>
    </row>
    <row r="727" spans="11:15" x14ac:dyDescent="0.25">
      <c r="K727"/>
      <c r="L727"/>
      <c r="M727"/>
      <c r="N727"/>
      <c r="O727"/>
    </row>
    <row r="728" spans="11:15" x14ac:dyDescent="0.25">
      <c r="K728"/>
      <c r="L728"/>
      <c r="M728"/>
      <c r="N728"/>
      <c r="O728"/>
    </row>
    <row r="729" spans="11:15" x14ac:dyDescent="0.25">
      <c r="K729"/>
      <c r="L729"/>
      <c r="M729"/>
      <c r="N729"/>
      <c r="O729"/>
    </row>
    <row r="730" spans="11:15" x14ac:dyDescent="0.25">
      <c r="K730"/>
      <c r="L730"/>
      <c r="M730"/>
      <c r="N730"/>
      <c r="O730"/>
    </row>
    <row r="731" spans="11:15" x14ac:dyDescent="0.25">
      <c r="K731"/>
      <c r="L731"/>
      <c r="M731"/>
      <c r="N731"/>
      <c r="O731"/>
    </row>
    <row r="732" spans="11:15" x14ac:dyDescent="0.25">
      <c r="K732"/>
      <c r="L732"/>
      <c r="M732"/>
      <c r="N732"/>
      <c r="O732"/>
    </row>
    <row r="733" spans="11:15" x14ac:dyDescent="0.25">
      <c r="K733"/>
      <c r="L733"/>
      <c r="M733"/>
      <c r="N733"/>
      <c r="O733"/>
    </row>
    <row r="734" spans="11:15" x14ac:dyDescent="0.25">
      <c r="K734"/>
      <c r="L734"/>
      <c r="M734"/>
      <c r="N734"/>
      <c r="O734"/>
    </row>
    <row r="735" spans="11:15" x14ac:dyDescent="0.25">
      <c r="K735"/>
      <c r="L735"/>
      <c r="M735"/>
      <c r="N735"/>
      <c r="O735"/>
    </row>
    <row r="736" spans="11:15" x14ac:dyDescent="0.25">
      <c r="K736"/>
      <c r="L736"/>
      <c r="M736"/>
      <c r="N736"/>
      <c r="O736"/>
    </row>
    <row r="737" spans="11:15" x14ac:dyDescent="0.25">
      <c r="K737"/>
      <c r="L737"/>
      <c r="M737"/>
      <c r="N737"/>
      <c r="O737"/>
    </row>
    <row r="738" spans="11:15" x14ac:dyDescent="0.25">
      <c r="K738"/>
      <c r="L738"/>
      <c r="M738"/>
      <c r="N738"/>
      <c r="O738"/>
    </row>
    <row r="739" spans="11:15" x14ac:dyDescent="0.25">
      <c r="K739"/>
      <c r="L739"/>
      <c r="M739"/>
      <c r="N739"/>
      <c r="O739"/>
    </row>
    <row r="740" spans="11:15" x14ac:dyDescent="0.25">
      <c r="K740"/>
      <c r="L740"/>
      <c r="M740"/>
      <c r="N740"/>
      <c r="O740"/>
    </row>
    <row r="741" spans="11:15" x14ac:dyDescent="0.25">
      <c r="K741"/>
      <c r="L741"/>
      <c r="M741"/>
      <c r="N741"/>
      <c r="O741"/>
    </row>
    <row r="742" spans="11:15" x14ac:dyDescent="0.25">
      <c r="K742"/>
      <c r="L742"/>
      <c r="M742"/>
      <c r="N742"/>
      <c r="O742"/>
    </row>
    <row r="743" spans="11:15" x14ac:dyDescent="0.25">
      <c r="K743"/>
      <c r="L743"/>
      <c r="M743"/>
      <c r="N743"/>
      <c r="O743"/>
    </row>
    <row r="744" spans="11:15" x14ac:dyDescent="0.25">
      <c r="K744"/>
      <c r="L744"/>
      <c r="M744"/>
      <c r="N744"/>
      <c r="O744"/>
    </row>
    <row r="745" spans="11:15" x14ac:dyDescent="0.25">
      <c r="K745"/>
      <c r="L745"/>
      <c r="M745"/>
      <c r="N745"/>
      <c r="O745"/>
    </row>
    <row r="746" spans="11:15" x14ac:dyDescent="0.25">
      <c r="K746"/>
      <c r="L746"/>
      <c r="M746"/>
      <c r="N746"/>
      <c r="O746"/>
    </row>
    <row r="747" spans="11:15" x14ac:dyDescent="0.25">
      <c r="K747"/>
      <c r="L747"/>
      <c r="M747"/>
      <c r="N747"/>
      <c r="O747"/>
    </row>
    <row r="748" spans="11:15" x14ac:dyDescent="0.25">
      <c r="K748"/>
      <c r="L748"/>
      <c r="M748"/>
      <c r="N748"/>
      <c r="O748"/>
    </row>
    <row r="749" spans="11:15" x14ac:dyDescent="0.25">
      <c r="K749"/>
      <c r="L749"/>
      <c r="M749"/>
      <c r="N749"/>
      <c r="O749"/>
    </row>
    <row r="750" spans="11:15" x14ac:dyDescent="0.25">
      <c r="K750"/>
      <c r="L750"/>
      <c r="M750"/>
      <c r="N750"/>
      <c r="O750"/>
    </row>
    <row r="751" spans="11:15" x14ac:dyDescent="0.25">
      <c r="K751"/>
      <c r="L751"/>
      <c r="M751"/>
      <c r="N751"/>
      <c r="O751"/>
    </row>
    <row r="752" spans="11:15" x14ac:dyDescent="0.25">
      <c r="K752"/>
      <c r="L752"/>
      <c r="M752"/>
      <c r="N752"/>
      <c r="O752"/>
    </row>
    <row r="753" spans="11:15" x14ac:dyDescent="0.25">
      <c r="K753"/>
      <c r="L753"/>
      <c r="M753"/>
      <c r="N753"/>
      <c r="O753"/>
    </row>
    <row r="754" spans="11:15" x14ac:dyDescent="0.25">
      <c r="K754"/>
      <c r="L754"/>
      <c r="M754"/>
      <c r="N754"/>
      <c r="O754"/>
    </row>
    <row r="755" spans="11:15" x14ac:dyDescent="0.25">
      <c r="K755"/>
      <c r="L755"/>
      <c r="M755"/>
      <c r="N755"/>
      <c r="O755"/>
    </row>
    <row r="756" spans="11:15" x14ac:dyDescent="0.25">
      <c r="K756"/>
      <c r="L756"/>
      <c r="M756"/>
      <c r="N756"/>
      <c r="O756"/>
    </row>
    <row r="757" spans="11:15" x14ac:dyDescent="0.25">
      <c r="K757"/>
      <c r="L757"/>
      <c r="M757"/>
      <c r="N757"/>
      <c r="O757"/>
    </row>
    <row r="758" spans="11:15" x14ac:dyDescent="0.25">
      <c r="K758"/>
      <c r="L758"/>
      <c r="M758"/>
      <c r="N758"/>
      <c r="O758"/>
    </row>
    <row r="759" spans="11:15" x14ac:dyDescent="0.25">
      <c r="K759"/>
      <c r="L759"/>
      <c r="M759"/>
      <c r="N759"/>
      <c r="O759"/>
    </row>
    <row r="760" spans="11:15" x14ac:dyDescent="0.25">
      <c r="K760"/>
      <c r="L760"/>
      <c r="M760"/>
      <c r="N760"/>
      <c r="O760"/>
    </row>
    <row r="761" spans="11:15" x14ac:dyDescent="0.25">
      <c r="K761"/>
      <c r="L761"/>
      <c r="M761"/>
      <c r="N761"/>
      <c r="O761"/>
    </row>
    <row r="762" spans="11:15" x14ac:dyDescent="0.25">
      <c r="K762"/>
      <c r="L762"/>
      <c r="M762"/>
      <c r="N762"/>
      <c r="O762"/>
    </row>
    <row r="763" spans="11:15" x14ac:dyDescent="0.25">
      <c r="K763"/>
      <c r="L763"/>
      <c r="M763"/>
      <c r="N763"/>
      <c r="O763"/>
    </row>
    <row r="764" spans="11:15" x14ac:dyDescent="0.25">
      <c r="K764"/>
      <c r="L764"/>
      <c r="M764"/>
      <c r="N764"/>
      <c r="O764"/>
    </row>
    <row r="765" spans="11:15" x14ac:dyDescent="0.25">
      <c r="K765"/>
      <c r="L765"/>
      <c r="M765"/>
      <c r="N765"/>
      <c r="O765"/>
    </row>
    <row r="766" spans="11:15" x14ac:dyDescent="0.25">
      <c r="K766"/>
      <c r="L766"/>
      <c r="M766"/>
      <c r="N766"/>
      <c r="O766"/>
    </row>
    <row r="767" spans="11:15" x14ac:dyDescent="0.25">
      <c r="K767"/>
      <c r="L767"/>
      <c r="M767"/>
      <c r="N767"/>
      <c r="O767"/>
    </row>
    <row r="768" spans="11:15" x14ac:dyDescent="0.25">
      <c r="K768"/>
      <c r="L768"/>
      <c r="M768"/>
      <c r="N768"/>
      <c r="O768"/>
    </row>
    <row r="769" spans="11:15" x14ac:dyDescent="0.25">
      <c r="K769"/>
      <c r="L769"/>
      <c r="M769"/>
      <c r="N769"/>
      <c r="O769"/>
    </row>
    <row r="770" spans="11:15" x14ac:dyDescent="0.25">
      <c r="K770"/>
      <c r="L770"/>
      <c r="M770"/>
      <c r="N770"/>
      <c r="O770"/>
    </row>
    <row r="771" spans="11:15" x14ac:dyDescent="0.25">
      <c r="K771"/>
      <c r="L771"/>
      <c r="M771"/>
      <c r="N771"/>
      <c r="O771"/>
    </row>
    <row r="772" spans="11:15" x14ac:dyDescent="0.25">
      <c r="K772"/>
      <c r="L772"/>
      <c r="M772"/>
      <c r="N772"/>
      <c r="O772"/>
    </row>
    <row r="773" spans="11:15" x14ac:dyDescent="0.25">
      <c r="K773"/>
      <c r="L773"/>
      <c r="M773"/>
      <c r="N773"/>
      <c r="O773"/>
    </row>
    <row r="774" spans="11:15" x14ac:dyDescent="0.25">
      <c r="K774"/>
      <c r="L774"/>
      <c r="M774"/>
      <c r="N774"/>
      <c r="O774"/>
    </row>
    <row r="775" spans="11:15" x14ac:dyDescent="0.25">
      <c r="K775"/>
      <c r="L775"/>
      <c r="M775"/>
      <c r="N775"/>
      <c r="O775"/>
    </row>
    <row r="776" spans="11:15" x14ac:dyDescent="0.25">
      <c r="K776"/>
      <c r="L776"/>
      <c r="M776"/>
      <c r="N776"/>
      <c r="O776"/>
    </row>
    <row r="777" spans="11:15" x14ac:dyDescent="0.25">
      <c r="K777"/>
      <c r="L777"/>
      <c r="M777"/>
      <c r="N777"/>
      <c r="O777"/>
    </row>
    <row r="778" spans="11:15" x14ac:dyDescent="0.25">
      <c r="K778"/>
      <c r="L778"/>
      <c r="M778"/>
      <c r="N778"/>
      <c r="O778"/>
    </row>
    <row r="779" spans="11:15" x14ac:dyDescent="0.25">
      <c r="K779"/>
      <c r="L779"/>
      <c r="M779"/>
      <c r="N779"/>
      <c r="O779"/>
    </row>
    <row r="780" spans="11:15" x14ac:dyDescent="0.25">
      <c r="K780"/>
      <c r="L780"/>
      <c r="M780"/>
      <c r="N780"/>
      <c r="O780"/>
    </row>
    <row r="781" spans="11:15" x14ac:dyDescent="0.25">
      <c r="K781"/>
      <c r="L781"/>
      <c r="M781"/>
      <c r="N781"/>
      <c r="O781"/>
    </row>
    <row r="782" spans="11:15" x14ac:dyDescent="0.25">
      <c r="K782"/>
      <c r="L782"/>
      <c r="M782"/>
      <c r="N782"/>
      <c r="O782"/>
    </row>
    <row r="783" spans="11:15" x14ac:dyDescent="0.25">
      <c r="K783"/>
      <c r="L783"/>
      <c r="M783"/>
      <c r="N783"/>
      <c r="O783"/>
    </row>
    <row r="784" spans="11:15" x14ac:dyDescent="0.25">
      <c r="K784"/>
      <c r="L784"/>
      <c r="M784"/>
      <c r="N784"/>
      <c r="O784"/>
    </row>
    <row r="785" spans="11:15" x14ac:dyDescent="0.25">
      <c r="K785"/>
      <c r="L785"/>
      <c r="M785"/>
      <c r="N785"/>
      <c r="O785"/>
    </row>
    <row r="786" spans="11:15" x14ac:dyDescent="0.25">
      <c r="K786"/>
      <c r="L786"/>
      <c r="M786"/>
      <c r="N786"/>
      <c r="O786"/>
    </row>
    <row r="787" spans="11:15" x14ac:dyDescent="0.25">
      <c r="K787"/>
      <c r="L787"/>
      <c r="M787"/>
      <c r="N787"/>
      <c r="O787"/>
    </row>
    <row r="788" spans="11:15" x14ac:dyDescent="0.25">
      <c r="K788"/>
      <c r="L788"/>
      <c r="M788"/>
      <c r="N788"/>
      <c r="O788"/>
    </row>
    <row r="789" spans="11:15" x14ac:dyDescent="0.25">
      <c r="K789"/>
      <c r="L789"/>
      <c r="M789"/>
      <c r="N789"/>
      <c r="O789"/>
    </row>
    <row r="790" spans="11:15" x14ac:dyDescent="0.25">
      <c r="K790"/>
      <c r="L790"/>
      <c r="M790"/>
      <c r="N790"/>
      <c r="O790"/>
    </row>
    <row r="791" spans="11:15" x14ac:dyDescent="0.25">
      <c r="K791"/>
      <c r="L791"/>
      <c r="M791"/>
      <c r="N791"/>
      <c r="O791"/>
    </row>
    <row r="792" spans="11:15" x14ac:dyDescent="0.25">
      <c r="K792"/>
      <c r="L792"/>
      <c r="M792"/>
      <c r="N792"/>
      <c r="O792"/>
    </row>
    <row r="793" spans="11:15" x14ac:dyDescent="0.25">
      <c r="K793"/>
      <c r="L793"/>
      <c r="M793"/>
      <c r="N793"/>
      <c r="O793"/>
    </row>
    <row r="794" spans="11:15" x14ac:dyDescent="0.25">
      <c r="K794"/>
      <c r="L794"/>
      <c r="M794"/>
      <c r="N794"/>
      <c r="O794"/>
    </row>
    <row r="795" spans="11:15" x14ac:dyDescent="0.25">
      <c r="K795"/>
      <c r="L795"/>
      <c r="M795"/>
      <c r="N795"/>
      <c r="O795"/>
    </row>
    <row r="796" spans="11:15" x14ac:dyDescent="0.25">
      <c r="K796"/>
      <c r="L796"/>
      <c r="M796"/>
      <c r="N796"/>
      <c r="O796"/>
    </row>
    <row r="797" spans="11:15" x14ac:dyDescent="0.25">
      <c r="K797"/>
      <c r="L797"/>
      <c r="M797"/>
      <c r="N797"/>
      <c r="O797"/>
    </row>
    <row r="798" spans="11:15" x14ac:dyDescent="0.25">
      <c r="K798"/>
      <c r="L798"/>
      <c r="M798"/>
      <c r="N798"/>
      <c r="O798"/>
    </row>
    <row r="799" spans="11:15" x14ac:dyDescent="0.25">
      <c r="K799"/>
      <c r="L799"/>
      <c r="M799"/>
      <c r="N799"/>
      <c r="O799"/>
    </row>
    <row r="800" spans="11:15" x14ac:dyDescent="0.25">
      <c r="K800"/>
      <c r="L800"/>
      <c r="M800"/>
      <c r="N800"/>
      <c r="O800"/>
    </row>
    <row r="801" spans="11:15" x14ac:dyDescent="0.25">
      <c r="K801"/>
      <c r="L801"/>
      <c r="M801"/>
      <c r="N801"/>
      <c r="O801"/>
    </row>
    <row r="802" spans="11:15" x14ac:dyDescent="0.25">
      <c r="K802"/>
      <c r="L802"/>
      <c r="M802"/>
      <c r="N802"/>
      <c r="O802"/>
    </row>
    <row r="803" spans="11:15" x14ac:dyDescent="0.25">
      <c r="K803"/>
      <c r="L803"/>
      <c r="M803"/>
      <c r="N803"/>
      <c r="O803"/>
    </row>
    <row r="804" spans="11:15" x14ac:dyDescent="0.25">
      <c r="K804"/>
      <c r="L804"/>
      <c r="M804"/>
      <c r="N804"/>
      <c r="O804"/>
    </row>
  </sheetData>
  <sortState ref="K5:P143">
    <sortCondition ref="K5:K143"/>
  </sortState>
  <mergeCells count="1">
    <mergeCell ref="C8:I1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89" r:id="rId4" name="Button 21">
              <controlPr defaultSize="0" print="0" autoFill="0" autoPict="0" macro="[0]!Macro4">
                <anchor moveWithCells="1" sizeWithCells="1">
                  <from>
                    <xdr:col>15</xdr:col>
                    <xdr:colOff>457200</xdr:colOff>
                    <xdr:row>6</xdr:row>
                    <xdr:rowOff>85725</xdr:rowOff>
                  </from>
                  <to>
                    <xdr:col>17</xdr:col>
                    <xdr:colOff>95250</xdr:colOff>
                    <xdr:row>7</xdr:row>
                    <xdr:rowOff>142875</xdr:rowOff>
                  </to>
                </anchor>
              </controlPr>
            </control>
          </mc:Choice>
        </mc:AlternateContent>
        <mc:AlternateContent xmlns:mc="http://schemas.openxmlformats.org/markup-compatibility/2006">
          <mc:Choice Requires="x14">
            <control shapeId="7190" r:id="rId5" name="Button 22">
              <controlPr defaultSize="0" print="0" autoFill="0" autoPict="0" macro="[0]!Button21_Click">
                <anchor moveWithCells="1" sizeWithCells="1">
                  <from>
                    <xdr:col>15</xdr:col>
                    <xdr:colOff>447675</xdr:colOff>
                    <xdr:row>2</xdr:row>
                    <xdr:rowOff>171450</xdr:rowOff>
                  </from>
                  <to>
                    <xdr:col>17</xdr:col>
                    <xdr:colOff>85725</xdr:colOff>
                    <xdr:row>4</xdr:row>
                    <xdr:rowOff>38100</xdr:rowOff>
                  </to>
                </anchor>
              </controlPr>
            </control>
          </mc:Choice>
        </mc:AlternateContent>
        <mc:AlternateContent xmlns:mc="http://schemas.openxmlformats.org/markup-compatibility/2006">
          <mc:Choice Requires="x14">
            <control shapeId="7191" r:id="rId6" name="Button 23">
              <controlPr defaultSize="0" print="0" autoFill="0" autoPict="0" macro="[0]!Macro3">
                <anchor moveWithCells="1" sizeWithCells="1">
                  <from>
                    <xdr:col>15</xdr:col>
                    <xdr:colOff>447675</xdr:colOff>
                    <xdr:row>4</xdr:row>
                    <xdr:rowOff>123825</xdr:rowOff>
                  </from>
                  <to>
                    <xdr:col>17</xdr:col>
                    <xdr:colOff>85725</xdr:colOff>
                    <xdr:row>5</xdr:row>
                    <xdr:rowOff>180975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Pad!$B$3:$B$8</xm:f>
          </x14:formula1>
          <xm:sqref>C5</xm:sqref>
        </x14:dataValidation>
        <x14:dataValidation type="list" allowBlank="1" showInputMessage="1" showErrorMessage="1">
          <x14:formula1>
            <xm:f>Pad!$E$3:$E$10</xm:f>
          </x14:formula1>
          <xm:sqref>C7</xm:sqref>
        </x14:dataValidation>
        <x14:dataValidation type="list" allowBlank="1" showInputMessage="1" showErrorMessage="1">
          <x14:formula1>
            <xm:f>Pad!$B$16:$B$22</xm:f>
          </x14:formula1>
          <xm:sqref>C6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2:K2015"/>
  <sheetViews>
    <sheetView topLeftCell="A13" workbookViewId="0">
      <selection activeCell="J37" sqref="J37"/>
    </sheetView>
  </sheetViews>
  <sheetFormatPr defaultRowHeight="15" x14ac:dyDescent="0.25"/>
  <cols>
    <col min="1" max="1" width="9.140625" style="1"/>
    <col min="2" max="2" width="19.5703125" style="1" customWidth="1"/>
    <col min="3" max="3" width="13.42578125" style="1" customWidth="1"/>
    <col min="4" max="7" width="9.140625" style="1"/>
    <col min="8" max="8" width="9.140625" style="43"/>
    <col min="9" max="9" width="9.140625" style="1"/>
    <col min="10" max="10" width="17.5703125" style="1" bestFit="1" customWidth="1"/>
    <col min="11" max="16384" width="9.140625" style="1"/>
  </cols>
  <sheetData>
    <row r="2" spans="2:11" ht="66" customHeight="1" x14ac:dyDescent="0.25"/>
    <row r="3" spans="2:11" ht="18.75" x14ac:dyDescent="0.3">
      <c r="B3" s="205" t="s">
        <v>205</v>
      </c>
      <c r="C3" s="206"/>
      <c r="D3" s="206"/>
      <c r="E3" s="206"/>
      <c r="F3" s="206"/>
      <c r="G3" s="206"/>
    </row>
    <row r="5" spans="2:11" x14ac:dyDescent="0.25">
      <c r="B5" s="48" t="s">
        <v>181</v>
      </c>
      <c r="C5" s="201" t="str">
        <f>'SQL Builder'!C4</f>
        <v>pree</v>
      </c>
      <c r="D5" s="202"/>
      <c r="E5" s="202"/>
      <c r="F5" s="202"/>
      <c r="G5" s="202"/>
    </row>
    <row r="6" spans="2:11" x14ac:dyDescent="0.25">
      <c r="B6" s="52" t="s">
        <v>182</v>
      </c>
      <c r="C6" s="203" t="str">
        <f>'SQL Builder'!C5</f>
        <v>Eclipse</v>
      </c>
      <c r="D6" s="204"/>
      <c r="E6" s="204"/>
      <c r="F6" s="204"/>
      <c r="G6" s="204"/>
    </row>
    <row r="7" spans="2:11" x14ac:dyDescent="0.25">
      <c r="B7" s="52" t="s">
        <v>202</v>
      </c>
      <c r="C7" s="203" t="str">
        <f>'SQL Builder'!C7</f>
        <v>Monthly QC</v>
      </c>
      <c r="D7" s="204"/>
      <c r="E7" s="204"/>
      <c r="F7" s="204"/>
      <c r="G7" s="204"/>
    </row>
    <row r="8" spans="2:11" x14ac:dyDescent="0.25">
      <c r="B8" s="52" t="s">
        <v>216</v>
      </c>
      <c r="C8" s="199">
        <v>46142</v>
      </c>
      <c r="D8" s="200"/>
      <c r="E8" s="200"/>
      <c r="F8" s="200"/>
      <c r="G8" s="200"/>
    </row>
    <row r="9" spans="2:11" x14ac:dyDescent="0.25">
      <c r="B9" s="52" t="s">
        <v>217</v>
      </c>
      <c r="C9" s="199" t="s">
        <v>15</v>
      </c>
      <c r="D9" s="200"/>
      <c r="E9" s="200"/>
      <c r="F9" s="200"/>
      <c r="G9" s="200"/>
    </row>
    <row r="11" spans="2:11" x14ac:dyDescent="0.25">
      <c r="B11" s="53" t="s">
        <v>215</v>
      </c>
      <c r="C11" s="47"/>
      <c r="D11" s="47"/>
      <c r="E11" s="47"/>
      <c r="F11" s="47"/>
      <c r="G11" s="47"/>
    </row>
    <row r="13" spans="2:11" x14ac:dyDescent="0.25">
      <c r="B13" s="56" t="s">
        <v>206</v>
      </c>
      <c r="C13" s="57">
        <f>COUNT('SQL Builder'!P:P)</f>
        <v>139</v>
      </c>
      <c r="D13" s="57"/>
      <c r="E13" s="57"/>
      <c r="F13" s="57"/>
      <c r="G13" s="57"/>
    </row>
    <row r="16" spans="2:11" x14ac:dyDescent="0.25">
      <c r="J16" s="1" t="s">
        <v>17</v>
      </c>
      <c r="K16" s="1" t="s">
        <v>20</v>
      </c>
    </row>
    <row r="17" spans="2:11" x14ac:dyDescent="0.25">
      <c r="I17" s="1">
        <v>1</v>
      </c>
      <c r="J17" s="49">
        <f>C8</f>
        <v>46142</v>
      </c>
      <c r="K17" s="1">
        <v>0</v>
      </c>
    </row>
    <row r="18" spans="2:11" x14ac:dyDescent="0.25">
      <c r="I18" s="1">
        <v>2</v>
      </c>
      <c r="J18" s="49">
        <f>C8</f>
        <v>46142</v>
      </c>
      <c r="K18" s="1">
        <f>C13</f>
        <v>139</v>
      </c>
    </row>
    <row r="27" spans="2:11" x14ac:dyDescent="0.25">
      <c r="B27" s="53" t="s">
        <v>214</v>
      </c>
      <c r="C27" s="47"/>
      <c r="D27" s="47"/>
      <c r="E27" s="47"/>
      <c r="F27" s="47"/>
      <c r="G27" s="47"/>
    </row>
    <row r="28" spans="2:11" x14ac:dyDescent="0.25">
      <c r="I28" s="80"/>
    </row>
    <row r="29" spans="2:11" x14ac:dyDescent="0.25">
      <c r="B29" s="51" t="s">
        <v>203</v>
      </c>
      <c r="C29" s="51" t="s">
        <v>182</v>
      </c>
      <c r="D29" s="51" t="s">
        <v>204</v>
      </c>
      <c r="E29" s="51"/>
      <c r="F29" s="47"/>
      <c r="G29" s="47"/>
      <c r="I29" s="47" t="s">
        <v>304</v>
      </c>
    </row>
    <row r="30" spans="2:11" ht="16.5" x14ac:dyDescent="0.25">
      <c r="B30" s="49">
        <f>IF(ISBLANK('SQL Builder'!K5)=FALSE,(DATE(LEFT('SQL Builder'!K5,4),MID('SQL Builder'!K5,6,2),MID('SQL Builder'!K5,9,2))),NA())</f>
        <v>45253</v>
      </c>
      <c r="C30" s="50" t="str">
        <f>IF(ISBLANK('SQL Builder'!K5)=FALSE,'SQL Builder'!L5,"")</f>
        <v>LA7</v>
      </c>
      <c r="D30" s="1" t="str">
        <f>IF(ISBLANK('SQL Builder'!K5)=FALSE,'SQL Builder'!O5,"")</f>
        <v>093 - Photon Energy (+15MV)</v>
      </c>
      <c r="H30" s="43">
        <f>IF(ISBLANK('SQL Builder'!K5)=FALSE,1,"")</f>
        <v>1</v>
      </c>
      <c r="I30" s="1" t="str">
        <f>IF(ISBLANK('SQL Builder'!P5)=FALSE,'SQL Builder'!N5,"")</f>
        <v>tomo</v>
      </c>
      <c r="J30" s="79">
        <f>IF(I30="",0,IF(I30=C$5,2,1))</f>
        <v>1</v>
      </c>
      <c r="K30" s="81"/>
    </row>
    <row r="31" spans="2:11" ht="16.5" x14ac:dyDescent="0.25">
      <c r="B31" s="49">
        <f>IF(ISBLANK('SQL Builder'!K6)=FALSE,(DATE(LEFT('SQL Builder'!K6,4),MID('SQL Builder'!K6,6,2),MID('SQL Builder'!K6,9,2))),NA())</f>
        <v>45253</v>
      </c>
      <c r="C31" s="50" t="str">
        <f>IF(ISBLANK('SQL Builder'!K6)=FALSE,'SQL Builder'!L6,"")</f>
        <v>LA7</v>
      </c>
      <c r="D31" s="1" t="str">
        <f>IF(ISBLANK('SQL Builder'!K6)=FALSE,'SQL Builder'!O6,"")</f>
        <v>091 - Photon Outputs (+15MV)</v>
      </c>
      <c r="H31" s="43">
        <f>IF(ISBLANK('SQL Builder'!K5)=FALSE,H30+1,"")</f>
        <v>2</v>
      </c>
      <c r="I31" s="1" t="str">
        <f>IF(ISBLANK('SQL Builder'!P6)=FALSE,'SQL Builder'!N6,"")</f>
        <v>tomo</v>
      </c>
      <c r="J31" s="79">
        <f t="shared" ref="J31:J94" si="0">IF(I31="",0,IF(I31=C$5,2,1))</f>
        <v>1</v>
      </c>
      <c r="K31" s="81"/>
    </row>
    <row r="32" spans="2:11" ht="16.5" x14ac:dyDescent="0.25">
      <c r="B32" s="49">
        <f>IF(ISBLANK('SQL Builder'!K7)=FALSE,(DATE(LEFT('SQL Builder'!K7,4),MID('SQL Builder'!K7,6,2),MID('SQL Builder'!K7,9,2))),NA())</f>
        <v>45253</v>
      </c>
      <c r="C32" s="50" t="str">
        <f>IF(ISBLANK('SQL Builder'!K7)=FALSE,'SQL Builder'!L7,"")</f>
        <v>LA7</v>
      </c>
      <c r="D32" s="1" t="str">
        <f>IF(ISBLANK('SQL Builder'!K7)=FALSE,'SQL Builder'!O7,"")</f>
        <v>031 - Photon Flatness &amp; Symmetry (+15MV) G0  (Profiler)</v>
      </c>
      <c r="H32" s="43">
        <f>IF(ISBLANK('SQL Builder'!K6)=FALSE,H31+1,"")</f>
        <v>3</v>
      </c>
      <c r="I32" s="1" t="str">
        <f>IF(ISBLANK('SQL Builder'!P7)=FALSE,'SQL Builder'!N7,"")</f>
        <v>tomo</v>
      </c>
      <c r="J32" s="79">
        <f t="shared" si="0"/>
        <v>1</v>
      </c>
      <c r="K32" s="81"/>
    </row>
    <row r="33" spans="2:11" ht="16.5" x14ac:dyDescent="0.25">
      <c r="B33" s="49">
        <f>IF(ISBLANK('SQL Builder'!K8)=FALSE,(DATE(LEFT('SQL Builder'!K8,4),MID('SQL Builder'!K8,6,2),MID('SQL Builder'!K8,9,2))),NA())</f>
        <v>45342</v>
      </c>
      <c r="C33" s="50" t="str">
        <f>IF(ISBLANK('SQL Builder'!K8)=FALSE,'SQL Builder'!L8,"")</f>
        <v>LA11</v>
      </c>
      <c r="D33" s="1" t="str">
        <f>IF(ISBLANK('SQL Builder'!K8)=FALSE,'SQL Builder'!O8,"")</f>
        <v>131 - MPC (Photons+15/FFF)</v>
      </c>
      <c r="H33" s="43">
        <f>IF(ISBLANK('SQL Builder'!K7)=FALSE,H32+1,"")</f>
        <v>4</v>
      </c>
      <c r="I33" s="1" t="str">
        <f>IF(ISBLANK('SQL Builder'!P8)=FALSE,'SQL Builder'!N8,"")</f>
        <v>rachelw</v>
      </c>
      <c r="J33" s="79">
        <f t="shared" si="0"/>
        <v>1</v>
      </c>
      <c r="K33" s="81"/>
    </row>
    <row r="34" spans="2:11" ht="16.5" x14ac:dyDescent="0.25">
      <c r="B34" s="49">
        <f>IF(ISBLANK('SQL Builder'!K9)=FALSE,(DATE(LEFT('SQL Builder'!K9,4),MID('SQL Builder'!K9,6,2),MID('SQL Builder'!K9,9,2))),NA())</f>
        <v>45342</v>
      </c>
      <c r="C34" s="50" t="str">
        <f>IF(ISBLANK('SQL Builder'!K9)=FALSE,'SQL Builder'!L9,"")</f>
        <v>LA11</v>
      </c>
      <c r="D34" s="1" t="str">
        <f>IF(ISBLANK('SQL Builder'!K9)=FALSE,'SQL Builder'!O9,"")</f>
        <v>091 - Photon Outputs (+15MV)</v>
      </c>
      <c r="H34" s="43">
        <f>IF(ISBLANK('SQL Builder'!K8)=FALSE,H33+1,"")</f>
        <v>5</v>
      </c>
      <c r="I34" s="1" t="str">
        <f>IF(ISBLANK('SQL Builder'!P9)=FALSE,'SQL Builder'!N9,"")</f>
        <v>jamesb</v>
      </c>
      <c r="J34" s="79">
        <f t="shared" si="0"/>
        <v>1</v>
      </c>
      <c r="K34" s="81"/>
    </row>
    <row r="35" spans="2:11" ht="16.5" x14ac:dyDescent="0.25">
      <c r="B35" s="49">
        <f>IF(ISBLANK('SQL Builder'!K10)=FALSE,(DATE(LEFT('SQL Builder'!K10,4),MID('SQL Builder'!K10,6,2),MID('SQL Builder'!K10,9,2))),NA())</f>
        <v>45349</v>
      </c>
      <c r="C35" s="50" t="str">
        <f>IF(ISBLANK('SQL Builder'!K10)=FALSE,'SQL Builder'!L10,"")</f>
        <v>LA10</v>
      </c>
      <c r="D35" s="1" t="str">
        <f>IF(ISBLANK('SQL Builder'!K10)=FALSE,'SQL Builder'!O10,"")</f>
        <v>142 - Isocentre Verification</v>
      </c>
      <c r="H35" s="43">
        <f>IF(ISBLANK('SQL Builder'!K9)=FALSE,H34+1,"")</f>
        <v>6</v>
      </c>
      <c r="I35" s="1" t="str">
        <f>IF(ISBLANK('SQL Builder'!P10)=FALSE,'SQL Builder'!N10,"")</f>
        <v>jamesb</v>
      </c>
      <c r="J35" s="79">
        <f t="shared" si="0"/>
        <v>1</v>
      </c>
      <c r="K35" s="81"/>
    </row>
    <row r="36" spans="2:11" ht="16.5" x14ac:dyDescent="0.25">
      <c r="B36" s="49">
        <f>IF(ISBLANK('SQL Builder'!K11)=FALSE,(DATE(LEFT('SQL Builder'!K11,4),MID('SQL Builder'!K11,6,2),MID('SQL Builder'!K11,9,2))),NA())</f>
        <v>45349</v>
      </c>
      <c r="C36" s="50" t="str">
        <f>IF(ISBLANK('SQL Builder'!K11)=FALSE,'SQL Builder'!L11,"")</f>
        <v>LA10</v>
      </c>
      <c r="D36" s="1" t="str">
        <f>IF(ISBLANK('SQL Builder'!K11)=FALSE,'SQL Builder'!O11,"")</f>
        <v>171 - Delta 4 Patient</v>
      </c>
      <c r="H36" s="43">
        <f>IF(ISBLANK('SQL Builder'!K10)=FALSE,H35+1,"")</f>
        <v>7</v>
      </c>
      <c r="I36" s="1" t="str">
        <f>IF(ISBLANK('SQL Builder'!P11)=FALSE,'SQL Builder'!N11,"")</f>
        <v>jordanhyw</v>
      </c>
      <c r="J36" s="79">
        <f t="shared" si="0"/>
        <v>1</v>
      </c>
      <c r="K36" s="81"/>
    </row>
    <row r="37" spans="2:11" ht="16.5" x14ac:dyDescent="0.25">
      <c r="B37" s="49">
        <f>IF(ISBLANK('SQL Builder'!K12)=FALSE,(DATE(LEFT('SQL Builder'!K12,4),MID('SQL Builder'!K12,6,2),MID('SQL Builder'!K12,9,2))),NA())</f>
        <v>45349</v>
      </c>
      <c r="C37" s="50" t="str">
        <f>IF(ISBLANK('SQL Builder'!K12)=FALSE,'SQL Builder'!L12,"")</f>
        <v>LA10</v>
      </c>
      <c r="D37" s="1" t="str">
        <f>IF(ISBLANK('SQL Builder'!K12)=FALSE,'SQL Builder'!O12,"")</f>
        <v>172 - Delta 4 Standard</v>
      </c>
      <c r="H37" s="43">
        <f>IF(ISBLANK('SQL Builder'!K11)=FALSE,H36+1,"")</f>
        <v>8</v>
      </c>
      <c r="I37" s="1" t="str">
        <f>IF(ISBLANK('SQL Builder'!P12)=FALSE,'SQL Builder'!N12,"")</f>
        <v>jordanhyw</v>
      </c>
      <c r="J37" s="79">
        <f t="shared" si="0"/>
        <v>1</v>
      </c>
      <c r="K37" s="81"/>
    </row>
    <row r="38" spans="2:11" ht="16.5" x14ac:dyDescent="0.25">
      <c r="B38" s="49">
        <f>IF(ISBLANK('SQL Builder'!K13)=FALSE,(DATE(LEFT('SQL Builder'!K13,4),MID('SQL Builder'!K13,6,2),MID('SQL Builder'!K13,9,2))),NA())</f>
        <v>45391</v>
      </c>
      <c r="C38" s="50" t="str">
        <f>IF(ISBLANK('SQL Builder'!K13)=FALSE,'SQL Builder'!L13,"")</f>
        <v>LA11</v>
      </c>
      <c r="D38" s="1" t="str">
        <f>IF(ISBLANK('SQL Builder'!K13)=FALSE,'SQL Builder'!O13,"")</f>
        <v>142 - Isocentre Verification</v>
      </c>
      <c r="H38" s="43">
        <f>IF(ISBLANK('SQL Builder'!K12)=FALSE,H37+1,"")</f>
        <v>9</v>
      </c>
      <c r="I38" s="1" t="str">
        <f>IF(ISBLANK('SQL Builder'!P13)=FALSE,'SQL Builder'!N13,"")</f>
        <v>jamesb</v>
      </c>
      <c r="J38" s="79">
        <f t="shared" si="0"/>
        <v>1</v>
      </c>
      <c r="K38" s="81"/>
    </row>
    <row r="39" spans="2:11" ht="16.5" x14ac:dyDescent="0.25">
      <c r="B39" s="49">
        <f>IF(ISBLANK('SQL Builder'!K14)=FALSE,(DATE(LEFT('SQL Builder'!K14,4),MID('SQL Builder'!K14,6,2),MID('SQL Builder'!K14,9,2))),NA())</f>
        <v>45391</v>
      </c>
      <c r="C39" s="50" t="str">
        <f>IF(ISBLANK('SQL Builder'!K14)=FALSE,'SQL Builder'!L14,"")</f>
        <v>LA11</v>
      </c>
      <c r="D39" s="1" t="str">
        <f>IF(ISBLANK('SQL Builder'!K14)=FALSE,'SQL Builder'!O14,"")</f>
        <v>011 - Crosswire and Front Pointer</v>
      </c>
      <c r="H39" s="43">
        <f>IF(ISBLANK('SQL Builder'!K13)=FALSE,H38+1,"")</f>
        <v>10</v>
      </c>
      <c r="I39" s="1" t="str">
        <f>IF(ISBLANK('SQL Builder'!P14)=FALSE,'SQL Builder'!N14,"")</f>
        <v>jamesb</v>
      </c>
      <c r="J39" s="79">
        <f t="shared" si="0"/>
        <v>1</v>
      </c>
      <c r="K39" s="81"/>
    </row>
    <row r="40" spans="2:11" ht="16.5" x14ac:dyDescent="0.25">
      <c r="B40" s="49">
        <f>IF(ISBLANK('SQL Builder'!K15)=FALSE,(DATE(LEFT('SQL Builder'!K15,4),MID('SQL Builder'!K15,6,2),MID('SQL Builder'!K15,9,2))),NA())</f>
        <v>45400</v>
      </c>
      <c r="C40" s="50" t="str">
        <f>IF(ISBLANK('SQL Builder'!K15)=FALSE,'SQL Builder'!L15,"")</f>
        <v>LA11</v>
      </c>
      <c r="D40" s="1" t="str">
        <f>IF(ISBLANK('SQL Builder'!K15)=FALSE,'SQL Builder'!O15,"")</f>
        <v>143 - 2D 2D match</v>
      </c>
      <c r="H40" s="43">
        <f>IF(ISBLANK('SQL Builder'!K14)=FALSE,H39+1,"")</f>
        <v>11</v>
      </c>
      <c r="I40" s="1" t="str">
        <f>IF(ISBLANK('SQL Builder'!P15)=FALSE,'SQL Builder'!N15,"")</f>
        <v>pree</v>
      </c>
      <c r="J40" s="79">
        <f t="shared" si="0"/>
        <v>2</v>
      </c>
      <c r="K40" s="81"/>
    </row>
    <row r="41" spans="2:11" ht="16.5" x14ac:dyDescent="0.25">
      <c r="B41" s="49">
        <f>IF(ISBLANK('SQL Builder'!K16)=FALSE,(DATE(LEFT('SQL Builder'!K16,4),MID('SQL Builder'!K16,6,2),MID('SQL Builder'!K16,9,2))),NA())</f>
        <v>45418</v>
      </c>
      <c r="C41" s="50" t="str">
        <f>IF(ISBLANK('SQL Builder'!K16)=FALSE,'SQL Builder'!L16,"")</f>
        <v>LA8</v>
      </c>
      <c r="D41" s="1" t="str">
        <f>IF(ISBLANK('SQL Builder'!K16)=FALSE,'SQL Builder'!O16,"")</f>
        <v>013 - Lasers</v>
      </c>
      <c r="H41" s="43">
        <f>IF(ISBLANK('SQL Builder'!K15)=FALSE,H40+1,"")</f>
        <v>12</v>
      </c>
      <c r="I41" s="1" t="str">
        <f>IF(ISBLANK('SQL Builder'!P16)=FALSE,'SQL Builder'!N16,"")</f>
        <v>pree</v>
      </c>
      <c r="J41" s="79">
        <f t="shared" si="0"/>
        <v>2</v>
      </c>
      <c r="K41" s="81"/>
    </row>
    <row r="42" spans="2:11" ht="16.5" x14ac:dyDescent="0.25">
      <c r="B42" s="49">
        <f>IF(ISBLANK('SQL Builder'!K17)=FALSE,(DATE(LEFT('SQL Builder'!K17,4),MID('SQL Builder'!K17,6,2),MID('SQL Builder'!K17,9,2))),NA())</f>
        <v>45418</v>
      </c>
      <c r="C42" s="50" t="str">
        <f>IF(ISBLANK('SQL Builder'!K17)=FALSE,'SQL Builder'!L17,"")</f>
        <v>LA8</v>
      </c>
      <c r="D42" s="1" t="str">
        <f>IF(ISBLANK('SQL Builder'!K17)=FALSE,'SQL Builder'!O17,"")</f>
        <v>016 - Couch Scale and Position</v>
      </c>
      <c r="H42" s="43">
        <f>IF(ISBLANK('SQL Builder'!K16)=FALSE,H41+1,"")</f>
        <v>13</v>
      </c>
      <c r="I42" s="1" t="str">
        <f>IF(ISBLANK('SQL Builder'!P17)=FALSE,'SQL Builder'!N17,"")</f>
        <v>jamesb</v>
      </c>
      <c r="J42" s="79">
        <f t="shared" si="0"/>
        <v>1</v>
      </c>
      <c r="K42" s="81"/>
    </row>
    <row r="43" spans="2:11" ht="16.5" x14ac:dyDescent="0.25">
      <c r="B43" s="49">
        <f>IF(ISBLANK('SQL Builder'!K18)=FALSE,(DATE(LEFT('SQL Builder'!K18,4),MID('SQL Builder'!K18,6,2),MID('SQL Builder'!K18,9,2))),NA())</f>
        <v>45418</v>
      </c>
      <c r="C43" s="50" t="str">
        <f>IF(ISBLANK('SQL Builder'!K18)=FALSE,'SQL Builder'!L18,"")</f>
        <v>LA8</v>
      </c>
      <c r="D43" s="1" t="str">
        <f>IF(ISBLANK('SQL Builder'!K18)=FALSE,'SQL Builder'!O18,"")</f>
        <v>015 - Gantry Sag</v>
      </c>
      <c r="H43" s="43">
        <f>IF(ISBLANK('SQL Builder'!K17)=FALSE,H42+1,"")</f>
        <v>14</v>
      </c>
      <c r="I43" s="1" t="str">
        <f>IF(ISBLANK('SQL Builder'!P18)=FALSE,'SQL Builder'!N18,"")</f>
        <v>pree</v>
      </c>
      <c r="J43" s="79">
        <f t="shared" si="0"/>
        <v>2</v>
      </c>
      <c r="K43" s="81"/>
    </row>
    <row r="44" spans="2:11" ht="16.5" x14ac:dyDescent="0.25">
      <c r="B44" s="49">
        <f>IF(ISBLANK('SQL Builder'!K19)=FALSE,(DATE(LEFT('SQL Builder'!K19,4),MID('SQL Builder'!K19,6,2),MID('SQL Builder'!K19,9,2))),NA())</f>
        <v>45418</v>
      </c>
      <c r="C44" s="50" t="str">
        <f>IF(ISBLANK('SQL Builder'!K19)=FALSE,'SQL Builder'!L19,"")</f>
        <v>LA8</v>
      </c>
      <c r="D44" s="1" t="str">
        <f>IF(ISBLANK('SQL Builder'!K19)=FALSE,'SQL Builder'!O19,"")</f>
        <v>142 - Isocentre Verification</v>
      </c>
      <c r="H44" s="43">
        <f>IF(ISBLANK('SQL Builder'!K18)=FALSE,H43+1,"")</f>
        <v>15</v>
      </c>
      <c r="I44" s="1" t="str">
        <f>IF(ISBLANK('SQL Builder'!P19)=FALSE,'SQL Builder'!N19,"")</f>
        <v>jamesb</v>
      </c>
      <c r="J44" s="79">
        <f t="shared" si="0"/>
        <v>1</v>
      </c>
      <c r="K44" s="81"/>
    </row>
    <row r="45" spans="2:11" ht="16.5" x14ac:dyDescent="0.25">
      <c r="B45" s="49">
        <f>IF(ISBLANK('SQL Builder'!K20)=FALSE,(DATE(LEFT('SQL Builder'!K20,4),MID('SQL Builder'!K20,6,2),MID('SQL Builder'!K20,9,2))),NA())</f>
        <v>45456</v>
      </c>
      <c r="C45" s="50" t="str">
        <f>IF(ISBLANK('SQL Builder'!K20)=FALSE,'SQL Builder'!L20,"")</f>
        <v>LA8</v>
      </c>
      <c r="D45" s="1" t="str">
        <f>IF(ISBLANK('SQL Builder'!K20)=FALSE,'SQL Builder'!O20,"")</f>
        <v>101 - FFF Outputs</v>
      </c>
      <c r="H45" s="43">
        <f>IF(ISBLANK('SQL Builder'!K19)=FALSE,H44+1,"")</f>
        <v>16</v>
      </c>
      <c r="I45" s="1" t="str">
        <f>IF(ISBLANK('SQL Builder'!P20)=FALSE,'SQL Builder'!N20,"")</f>
        <v>jamesb</v>
      </c>
      <c r="J45" s="79">
        <f t="shared" si="0"/>
        <v>1</v>
      </c>
      <c r="K45" s="81"/>
    </row>
    <row r="46" spans="2:11" ht="16.5" x14ac:dyDescent="0.25">
      <c r="B46" s="49">
        <f>IF(ISBLANK('SQL Builder'!K21)=FALSE,(DATE(LEFT('SQL Builder'!K21,4),MID('SQL Builder'!K21,6,2),MID('SQL Builder'!K21,9,2))),NA())</f>
        <v>45456</v>
      </c>
      <c r="C46" s="50" t="str">
        <f>IF(ISBLANK('SQL Builder'!K21)=FALSE,'SQL Builder'!L21,"")</f>
        <v>LA8</v>
      </c>
      <c r="D46" s="1" t="str">
        <f>IF(ISBLANK('SQL Builder'!K21)=FALSE,'SQL Builder'!O21,"")</f>
        <v>091 - Photon Outputs (+15MV)</v>
      </c>
      <c r="H46" s="43">
        <f>IF(ISBLANK('SQL Builder'!K20)=FALSE,H45+1,"")</f>
        <v>17</v>
      </c>
      <c r="I46" s="1" t="str">
        <f>IF(ISBLANK('SQL Builder'!P21)=FALSE,'SQL Builder'!N21,"")</f>
        <v>pree</v>
      </c>
      <c r="J46" s="79">
        <f t="shared" si="0"/>
        <v>2</v>
      </c>
      <c r="K46" s="81"/>
    </row>
    <row r="47" spans="2:11" ht="16.5" x14ac:dyDescent="0.25">
      <c r="B47" s="49">
        <f>IF(ISBLANK('SQL Builder'!K22)=FALSE,(DATE(LEFT('SQL Builder'!K22,4),MID('SQL Builder'!K22,6,2),MID('SQL Builder'!K22,9,2))),NA())</f>
        <v>45457</v>
      </c>
      <c r="C47" s="50" t="str">
        <f>IF(ISBLANK('SQL Builder'!K22)=FALSE,'SQL Builder'!L22,"")</f>
        <v>LA8</v>
      </c>
      <c r="D47" s="1" t="str">
        <f>IF(ISBLANK('SQL Builder'!K22)=FALSE,'SQL Builder'!O22,"")</f>
        <v>131 - MPC (Photons+15/FFF)</v>
      </c>
      <c r="H47" s="43">
        <f>IF(ISBLANK('SQL Builder'!K21)=FALSE,H46+1,"")</f>
        <v>18</v>
      </c>
      <c r="I47" s="1" t="str">
        <f>IF(ISBLANK('SQL Builder'!P22)=FALSE,'SQL Builder'!N22,"")</f>
        <v>jamesb</v>
      </c>
      <c r="J47" s="79">
        <f t="shared" si="0"/>
        <v>1</v>
      </c>
      <c r="K47" s="81"/>
    </row>
    <row r="48" spans="2:11" ht="16.5" x14ac:dyDescent="0.25">
      <c r="B48" s="49">
        <f>IF(ISBLANK('SQL Builder'!K23)=FALSE,(DATE(LEFT('SQL Builder'!K23,4),MID('SQL Builder'!K23,6,2),MID('SQL Builder'!K23,9,2))),NA())</f>
        <v>45496</v>
      </c>
      <c r="C48" s="50" t="str">
        <f>IF(ISBLANK('SQL Builder'!K23)=FALSE,'SQL Builder'!L23,"")</f>
        <v>LA10</v>
      </c>
      <c r="D48" s="1" t="str">
        <f>IF(ISBLANK('SQL Builder'!K23)=FALSE,'SQL Builder'!O23,"")</f>
        <v>147 - kV Image Quality</v>
      </c>
      <c r="H48" s="43">
        <f>IF(ISBLANK('SQL Builder'!K22)=FALSE,H47+1,"")</f>
        <v>19</v>
      </c>
      <c r="I48" s="1" t="str">
        <f>IF(ISBLANK('SQL Builder'!P23)=FALSE,'SQL Builder'!N23,"")</f>
        <v>jamesb</v>
      </c>
      <c r="J48" s="79">
        <f t="shared" si="0"/>
        <v>1</v>
      </c>
      <c r="K48" s="81"/>
    </row>
    <row r="49" spans="2:11" ht="16.5" x14ac:dyDescent="0.25">
      <c r="B49" s="49">
        <f>IF(ISBLANK('SQL Builder'!K24)=FALSE,(DATE(LEFT('SQL Builder'!K24,4),MID('SQL Builder'!K24,6,2),MID('SQL Builder'!K24,9,2))),NA())</f>
        <v>45511</v>
      </c>
      <c r="C49" s="50" t="str">
        <f>IF(ISBLANK('SQL Builder'!K24)=FALSE,'SQL Builder'!L24,"")</f>
        <v>LA8</v>
      </c>
      <c r="D49" s="1" t="str">
        <f>IF(ISBLANK('SQL Builder'!K24)=FALSE,'SQL Builder'!O24,"")</f>
        <v>153 - Rapid Arc</v>
      </c>
      <c r="H49" s="43">
        <f>IF(ISBLANK('SQL Builder'!K23)=FALSE,H48+1,"")</f>
        <v>20</v>
      </c>
      <c r="I49" s="1" t="str">
        <f>IF(ISBLANK('SQL Builder'!P24)=FALSE,'SQL Builder'!N24,"")</f>
        <v>tomo</v>
      </c>
      <c r="J49" s="79">
        <f t="shared" si="0"/>
        <v>1</v>
      </c>
      <c r="K49" s="81"/>
    </row>
    <row r="50" spans="2:11" ht="16.5" x14ac:dyDescent="0.25">
      <c r="B50" s="49">
        <f>IF(ISBLANK('SQL Builder'!K25)=FALSE,(DATE(LEFT('SQL Builder'!K25,4),MID('SQL Builder'!K25,6,2),MID('SQL Builder'!K25,9,2))),NA())</f>
        <v>45511</v>
      </c>
      <c r="C50" s="50" t="str">
        <f>IF(ISBLANK('SQL Builder'!K25)=FALSE,'SQL Builder'!L25,"")</f>
        <v>LA8</v>
      </c>
      <c r="D50" s="1" t="str">
        <f>IF(ISBLANK('SQL Builder'!K25)=FALSE,'SQL Builder'!O25,"")</f>
        <v>151 - Leaf Speed</v>
      </c>
      <c r="H50" s="43">
        <f>IF(ISBLANK('SQL Builder'!K24)=FALSE,H49+1,"")</f>
        <v>21</v>
      </c>
      <c r="I50" s="1" t="str">
        <f>IF(ISBLANK('SQL Builder'!P25)=FALSE,'SQL Builder'!N25,"")</f>
        <v>jamesb</v>
      </c>
      <c r="J50" s="79">
        <f t="shared" si="0"/>
        <v>1</v>
      </c>
      <c r="K50" s="81"/>
    </row>
    <row r="51" spans="2:11" ht="16.5" x14ac:dyDescent="0.25">
      <c r="B51" s="49">
        <f>IF(ISBLANK('SQL Builder'!K26)=FALSE,(DATE(LEFT('SQL Builder'!K26,4),MID('SQL Builder'!K26,6,2),MID('SQL Builder'!K26,9,2))),NA())</f>
        <v>45526</v>
      </c>
      <c r="C51" s="50" t="str">
        <f>IF(ISBLANK('SQL Builder'!K26)=FALSE,'SQL Builder'!L26,"")</f>
        <v>LA12</v>
      </c>
      <c r="D51" s="1" t="str">
        <f>IF(ISBLANK('SQL Builder'!K26)=FALSE,'SQL Builder'!O26,"")</f>
        <v>172 - Delta 4 Standard</v>
      </c>
      <c r="H51" s="43">
        <f>IF(ISBLANK('SQL Builder'!K25)=FALSE,H50+1,"")</f>
        <v>22</v>
      </c>
      <c r="I51" s="1" t="str">
        <f>IF(ISBLANK('SQL Builder'!P26)=FALSE,'SQL Builder'!N26,"")</f>
        <v>jamesb</v>
      </c>
      <c r="J51" s="79">
        <f t="shared" si="0"/>
        <v>1</v>
      </c>
      <c r="K51" s="81"/>
    </row>
    <row r="52" spans="2:11" ht="16.5" x14ac:dyDescent="0.25">
      <c r="B52" s="49">
        <f>IF(ISBLANK('SQL Builder'!K27)=FALSE,(DATE(LEFT('SQL Builder'!K27,4),MID('SQL Builder'!K27,6,2),MID('SQL Builder'!K27,9,2))),NA())</f>
        <v>45531</v>
      </c>
      <c r="C52" s="50" t="str">
        <f>IF(ISBLANK('SQL Builder'!K27)=FALSE,'SQL Builder'!L27,"")</f>
        <v>LA12</v>
      </c>
      <c r="D52" s="1" t="str">
        <f>IF(ISBLANK('SQL Builder'!K27)=FALSE,'SQL Builder'!O27,"")</f>
        <v>171 - Delta 4 Patient</v>
      </c>
      <c r="H52" s="43">
        <f>IF(ISBLANK('SQL Builder'!K26)=FALSE,H51+1,"")</f>
        <v>23</v>
      </c>
      <c r="I52" s="1" t="str">
        <f>IF(ISBLANK('SQL Builder'!P27)=FALSE,'SQL Builder'!N27,"")</f>
        <v>jamesb</v>
      </c>
      <c r="J52" s="79">
        <f t="shared" si="0"/>
        <v>1</v>
      </c>
      <c r="K52" s="81"/>
    </row>
    <row r="53" spans="2:11" ht="16.5" x14ac:dyDescent="0.25">
      <c r="B53" s="49">
        <f>IF(ISBLANK('SQL Builder'!K28)=FALSE,(DATE(LEFT('SQL Builder'!K28,4),MID('SQL Builder'!K28,6,2),MID('SQL Builder'!K28,9,2))),NA())</f>
        <v>45593</v>
      </c>
      <c r="C53" s="50" t="str">
        <f>IF(ISBLANK('SQL Builder'!K28)=FALSE,'SQL Builder'!L28,"")</f>
        <v>LA12</v>
      </c>
      <c r="D53" s="1" t="str">
        <f>IF(ISBLANK('SQL Builder'!K28)=FALSE,'SQL Builder'!O28,"")</f>
        <v>011 - Crosswire and Front Pointer</v>
      </c>
      <c r="H53" s="43">
        <f>IF(ISBLANK('SQL Builder'!K27)=FALSE,H52+1,"")</f>
        <v>24</v>
      </c>
      <c r="I53" s="1" t="str">
        <f>IF(ISBLANK('SQL Builder'!P28)=FALSE,'SQL Builder'!N28,"")</f>
        <v>pree</v>
      </c>
      <c r="J53" s="79">
        <f t="shared" si="0"/>
        <v>2</v>
      </c>
      <c r="K53" s="81"/>
    </row>
    <row r="54" spans="2:11" ht="16.5" x14ac:dyDescent="0.25">
      <c r="B54" s="49">
        <f>IF(ISBLANK('SQL Builder'!K29)=FALSE,(DATE(LEFT('SQL Builder'!K29,4),MID('SQL Builder'!K29,6,2),MID('SQL Builder'!K29,9,2))),NA())</f>
        <v>45593</v>
      </c>
      <c r="C54" s="50" t="str">
        <f>IF(ISBLANK('SQL Builder'!K29)=FALSE,'SQL Builder'!L29,"")</f>
        <v>LA12</v>
      </c>
      <c r="D54" s="1" t="str">
        <f>IF(ISBLANK('SQL Builder'!K29)=FALSE,'SQL Builder'!O29,"")</f>
        <v>013 - Lasers</v>
      </c>
      <c r="H54" s="43">
        <f>IF(ISBLANK('SQL Builder'!K28)=FALSE,H53+1,"")</f>
        <v>25</v>
      </c>
      <c r="I54" s="1" t="str">
        <f>IF(ISBLANK('SQL Builder'!P29)=FALSE,'SQL Builder'!N29,"")</f>
        <v>pree</v>
      </c>
      <c r="J54" s="79">
        <f t="shared" si="0"/>
        <v>2</v>
      </c>
      <c r="K54" s="81"/>
    </row>
    <row r="55" spans="2:11" ht="16.5" x14ac:dyDescent="0.25">
      <c r="B55" s="49">
        <f>IF(ISBLANK('SQL Builder'!K30)=FALSE,(DATE(LEFT('SQL Builder'!K30,4),MID('SQL Builder'!K30,6,2),MID('SQL Builder'!K30,9,2))),NA())</f>
        <v>45595</v>
      </c>
      <c r="C55" s="50" t="str">
        <f>IF(ISBLANK('SQL Builder'!K30)=FALSE,'SQL Builder'!L30,"")</f>
        <v>LA10</v>
      </c>
      <c r="D55" s="1" t="str">
        <f>IF(ISBLANK('SQL Builder'!K30)=FALSE,'SQL Builder'!O30,"")</f>
        <v>042 - FFF Field Size &amp; Penumbra (Profiler)</v>
      </c>
      <c r="H55" s="43">
        <f>IF(ISBLANK('SQL Builder'!K29)=FALSE,H54+1,"")</f>
        <v>26</v>
      </c>
      <c r="I55" s="1" t="str">
        <f>IF(ISBLANK('SQL Builder'!P30)=FALSE,'SQL Builder'!N30,"")</f>
        <v>jamesb</v>
      </c>
      <c r="J55" s="79">
        <f t="shared" si="0"/>
        <v>1</v>
      </c>
      <c r="K55" s="81"/>
    </row>
    <row r="56" spans="2:11" ht="16.5" x14ac:dyDescent="0.25">
      <c r="B56" s="49">
        <f>IF(ISBLANK('SQL Builder'!K31)=FALSE,(DATE(LEFT('SQL Builder'!K31,4),MID('SQL Builder'!K31,6,2),MID('SQL Builder'!K31,9,2))),NA())</f>
        <v>45595</v>
      </c>
      <c r="C56" s="50" t="str">
        <f>IF(ISBLANK('SQL Builder'!K31)=FALSE,'SQL Builder'!L31,"")</f>
        <v>LA10</v>
      </c>
      <c r="D56" s="1" t="str">
        <f>IF(ISBLANK('SQL Builder'!K31)=FALSE,'SQL Builder'!O31,"")</f>
        <v>053 - EDW (Profiler)</v>
      </c>
      <c r="H56" s="43">
        <f>IF(ISBLANK('SQL Builder'!K30)=FALSE,H55+1,"")</f>
        <v>27</v>
      </c>
      <c r="I56" s="1" t="str">
        <f>IF(ISBLANK('SQL Builder'!P31)=FALSE,'SQL Builder'!N31,"")</f>
        <v>jamesb</v>
      </c>
      <c r="J56" s="79">
        <f t="shared" si="0"/>
        <v>1</v>
      </c>
      <c r="K56" s="81"/>
    </row>
    <row r="57" spans="2:11" ht="16.5" x14ac:dyDescent="0.25">
      <c r="B57" s="49">
        <f>IF(ISBLANK('SQL Builder'!K32)=FALSE,(DATE(LEFT('SQL Builder'!K32,4),MID('SQL Builder'!K32,6,2),MID('SQL Builder'!K32,9,2))),NA())</f>
        <v>45595</v>
      </c>
      <c r="C57" s="50" t="str">
        <f>IF(ISBLANK('SQL Builder'!K32)=FALSE,'SQL Builder'!L32,"")</f>
        <v>LA10</v>
      </c>
      <c r="D57" s="1" t="str">
        <f>IF(ISBLANK('SQL Builder'!K32)=FALSE,'SQL Builder'!O32,"")</f>
        <v>054 - Asymmetry (Profiler)</v>
      </c>
      <c r="H57" s="43">
        <f>IF(ISBLANK('SQL Builder'!K31)=FALSE,H56+1,"")</f>
        <v>28</v>
      </c>
      <c r="I57" s="1" t="str">
        <f>IF(ISBLANK('SQL Builder'!P32)=FALSE,'SQL Builder'!N32,"")</f>
        <v>jamesb</v>
      </c>
      <c r="J57" s="79">
        <f t="shared" si="0"/>
        <v>1</v>
      </c>
      <c r="K57" s="81"/>
    </row>
    <row r="58" spans="2:11" ht="16.5" x14ac:dyDescent="0.25">
      <c r="B58" s="49">
        <f>IF(ISBLANK('SQL Builder'!K33)=FALSE,(DATE(LEFT('SQL Builder'!K33,4),MID('SQL Builder'!K33,6,2),MID('SQL Builder'!K33,9,2))),NA())</f>
        <v>45595</v>
      </c>
      <c r="C58" s="50" t="str">
        <f>IF(ISBLANK('SQL Builder'!K33)=FALSE,'SQL Builder'!L33,"")</f>
        <v>LA10</v>
      </c>
      <c r="D58" s="1" t="str">
        <f>IF(ISBLANK('SQL Builder'!K33)=FALSE,'SQL Builder'!O33,"")</f>
        <v>032 - Electron Flatness &amp; Symmetry  (Profiler)</v>
      </c>
      <c r="H58" s="43">
        <f>IF(ISBLANK('SQL Builder'!K32)=FALSE,H57+1,"")</f>
        <v>29</v>
      </c>
      <c r="I58" s="1" t="str">
        <f>IF(ISBLANK('SQL Builder'!P33)=FALSE,'SQL Builder'!N33,"")</f>
        <v>jamesb</v>
      </c>
      <c r="J58" s="79">
        <f t="shared" si="0"/>
        <v>1</v>
      </c>
      <c r="K58" s="81"/>
    </row>
    <row r="59" spans="2:11" ht="16.5" x14ac:dyDescent="0.25">
      <c r="B59" s="49">
        <f>IF(ISBLANK('SQL Builder'!K34)=FALSE,(DATE(LEFT('SQL Builder'!K34,4),MID('SQL Builder'!K34,6,2),MID('SQL Builder'!K34,9,2))),NA())</f>
        <v>45595</v>
      </c>
      <c r="C59" s="50" t="str">
        <f>IF(ISBLANK('SQL Builder'!K34)=FALSE,'SQL Builder'!L34,"")</f>
        <v>LA10</v>
      </c>
      <c r="D59" s="1" t="str">
        <f>IF(ISBLANK('SQL Builder'!K34)=FALSE,'SQL Builder'!O34,"")</f>
        <v>101 - FFF Outputs</v>
      </c>
      <c r="H59" s="43">
        <f>IF(ISBLANK('SQL Builder'!K33)=FALSE,H58+1,"")</f>
        <v>30</v>
      </c>
      <c r="I59" s="1" t="str">
        <f>IF(ISBLANK('SQL Builder'!P34)=FALSE,'SQL Builder'!N34,"")</f>
        <v>jamesb</v>
      </c>
      <c r="J59" s="79">
        <f t="shared" si="0"/>
        <v>1</v>
      </c>
      <c r="K59" s="81"/>
    </row>
    <row r="60" spans="2:11" ht="16.5" x14ac:dyDescent="0.25">
      <c r="B60" s="49">
        <f>IF(ISBLANK('SQL Builder'!K35)=FALSE,(DATE(LEFT('SQL Builder'!K35,4),MID('SQL Builder'!K35,6,2),MID('SQL Builder'!K35,9,2))),NA())</f>
        <v>45595</v>
      </c>
      <c r="C60" s="50" t="str">
        <f>IF(ISBLANK('SQL Builder'!K35)=FALSE,'SQL Builder'!L35,"")</f>
        <v>LA10</v>
      </c>
      <c r="D60" s="1" t="str">
        <f>IF(ISBLANK('SQL Builder'!K35)=FALSE,'SQL Builder'!O35,"")</f>
        <v>093 - Photon Energy</v>
      </c>
      <c r="H60" s="43">
        <f>IF(ISBLANK('SQL Builder'!K34)=FALSE,H59+1,"")</f>
        <v>31</v>
      </c>
      <c r="I60" s="1" t="str">
        <f>IF(ISBLANK('SQL Builder'!P35)=FALSE,'SQL Builder'!N35,"")</f>
        <v>jamesb</v>
      </c>
      <c r="J60" s="79">
        <f t="shared" si="0"/>
        <v>1</v>
      </c>
      <c r="K60" s="81"/>
    </row>
    <row r="61" spans="2:11" ht="16.5" x14ac:dyDescent="0.25">
      <c r="B61" s="49">
        <f>IF(ISBLANK('SQL Builder'!K36)=FALSE,(DATE(LEFT('SQL Builder'!K36,4),MID('SQL Builder'!K36,6,2),MID('SQL Builder'!K36,9,2))),NA())</f>
        <v>45595</v>
      </c>
      <c r="C61" s="50" t="str">
        <f>IF(ISBLANK('SQL Builder'!K36)=FALSE,'SQL Builder'!L36,"")</f>
        <v>LA10</v>
      </c>
      <c r="D61" s="1" t="str">
        <f>IF(ISBLANK('SQL Builder'!K36)=FALSE,'SQL Builder'!O36,"")</f>
        <v>131 - MPC (Photons/FFF)</v>
      </c>
      <c r="H61" s="43">
        <f>IF(ISBLANK('SQL Builder'!K35)=FALSE,H60+1,"")</f>
        <v>32</v>
      </c>
      <c r="I61" s="1" t="str">
        <f>IF(ISBLANK('SQL Builder'!P36)=FALSE,'SQL Builder'!N36,"")</f>
        <v>jamesb</v>
      </c>
      <c r="J61" s="79">
        <f t="shared" si="0"/>
        <v>1</v>
      </c>
      <c r="K61" s="81"/>
    </row>
    <row r="62" spans="2:11" ht="16.5" x14ac:dyDescent="0.25">
      <c r="B62" s="49">
        <f>IF(ISBLANK('SQL Builder'!K37)=FALSE,(DATE(LEFT('SQL Builder'!K37,4),MID('SQL Builder'!K37,6,2),MID('SQL Builder'!K37,9,2))),NA())</f>
        <v>45595</v>
      </c>
      <c r="C62" s="50" t="str">
        <f>IF(ISBLANK('SQL Builder'!K37)=FALSE,'SQL Builder'!L37,"")</f>
        <v>LA10</v>
      </c>
      <c r="D62" s="1" t="str">
        <f>IF(ISBLANK('SQL Builder'!K37)=FALSE,'SQL Builder'!O37,"")</f>
        <v>133 - MPC (Electrons)</v>
      </c>
      <c r="H62" s="43">
        <f>IF(ISBLANK('SQL Builder'!K36)=FALSE,H61+1,"")</f>
        <v>33</v>
      </c>
      <c r="I62" s="1" t="str">
        <f>IF(ISBLANK('SQL Builder'!P37)=FALSE,'SQL Builder'!N37,"")</f>
        <v>jamesb</v>
      </c>
      <c r="J62" s="79">
        <f t="shared" si="0"/>
        <v>1</v>
      </c>
      <c r="K62" s="81"/>
    </row>
    <row r="63" spans="2:11" ht="16.5" x14ac:dyDescent="0.25">
      <c r="B63" s="49">
        <f>IF(ISBLANK('SQL Builder'!K38)=FALSE,(DATE(LEFT('SQL Builder'!K38,4),MID('SQL Builder'!K38,6,2),MID('SQL Builder'!K38,9,2))),NA())</f>
        <v>45595</v>
      </c>
      <c r="C63" s="50" t="str">
        <f>IF(ISBLANK('SQL Builder'!K38)=FALSE,'SQL Builder'!L38,"")</f>
        <v>LA10</v>
      </c>
      <c r="D63" s="1" t="str">
        <f>IF(ISBLANK('SQL Builder'!K38)=FALSE,'SQL Builder'!O38,"")</f>
        <v>111 - Wedge Factors 6MV</v>
      </c>
      <c r="H63" s="43">
        <f>IF(ISBLANK('SQL Builder'!K37)=FALSE,H62+1,"")</f>
        <v>34</v>
      </c>
      <c r="I63" s="1" t="str">
        <f>IF(ISBLANK('SQL Builder'!P38)=FALSE,'SQL Builder'!N38,"")</f>
        <v>anittat</v>
      </c>
      <c r="J63" s="79">
        <f t="shared" si="0"/>
        <v>1</v>
      </c>
      <c r="K63" s="81"/>
    </row>
    <row r="64" spans="2:11" ht="16.5" x14ac:dyDescent="0.25">
      <c r="B64" s="49">
        <f>IF(ISBLANK('SQL Builder'!K39)=FALSE,(DATE(LEFT('SQL Builder'!K39,4),MID('SQL Builder'!K39,6,2),MID('SQL Builder'!K39,9,2))),NA())</f>
        <v>45595</v>
      </c>
      <c r="C64" s="50" t="str">
        <f>IF(ISBLANK('SQL Builder'!K39)=FALSE,'SQL Builder'!L39,"")</f>
        <v>LA10</v>
      </c>
      <c r="D64" s="1" t="str">
        <f>IF(ISBLANK('SQL Builder'!K39)=FALSE,'SQL Builder'!O39,"")</f>
        <v>152 - Gravity Test</v>
      </c>
      <c r="H64" s="43">
        <f>IF(ISBLANK('SQL Builder'!K38)=FALSE,H63+1,"")</f>
        <v>35</v>
      </c>
      <c r="I64" s="1" t="str">
        <f>IF(ISBLANK('SQL Builder'!P39)=FALSE,'SQL Builder'!N39,"")</f>
        <v>anittat</v>
      </c>
      <c r="J64" s="79">
        <f t="shared" si="0"/>
        <v>1</v>
      </c>
      <c r="K64" s="81"/>
    </row>
    <row r="65" spans="2:11" ht="16.5" x14ac:dyDescent="0.25">
      <c r="B65" s="49">
        <f>IF(ISBLANK('SQL Builder'!K40)=FALSE,(DATE(LEFT('SQL Builder'!K40,4),MID('SQL Builder'!K40,6,2),MID('SQL Builder'!K40,9,2))),NA())</f>
        <v>45595</v>
      </c>
      <c r="C65" s="50" t="str">
        <f>IF(ISBLANK('SQL Builder'!K40)=FALSE,'SQL Builder'!L40,"")</f>
        <v>LA10</v>
      </c>
      <c r="D65" s="1" t="str">
        <f>IF(ISBLANK('SQL Builder'!K40)=FALSE,'SQL Builder'!O40,"")</f>
        <v>153 - Rapid Arc</v>
      </c>
      <c r="H65" s="43">
        <f>IF(ISBLANK('SQL Builder'!K39)=FALSE,H64+1,"")</f>
        <v>36</v>
      </c>
      <c r="I65" s="1" t="str">
        <f>IF(ISBLANK('SQL Builder'!P40)=FALSE,'SQL Builder'!N40,"")</f>
        <v>jamesb</v>
      </c>
      <c r="J65" s="79">
        <f t="shared" si="0"/>
        <v>1</v>
      </c>
      <c r="K65" s="81"/>
    </row>
    <row r="66" spans="2:11" ht="16.5" x14ac:dyDescent="0.25">
      <c r="B66" s="49">
        <f>IF(ISBLANK('SQL Builder'!K41)=FALSE,(DATE(LEFT('SQL Builder'!K41,4),MID('SQL Builder'!K41,6,2),MID('SQL Builder'!K41,9,2))),NA())</f>
        <v>45637</v>
      </c>
      <c r="C66" s="50" t="str">
        <f>IF(ISBLANK('SQL Builder'!K41)=FALSE,'SQL Builder'!L41,"")</f>
        <v>LA11</v>
      </c>
      <c r="D66" s="1" t="str">
        <f>IF(ISBLANK('SQL Builder'!K41)=FALSE,'SQL Builder'!O41,"")</f>
        <v>171 - Delta 4 Patient</v>
      </c>
      <c r="H66" s="43">
        <f>IF(ISBLANK('SQL Builder'!K40)=FALSE,H65+1,"")</f>
        <v>37</v>
      </c>
      <c r="I66" s="1" t="str">
        <f>IF(ISBLANK('SQL Builder'!P41)=FALSE,'SQL Builder'!N41,"")</f>
        <v>jamesb</v>
      </c>
      <c r="J66" s="79">
        <f t="shared" si="0"/>
        <v>1</v>
      </c>
      <c r="K66" s="81"/>
    </row>
    <row r="67" spans="2:11" ht="16.5" x14ac:dyDescent="0.25">
      <c r="B67" s="49">
        <f>IF(ISBLANK('SQL Builder'!K42)=FALSE,(DATE(LEFT('SQL Builder'!K42,4),MID('SQL Builder'!K42,6,2),MID('SQL Builder'!K42,9,2))),NA())</f>
        <v>45645</v>
      </c>
      <c r="C67" s="50" t="str">
        <f>IF(ISBLANK('SQL Builder'!K42)=FALSE,'SQL Builder'!L42,"")</f>
        <v>LA8</v>
      </c>
      <c r="D67" s="1" t="str">
        <f>IF(ISBLANK('SQL Builder'!K42)=FALSE,'SQL Builder'!O42,"")</f>
        <v>101 - FFF Outputs</v>
      </c>
      <c r="H67" s="43">
        <f>IF(ISBLANK('SQL Builder'!K41)=FALSE,H66+1,"")</f>
        <v>38</v>
      </c>
      <c r="I67" s="1" t="str">
        <f>IF(ISBLANK('SQL Builder'!P42)=FALSE,'SQL Builder'!N42,"")</f>
        <v>pree</v>
      </c>
      <c r="J67" s="79">
        <f t="shared" si="0"/>
        <v>2</v>
      </c>
      <c r="K67" s="81"/>
    </row>
    <row r="68" spans="2:11" ht="16.5" x14ac:dyDescent="0.25">
      <c r="B68" s="49">
        <f>IF(ISBLANK('SQL Builder'!K43)=FALSE,(DATE(LEFT('SQL Builder'!K43,4),MID('SQL Builder'!K43,6,2),MID('SQL Builder'!K43,9,2))),NA())</f>
        <v>45665</v>
      </c>
      <c r="C68" s="50" t="str">
        <f>IF(ISBLANK('SQL Builder'!K43)=FALSE,'SQL Builder'!L43,"")</f>
        <v>LA11</v>
      </c>
      <c r="D68" s="1" t="str">
        <f>IF(ISBLANK('SQL Builder'!K43)=FALSE,'SQL Builder'!O43,"")</f>
        <v>011 - Crosswire and Front Pointer</v>
      </c>
      <c r="H68" s="43">
        <f>IF(ISBLANK('SQL Builder'!K42)=FALSE,H67+1,"")</f>
        <v>39</v>
      </c>
      <c r="I68" s="1" t="str">
        <f>IF(ISBLANK('SQL Builder'!P43)=FALSE,'SQL Builder'!N43,"")</f>
        <v>pree</v>
      </c>
      <c r="J68" s="79">
        <f t="shared" si="0"/>
        <v>2</v>
      </c>
      <c r="K68" s="81"/>
    </row>
    <row r="69" spans="2:11" ht="16.5" x14ac:dyDescent="0.25">
      <c r="B69" s="49">
        <f>IF(ISBLANK('SQL Builder'!K44)=FALSE,(DATE(LEFT('SQL Builder'!K44,4),MID('SQL Builder'!K44,6,2),MID('SQL Builder'!K44,9,2))),NA())</f>
        <v>45665</v>
      </c>
      <c r="C69" s="50" t="str">
        <f>IF(ISBLANK('SQL Builder'!K44)=FALSE,'SQL Builder'!L44,"")</f>
        <v>LA11</v>
      </c>
      <c r="D69" s="1" t="str">
        <f>IF(ISBLANK('SQL Builder'!K44)=FALSE,'SQL Builder'!O44,"")</f>
        <v>013 - Lasers</v>
      </c>
      <c r="H69" s="43">
        <f>IF(ISBLANK('SQL Builder'!K43)=FALSE,H68+1,"")</f>
        <v>40</v>
      </c>
      <c r="I69" s="1" t="str">
        <f>IF(ISBLANK('SQL Builder'!P44)=FALSE,'SQL Builder'!N44,"")</f>
        <v>jamesb</v>
      </c>
      <c r="J69" s="79">
        <f t="shared" si="0"/>
        <v>1</v>
      </c>
      <c r="K69" s="81"/>
    </row>
    <row r="70" spans="2:11" ht="16.5" x14ac:dyDescent="0.25">
      <c r="B70" s="49">
        <f>IF(ISBLANK('SQL Builder'!K45)=FALSE,(DATE(LEFT('SQL Builder'!K45,4),MID('SQL Builder'!K45,6,2),MID('SQL Builder'!K45,9,2))),NA())</f>
        <v>45665</v>
      </c>
      <c r="C70" s="50" t="str">
        <f>IF(ISBLANK('SQL Builder'!K45)=FALSE,'SQL Builder'!L45,"")</f>
        <v>LA11</v>
      </c>
      <c r="D70" s="1" t="str">
        <f>IF(ISBLANK('SQL Builder'!K45)=FALSE,'SQL Builder'!O45,"")</f>
        <v>015 - Gantry Sag</v>
      </c>
      <c r="H70" s="43">
        <f>IF(ISBLANK('SQL Builder'!K44)=FALSE,H69+1,"")</f>
        <v>41</v>
      </c>
      <c r="I70" s="1" t="str">
        <f>IF(ISBLANK('SQL Builder'!P45)=FALSE,'SQL Builder'!N45,"")</f>
        <v>pree</v>
      </c>
      <c r="J70" s="79">
        <f t="shared" si="0"/>
        <v>2</v>
      </c>
      <c r="K70" s="81"/>
    </row>
    <row r="71" spans="2:11" ht="16.5" x14ac:dyDescent="0.25">
      <c r="B71" s="49">
        <f>IF(ISBLANK('SQL Builder'!K46)=FALSE,(DATE(LEFT('SQL Builder'!K46,4),MID('SQL Builder'!K46,6,2),MID('SQL Builder'!K46,9,2))),NA())</f>
        <v>45665</v>
      </c>
      <c r="C71" s="50" t="str">
        <f>IF(ISBLANK('SQL Builder'!K46)=FALSE,'SQL Builder'!L46,"")</f>
        <v>LA11</v>
      </c>
      <c r="D71" s="1" t="str">
        <f>IF(ISBLANK('SQL Builder'!K46)=FALSE,'SQL Builder'!O46,"")</f>
        <v>016 - Couch Scale and Position</v>
      </c>
      <c r="H71" s="43">
        <f>IF(ISBLANK('SQL Builder'!K45)=FALSE,H70+1,"")</f>
        <v>42</v>
      </c>
      <c r="I71" s="1" t="str">
        <f>IF(ISBLANK('SQL Builder'!P46)=FALSE,'SQL Builder'!N46,"")</f>
        <v>pree</v>
      </c>
      <c r="J71" s="79">
        <f t="shared" si="0"/>
        <v>2</v>
      </c>
      <c r="K71" s="81"/>
    </row>
    <row r="72" spans="2:11" ht="16.5" x14ac:dyDescent="0.25">
      <c r="B72" s="49">
        <f>IF(ISBLANK('SQL Builder'!K47)=FALSE,(DATE(LEFT('SQL Builder'!K47,4),MID('SQL Builder'!K47,6,2),MID('SQL Builder'!K47,9,2))),NA())</f>
        <v>45665</v>
      </c>
      <c r="C72" s="50" t="str">
        <f>IF(ISBLANK('SQL Builder'!K47)=FALSE,'SQL Builder'!L47,"")</f>
        <v>LA11</v>
      </c>
      <c r="D72" s="1" t="str">
        <f>IF(ISBLANK('SQL Builder'!K47)=FALSE,'SQL Builder'!O47,"")</f>
        <v>017 - 6DoF Couch</v>
      </c>
      <c r="H72" s="43">
        <f>IF(ISBLANK('SQL Builder'!K46)=FALSE,H71+1,"")</f>
        <v>43</v>
      </c>
      <c r="I72" s="1" t="str">
        <f>IF(ISBLANK('SQL Builder'!P47)=FALSE,'SQL Builder'!N47,"")</f>
        <v>pree</v>
      </c>
      <c r="J72" s="79">
        <f t="shared" si="0"/>
        <v>2</v>
      </c>
      <c r="K72" s="81"/>
    </row>
    <row r="73" spans="2:11" ht="16.5" x14ac:dyDescent="0.25">
      <c r="B73" s="49">
        <f>IF(ISBLANK('SQL Builder'!K48)=FALSE,(DATE(LEFT('SQL Builder'!K48,4),MID('SQL Builder'!K48,6,2),MID('SQL Builder'!K48,9,2))),NA())</f>
        <v>45665</v>
      </c>
      <c r="C73" s="50" t="str">
        <f>IF(ISBLANK('SQL Builder'!K48)=FALSE,'SQL Builder'!L48,"")</f>
        <v>LA11</v>
      </c>
      <c r="D73" s="1" t="str">
        <f>IF(ISBLANK('SQL Builder'!K48)=FALSE,'SQL Builder'!O48,"")</f>
        <v>031 - Photon Flatness &amp; Symmetry (+15MV) G0  (Profiler)</v>
      </c>
      <c r="H73" s="43">
        <f>IF(ISBLANK('SQL Builder'!K47)=FALSE,H72+1,"")</f>
        <v>44</v>
      </c>
      <c r="I73" s="1" t="str">
        <f>IF(ISBLANK('SQL Builder'!P48)=FALSE,'SQL Builder'!N48,"")</f>
        <v>pree</v>
      </c>
      <c r="J73" s="79">
        <f t="shared" si="0"/>
        <v>2</v>
      </c>
      <c r="K73" s="81"/>
    </row>
    <row r="74" spans="2:11" ht="16.5" x14ac:dyDescent="0.25">
      <c r="B74" s="49">
        <f>IF(ISBLANK('SQL Builder'!K49)=FALSE,(DATE(LEFT('SQL Builder'!K49,4),MID('SQL Builder'!K49,6,2),MID('SQL Builder'!K49,9,2))),NA())</f>
        <v>45665</v>
      </c>
      <c r="C74" s="50" t="str">
        <f>IF(ISBLANK('SQL Builder'!K49)=FALSE,'SQL Builder'!L49,"")</f>
        <v>LA11</v>
      </c>
      <c r="D74" s="1" t="str">
        <f>IF(ISBLANK('SQL Builder'!K49)=FALSE,'SQL Builder'!O49,"")</f>
        <v>041 - FFF Symmetry G0 (Profiler)</v>
      </c>
      <c r="H74" s="43">
        <f>IF(ISBLANK('SQL Builder'!K48)=FALSE,H73+1,"")</f>
        <v>45</v>
      </c>
      <c r="I74" s="1" t="str">
        <f>IF(ISBLANK('SQL Builder'!P49)=FALSE,'SQL Builder'!N49,"")</f>
        <v>pree</v>
      </c>
      <c r="J74" s="79">
        <f t="shared" si="0"/>
        <v>2</v>
      </c>
      <c r="K74" s="81"/>
    </row>
    <row r="75" spans="2:11" ht="16.5" x14ac:dyDescent="0.25">
      <c r="B75" s="49">
        <f>IF(ISBLANK('SQL Builder'!K50)=FALSE,(DATE(LEFT('SQL Builder'!K50,4),MID('SQL Builder'!K50,6,2),MID('SQL Builder'!K50,9,2))),NA())</f>
        <v>45665</v>
      </c>
      <c r="C75" s="50" t="str">
        <f>IF(ISBLANK('SQL Builder'!K50)=FALSE,'SQL Builder'!L50,"")</f>
        <v>LA11</v>
      </c>
      <c r="D75" s="1" t="str">
        <f>IF(ISBLANK('SQL Builder'!K50)=FALSE,'SQL Builder'!O50,"")</f>
        <v>042 - FFF Field Size &amp; Penumbra (Profiler)</v>
      </c>
      <c r="H75" s="43">
        <f>IF(ISBLANK('SQL Builder'!K49)=FALSE,H74+1,"")</f>
        <v>46</v>
      </c>
      <c r="I75" s="1" t="str">
        <f>IF(ISBLANK('SQL Builder'!P50)=FALSE,'SQL Builder'!N50,"")</f>
        <v>pree</v>
      </c>
      <c r="J75" s="79">
        <f t="shared" si="0"/>
        <v>2</v>
      </c>
      <c r="K75" s="81"/>
    </row>
    <row r="76" spans="2:11" ht="16.5" x14ac:dyDescent="0.25">
      <c r="B76" s="49">
        <f>IF(ISBLANK('SQL Builder'!K51)=FALSE,(DATE(LEFT('SQL Builder'!K51,4),MID('SQL Builder'!K51,6,2),MID('SQL Builder'!K51,9,2))),NA())</f>
        <v>45665</v>
      </c>
      <c r="C76" s="50" t="str">
        <f>IF(ISBLANK('SQL Builder'!K51)=FALSE,'SQL Builder'!L51,"")</f>
        <v>LA11</v>
      </c>
      <c r="D76" s="1" t="str">
        <f>IF(ISBLANK('SQL Builder'!K51)=FALSE,'SQL Builder'!O51,"")</f>
        <v>043 - FFF Profiles (Profiler)</v>
      </c>
      <c r="H76" s="43">
        <f>IF(ISBLANK('SQL Builder'!K50)=FALSE,H75+1,"")</f>
        <v>47</v>
      </c>
      <c r="I76" s="1" t="str">
        <f>IF(ISBLANK('SQL Builder'!P51)=FALSE,'SQL Builder'!N51,"")</f>
        <v>pree</v>
      </c>
      <c r="J76" s="79">
        <f t="shared" si="0"/>
        <v>2</v>
      </c>
      <c r="K76" s="81"/>
    </row>
    <row r="77" spans="2:11" ht="16.5" x14ac:dyDescent="0.25">
      <c r="B77" s="49">
        <f>IF(ISBLANK('SQL Builder'!K52)=FALSE,(DATE(LEFT('SQL Builder'!K52,4),MID('SQL Builder'!K52,6,2),MID('SQL Builder'!K52,9,2))),NA())</f>
        <v>45665</v>
      </c>
      <c r="C77" s="50" t="str">
        <f>IF(ISBLANK('SQL Builder'!K52)=FALSE,'SQL Builder'!L52,"")</f>
        <v>LA11</v>
      </c>
      <c r="D77" s="1" t="str">
        <f>IF(ISBLANK('SQL Builder'!K52)=FALSE,'SQL Builder'!O52,"")</f>
        <v>054 - Asymmetry (Profiler)</v>
      </c>
      <c r="H77" s="43">
        <f>IF(ISBLANK('SQL Builder'!K51)=FALSE,H76+1,"")</f>
        <v>48</v>
      </c>
      <c r="I77" s="1" t="str">
        <f>IF(ISBLANK('SQL Builder'!P52)=FALSE,'SQL Builder'!N52,"")</f>
        <v>pree</v>
      </c>
      <c r="J77" s="79">
        <f t="shared" si="0"/>
        <v>2</v>
      </c>
      <c r="K77" s="81"/>
    </row>
    <row r="78" spans="2:11" ht="16.5" x14ac:dyDescent="0.25">
      <c r="B78" s="49">
        <f>IF(ISBLANK('SQL Builder'!K53)=FALSE,(DATE(LEFT('SQL Builder'!K53,4),MID('SQL Builder'!K53,6,2),MID('SQL Builder'!K53,9,2))),NA())</f>
        <v>45665</v>
      </c>
      <c r="C78" s="50" t="str">
        <f>IF(ISBLANK('SQL Builder'!K53)=FALSE,'SQL Builder'!L53,"")</f>
        <v>LA11</v>
      </c>
      <c r="D78" s="1" t="str">
        <f>IF(ISBLANK('SQL Builder'!K53)=FALSE,'SQL Builder'!O53,"")</f>
        <v>053 - EDW (Profiler)</v>
      </c>
      <c r="H78" s="43">
        <f>IF(ISBLANK('SQL Builder'!K52)=FALSE,H77+1,"")</f>
        <v>49</v>
      </c>
      <c r="I78" s="1" t="str">
        <f>IF(ISBLANK('SQL Builder'!P53)=FALSE,'SQL Builder'!N53,"")</f>
        <v>pree</v>
      </c>
      <c r="J78" s="79">
        <f t="shared" si="0"/>
        <v>2</v>
      </c>
      <c r="K78" s="81"/>
    </row>
    <row r="79" spans="2:11" ht="16.5" x14ac:dyDescent="0.25">
      <c r="B79" s="49">
        <f>IF(ISBLANK('SQL Builder'!K54)=FALSE,(DATE(LEFT('SQL Builder'!K54,4),MID('SQL Builder'!K54,6,2),MID('SQL Builder'!K54,9,2))),NA())</f>
        <v>45665</v>
      </c>
      <c r="C79" s="50" t="str">
        <f>IF(ISBLANK('SQL Builder'!K54)=FALSE,'SQL Builder'!L54,"")</f>
        <v>LA11</v>
      </c>
      <c r="D79" s="1" t="str">
        <f>IF(ISBLANK('SQL Builder'!K54)=FALSE,'SQL Builder'!O54,"")</f>
        <v>142 - Isocentre Verification</v>
      </c>
      <c r="H79" s="43">
        <f>IF(ISBLANK('SQL Builder'!K53)=FALSE,H78+1,"")</f>
        <v>50</v>
      </c>
      <c r="I79" s="1" t="str">
        <f>IF(ISBLANK('SQL Builder'!P54)=FALSE,'SQL Builder'!N54,"")</f>
        <v>jamesb</v>
      </c>
      <c r="J79" s="79">
        <f t="shared" si="0"/>
        <v>1</v>
      </c>
      <c r="K79" s="81"/>
    </row>
    <row r="80" spans="2:11" ht="16.5" x14ac:dyDescent="0.25">
      <c r="B80" s="49">
        <f>IF(ISBLANK('SQL Builder'!K55)=FALSE,(DATE(LEFT('SQL Builder'!K55,4),MID('SQL Builder'!K55,6,2),MID('SQL Builder'!K55,9,2))),NA())</f>
        <v>45665</v>
      </c>
      <c r="C80" s="50" t="str">
        <f>IF(ISBLANK('SQL Builder'!K55)=FALSE,'SQL Builder'!L55,"")</f>
        <v>LA11</v>
      </c>
      <c r="D80" s="1" t="str">
        <f>IF(ISBLANK('SQL Builder'!K55)=FALSE,'SQL Builder'!O55,"")</f>
        <v>151 - Leaf Speed</v>
      </c>
      <c r="H80" s="43">
        <f>IF(ISBLANK('SQL Builder'!K54)=FALSE,H79+1,"")</f>
        <v>51</v>
      </c>
      <c r="I80" s="1" t="str">
        <f>IF(ISBLANK('SQL Builder'!P55)=FALSE,'SQL Builder'!N55,"")</f>
        <v>jamesb</v>
      </c>
      <c r="J80" s="79">
        <f t="shared" si="0"/>
        <v>1</v>
      </c>
      <c r="K80" s="81"/>
    </row>
    <row r="81" spans="2:11" ht="16.5" x14ac:dyDescent="0.25">
      <c r="B81" s="49">
        <f>IF(ISBLANK('SQL Builder'!K56)=FALSE,(DATE(LEFT('SQL Builder'!K56,4),MID('SQL Builder'!K56,6,2),MID('SQL Builder'!K56,9,2))),NA())</f>
        <v>45666</v>
      </c>
      <c r="C81" s="50" t="str">
        <f>IF(ISBLANK('SQL Builder'!K56)=FALSE,'SQL Builder'!L56,"")</f>
        <v>LA11</v>
      </c>
      <c r="D81" s="1" t="str">
        <f>IF(ISBLANK('SQL Builder'!K56)=FALSE,'SQL Builder'!O56,"")</f>
        <v>153 - Rapid Arc</v>
      </c>
      <c r="H81" s="43">
        <f>IF(ISBLANK('SQL Builder'!K55)=FALSE,H80+1,"")</f>
        <v>52</v>
      </c>
      <c r="I81" s="1" t="str">
        <f>IF(ISBLANK('SQL Builder'!P56)=FALSE,'SQL Builder'!N56,"")</f>
        <v>jamesb</v>
      </c>
      <c r="J81" s="79">
        <f t="shared" si="0"/>
        <v>1</v>
      </c>
      <c r="K81" s="81"/>
    </row>
    <row r="82" spans="2:11" ht="16.5" x14ac:dyDescent="0.25">
      <c r="B82" s="49">
        <f>IF(ISBLANK('SQL Builder'!K57)=FALSE,(DATE(LEFT('SQL Builder'!K57,4),MID('SQL Builder'!K57,6,2),MID('SQL Builder'!K57,9,2))),NA())</f>
        <v>45671</v>
      </c>
      <c r="C82" s="50" t="str">
        <f>IF(ISBLANK('SQL Builder'!K57)=FALSE,'SQL Builder'!L57,"")</f>
        <v>LA12</v>
      </c>
      <c r="D82" s="1" t="str">
        <f>IF(ISBLANK('SQL Builder'!K57)=FALSE,'SQL Builder'!O57,"")</f>
        <v>101 - FFF Outputs</v>
      </c>
      <c r="H82" s="43">
        <f>IF(ISBLANK('SQL Builder'!K56)=FALSE,H81+1,"")</f>
        <v>53</v>
      </c>
      <c r="I82" s="1" t="str">
        <f>IF(ISBLANK('SQL Builder'!P57)=FALSE,'SQL Builder'!N57,"")</f>
        <v>pree</v>
      </c>
      <c r="J82" s="79">
        <f t="shared" si="0"/>
        <v>2</v>
      </c>
      <c r="K82" s="81"/>
    </row>
    <row r="83" spans="2:11" ht="16.5" x14ac:dyDescent="0.25">
      <c r="B83" s="49">
        <f>IF(ISBLANK('SQL Builder'!K58)=FALSE,(DATE(LEFT('SQL Builder'!K58,4),MID('SQL Builder'!K58,6,2),MID('SQL Builder'!K58,9,2))),NA())</f>
        <v>45671</v>
      </c>
      <c r="C83" s="50" t="str">
        <f>IF(ISBLANK('SQL Builder'!K58)=FALSE,'SQL Builder'!L58,"")</f>
        <v>LA11</v>
      </c>
      <c r="D83" s="1" t="str">
        <f>IF(ISBLANK('SQL Builder'!K58)=FALSE,'SQL Builder'!O58,"")</f>
        <v>131 - MPC (Photons+15/FFF)</v>
      </c>
      <c r="H83" s="43">
        <f>IF(ISBLANK('SQL Builder'!K57)=FALSE,H82+1,"")</f>
        <v>54</v>
      </c>
      <c r="I83" s="1" t="str">
        <f>IF(ISBLANK('SQL Builder'!P58)=FALSE,'SQL Builder'!N58,"")</f>
        <v>pree</v>
      </c>
      <c r="J83" s="79">
        <f t="shared" si="0"/>
        <v>2</v>
      </c>
      <c r="K83" s="81"/>
    </row>
    <row r="84" spans="2:11" ht="16.5" x14ac:dyDescent="0.25">
      <c r="B84" s="49">
        <f>IF(ISBLANK('SQL Builder'!K59)=FALSE,(DATE(LEFT('SQL Builder'!K59,4),MID('SQL Builder'!K59,6,2),MID('SQL Builder'!K59,9,2))),NA())</f>
        <v>45677</v>
      </c>
      <c r="C84" s="50" t="str">
        <f>IF(ISBLANK('SQL Builder'!K59)=FALSE,'SQL Builder'!L59,"")</f>
        <v>LA12</v>
      </c>
      <c r="D84" s="1" t="str">
        <f>IF(ISBLANK('SQL Builder'!K59)=FALSE,'SQL Builder'!O59,"")</f>
        <v>101 - FFF Outputs</v>
      </c>
      <c r="H84" s="43">
        <f>IF(ISBLANK('SQL Builder'!K58)=FALSE,H83+1,"")</f>
        <v>55</v>
      </c>
      <c r="I84" s="1" t="str">
        <f>IF(ISBLANK('SQL Builder'!P59)=FALSE,'SQL Builder'!N59,"")</f>
        <v>pree</v>
      </c>
      <c r="J84" s="79">
        <f t="shared" si="0"/>
        <v>2</v>
      </c>
      <c r="K84" s="81"/>
    </row>
    <row r="85" spans="2:11" ht="16.5" x14ac:dyDescent="0.25">
      <c r="B85" s="49">
        <f>IF(ISBLANK('SQL Builder'!K60)=FALSE,(DATE(LEFT('SQL Builder'!K60,4),MID('SQL Builder'!K60,6,2),MID('SQL Builder'!K60,9,2))),NA())</f>
        <v>45680</v>
      </c>
      <c r="C85" s="50" t="str">
        <f>IF(ISBLANK('SQL Builder'!K60)=FALSE,'SQL Builder'!L60,"")</f>
        <v>LA12</v>
      </c>
      <c r="D85" s="1" t="str">
        <f>IF(ISBLANK('SQL Builder'!K60)=FALSE,'SQL Builder'!O60,"")</f>
        <v>172 - Delta 4 Standard</v>
      </c>
      <c r="H85" s="43">
        <f>IF(ISBLANK('SQL Builder'!K59)=FALSE,H84+1,"")</f>
        <v>56</v>
      </c>
      <c r="I85" s="1" t="str">
        <f>IF(ISBLANK('SQL Builder'!P60)=FALSE,'SQL Builder'!N60,"")</f>
        <v>jamesb</v>
      </c>
      <c r="J85" s="79">
        <f t="shared" si="0"/>
        <v>1</v>
      </c>
      <c r="K85" s="81"/>
    </row>
    <row r="86" spans="2:11" ht="16.5" x14ac:dyDescent="0.25">
      <c r="B86" s="49">
        <f>IF(ISBLANK('SQL Builder'!K61)=FALSE,(DATE(LEFT('SQL Builder'!K61,4),MID('SQL Builder'!K61,6,2),MID('SQL Builder'!K61,9,2))),NA())</f>
        <v>45730</v>
      </c>
      <c r="C86" s="50" t="str">
        <f>IF(ISBLANK('SQL Builder'!K61)=FALSE,'SQL Builder'!L61,"")</f>
        <v>LA12</v>
      </c>
      <c r="D86" s="1" t="str">
        <f>IF(ISBLANK('SQL Builder'!K61)=FALSE,'SQL Builder'!O61,"")</f>
        <v>172 - Delta 4 Standard</v>
      </c>
      <c r="H86" s="43">
        <f>IF(ISBLANK('SQL Builder'!K60)=FALSE,H85+1,"")</f>
        <v>57</v>
      </c>
      <c r="I86" s="1" t="str">
        <f>IF(ISBLANK('SQL Builder'!P61)=FALSE,'SQL Builder'!N61,"")</f>
        <v>karen</v>
      </c>
      <c r="J86" s="79">
        <f t="shared" si="0"/>
        <v>1</v>
      </c>
      <c r="K86" s="81"/>
    </row>
    <row r="87" spans="2:11" ht="16.5" x14ac:dyDescent="0.25">
      <c r="B87" s="49">
        <f>IF(ISBLANK('SQL Builder'!K62)=FALSE,(DATE(LEFT('SQL Builder'!K62,4),MID('SQL Builder'!K62,6,2),MID('SQL Builder'!K62,9,2))),NA())</f>
        <v>45736</v>
      </c>
      <c r="C87" s="50" t="str">
        <f>IF(ISBLANK('SQL Builder'!K62)=FALSE,'SQL Builder'!L62,"")</f>
        <v>LA8</v>
      </c>
      <c r="D87" s="1" t="str">
        <f>IF(ISBLANK('SQL Builder'!K62)=FALSE,'SQL Builder'!O62,"")</f>
        <v>171 - Delta 4 Patient</v>
      </c>
      <c r="H87" s="43">
        <f>IF(ISBLANK('SQL Builder'!K61)=FALSE,H86+1,"")</f>
        <v>58</v>
      </c>
      <c r="I87" s="1" t="str">
        <f>IF(ISBLANK('SQL Builder'!P62)=FALSE,'SQL Builder'!N62,"")</f>
        <v>andreaf</v>
      </c>
      <c r="J87" s="79">
        <f t="shared" si="0"/>
        <v>1</v>
      </c>
      <c r="K87" s="81"/>
    </row>
    <row r="88" spans="2:11" ht="16.5" x14ac:dyDescent="0.25">
      <c r="B88" s="49">
        <f>IF(ISBLANK('SQL Builder'!K63)=FALSE,(DATE(LEFT('SQL Builder'!K63,4),MID('SQL Builder'!K63,6,2),MID('SQL Builder'!K63,9,2))),NA())</f>
        <v>45736</v>
      </c>
      <c r="C88" s="50" t="str">
        <f>IF(ISBLANK('SQL Builder'!K63)=FALSE,'SQL Builder'!L63,"")</f>
        <v>LA8</v>
      </c>
      <c r="D88" s="1" t="str">
        <f>IF(ISBLANK('SQL Builder'!K63)=FALSE,'SQL Builder'!O63,"")</f>
        <v>171 - Delta 4 Patient</v>
      </c>
      <c r="H88" s="43">
        <f>IF(ISBLANK('SQL Builder'!K62)=FALSE,H87+1,"")</f>
        <v>59</v>
      </c>
      <c r="I88" s="1" t="str">
        <f>IF(ISBLANK('SQL Builder'!P63)=FALSE,'SQL Builder'!N63,"")</f>
        <v>andreaf</v>
      </c>
      <c r="J88" s="79">
        <f t="shared" si="0"/>
        <v>1</v>
      </c>
      <c r="K88" s="81"/>
    </row>
    <row r="89" spans="2:11" ht="16.5" x14ac:dyDescent="0.25">
      <c r="B89" s="49">
        <f>IF(ISBLANK('SQL Builder'!K64)=FALSE,(DATE(LEFT('SQL Builder'!K64,4),MID('SQL Builder'!K64,6,2),MID('SQL Builder'!K64,9,2))),NA())</f>
        <v>45742</v>
      </c>
      <c r="C89" s="50" t="str">
        <f>IF(ISBLANK('SQL Builder'!K64)=FALSE,'SQL Builder'!L64,"")</f>
        <v>LA12</v>
      </c>
      <c r="D89" s="1" t="str">
        <f>IF(ISBLANK('SQL Builder'!K64)=FALSE,'SQL Builder'!O64,"")</f>
        <v>171 - Delta 4 Patient</v>
      </c>
      <c r="H89" s="43">
        <f>IF(ISBLANK('SQL Builder'!K63)=FALSE,H88+1,"")</f>
        <v>60</v>
      </c>
      <c r="I89" s="1" t="str">
        <f>IF(ISBLANK('SQL Builder'!P64)=FALSE,'SQL Builder'!N64,"")</f>
        <v>pree</v>
      </c>
      <c r="J89" s="79">
        <f t="shared" si="0"/>
        <v>2</v>
      </c>
      <c r="K89" s="81"/>
    </row>
    <row r="90" spans="2:11" ht="16.5" x14ac:dyDescent="0.25">
      <c r="B90" s="49">
        <f>IF(ISBLANK('SQL Builder'!K65)=FALSE,(DATE(LEFT('SQL Builder'!K65,4),MID('SQL Builder'!K65,6,2),MID('SQL Builder'!K65,9,2))),NA())</f>
        <v>45742</v>
      </c>
      <c r="C90" s="50" t="str">
        <f>IF(ISBLANK('SQL Builder'!K65)=FALSE,'SQL Builder'!L65,"")</f>
        <v>LA12</v>
      </c>
      <c r="D90" s="1" t="str">
        <f>IF(ISBLANK('SQL Builder'!K65)=FALSE,'SQL Builder'!O65,"")</f>
        <v>171 - Delta 4 Patient</v>
      </c>
      <c r="H90" s="43">
        <f>IF(ISBLANK('SQL Builder'!K64)=FALSE,H89+1,"")</f>
        <v>61</v>
      </c>
      <c r="I90" s="1" t="str">
        <f>IF(ISBLANK('SQL Builder'!P65)=FALSE,'SQL Builder'!N65,"")</f>
        <v>pree</v>
      </c>
      <c r="J90" s="79">
        <f t="shared" si="0"/>
        <v>2</v>
      </c>
      <c r="K90" s="81"/>
    </row>
    <row r="91" spans="2:11" ht="16.5" x14ac:dyDescent="0.25">
      <c r="B91" s="49">
        <f>IF(ISBLANK('SQL Builder'!K66)=FALSE,(DATE(LEFT('SQL Builder'!K66,4),MID('SQL Builder'!K66,6,2),MID('SQL Builder'!K66,9,2))),NA())</f>
        <v>45742</v>
      </c>
      <c r="C91" s="50" t="str">
        <f>IF(ISBLANK('SQL Builder'!K66)=FALSE,'SQL Builder'!L66,"")</f>
        <v>LA12</v>
      </c>
      <c r="D91" s="1" t="str">
        <f>IF(ISBLANK('SQL Builder'!K66)=FALSE,'SQL Builder'!O66,"")</f>
        <v>171 - Delta 4 Patient</v>
      </c>
      <c r="H91" s="43">
        <f>IF(ISBLANK('SQL Builder'!K65)=FALSE,H90+1,"")</f>
        <v>62</v>
      </c>
      <c r="I91" s="1" t="str">
        <f>IF(ISBLANK('SQL Builder'!P66)=FALSE,'SQL Builder'!N66,"")</f>
        <v>pree</v>
      </c>
      <c r="J91" s="79">
        <f t="shared" si="0"/>
        <v>2</v>
      </c>
      <c r="K91" s="81"/>
    </row>
    <row r="92" spans="2:11" ht="16.5" x14ac:dyDescent="0.25">
      <c r="B92" s="49">
        <f>IF(ISBLANK('SQL Builder'!K67)=FALSE,(DATE(LEFT('SQL Builder'!K67,4),MID('SQL Builder'!K67,6,2),MID('SQL Builder'!K67,9,2))),NA())</f>
        <v>45742</v>
      </c>
      <c r="C92" s="50" t="str">
        <f>IF(ISBLANK('SQL Builder'!K67)=FALSE,'SQL Builder'!L67,"")</f>
        <v>LA12</v>
      </c>
      <c r="D92" s="1" t="str">
        <f>IF(ISBLANK('SQL Builder'!K67)=FALSE,'SQL Builder'!O67,"")</f>
        <v>171 - Delta 4 Patient</v>
      </c>
      <c r="H92" s="43">
        <f>IF(ISBLANK('SQL Builder'!K66)=FALSE,H91+1,"")</f>
        <v>63</v>
      </c>
      <c r="I92" s="1" t="str">
        <f>IF(ISBLANK('SQL Builder'!P67)=FALSE,'SQL Builder'!N67,"")</f>
        <v>jamesb</v>
      </c>
      <c r="J92" s="79">
        <f t="shared" si="0"/>
        <v>1</v>
      </c>
      <c r="K92" s="81"/>
    </row>
    <row r="93" spans="2:11" ht="16.5" x14ac:dyDescent="0.25">
      <c r="B93" s="49">
        <f>IF(ISBLANK('SQL Builder'!K68)=FALSE,(DATE(LEFT('SQL Builder'!K68,4),MID('SQL Builder'!K68,6,2),MID('SQL Builder'!K68,9,2))),NA())</f>
        <v>45749</v>
      </c>
      <c r="C93" s="50" t="str">
        <f>IF(ISBLANK('SQL Builder'!K68)=FALSE,'SQL Builder'!L68,"")</f>
        <v>LA12</v>
      </c>
      <c r="D93" s="1" t="str">
        <f>IF(ISBLANK('SQL Builder'!K68)=FALSE,'SQL Builder'!O68,"")</f>
        <v>171 - Delta 4 Patient</v>
      </c>
      <c r="H93" s="43">
        <f>IF(ISBLANK('SQL Builder'!K67)=FALSE,H92+1,"")</f>
        <v>64</v>
      </c>
      <c r="I93" s="1" t="str">
        <f>IF(ISBLANK('SQL Builder'!P68)=FALSE,'SQL Builder'!N68,"")</f>
        <v>pree</v>
      </c>
      <c r="J93" s="79">
        <f t="shared" si="0"/>
        <v>2</v>
      </c>
      <c r="K93" s="81"/>
    </row>
    <row r="94" spans="2:11" ht="16.5" x14ac:dyDescent="0.25">
      <c r="B94" s="49">
        <f>IF(ISBLANK('SQL Builder'!K69)=FALSE,(DATE(LEFT('SQL Builder'!K69,4),MID('SQL Builder'!K69,6,2),MID('SQL Builder'!K69,9,2))),NA())</f>
        <v>45750</v>
      </c>
      <c r="C94" s="50" t="str">
        <f>IF(ISBLANK('SQL Builder'!K69)=FALSE,'SQL Builder'!L69,"")</f>
        <v>LA10</v>
      </c>
      <c r="D94" s="1" t="str">
        <f>IF(ISBLANK('SQL Builder'!K69)=FALSE,'SQL Builder'!O69,"")</f>
        <v>015 - Gantry Sag</v>
      </c>
      <c r="H94" s="43">
        <f>IF(ISBLANK('SQL Builder'!K68)=FALSE,H93+1,"")</f>
        <v>65</v>
      </c>
      <c r="I94" s="1" t="str">
        <f>IF(ISBLANK('SQL Builder'!P69)=FALSE,'SQL Builder'!N69,"")</f>
        <v>pree</v>
      </c>
      <c r="J94" s="79">
        <f t="shared" si="0"/>
        <v>2</v>
      </c>
      <c r="K94" s="81"/>
    </row>
    <row r="95" spans="2:11" ht="16.5" x14ac:dyDescent="0.25">
      <c r="B95" s="49">
        <f>IF(ISBLANK('SQL Builder'!K70)=FALSE,(DATE(LEFT('SQL Builder'!K70,4),MID('SQL Builder'!K70,6,2),MID('SQL Builder'!K70,9,2))),NA())</f>
        <v>45750</v>
      </c>
      <c r="C95" s="50" t="str">
        <f>IF(ISBLANK('SQL Builder'!K70)=FALSE,'SQL Builder'!L70,"")</f>
        <v>LA10</v>
      </c>
      <c r="D95" s="1" t="str">
        <f>IF(ISBLANK('SQL Builder'!K70)=FALSE,'SQL Builder'!O70,"")</f>
        <v>011 - Crosswire and Front Pointer</v>
      </c>
      <c r="H95" s="43">
        <f>IF(ISBLANK('SQL Builder'!K69)=FALSE,H94+1,"")</f>
        <v>66</v>
      </c>
      <c r="I95" s="1" t="str">
        <f>IF(ISBLANK('SQL Builder'!P70)=FALSE,'SQL Builder'!N70,"")</f>
        <v>jamesb</v>
      </c>
      <c r="J95" s="79">
        <f t="shared" ref="J95:J158" si="1">IF(I95="",0,IF(I95=C$5,2,1))</f>
        <v>1</v>
      </c>
      <c r="K95" s="81"/>
    </row>
    <row r="96" spans="2:11" ht="16.5" x14ac:dyDescent="0.25">
      <c r="B96" s="49">
        <f>IF(ISBLANK('SQL Builder'!K71)=FALSE,(DATE(LEFT('SQL Builder'!K71,4),MID('SQL Builder'!K71,6,2),MID('SQL Builder'!K71,9,2))),NA())</f>
        <v>45750</v>
      </c>
      <c r="C96" s="50" t="str">
        <f>IF(ISBLANK('SQL Builder'!K71)=FALSE,'SQL Builder'!L71,"")</f>
        <v>LA10</v>
      </c>
      <c r="D96" s="1" t="str">
        <f>IF(ISBLANK('SQL Builder'!K71)=FALSE,'SQL Builder'!O71,"")</f>
        <v>016 - Couch Scale and Position</v>
      </c>
      <c r="H96" s="43">
        <f>IF(ISBLANK('SQL Builder'!K70)=FALSE,H95+1,"")</f>
        <v>67</v>
      </c>
      <c r="I96" s="1" t="str">
        <f>IF(ISBLANK('SQL Builder'!P71)=FALSE,'SQL Builder'!N71,"")</f>
        <v>pree</v>
      </c>
      <c r="J96" s="79">
        <f t="shared" si="1"/>
        <v>2</v>
      </c>
      <c r="K96" s="81"/>
    </row>
    <row r="97" spans="2:11" ht="16.5" x14ac:dyDescent="0.25">
      <c r="B97" s="49">
        <f>IF(ISBLANK('SQL Builder'!K72)=FALSE,(DATE(LEFT('SQL Builder'!K72,4),MID('SQL Builder'!K72,6,2),MID('SQL Builder'!K72,9,2))),NA())</f>
        <v>45764</v>
      </c>
      <c r="C97" s="50" t="str">
        <f>IF(ISBLANK('SQL Builder'!K72)=FALSE,'SQL Builder'!L72,"")</f>
        <v>LA12</v>
      </c>
      <c r="D97" s="1" t="str">
        <f>IF(ISBLANK('SQL Builder'!K72)=FALSE,'SQL Builder'!O72,"")</f>
        <v>171 - Delta 4 Patient</v>
      </c>
      <c r="H97" s="43">
        <f>IF(ISBLANK('SQL Builder'!K71)=FALSE,H96+1,"")</f>
        <v>68</v>
      </c>
      <c r="I97" s="1" t="str">
        <f>IF(ISBLANK('SQL Builder'!P72)=FALSE,'SQL Builder'!N72,"")</f>
        <v>mollyr</v>
      </c>
      <c r="J97" s="79">
        <f t="shared" si="1"/>
        <v>1</v>
      </c>
      <c r="K97" s="81"/>
    </row>
    <row r="98" spans="2:11" ht="16.5" x14ac:dyDescent="0.25">
      <c r="B98" s="49">
        <f>IF(ISBLANK('SQL Builder'!K73)=FALSE,(DATE(LEFT('SQL Builder'!K73,4),MID('SQL Builder'!K73,6,2),MID('SQL Builder'!K73,9,2))),NA())</f>
        <v>45785</v>
      </c>
      <c r="C98" s="50" t="str">
        <f>IF(ISBLANK('SQL Builder'!K73)=FALSE,'SQL Builder'!L73,"")</f>
        <v>LA12</v>
      </c>
      <c r="D98" s="1" t="str">
        <f>IF(ISBLANK('SQL Builder'!K73)=FALSE,'SQL Builder'!O73,"")</f>
        <v>172 - Delta 4 Standard</v>
      </c>
      <c r="H98" s="43">
        <f>IF(ISBLANK('SQL Builder'!K72)=FALSE,H97+1,"")</f>
        <v>69</v>
      </c>
      <c r="I98" s="1" t="str">
        <f>IF(ISBLANK('SQL Builder'!P73)=FALSE,'SQL Builder'!N73,"")</f>
        <v>pree</v>
      </c>
      <c r="J98" s="79">
        <f t="shared" si="1"/>
        <v>2</v>
      </c>
      <c r="K98" s="81"/>
    </row>
    <row r="99" spans="2:11" ht="16.5" x14ac:dyDescent="0.25">
      <c r="B99" s="49">
        <f>IF(ISBLANK('SQL Builder'!K74)=FALSE,(DATE(LEFT('SQL Builder'!K74,4),MID('SQL Builder'!K74,6,2),MID('SQL Builder'!K74,9,2))),NA())</f>
        <v>45785</v>
      </c>
      <c r="C99" s="50" t="str">
        <f>IF(ISBLANK('SQL Builder'!K74)=FALSE,'SQL Builder'!L74,"")</f>
        <v>LA12</v>
      </c>
      <c r="D99" s="1" t="str">
        <f>IF(ISBLANK('SQL Builder'!K74)=FALSE,'SQL Builder'!O74,"")</f>
        <v>171 - Delta 4 Patient</v>
      </c>
      <c r="H99" s="43">
        <f>IF(ISBLANK('SQL Builder'!K73)=FALSE,H98+1,"")</f>
        <v>70</v>
      </c>
      <c r="I99" s="1" t="str">
        <f>IF(ISBLANK('SQL Builder'!P74)=FALSE,'SQL Builder'!N74,"")</f>
        <v>pree</v>
      </c>
      <c r="J99" s="79">
        <f t="shared" si="1"/>
        <v>2</v>
      </c>
      <c r="K99" s="81"/>
    </row>
    <row r="100" spans="2:11" ht="16.5" x14ac:dyDescent="0.25">
      <c r="B100" s="49">
        <f>IF(ISBLANK('SQL Builder'!K75)=FALSE,(DATE(LEFT('SQL Builder'!K75,4),MID('SQL Builder'!K75,6,2),MID('SQL Builder'!K75,9,2))),NA())</f>
        <v>45797</v>
      </c>
      <c r="C100" s="50" t="str">
        <f>IF(ISBLANK('SQL Builder'!K75)=FALSE,'SQL Builder'!L75,"")</f>
        <v>LA10</v>
      </c>
      <c r="D100" s="1" t="str">
        <f>IF(ISBLANK('SQL Builder'!K75)=FALSE,'SQL Builder'!O75,"")</f>
        <v>144 - 2D 3D match</v>
      </c>
      <c r="H100" s="43">
        <f>IF(ISBLANK('SQL Builder'!K74)=FALSE,H99+1,"")</f>
        <v>71</v>
      </c>
      <c r="I100" s="1" t="str">
        <f>IF(ISBLANK('SQL Builder'!P75)=FALSE,'SQL Builder'!N75,"")</f>
        <v>andreaf</v>
      </c>
      <c r="J100" s="79">
        <f t="shared" si="1"/>
        <v>1</v>
      </c>
      <c r="K100" s="81"/>
    </row>
    <row r="101" spans="2:11" ht="16.5" x14ac:dyDescent="0.25">
      <c r="B101" s="49">
        <f>IF(ISBLANK('SQL Builder'!K76)=FALSE,(DATE(LEFT('SQL Builder'!K76,4),MID('SQL Builder'!K76,6,2),MID('SQL Builder'!K76,9,2))),NA())</f>
        <v>45840</v>
      </c>
      <c r="C101" s="50" t="str">
        <f>IF(ISBLANK('SQL Builder'!K76)=FALSE,'SQL Builder'!L76,"")</f>
        <v>LA10</v>
      </c>
      <c r="D101" s="1" t="str">
        <f>IF(ISBLANK('SQL Builder'!K76)=FALSE,'SQL Builder'!O76,"")</f>
        <v>101 - FFF Outputs</v>
      </c>
      <c r="H101" s="43">
        <f>IF(ISBLANK('SQL Builder'!K75)=FALSE,H100+1,"")</f>
        <v>72</v>
      </c>
      <c r="I101" s="1" t="str">
        <f>IF(ISBLANK('SQL Builder'!P76)=FALSE,'SQL Builder'!N76,"")</f>
        <v>georgel</v>
      </c>
      <c r="J101" s="79">
        <f t="shared" si="1"/>
        <v>1</v>
      </c>
      <c r="K101" s="81"/>
    </row>
    <row r="102" spans="2:11" ht="16.5" x14ac:dyDescent="0.25">
      <c r="B102" s="49">
        <f>IF(ISBLANK('SQL Builder'!K77)=FALSE,(DATE(LEFT('SQL Builder'!K77,4),MID('SQL Builder'!K77,6,2),MID('SQL Builder'!K77,9,2))),NA())</f>
        <v>45918</v>
      </c>
      <c r="C102" s="50" t="str">
        <f>IF(ISBLANK('SQL Builder'!K77)=FALSE,'SQL Builder'!L77,"")</f>
        <v>LA12</v>
      </c>
      <c r="D102" s="1" t="str">
        <f>IF(ISBLANK('SQL Builder'!K77)=FALSE,'SQL Builder'!O77,"")</f>
        <v>161 - Gating</v>
      </c>
      <c r="H102" s="43">
        <f>IF(ISBLANK('SQL Builder'!K76)=FALSE,H101+1,"")</f>
        <v>73</v>
      </c>
      <c r="I102" s="1" t="str">
        <f>IF(ISBLANK('SQL Builder'!P77)=FALSE,'SQL Builder'!N77,"")</f>
        <v>jamesb</v>
      </c>
      <c r="J102" s="79">
        <f t="shared" si="1"/>
        <v>1</v>
      </c>
      <c r="K102" s="81"/>
    </row>
    <row r="103" spans="2:11" ht="16.5" x14ac:dyDescent="0.25">
      <c r="B103" s="49">
        <f>IF(ISBLANK('SQL Builder'!K78)=FALSE,(DATE(LEFT('SQL Builder'!K78,4),MID('SQL Builder'!K78,6,2),MID('SQL Builder'!K78,9,2))),NA())</f>
        <v>45933</v>
      </c>
      <c r="C103" s="50" t="str">
        <f>IF(ISBLANK('SQL Builder'!K78)=FALSE,'SQL Builder'!L78,"")</f>
        <v>LA12</v>
      </c>
      <c r="D103" s="1" t="str">
        <f>IF(ISBLANK('SQL Builder'!K78)=FALSE,'SQL Builder'!O78,"")</f>
        <v>011 - Crosswire and Front Pointer</v>
      </c>
      <c r="H103" s="43">
        <f>IF(ISBLANK('SQL Builder'!K77)=FALSE,H102+1,"")</f>
        <v>74</v>
      </c>
      <c r="I103" s="1" t="str">
        <f>IF(ISBLANK('SQL Builder'!P78)=FALSE,'SQL Builder'!N78,"")</f>
        <v>pree</v>
      </c>
      <c r="J103" s="79">
        <f t="shared" si="1"/>
        <v>2</v>
      </c>
      <c r="K103" s="81"/>
    </row>
    <row r="104" spans="2:11" ht="16.5" x14ac:dyDescent="0.25">
      <c r="B104" s="49">
        <f>IF(ISBLANK('SQL Builder'!K79)=FALSE,(DATE(LEFT('SQL Builder'!K79,4),MID('SQL Builder'!K79,6,2),MID('SQL Builder'!K79,9,2))),NA())</f>
        <v>45933</v>
      </c>
      <c r="C104" s="50" t="str">
        <f>IF(ISBLANK('SQL Builder'!K79)=FALSE,'SQL Builder'!L79,"")</f>
        <v>LA12</v>
      </c>
      <c r="D104" s="1" t="str">
        <f>IF(ISBLANK('SQL Builder'!K79)=FALSE,'SQL Builder'!O79,"")</f>
        <v>013 - Lasers</v>
      </c>
      <c r="H104" s="43">
        <f>IF(ISBLANK('SQL Builder'!K78)=FALSE,H103+1,"")</f>
        <v>75</v>
      </c>
      <c r="I104" s="1" t="str">
        <f>IF(ISBLANK('SQL Builder'!P79)=FALSE,'SQL Builder'!N79,"")</f>
        <v>pree</v>
      </c>
      <c r="J104" s="79">
        <f t="shared" si="1"/>
        <v>2</v>
      </c>
      <c r="K104" s="81"/>
    </row>
    <row r="105" spans="2:11" ht="16.5" x14ac:dyDescent="0.25">
      <c r="B105" s="49">
        <f>IF(ISBLANK('SQL Builder'!K80)=FALSE,(DATE(LEFT('SQL Builder'!K80,4),MID('SQL Builder'!K80,6,2),MID('SQL Builder'!K80,9,2))),NA())</f>
        <v>45937</v>
      </c>
      <c r="C105" s="50" t="str">
        <f>IF(ISBLANK('SQL Builder'!K80)=FALSE,'SQL Builder'!L80,"")</f>
        <v>LA12</v>
      </c>
      <c r="D105" s="1" t="str">
        <f>IF(ISBLANK('SQL Builder'!K80)=FALSE,'SQL Builder'!O80,"")</f>
        <v>151 - Leaf Speed</v>
      </c>
      <c r="H105" s="43">
        <f>IF(ISBLANK('SQL Builder'!K79)=FALSE,H104+1,"")</f>
        <v>76</v>
      </c>
      <c r="I105" s="1" t="str">
        <f>IF(ISBLANK('SQL Builder'!P80)=FALSE,'SQL Builder'!N80,"")</f>
        <v>georgek</v>
      </c>
      <c r="J105" s="79">
        <f t="shared" si="1"/>
        <v>1</v>
      </c>
      <c r="K105" s="81"/>
    </row>
    <row r="106" spans="2:11" ht="16.5" x14ac:dyDescent="0.25">
      <c r="B106" s="49">
        <f>IF(ISBLANK('SQL Builder'!K81)=FALSE,(DATE(LEFT('SQL Builder'!K81,4),MID('SQL Builder'!K81,6,2),MID('SQL Builder'!K81,9,2))),NA())</f>
        <v>45937</v>
      </c>
      <c r="C106" s="50" t="str">
        <f>IF(ISBLANK('SQL Builder'!K81)=FALSE,'SQL Builder'!L81,"")</f>
        <v>LA12</v>
      </c>
      <c r="D106" s="1" t="str">
        <f>IF(ISBLANK('SQL Builder'!K81)=FALSE,'SQL Builder'!O81,"")</f>
        <v>153 - Rapid Arc</v>
      </c>
      <c r="H106" s="43">
        <f>IF(ISBLANK('SQL Builder'!K80)=FALSE,H105+1,"")</f>
        <v>77</v>
      </c>
      <c r="I106" s="1" t="str">
        <f>IF(ISBLANK('SQL Builder'!P81)=FALSE,'SQL Builder'!N81,"")</f>
        <v>georgek</v>
      </c>
      <c r="J106" s="79">
        <f t="shared" si="1"/>
        <v>1</v>
      </c>
      <c r="K106" s="81"/>
    </row>
    <row r="107" spans="2:11" ht="16.5" x14ac:dyDescent="0.25">
      <c r="B107" s="49">
        <f>IF(ISBLANK('SQL Builder'!K82)=FALSE,(DATE(LEFT('SQL Builder'!K82,4),MID('SQL Builder'!K82,6,2),MID('SQL Builder'!K82,9,2))),NA())</f>
        <v>45938</v>
      </c>
      <c r="C107" s="50" t="str">
        <f>IF(ISBLANK('SQL Builder'!K82)=FALSE,'SQL Builder'!L82,"")</f>
        <v>LA11</v>
      </c>
      <c r="D107" s="1" t="str">
        <f>IF(ISBLANK('SQL Builder'!K82)=FALSE,'SQL Builder'!O82,"")</f>
        <v>011 - Crosswire and Front Pointer</v>
      </c>
      <c r="H107" s="43">
        <f>IF(ISBLANK('SQL Builder'!K81)=FALSE,H106+1,"")</f>
        <v>78</v>
      </c>
      <c r="I107" s="1" t="str">
        <f>IF(ISBLANK('SQL Builder'!P82)=FALSE,'SQL Builder'!N82,"")</f>
        <v>pree</v>
      </c>
      <c r="J107" s="79">
        <f t="shared" si="1"/>
        <v>2</v>
      </c>
      <c r="K107" s="81"/>
    </row>
    <row r="108" spans="2:11" ht="16.5" x14ac:dyDescent="0.25">
      <c r="B108" s="49">
        <f>IF(ISBLANK('SQL Builder'!K83)=FALSE,(DATE(LEFT('SQL Builder'!K83,4),MID('SQL Builder'!K83,6,2),MID('SQL Builder'!K83,9,2))),NA())</f>
        <v>45938</v>
      </c>
      <c r="C108" s="50" t="str">
        <f>IF(ISBLANK('SQL Builder'!K83)=FALSE,'SQL Builder'!L83,"")</f>
        <v>LA11</v>
      </c>
      <c r="D108" s="1" t="str">
        <f>IF(ISBLANK('SQL Builder'!K83)=FALSE,'SQL Builder'!O83,"")</f>
        <v>013 - Lasers</v>
      </c>
      <c r="H108" s="43">
        <f>IF(ISBLANK('SQL Builder'!K82)=FALSE,H107+1,"")</f>
        <v>79</v>
      </c>
      <c r="I108" s="1" t="str">
        <f>IF(ISBLANK('SQL Builder'!P83)=FALSE,'SQL Builder'!N83,"")</f>
        <v>pree</v>
      </c>
      <c r="J108" s="79">
        <f t="shared" si="1"/>
        <v>2</v>
      </c>
      <c r="K108" s="81"/>
    </row>
    <row r="109" spans="2:11" ht="16.5" x14ac:dyDescent="0.25">
      <c r="B109" s="49">
        <f>IF(ISBLANK('SQL Builder'!K84)=FALSE,(DATE(LEFT('SQL Builder'!K84,4),MID('SQL Builder'!K84,6,2),MID('SQL Builder'!K84,9,2))),NA())</f>
        <v>45938</v>
      </c>
      <c r="C109" s="50" t="str">
        <f>IF(ISBLANK('SQL Builder'!K84)=FALSE,'SQL Builder'!L84,"")</f>
        <v>LA11</v>
      </c>
      <c r="D109" s="1" t="str">
        <f>IF(ISBLANK('SQL Builder'!K84)=FALSE,'SQL Builder'!O84,"")</f>
        <v>015 - Gantry Sag</v>
      </c>
      <c r="H109" s="43">
        <f>IF(ISBLANK('SQL Builder'!K83)=FALSE,H108+1,"")</f>
        <v>80</v>
      </c>
      <c r="I109" s="1" t="str">
        <f>IF(ISBLANK('SQL Builder'!P84)=FALSE,'SQL Builder'!N84,"")</f>
        <v>pree</v>
      </c>
      <c r="J109" s="79">
        <f t="shared" si="1"/>
        <v>2</v>
      </c>
      <c r="K109" s="81"/>
    </row>
    <row r="110" spans="2:11" ht="16.5" x14ac:dyDescent="0.25">
      <c r="B110" s="49">
        <f>IF(ISBLANK('SQL Builder'!K85)=FALSE,(DATE(LEFT('SQL Builder'!K85,4),MID('SQL Builder'!K85,6,2),MID('SQL Builder'!K85,9,2))),NA())</f>
        <v>45938</v>
      </c>
      <c r="C110" s="50" t="str">
        <f>IF(ISBLANK('SQL Builder'!K85)=FALSE,'SQL Builder'!L85,"")</f>
        <v>LA11</v>
      </c>
      <c r="D110" s="1" t="str">
        <f>IF(ISBLANK('SQL Builder'!K85)=FALSE,'SQL Builder'!O85,"")</f>
        <v>151 - Leaf Speed</v>
      </c>
      <c r="H110" s="43">
        <f>IF(ISBLANK('SQL Builder'!K84)=FALSE,H109+1,"")</f>
        <v>81</v>
      </c>
      <c r="I110" s="1" t="str">
        <f>IF(ISBLANK('SQL Builder'!P85)=FALSE,'SQL Builder'!N85,"")</f>
        <v>jackh</v>
      </c>
      <c r="J110" s="79">
        <f t="shared" si="1"/>
        <v>1</v>
      </c>
      <c r="K110" s="81"/>
    </row>
    <row r="111" spans="2:11" ht="16.5" x14ac:dyDescent="0.25">
      <c r="B111" s="49">
        <f>IF(ISBLANK('SQL Builder'!K86)=FALSE,(DATE(LEFT('SQL Builder'!K86,4),MID('SQL Builder'!K86,6,2),MID('SQL Builder'!K86,9,2))),NA())</f>
        <v>45938</v>
      </c>
      <c r="C111" s="50" t="str">
        <f>IF(ISBLANK('SQL Builder'!K86)=FALSE,'SQL Builder'!L86,"")</f>
        <v>LA11</v>
      </c>
      <c r="D111" s="1" t="str">
        <f>IF(ISBLANK('SQL Builder'!K86)=FALSE,'SQL Builder'!O86,"")</f>
        <v>016 - Couch Scale and Position</v>
      </c>
      <c r="H111" s="43">
        <f>IF(ISBLANK('SQL Builder'!K85)=FALSE,H110+1,"")</f>
        <v>82</v>
      </c>
      <c r="I111" s="1" t="str">
        <f>IF(ISBLANK('SQL Builder'!P86)=FALSE,'SQL Builder'!N86,"")</f>
        <v>pree</v>
      </c>
      <c r="J111" s="79">
        <f t="shared" si="1"/>
        <v>2</v>
      </c>
      <c r="K111" s="81"/>
    </row>
    <row r="112" spans="2:11" ht="16.5" x14ac:dyDescent="0.25">
      <c r="B112" s="49">
        <f>IF(ISBLANK('SQL Builder'!K87)=FALSE,(DATE(LEFT('SQL Builder'!K87,4),MID('SQL Builder'!K87,6,2),MID('SQL Builder'!K87,9,2))),NA())</f>
        <v>45938</v>
      </c>
      <c r="C112" s="50" t="str">
        <f>IF(ISBLANK('SQL Builder'!K87)=FALSE,'SQL Builder'!L87,"")</f>
        <v>LA11</v>
      </c>
      <c r="D112" s="1" t="str">
        <f>IF(ISBLANK('SQL Builder'!K87)=FALSE,'SQL Builder'!O87,"")</f>
        <v>017 - 6DoF Couch</v>
      </c>
      <c r="H112" s="43">
        <f>IF(ISBLANK('SQL Builder'!K86)=FALSE,H111+1,"")</f>
        <v>83</v>
      </c>
      <c r="I112" s="1" t="str">
        <f>IF(ISBLANK('SQL Builder'!P87)=FALSE,'SQL Builder'!N87,"")</f>
        <v>pree</v>
      </c>
      <c r="J112" s="79">
        <f t="shared" si="1"/>
        <v>2</v>
      </c>
      <c r="K112" s="81"/>
    </row>
    <row r="113" spans="2:11" ht="16.5" x14ac:dyDescent="0.25">
      <c r="B113" s="49">
        <f>IF(ISBLANK('SQL Builder'!K88)=FALSE,(DATE(LEFT('SQL Builder'!K88,4),MID('SQL Builder'!K88,6,2),MID('SQL Builder'!K88,9,2))),NA())</f>
        <v>45938</v>
      </c>
      <c r="C113" s="50" t="str">
        <f>IF(ISBLANK('SQL Builder'!K88)=FALSE,'SQL Builder'!L88,"")</f>
        <v>LA11</v>
      </c>
      <c r="D113" s="1" t="str">
        <f>IF(ISBLANK('SQL Builder'!K88)=FALSE,'SQL Builder'!O88,"")</f>
        <v>091 - Photon Outputs (+15MV)</v>
      </c>
      <c r="H113" s="43">
        <f>IF(ISBLANK('SQL Builder'!K87)=FALSE,H112+1,"")</f>
        <v>84</v>
      </c>
      <c r="I113" s="1" t="str">
        <f>IF(ISBLANK('SQL Builder'!P88)=FALSE,'SQL Builder'!N88,"")</f>
        <v>pree</v>
      </c>
      <c r="J113" s="79">
        <f t="shared" si="1"/>
        <v>2</v>
      </c>
      <c r="K113" s="81"/>
    </row>
    <row r="114" spans="2:11" ht="16.5" x14ac:dyDescent="0.25">
      <c r="B114" s="49">
        <f>IF(ISBLANK('SQL Builder'!K89)=FALSE,(DATE(LEFT('SQL Builder'!K89,4),MID('SQL Builder'!K89,6,2),MID('SQL Builder'!K89,9,2))),NA())</f>
        <v>45938</v>
      </c>
      <c r="C114" s="50" t="str">
        <f>IF(ISBLANK('SQL Builder'!K89)=FALSE,'SQL Builder'!L89,"")</f>
        <v>LA11</v>
      </c>
      <c r="D114" s="1" t="str">
        <f>IF(ISBLANK('SQL Builder'!K89)=FALSE,'SQL Builder'!O89,"")</f>
        <v>101 - FFF Outputs</v>
      </c>
      <c r="H114" s="43">
        <f>IF(ISBLANK('SQL Builder'!K88)=FALSE,H113+1,"")</f>
        <v>85</v>
      </c>
      <c r="I114" s="1" t="str">
        <f>IF(ISBLANK('SQL Builder'!P89)=FALSE,'SQL Builder'!N89,"")</f>
        <v>pree</v>
      </c>
      <c r="J114" s="79">
        <f t="shared" si="1"/>
        <v>2</v>
      </c>
      <c r="K114" s="81"/>
    </row>
    <row r="115" spans="2:11" ht="16.5" x14ac:dyDescent="0.25">
      <c r="B115" s="49">
        <f>IF(ISBLANK('SQL Builder'!K90)=FALSE,(DATE(LEFT('SQL Builder'!K90,4),MID('SQL Builder'!K90,6,2),MID('SQL Builder'!K90,9,2))),NA())</f>
        <v>45938</v>
      </c>
      <c r="C115" s="50" t="str">
        <f>IF(ISBLANK('SQL Builder'!K90)=FALSE,'SQL Builder'!L90,"")</f>
        <v>LA11</v>
      </c>
      <c r="D115" s="1" t="str">
        <f>IF(ISBLANK('SQL Builder'!K90)=FALSE,'SQL Builder'!O90,"")</f>
        <v>131 - MPC (Photons+15/FFF)</v>
      </c>
      <c r="H115" s="43">
        <f>IF(ISBLANK('SQL Builder'!K89)=FALSE,H114+1,"")</f>
        <v>86</v>
      </c>
      <c r="I115" s="1" t="str">
        <f>IF(ISBLANK('SQL Builder'!P90)=FALSE,'SQL Builder'!N90,"")</f>
        <v>pree</v>
      </c>
      <c r="J115" s="79">
        <f t="shared" si="1"/>
        <v>2</v>
      </c>
      <c r="K115" s="81"/>
    </row>
    <row r="116" spans="2:11" ht="16.5" x14ac:dyDescent="0.25">
      <c r="B116" s="49">
        <f>IF(ISBLANK('SQL Builder'!K91)=FALSE,(DATE(LEFT('SQL Builder'!K91,4),MID('SQL Builder'!K91,6,2),MID('SQL Builder'!K91,9,2))),NA())</f>
        <v>45938</v>
      </c>
      <c r="C116" s="50" t="str">
        <f>IF(ISBLANK('SQL Builder'!K91)=FALSE,'SQL Builder'!L91,"")</f>
        <v>LA11</v>
      </c>
      <c r="D116" s="1" t="str">
        <f>IF(ISBLANK('SQL Builder'!K91)=FALSE,'SQL Builder'!O91,"")</f>
        <v>093 - Photon Energy (+15MV)</v>
      </c>
      <c r="H116" s="43">
        <f>IF(ISBLANK('SQL Builder'!K90)=FALSE,H115+1,"")</f>
        <v>87</v>
      </c>
      <c r="I116" s="1" t="str">
        <f>IF(ISBLANK('SQL Builder'!P91)=FALSE,'SQL Builder'!N91,"")</f>
        <v>pree</v>
      </c>
      <c r="J116" s="79">
        <f t="shared" si="1"/>
        <v>2</v>
      </c>
      <c r="K116" s="81"/>
    </row>
    <row r="117" spans="2:11" ht="16.5" x14ac:dyDescent="0.25">
      <c r="B117" s="49">
        <f>IF(ISBLANK('SQL Builder'!K92)=FALSE,(DATE(LEFT('SQL Builder'!K92,4),MID('SQL Builder'!K92,6,2),MID('SQL Builder'!K92,9,2))),NA())</f>
        <v>45939</v>
      </c>
      <c r="C117" s="50" t="str">
        <f>IF(ISBLANK('SQL Builder'!K92)=FALSE,'SQL Builder'!L92,"")</f>
        <v>LA10</v>
      </c>
      <c r="D117" s="1" t="str">
        <f>IF(ISBLANK('SQL Builder'!K92)=FALSE,'SQL Builder'!O92,"")</f>
        <v>101 - FFF Outputs</v>
      </c>
      <c r="H117" s="43">
        <f>IF(ISBLANK('SQL Builder'!K91)=FALSE,H116+1,"")</f>
        <v>88</v>
      </c>
      <c r="I117" s="1" t="str">
        <f>IF(ISBLANK('SQL Builder'!P92)=FALSE,'SQL Builder'!N92,"")</f>
        <v>pree</v>
      </c>
      <c r="J117" s="79">
        <f t="shared" si="1"/>
        <v>2</v>
      </c>
      <c r="K117" s="81"/>
    </row>
    <row r="118" spans="2:11" ht="16.5" x14ac:dyDescent="0.25">
      <c r="B118" s="49">
        <f>IF(ISBLANK('SQL Builder'!K93)=FALSE,(DATE(LEFT('SQL Builder'!K93,4),MID('SQL Builder'!K93,6,2),MID('SQL Builder'!K93,9,2))),NA())</f>
        <v>45939</v>
      </c>
      <c r="C118" s="50" t="str">
        <f>IF(ISBLANK('SQL Builder'!K93)=FALSE,'SQL Builder'!L93,"")</f>
        <v>LA10</v>
      </c>
      <c r="D118" s="1" t="str">
        <f>IF(ISBLANK('SQL Builder'!K93)=FALSE,'SQL Builder'!O93,"")</f>
        <v>091 - Photon Outputs</v>
      </c>
      <c r="H118" s="43">
        <f>IF(ISBLANK('SQL Builder'!K92)=FALSE,H117+1,"")</f>
        <v>89</v>
      </c>
      <c r="I118" s="1" t="str">
        <f>IF(ISBLANK('SQL Builder'!P93)=FALSE,'SQL Builder'!N93,"")</f>
        <v>pree</v>
      </c>
      <c r="J118" s="79">
        <f t="shared" si="1"/>
        <v>2</v>
      </c>
      <c r="K118" s="81"/>
    </row>
    <row r="119" spans="2:11" ht="16.5" x14ac:dyDescent="0.25">
      <c r="B119" s="49">
        <f>IF(ISBLANK('SQL Builder'!K94)=FALSE,(DATE(LEFT('SQL Builder'!K94,4),MID('SQL Builder'!K94,6,2),MID('SQL Builder'!K94,9,2))),NA())</f>
        <v>45939</v>
      </c>
      <c r="C119" s="50" t="str">
        <f>IF(ISBLANK('SQL Builder'!K94)=FALSE,'SQL Builder'!L94,"")</f>
        <v>LA10</v>
      </c>
      <c r="D119" s="1" t="str">
        <f>IF(ISBLANK('SQL Builder'!K94)=FALSE,'SQL Builder'!O94,"")</f>
        <v>092 - Electron Outputs</v>
      </c>
      <c r="H119" s="43">
        <f>IF(ISBLANK('SQL Builder'!K93)=FALSE,H118+1,"")</f>
        <v>90</v>
      </c>
      <c r="I119" s="1" t="str">
        <f>IF(ISBLANK('SQL Builder'!P94)=FALSE,'SQL Builder'!N94,"")</f>
        <v>jamesb</v>
      </c>
      <c r="J119" s="79">
        <f t="shared" si="1"/>
        <v>1</v>
      </c>
      <c r="K119" s="81"/>
    </row>
    <row r="120" spans="2:11" ht="16.5" x14ac:dyDescent="0.25">
      <c r="B120" s="49">
        <f>IF(ISBLANK('SQL Builder'!K95)=FALSE,(DATE(LEFT('SQL Builder'!K95,4),MID('SQL Builder'!K95,6,2),MID('SQL Builder'!K95,9,2))),NA())</f>
        <v>45939</v>
      </c>
      <c r="C120" s="50" t="str">
        <f>IF(ISBLANK('SQL Builder'!K95)=FALSE,'SQL Builder'!L95,"")</f>
        <v>LA10</v>
      </c>
      <c r="D120" s="1" t="str">
        <f>IF(ISBLANK('SQL Builder'!K95)=FALSE,'SQL Builder'!O95,"")</f>
        <v>013 - Lasers</v>
      </c>
      <c r="H120" s="43">
        <f>IF(ISBLANK('SQL Builder'!K94)=FALSE,H119+1,"")</f>
        <v>91</v>
      </c>
      <c r="I120" s="1" t="str">
        <f>IF(ISBLANK('SQL Builder'!P95)=FALSE,'SQL Builder'!N95,"")</f>
        <v>pree</v>
      </c>
      <c r="J120" s="79">
        <f t="shared" si="1"/>
        <v>2</v>
      </c>
      <c r="K120" s="81"/>
    </row>
    <row r="121" spans="2:11" ht="16.5" x14ac:dyDescent="0.25">
      <c r="B121" s="49">
        <f>IF(ISBLANK('SQL Builder'!K96)=FALSE,(DATE(LEFT('SQL Builder'!K96,4),MID('SQL Builder'!K96,6,2),MID('SQL Builder'!K96,9,2))),NA())</f>
        <v>45939</v>
      </c>
      <c r="C121" s="50" t="str">
        <f>IF(ISBLANK('SQL Builder'!K96)=FALSE,'SQL Builder'!L96,"")</f>
        <v>LA10</v>
      </c>
      <c r="D121" s="1" t="str">
        <f>IF(ISBLANK('SQL Builder'!K96)=FALSE,'SQL Builder'!O96,"")</f>
        <v>016 - Couch Scale and Position</v>
      </c>
      <c r="H121" s="43">
        <f>IF(ISBLANK('SQL Builder'!K95)=FALSE,H120+1,"")</f>
        <v>92</v>
      </c>
      <c r="I121" s="1" t="str">
        <f>IF(ISBLANK('SQL Builder'!P96)=FALSE,'SQL Builder'!N96,"")</f>
        <v>pree</v>
      </c>
      <c r="J121" s="79">
        <f t="shared" si="1"/>
        <v>2</v>
      </c>
      <c r="K121" s="81"/>
    </row>
    <row r="122" spans="2:11" ht="16.5" x14ac:dyDescent="0.25">
      <c r="B122" s="49">
        <f>IF(ISBLANK('SQL Builder'!K97)=FALSE,(DATE(LEFT('SQL Builder'!K97,4),MID('SQL Builder'!K97,6,2),MID('SQL Builder'!K97,9,2))),NA())</f>
        <v>45939</v>
      </c>
      <c r="C122" s="50" t="str">
        <f>IF(ISBLANK('SQL Builder'!K97)=FALSE,'SQL Builder'!L97,"")</f>
        <v>LA10</v>
      </c>
      <c r="D122" s="1" t="str">
        <f>IF(ISBLANK('SQL Builder'!K97)=FALSE,'SQL Builder'!O97,"")</f>
        <v>015 - Gantry Sag</v>
      </c>
      <c r="H122" s="43">
        <f>IF(ISBLANK('SQL Builder'!K96)=FALSE,H121+1,"")</f>
        <v>93</v>
      </c>
      <c r="I122" s="1" t="str">
        <f>IF(ISBLANK('SQL Builder'!P97)=FALSE,'SQL Builder'!N97,"")</f>
        <v>pree</v>
      </c>
      <c r="J122" s="79">
        <f t="shared" si="1"/>
        <v>2</v>
      </c>
      <c r="K122" s="81"/>
    </row>
    <row r="123" spans="2:11" ht="16.5" x14ac:dyDescent="0.25">
      <c r="B123" s="49">
        <f>IF(ISBLANK('SQL Builder'!K98)=FALSE,(DATE(LEFT('SQL Builder'!K98,4),MID('SQL Builder'!K98,6,2),MID('SQL Builder'!K98,9,2))),NA())</f>
        <v>45939</v>
      </c>
      <c r="C123" s="50" t="str">
        <f>IF(ISBLANK('SQL Builder'!K98)=FALSE,'SQL Builder'!L98,"")</f>
        <v>LA10</v>
      </c>
      <c r="D123" s="1" t="str">
        <f>IF(ISBLANK('SQL Builder'!K98)=FALSE,'SQL Builder'!O98,"")</f>
        <v>011 - Crosswire and Front Pointer</v>
      </c>
      <c r="H123" s="43">
        <f>IF(ISBLANK('SQL Builder'!K97)=FALSE,H122+1,"")</f>
        <v>94</v>
      </c>
      <c r="I123" s="1" t="str">
        <f>IF(ISBLANK('SQL Builder'!P98)=FALSE,'SQL Builder'!N98,"")</f>
        <v>pree</v>
      </c>
      <c r="J123" s="79">
        <f t="shared" si="1"/>
        <v>2</v>
      </c>
      <c r="K123" s="81"/>
    </row>
    <row r="124" spans="2:11" ht="16.5" x14ac:dyDescent="0.25">
      <c r="B124" s="49">
        <f>IF(ISBLANK('SQL Builder'!K99)=FALSE,(DATE(LEFT('SQL Builder'!K99,4),MID('SQL Builder'!K99,6,2),MID('SQL Builder'!K99,9,2))),NA())</f>
        <v>45939</v>
      </c>
      <c r="C124" s="50" t="str">
        <f>IF(ISBLANK('SQL Builder'!K99)=FALSE,'SQL Builder'!L99,"")</f>
        <v>LA10</v>
      </c>
      <c r="D124" s="1" t="str">
        <f>IF(ISBLANK('SQL Builder'!K99)=FALSE,'SQL Builder'!O99,"")</f>
        <v>031 - Photon Flatness &amp; Symmetry G0  (Profiler)</v>
      </c>
      <c r="H124" s="43">
        <f>IF(ISBLANK('SQL Builder'!K98)=FALSE,H123+1,"")</f>
        <v>95</v>
      </c>
      <c r="I124" s="1" t="str">
        <f>IF(ISBLANK('SQL Builder'!P99)=FALSE,'SQL Builder'!N99,"")</f>
        <v>pree</v>
      </c>
      <c r="J124" s="79">
        <f t="shared" si="1"/>
        <v>2</v>
      </c>
      <c r="K124" s="81"/>
    </row>
    <row r="125" spans="2:11" ht="16.5" x14ac:dyDescent="0.25">
      <c r="B125" s="49">
        <f>IF(ISBLANK('SQL Builder'!K100)=FALSE,(DATE(LEFT('SQL Builder'!K100,4),MID('SQL Builder'!K100,6,2),MID('SQL Builder'!K100,9,2))),NA())</f>
        <v>45939</v>
      </c>
      <c r="C125" s="50" t="str">
        <f>IF(ISBLANK('SQL Builder'!K100)=FALSE,'SQL Builder'!L100,"")</f>
        <v>LA10</v>
      </c>
      <c r="D125" s="1" t="str">
        <f>IF(ISBLANK('SQL Builder'!K100)=FALSE,'SQL Builder'!O100,"")</f>
        <v>032 - Electron Flatness &amp; Symmetry  (Profiler)</v>
      </c>
      <c r="H125" s="43">
        <f>IF(ISBLANK('SQL Builder'!K99)=FALSE,H124+1,"")</f>
        <v>96</v>
      </c>
      <c r="I125" s="1" t="str">
        <f>IF(ISBLANK('SQL Builder'!P100)=FALSE,'SQL Builder'!N100,"")</f>
        <v>pree</v>
      </c>
      <c r="J125" s="79">
        <f t="shared" si="1"/>
        <v>2</v>
      </c>
      <c r="K125" s="81"/>
    </row>
    <row r="126" spans="2:11" ht="16.5" x14ac:dyDescent="0.25">
      <c r="B126" s="49">
        <f>IF(ISBLANK('SQL Builder'!K101)=FALSE,(DATE(LEFT('SQL Builder'!K101,4),MID('SQL Builder'!K101,6,2),MID('SQL Builder'!K101,9,2))),NA())</f>
        <v>45939</v>
      </c>
      <c r="C126" s="50" t="str">
        <f>IF(ISBLANK('SQL Builder'!K101)=FALSE,'SQL Builder'!L101,"")</f>
        <v>LA10</v>
      </c>
      <c r="D126" s="1" t="str">
        <f>IF(ISBLANK('SQL Builder'!K101)=FALSE,'SQL Builder'!O101,"")</f>
        <v>041 - FFF Symmetry G0 (Profiler)</v>
      </c>
      <c r="H126" s="43">
        <f>IF(ISBLANK('SQL Builder'!K100)=FALSE,H125+1,"")</f>
        <v>97</v>
      </c>
      <c r="I126" s="1" t="str">
        <f>IF(ISBLANK('SQL Builder'!P101)=FALSE,'SQL Builder'!N101,"")</f>
        <v>pree</v>
      </c>
      <c r="J126" s="79">
        <f t="shared" si="1"/>
        <v>2</v>
      </c>
      <c r="K126" s="81"/>
    </row>
    <row r="127" spans="2:11" ht="16.5" x14ac:dyDescent="0.25">
      <c r="B127" s="49">
        <f>IF(ISBLANK('SQL Builder'!K102)=FALSE,(DATE(LEFT('SQL Builder'!K102,4),MID('SQL Builder'!K102,6,2),MID('SQL Builder'!K102,9,2))),NA())</f>
        <v>45939</v>
      </c>
      <c r="C127" s="50" t="str">
        <f>IF(ISBLANK('SQL Builder'!K102)=FALSE,'SQL Builder'!L102,"")</f>
        <v>LA10</v>
      </c>
      <c r="D127" s="1" t="str">
        <f>IF(ISBLANK('SQL Builder'!K102)=FALSE,'SQL Builder'!O102,"")</f>
        <v>043 - FFF Profiles (Profiler)</v>
      </c>
      <c r="H127" s="43">
        <f>IF(ISBLANK('SQL Builder'!K101)=FALSE,H126+1,"")</f>
        <v>98</v>
      </c>
      <c r="I127" s="1" t="str">
        <f>IF(ISBLANK('SQL Builder'!P102)=FALSE,'SQL Builder'!N102,"")</f>
        <v>pree</v>
      </c>
      <c r="J127" s="79">
        <f t="shared" si="1"/>
        <v>2</v>
      </c>
      <c r="K127" s="81"/>
    </row>
    <row r="128" spans="2:11" ht="16.5" x14ac:dyDescent="0.25">
      <c r="B128" s="49">
        <f>IF(ISBLANK('SQL Builder'!K103)=FALSE,(DATE(LEFT('SQL Builder'!K103,4),MID('SQL Builder'!K103,6,2),MID('SQL Builder'!K103,9,2))),NA())</f>
        <v>45939</v>
      </c>
      <c r="C128" s="50" t="str">
        <f>IF(ISBLANK('SQL Builder'!K103)=FALSE,'SQL Builder'!L103,"")</f>
        <v>LA10</v>
      </c>
      <c r="D128" s="1" t="str">
        <f>IF(ISBLANK('SQL Builder'!K103)=FALSE,'SQL Builder'!O103,"")</f>
        <v>053 - EDW (Profiler)</v>
      </c>
      <c r="H128" s="43">
        <f>IF(ISBLANK('SQL Builder'!K102)=FALSE,H127+1,"")</f>
        <v>99</v>
      </c>
      <c r="I128" s="1" t="str">
        <f>IF(ISBLANK('SQL Builder'!P103)=FALSE,'SQL Builder'!N103,"")</f>
        <v>pree</v>
      </c>
      <c r="J128" s="79">
        <f t="shared" si="1"/>
        <v>2</v>
      </c>
      <c r="K128" s="81"/>
    </row>
    <row r="129" spans="2:11" ht="16.5" x14ac:dyDescent="0.25">
      <c r="B129" s="49">
        <f>IF(ISBLANK('SQL Builder'!K104)=FALSE,(DATE(LEFT('SQL Builder'!K104,4),MID('SQL Builder'!K104,6,2),MID('SQL Builder'!K104,9,2))),NA())</f>
        <v>45939</v>
      </c>
      <c r="C129" s="50" t="str">
        <f>IF(ISBLANK('SQL Builder'!K104)=FALSE,'SQL Builder'!L104,"")</f>
        <v>LA10</v>
      </c>
      <c r="D129" s="1" t="str">
        <f>IF(ISBLANK('SQL Builder'!K104)=FALSE,'SQL Builder'!O104,"")</f>
        <v>054 - Asymmetry (Profiler)</v>
      </c>
      <c r="H129" s="43">
        <f>IF(ISBLANK('SQL Builder'!K103)=FALSE,H128+1,"")</f>
        <v>100</v>
      </c>
      <c r="I129" s="1" t="str">
        <f>IF(ISBLANK('SQL Builder'!P104)=FALSE,'SQL Builder'!N104,"")</f>
        <v>pree</v>
      </c>
      <c r="J129" s="79">
        <f t="shared" si="1"/>
        <v>2</v>
      </c>
      <c r="K129" s="81"/>
    </row>
    <row r="130" spans="2:11" ht="16.5" x14ac:dyDescent="0.25">
      <c r="B130" s="49">
        <f>IF(ISBLANK('SQL Builder'!K105)=FALSE,(DATE(LEFT('SQL Builder'!K105,4),MID('SQL Builder'!K105,6,2),MID('SQL Builder'!K105,9,2))),NA())</f>
        <v>45939</v>
      </c>
      <c r="C130" s="50" t="str">
        <f>IF(ISBLANK('SQL Builder'!K105)=FALSE,'SQL Builder'!L105,"")</f>
        <v>LA10</v>
      </c>
      <c r="D130" s="1" t="str">
        <f>IF(ISBLANK('SQL Builder'!K105)=FALSE,'SQL Builder'!O105,"")</f>
        <v>131 - MPC (Photons/FFF)</v>
      </c>
      <c r="H130" s="43">
        <f>IF(ISBLANK('SQL Builder'!K104)=FALSE,H129+1,"")</f>
        <v>101</v>
      </c>
      <c r="I130" s="1" t="str">
        <f>IF(ISBLANK('SQL Builder'!P105)=FALSE,'SQL Builder'!N105,"")</f>
        <v>pree</v>
      </c>
      <c r="J130" s="79">
        <f t="shared" si="1"/>
        <v>2</v>
      </c>
      <c r="K130" s="81"/>
    </row>
    <row r="131" spans="2:11" ht="16.5" x14ac:dyDescent="0.25">
      <c r="B131" s="49">
        <f>IF(ISBLANK('SQL Builder'!K106)=FALSE,(DATE(LEFT('SQL Builder'!K106,4),MID('SQL Builder'!K106,6,2),MID('SQL Builder'!K106,9,2))),NA())</f>
        <v>45939</v>
      </c>
      <c r="C131" s="50" t="str">
        <f>IF(ISBLANK('SQL Builder'!K106)=FALSE,'SQL Builder'!L106,"")</f>
        <v>LA10</v>
      </c>
      <c r="D131" s="1" t="str">
        <f>IF(ISBLANK('SQL Builder'!K106)=FALSE,'SQL Builder'!O106,"")</f>
        <v>042 - FFF Field Size &amp; Penumbra (Profiler)</v>
      </c>
      <c r="H131" s="43">
        <f>IF(ISBLANK('SQL Builder'!K105)=FALSE,H130+1,"")</f>
        <v>102</v>
      </c>
      <c r="I131" s="1" t="str">
        <f>IF(ISBLANK('SQL Builder'!P106)=FALSE,'SQL Builder'!N106,"")</f>
        <v>pree</v>
      </c>
      <c r="J131" s="79">
        <f t="shared" si="1"/>
        <v>2</v>
      </c>
      <c r="K131" s="81"/>
    </row>
    <row r="132" spans="2:11" ht="16.5" x14ac:dyDescent="0.25">
      <c r="B132" s="49">
        <f>IF(ISBLANK('SQL Builder'!K107)=FALSE,(DATE(LEFT('SQL Builder'!K107,4),MID('SQL Builder'!K107,6,2),MID('SQL Builder'!K107,9,2))),NA())</f>
        <v>45939</v>
      </c>
      <c r="C132" s="50" t="str">
        <f>IF(ISBLANK('SQL Builder'!K107)=FALSE,'SQL Builder'!L107,"")</f>
        <v>LA10</v>
      </c>
      <c r="D132" s="1" t="str">
        <f>IF(ISBLANK('SQL Builder'!K107)=FALSE,'SQL Builder'!O107,"")</f>
        <v>093 - Photon Energy</v>
      </c>
      <c r="H132" s="43">
        <f>IF(ISBLANK('SQL Builder'!K106)=FALSE,H131+1,"")</f>
        <v>103</v>
      </c>
      <c r="I132" s="1" t="str">
        <f>IF(ISBLANK('SQL Builder'!P107)=FALSE,'SQL Builder'!N107,"")</f>
        <v>pree</v>
      </c>
      <c r="J132" s="79">
        <f t="shared" si="1"/>
        <v>2</v>
      </c>
      <c r="K132" s="81"/>
    </row>
    <row r="133" spans="2:11" ht="16.5" x14ac:dyDescent="0.25">
      <c r="B133" s="49">
        <f>IF(ISBLANK('SQL Builder'!K108)=FALSE,(DATE(LEFT('SQL Builder'!K108,4),MID('SQL Builder'!K108,6,2),MID('SQL Builder'!K108,9,2))),NA())</f>
        <v>45940</v>
      </c>
      <c r="C133" s="50" t="str">
        <f>IF(ISBLANK('SQL Builder'!K108)=FALSE,'SQL Builder'!L108,"")</f>
        <v>LA11</v>
      </c>
      <c r="D133" s="1" t="str">
        <f>IF(ISBLANK('SQL Builder'!K108)=FALSE,'SQL Builder'!O108,"")</f>
        <v>153 - Rapid Arc</v>
      </c>
      <c r="H133" s="43">
        <f>IF(ISBLANK('SQL Builder'!K107)=FALSE,H132+1,"")</f>
        <v>104</v>
      </c>
      <c r="I133" s="1" t="str">
        <f>IF(ISBLANK('SQL Builder'!P108)=FALSE,'SQL Builder'!N108,"")</f>
        <v>pree</v>
      </c>
      <c r="J133" s="79">
        <f t="shared" si="1"/>
        <v>2</v>
      </c>
      <c r="K133" s="81"/>
    </row>
    <row r="134" spans="2:11" ht="16.5" x14ac:dyDescent="0.25">
      <c r="B134" s="49">
        <f>IF(ISBLANK('SQL Builder'!K109)=FALSE,(DATE(LEFT('SQL Builder'!K109,4),MID('SQL Builder'!K109,6,2),MID('SQL Builder'!K109,9,2))),NA())</f>
        <v>45940</v>
      </c>
      <c r="C134" s="50" t="str">
        <f>IF(ISBLANK('SQL Builder'!K109)=FALSE,'SQL Builder'!L109,"")</f>
        <v>LA8</v>
      </c>
      <c r="D134" s="1" t="str">
        <f>IF(ISBLANK('SQL Builder'!K109)=FALSE,'SQL Builder'!O109,"")</f>
        <v>142 - Isocentre Verification</v>
      </c>
      <c r="H134" s="43">
        <f>IF(ISBLANK('SQL Builder'!K108)=FALSE,H133+1,"")</f>
        <v>105</v>
      </c>
      <c r="I134" s="1" t="str">
        <f>IF(ISBLANK('SQL Builder'!P109)=FALSE,'SQL Builder'!N109,"")</f>
        <v>pree</v>
      </c>
      <c r="J134" s="79">
        <f t="shared" si="1"/>
        <v>2</v>
      </c>
      <c r="K134" s="81"/>
    </row>
    <row r="135" spans="2:11" ht="16.5" x14ac:dyDescent="0.25">
      <c r="B135" s="49">
        <f>IF(ISBLANK('SQL Builder'!K110)=FALSE,(DATE(LEFT('SQL Builder'!K110,4),MID('SQL Builder'!K110,6,2),MID('SQL Builder'!K110,9,2))),NA())</f>
        <v>45940</v>
      </c>
      <c r="C135" s="50" t="str">
        <f>IF(ISBLANK('SQL Builder'!K110)=FALSE,'SQL Builder'!L110,"")</f>
        <v>LA8</v>
      </c>
      <c r="D135" s="1" t="str">
        <f>IF(ISBLANK('SQL Builder'!K110)=FALSE,'SQL Builder'!O110,"")</f>
        <v>144 - 2D 3D match</v>
      </c>
      <c r="H135" s="43">
        <f>IF(ISBLANK('SQL Builder'!K109)=FALSE,H134+1,"")</f>
        <v>106</v>
      </c>
      <c r="I135" s="1" t="str">
        <f>IF(ISBLANK('SQL Builder'!P110)=FALSE,'SQL Builder'!N110,"")</f>
        <v>pree</v>
      </c>
      <c r="J135" s="79">
        <f t="shared" si="1"/>
        <v>2</v>
      </c>
      <c r="K135" s="81"/>
    </row>
    <row r="136" spans="2:11" ht="16.5" x14ac:dyDescent="0.25">
      <c r="B136" s="49">
        <f>IF(ISBLANK('SQL Builder'!K111)=FALSE,(DATE(LEFT('SQL Builder'!K111,4),MID('SQL Builder'!K111,6,2),MID('SQL Builder'!K111,9,2))),NA())</f>
        <v>45940</v>
      </c>
      <c r="C136" s="50" t="str">
        <f>IF(ISBLANK('SQL Builder'!K111)=FALSE,'SQL Builder'!L111,"")</f>
        <v>LA8</v>
      </c>
      <c r="D136" s="1" t="str">
        <f>IF(ISBLANK('SQL Builder'!K111)=FALSE,'SQL Builder'!O111,"")</f>
        <v>143 - 2D 2D match</v>
      </c>
      <c r="H136" s="43">
        <f>IF(ISBLANK('SQL Builder'!K110)=FALSE,H135+1,"")</f>
        <v>107</v>
      </c>
      <c r="I136" s="1" t="str">
        <f>IF(ISBLANK('SQL Builder'!P111)=FALSE,'SQL Builder'!N111,"")</f>
        <v>pree</v>
      </c>
      <c r="J136" s="79">
        <f t="shared" si="1"/>
        <v>2</v>
      </c>
      <c r="K136" s="81"/>
    </row>
    <row r="137" spans="2:11" ht="16.5" x14ac:dyDescent="0.25">
      <c r="B137" s="49">
        <f>IF(ISBLANK('SQL Builder'!K112)=FALSE,(DATE(LEFT('SQL Builder'!K112,4),MID('SQL Builder'!K112,6,2),MID('SQL Builder'!K112,9,2))),NA())</f>
        <v>45940</v>
      </c>
      <c r="C137" s="50" t="str">
        <f>IF(ISBLANK('SQL Builder'!K112)=FALSE,'SQL Builder'!L112,"")</f>
        <v>LA8</v>
      </c>
      <c r="D137" s="1" t="str">
        <f>IF(ISBLANK('SQL Builder'!K112)=FALSE,'SQL Builder'!O112,"")</f>
        <v>145 - 3D-3D Twisted Match</v>
      </c>
      <c r="H137" s="43">
        <f>IF(ISBLANK('SQL Builder'!K111)=FALSE,H136+1,"")</f>
        <v>108</v>
      </c>
      <c r="I137" s="1" t="str">
        <f>IF(ISBLANK('SQL Builder'!P112)=FALSE,'SQL Builder'!N112,"")</f>
        <v>jamesb</v>
      </c>
      <c r="J137" s="79">
        <f t="shared" si="1"/>
        <v>1</v>
      </c>
      <c r="K137" s="81"/>
    </row>
    <row r="138" spans="2:11" ht="16.5" x14ac:dyDescent="0.25">
      <c r="B138" s="49">
        <f>IF(ISBLANK('SQL Builder'!K113)=FALSE,(DATE(LEFT('SQL Builder'!K113,4),MID('SQL Builder'!K113,6,2),MID('SQL Builder'!K113,9,2))),NA())</f>
        <v>45940</v>
      </c>
      <c r="C138" s="50" t="str">
        <f>IF(ISBLANK('SQL Builder'!K113)=FALSE,'SQL Builder'!L113,"")</f>
        <v>LA8</v>
      </c>
      <c r="D138" s="1" t="str">
        <f>IF(ISBLANK('SQL Builder'!K113)=FALSE,'SQL Builder'!O113,"")</f>
        <v>144 - 2D 3D match</v>
      </c>
      <c r="H138" s="43">
        <f>IF(ISBLANK('SQL Builder'!K112)=FALSE,H137+1,"")</f>
        <v>109</v>
      </c>
      <c r="I138" s="1" t="str">
        <f>IF(ISBLANK('SQL Builder'!P113)=FALSE,'SQL Builder'!N113,"")</f>
        <v>pree</v>
      </c>
      <c r="J138" s="79">
        <f t="shared" si="1"/>
        <v>2</v>
      </c>
      <c r="K138" s="81"/>
    </row>
    <row r="139" spans="2:11" ht="16.5" x14ac:dyDescent="0.25">
      <c r="B139" s="49">
        <f>IF(ISBLANK('SQL Builder'!K114)=FALSE,(DATE(LEFT('SQL Builder'!K114,4),MID('SQL Builder'!K114,6,2),MID('SQL Builder'!K114,9,2))),NA())</f>
        <v>45940</v>
      </c>
      <c r="C139" s="50" t="str">
        <f>IF(ISBLANK('SQL Builder'!K114)=FALSE,'SQL Builder'!L114,"")</f>
        <v>LA8</v>
      </c>
      <c r="D139" s="1" t="str">
        <f>IF(ISBLANK('SQL Builder'!K114)=FALSE,'SQL Builder'!O114,"")</f>
        <v>143 - 2D 2D match</v>
      </c>
      <c r="H139" s="43">
        <f>IF(ISBLANK('SQL Builder'!K113)=FALSE,H138+1,"")</f>
        <v>110</v>
      </c>
      <c r="I139" s="1" t="str">
        <f>IF(ISBLANK('SQL Builder'!P114)=FALSE,'SQL Builder'!N114,"")</f>
        <v>pree</v>
      </c>
      <c r="J139" s="79">
        <f t="shared" si="1"/>
        <v>2</v>
      </c>
      <c r="K139" s="81"/>
    </row>
    <row r="140" spans="2:11" ht="16.5" x14ac:dyDescent="0.25">
      <c r="B140" s="49">
        <f>IF(ISBLANK('SQL Builder'!K115)=FALSE,(DATE(LEFT('SQL Builder'!K115,4),MID('SQL Builder'!K115,6,2),MID('SQL Builder'!K115,9,2))),NA())</f>
        <v>45940</v>
      </c>
      <c r="C140" s="50" t="str">
        <f>IF(ISBLANK('SQL Builder'!K115)=FALSE,'SQL Builder'!L115,"")</f>
        <v>LA8</v>
      </c>
      <c r="D140" s="1" t="str">
        <f>IF(ISBLANK('SQL Builder'!K115)=FALSE,'SQL Builder'!O115,"")</f>
        <v>145 - 3D-3D Twisted Match</v>
      </c>
      <c r="H140" s="43">
        <f>IF(ISBLANK('SQL Builder'!K114)=FALSE,H139+1,"")</f>
        <v>111</v>
      </c>
      <c r="I140" s="1" t="str">
        <f>IF(ISBLANK('SQL Builder'!P115)=FALSE,'SQL Builder'!N115,"")</f>
        <v>jamesb</v>
      </c>
      <c r="J140" s="79">
        <f t="shared" si="1"/>
        <v>1</v>
      </c>
      <c r="K140" s="81"/>
    </row>
    <row r="141" spans="2:11" ht="16.5" x14ac:dyDescent="0.25">
      <c r="B141" s="49">
        <f>IF(ISBLANK('SQL Builder'!K116)=FALSE,(DATE(LEFT('SQL Builder'!K116,4),MID('SQL Builder'!K116,6,2),MID('SQL Builder'!K116,9,2))),NA())</f>
        <v>45943</v>
      </c>
      <c r="C141" s="50" t="str">
        <f>IF(ISBLANK('SQL Builder'!K116)=FALSE,'SQL Builder'!L116,"")</f>
        <v>LA8</v>
      </c>
      <c r="D141" s="1" t="str">
        <f>IF(ISBLANK('SQL Builder'!K116)=FALSE,'SQL Builder'!O116,"")</f>
        <v>131 - MPC (Photons+15/FFF)</v>
      </c>
      <c r="H141" s="43">
        <f>IF(ISBLANK('SQL Builder'!K115)=FALSE,H140+1,"")</f>
        <v>112</v>
      </c>
      <c r="I141" s="1" t="str">
        <f>IF(ISBLANK('SQL Builder'!P116)=FALSE,'SQL Builder'!N116,"")</f>
        <v>pree</v>
      </c>
      <c r="J141" s="79">
        <f t="shared" si="1"/>
        <v>2</v>
      </c>
      <c r="K141" s="81"/>
    </row>
    <row r="142" spans="2:11" ht="16.5" x14ac:dyDescent="0.25">
      <c r="B142" s="49">
        <f>IF(ISBLANK('SQL Builder'!K117)=FALSE,(DATE(LEFT('SQL Builder'!K117,4),MID('SQL Builder'!K117,6,2),MID('SQL Builder'!K117,9,2))),NA())</f>
        <v>45943</v>
      </c>
      <c r="C142" s="50" t="str">
        <f>IF(ISBLANK('SQL Builder'!K117)=FALSE,'SQL Builder'!L117,"")</f>
        <v>LA8</v>
      </c>
      <c r="D142" s="1" t="str">
        <f>IF(ISBLANK('SQL Builder'!K117)=FALSE,'SQL Builder'!O117,"")</f>
        <v>146 - Field Analysis kV</v>
      </c>
      <c r="H142" s="43">
        <f>IF(ISBLANK('SQL Builder'!K116)=FALSE,H141+1,"")</f>
        <v>113</v>
      </c>
      <c r="I142" s="1" t="str">
        <f>IF(ISBLANK('SQL Builder'!P117)=FALSE,'SQL Builder'!N117,"")</f>
        <v>pree</v>
      </c>
      <c r="J142" s="79">
        <f t="shared" si="1"/>
        <v>2</v>
      </c>
      <c r="K142" s="81"/>
    </row>
    <row r="143" spans="2:11" ht="16.5" x14ac:dyDescent="0.25">
      <c r="B143" s="49">
        <f>IF(ISBLANK('SQL Builder'!K118)=FALSE,(DATE(LEFT('SQL Builder'!K118,4),MID('SQL Builder'!K118,6,2),MID('SQL Builder'!K118,9,2))),NA())</f>
        <v>45943</v>
      </c>
      <c r="C143" s="50" t="str">
        <f>IF(ISBLANK('SQL Builder'!K118)=FALSE,'SQL Builder'!L118,"")</f>
        <v>LA8</v>
      </c>
      <c r="D143" s="1" t="str">
        <f>IF(ISBLANK('SQL Builder'!K118)=FALSE,'SQL Builder'!O118,"")</f>
        <v>147 - kV Image Quality</v>
      </c>
      <c r="H143" s="43">
        <f>IF(ISBLANK('SQL Builder'!K117)=FALSE,H142+1,"")</f>
        <v>114</v>
      </c>
      <c r="I143" s="1" t="str">
        <f>IF(ISBLANK('SQL Builder'!P118)=FALSE,'SQL Builder'!N118,"")</f>
        <v>pree</v>
      </c>
      <c r="J143" s="79">
        <f t="shared" si="1"/>
        <v>2</v>
      </c>
      <c r="K143" s="81"/>
    </row>
    <row r="144" spans="2:11" ht="16.5" x14ac:dyDescent="0.25">
      <c r="B144" s="49">
        <f>IF(ISBLANK('SQL Builder'!K119)=FALSE,(DATE(LEFT('SQL Builder'!K119,4),MID('SQL Builder'!K119,6,2),MID('SQL Builder'!K119,9,2))),NA())</f>
        <v>45943</v>
      </c>
      <c r="C144" s="50" t="str">
        <f>IF(ISBLANK('SQL Builder'!K119)=FALSE,'SQL Builder'!L119,"")</f>
        <v>LA10</v>
      </c>
      <c r="D144" s="1" t="str">
        <f>IF(ISBLANK('SQL Builder'!K119)=FALSE,'SQL Builder'!O119,"")</f>
        <v>133 - MPC (Electrons)</v>
      </c>
      <c r="H144" s="43">
        <f>IF(ISBLANK('SQL Builder'!K118)=FALSE,H143+1,"")</f>
        <v>115</v>
      </c>
      <c r="I144" s="1" t="str">
        <f>IF(ISBLANK('SQL Builder'!P119)=FALSE,'SQL Builder'!N119,"")</f>
        <v>jamesb</v>
      </c>
      <c r="J144" s="79">
        <f t="shared" si="1"/>
        <v>1</v>
      </c>
      <c r="K144" s="81"/>
    </row>
    <row r="145" spans="2:11" ht="16.5" x14ac:dyDescent="0.25">
      <c r="B145" s="49">
        <f>IF(ISBLANK('SQL Builder'!K120)=FALSE,(DATE(LEFT('SQL Builder'!K120,4),MID('SQL Builder'!K120,6,2),MID('SQL Builder'!K120,9,2))),NA())</f>
        <v>45943</v>
      </c>
      <c r="C145" s="50" t="str">
        <f>IF(ISBLANK('SQL Builder'!K120)=FALSE,'SQL Builder'!L120,"")</f>
        <v>LA10</v>
      </c>
      <c r="D145" s="1" t="str">
        <f>IF(ISBLANK('SQL Builder'!K120)=FALSE,'SQL Builder'!O120,"")</f>
        <v>092 - Electron Outputs</v>
      </c>
      <c r="H145" s="43">
        <f>IF(ISBLANK('SQL Builder'!K119)=FALSE,H144+1,"")</f>
        <v>116</v>
      </c>
      <c r="I145" s="1" t="str">
        <f>IF(ISBLANK('SQL Builder'!P120)=FALSE,'SQL Builder'!N120,"")</f>
        <v>pree</v>
      </c>
      <c r="J145" s="79">
        <f t="shared" si="1"/>
        <v>2</v>
      </c>
      <c r="K145" s="81"/>
    </row>
    <row r="146" spans="2:11" ht="16.5" x14ac:dyDescent="0.25">
      <c r="B146" s="49">
        <f>IF(ISBLANK('SQL Builder'!K121)=FALSE,(DATE(LEFT('SQL Builder'!K121,4),MID('SQL Builder'!K121,6,2),MID('SQL Builder'!K121,9,2))),NA())</f>
        <v>45943</v>
      </c>
      <c r="C146" s="50" t="str">
        <f>IF(ISBLANK('SQL Builder'!K121)=FALSE,'SQL Builder'!L121,"")</f>
        <v>LA10</v>
      </c>
      <c r="D146" s="1" t="str">
        <f>IF(ISBLANK('SQL Builder'!K121)=FALSE,'SQL Builder'!O121,"")</f>
        <v>133 - MPC (Electrons)</v>
      </c>
      <c r="H146" s="43">
        <f>IF(ISBLANK('SQL Builder'!K120)=FALSE,H145+1,"")</f>
        <v>117</v>
      </c>
      <c r="I146" s="1" t="str">
        <f>IF(ISBLANK('SQL Builder'!P121)=FALSE,'SQL Builder'!N121,"")</f>
        <v>pree</v>
      </c>
      <c r="J146" s="79">
        <f t="shared" si="1"/>
        <v>2</v>
      </c>
      <c r="K146" s="81"/>
    </row>
    <row r="147" spans="2:11" ht="16.5" x14ac:dyDescent="0.25">
      <c r="B147" s="49">
        <f>IF(ISBLANK('SQL Builder'!K122)=FALSE,(DATE(LEFT('SQL Builder'!K122,4),MID('SQL Builder'!K122,6,2),MID('SQL Builder'!K122,9,2))),NA())</f>
        <v>45943</v>
      </c>
      <c r="C147" s="50" t="str">
        <f>IF(ISBLANK('SQL Builder'!K122)=FALSE,'SQL Builder'!L122,"")</f>
        <v>LA10</v>
      </c>
      <c r="D147" s="1" t="str">
        <f>IF(ISBLANK('SQL Builder'!K122)=FALSE,'SQL Builder'!O122,"")</f>
        <v>133 - MPC (Electrons)</v>
      </c>
      <c r="H147" s="43">
        <f>IF(ISBLANK('SQL Builder'!K121)=FALSE,H146+1,"")</f>
        <v>118</v>
      </c>
      <c r="I147" s="1" t="str">
        <f>IF(ISBLANK('SQL Builder'!P122)=FALSE,'SQL Builder'!N122,"")</f>
        <v>pree</v>
      </c>
      <c r="J147" s="79">
        <f t="shared" si="1"/>
        <v>2</v>
      </c>
      <c r="K147" s="81"/>
    </row>
    <row r="148" spans="2:11" ht="16.5" x14ac:dyDescent="0.25">
      <c r="B148" s="49">
        <f>IF(ISBLANK('SQL Builder'!K123)=FALSE,(DATE(LEFT('SQL Builder'!K123,4),MID('SQL Builder'!K123,6,2),MID('SQL Builder'!K123,9,2))),NA())</f>
        <v>45944</v>
      </c>
      <c r="C148" s="50" t="str">
        <f>IF(ISBLANK('SQL Builder'!K123)=FALSE,'SQL Builder'!L123,"")</f>
        <v>LA10</v>
      </c>
      <c r="D148" s="1" t="str">
        <f>IF(ISBLANK('SQL Builder'!K123)=FALSE,'SQL Builder'!O123,"")</f>
        <v>011 - Crosswire and Front Pointer</v>
      </c>
      <c r="H148" s="43">
        <f>IF(ISBLANK('SQL Builder'!K122)=FALSE,H147+1,"")</f>
        <v>119</v>
      </c>
      <c r="I148" s="1" t="str">
        <f>IF(ISBLANK('SQL Builder'!P123)=FALSE,'SQL Builder'!N123,"")</f>
        <v>pree</v>
      </c>
      <c r="J148" s="79">
        <f t="shared" si="1"/>
        <v>2</v>
      </c>
      <c r="K148" s="81"/>
    </row>
    <row r="149" spans="2:11" ht="16.5" x14ac:dyDescent="0.25">
      <c r="B149" s="49">
        <f>IF(ISBLANK('SQL Builder'!K124)=FALSE,(DATE(LEFT('SQL Builder'!K124,4),MID('SQL Builder'!K124,6,2),MID('SQL Builder'!K124,9,2))),NA())</f>
        <v>45944</v>
      </c>
      <c r="C149" s="50" t="str">
        <f>IF(ISBLANK('SQL Builder'!K124)=FALSE,'SQL Builder'!L124,"")</f>
        <v>LA10</v>
      </c>
      <c r="D149" s="1" t="str">
        <f>IF(ISBLANK('SQL Builder'!K124)=FALSE,'SQL Builder'!O124,"")</f>
        <v>013 - Lasers</v>
      </c>
      <c r="H149" s="43">
        <f>IF(ISBLANK('SQL Builder'!K123)=FALSE,H148+1,"")</f>
        <v>120</v>
      </c>
      <c r="I149" s="1" t="str">
        <f>IF(ISBLANK('SQL Builder'!P124)=FALSE,'SQL Builder'!N124,"")</f>
        <v>pree</v>
      </c>
      <c r="J149" s="79">
        <f t="shared" si="1"/>
        <v>2</v>
      </c>
      <c r="K149" s="81"/>
    </row>
    <row r="150" spans="2:11" ht="16.5" x14ac:dyDescent="0.25">
      <c r="B150" s="49">
        <f>IF(ISBLANK('SQL Builder'!K125)=FALSE,(DATE(LEFT('SQL Builder'!K125,4),MID('SQL Builder'!K125,6,2),MID('SQL Builder'!K125,9,2))),NA())</f>
        <v>45944</v>
      </c>
      <c r="C150" s="50" t="str">
        <f>IF(ISBLANK('SQL Builder'!K125)=FALSE,'SQL Builder'!L125,"")</f>
        <v>LA10</v>
      </c>
      <c r="D150" s="1" t="str">
        <f>IF(ISBLANK('SQL Builder'!K125)=FALSE,'SQL Builder'!O125,"")</f>
        <v>016 - Couch Scale and Position</v>
      </c>
      <c r="H150" s="43">
        <f>IF(ISBLANK('SQL Builder'!K124)=FALSE,H149+1,"")</f>
        <v>121</v>
      </c>
      <c r="I150" s="1" t="str">
        <f>IF(ISBLANK('SQL Builder'!P125)=FALSE,'SQL Builder'!N125,"")</f>
        <v>pree</v>
      </c>
      <c r="J150" s="79">
        <f t="shared" si="1"/>
        <v>2</v>
      </c>
      <c r="K150" s="81"/>
    </row>
    <row r="151" spans="2:11" ht="16.5" x14ac:dyDescent="0.25">
      <c r="B151" s="49">
        <f>IF(ISBLANK('SQL Builder'!K126)=FALSE,(DATE(LEFT('SQL Builder'!K126,4),MID('SQL Builder'!K126,6,2),MID('SQL Builder'!K126,9,2))),NA())</f>
        <v>45944</v>
      </c>
      <c r="C151" s="50" t="str">
        <f>IF(ISBLANK('SQL Builder'!K126)=FALSE,'SQL Builder'!L126,"")</f>
        <v>LA10</v>
      </c>
      <c r="D151" s="1" t="str">
        <f>IF(ISBLANK('SQL Builder'!K126)=FALSE,'SQL Builder'!O126,"")</f>
        <v>015 - Gantry Sag</v>
      </c>
      <c r="H151" s="43">
        <f>IF(ISBLANK('SQL Builder'!K125)=FALSE,H150+1,"")</f>
        <v>122</v>
      </c>
      <c r="I151" s="1" t="str">
        <f>IF(ISBLANK('SQL Builder'!P126)=FALSE,'SQL Builder'!N126,"")</f>
        <v>pree</v>
      </c>
      <c r="J151" s="79">
        <f t="shared" si="1"/>
        <v>2</v>
      </c>
      <c r="K151" s="81"/>
    </row>
    <row r="152" spans="2:11" ht="16.5" x14ac:dyDescent="0.25">
      <c r="B152" s="49">
        <f>IF(ISBLANK('SQL Builder'!K127)=FALSE,(DATE(LEFT('SQL Builder'!K127,4),MID('SQL Builder'!K127,6,2),MID('SQL Builder'!K127,9,2))),NA())</f>
        <v>45965</v>
      </c>
      <c r="C152" s="50" t="str">
        <f>IF(ISBLANK('SQL Builder'!K127)=FALSE,'SQL Builder'!L127,"")</f>
        <v>LA12</v>
      </c>
      <c r="D152" s="1" t="str">
        <f>IF(ISBLANK('SQL Builder'!K127)=FALSE,'SQL Builder'!O127,"")</f>
        <v>171 - Delta 4 Patient</v>
      </c>
      <c r="H152" s="43">
        <f>IF(ISBLANK('SQL Builder'!K126)=FALSE,H151+1,"")</f>
        <v>123</v>
      </c>
      <c r="I152" s="1" t="str">
        <f>IF(ISBLANK('SQL Builder'!P127)=FALSE,'SQL Builder'!N127,"")</f>
        <v>williamh</v>
      </c>
      <c r="J152" s="79">
        <f t="shared" si="1"/>
        <v>1</v>
      </c>
      <c r="K152" s="81"/>
    </row>
    <row r="153" spans="2:11" ht="16.5" x14ac:dyDescent="0.25">
      <c r="B153" s="49">
        <f>IF(ISBLANK('SQL Builder'!K128)=FALSE,(DATE(LEFT('SQL Builder'!K128,4),MID('SQL Builder'!K128,6,2),MID('SQL Builder'!K128,9,2))),NA())</f>
        <v>46037</v>
      </c>
      <c r="C153" s="50" t="str">
        <f>IF(ISBLANK('SQL Builder'!K128)=FALSE,'SQL Builder'!L128,"")</f>
        <v>LA11</v>
      </c>
      <c r="D153" s="1" t="str">
        <f>IF(ISBLANK('SQL Builder'!K128)=FALSE,'SQL Builder'!O128,"")</f>
        <v>171 - Delta 4 Patient</v>
      </c>
      <c r="H153" s="43">
        <f>IF(ISBLANK('SQL Builder'!K127)=FALSE,H152+1,"")</f>
        <v>124</v>
      </c>
      <c r="I153" s="1" t="str">
        <f>IF(ISBLANK('SQL Builder'!P128)=FALSE,'SQL Builder'!N128,"")</f>
        <v>jamesb</v>
      </c>
      <c r="J153" s="79">
        <f t="shared" si="1"/>
        <v>1</v>
      </c>
      <c r="K153" s="81"/>
    </row>
    <row r="154" spans="2:11" ht="16.5" x14ac:dyDescent="0.25">
      <c r="B154" s="49">
        <f>IF(ISBLANK('SQL Builder'!K129)=FALSE,(DATE(LEFT('SQL Builder'!K129,4),MID('SQL Builder'!K129,6,2),MID('SQL Builder'!K129,9,2))),NA())</f>
        <v>46038</v>
      </c>
      <c r="C154" s="50" t="str">
        <f>IF(ISBLANK('SQL Builder'!K129)=FALSE,'SQL Builder'!L129,"")</f>
        <v>LA11</v>
      </c>
      <c r="D154" s="1" t="str">
        <f>IF(ISBLANK('SQL Builder'!K129)=FALSE,'SQL Builder'!O129,"")</f>
        <v>171 - Delta 4 Patient</v>
      </c>
      <c r="H154" s="43">
        <f>IF(ISBLANK('SQL Builder'!K128)=FALSE,H153+1,"")</f>
        <v>125</v>
      </c>
      <c r="I154" s="1" t="str">
        <f>IF(ISBLANK('SQL Builder'!P129)=FALSE,'SQL Builder'!N129,"")</f>
        <v>jamesb</v>
      </c>
      <c r="J154" s="79">
        <f t="shared" si="1"/>
        <v>1</v>
      </c>
      <c r="K154" s="81"/>
    </row>
    <row r="155" spans="2:11" ht="16.5" x14ac:dyDescent="0.25">
      <c r="B155" s="49">
        <f>IF(ISBLANK('SQL Builder'!K130)=FALSE,(DATE(LEFT('SQL Builder'!K130,4),MID('SQL Builder'!K130,6,2),MID('SQL Builder'!K130,9,2))),NA())</f>
        <v>46038</v>
      </c>
      <c r="C155" s="50" t="str">
        <f>IF(ISBLANK('SQL Builder'!K130)=FALSE,'SQL Builder'!L130,"")</f>
        <v>LA8</v>
      </c>
      <c r="D155" s="1" t="str">
        <f>IF(ISBLANK('SQL Builder'!K130)=FALSE,'SQL Builder'!O130,"")</f>
        <v>101 - FFF Outputs</v>
      </c>
      <c r="H155" s="43">
        <f>IF(ISBLANK('SQL Builder'!K129)=FALSE,H154+1,"")</f>
        <v>126</v>
      </c>
      <c r="I155" s="1" t="str">
        <f>IF(ISBLANK('SQL Builder'!P130)=FALSE,'SQL Builder'!N130,"")</f>
        <v>pree</v>
      </c>
      <c r="J155" s="79">
        <f t="shared" si="1"/>
        <v>2</v>
      </c>
      <c r="K155" s="81"/>
    </row>
    <row r="156" spans="2:11" ht="16.5" x14ac:dyDescent="0.25">
      <c r="B156" s="49">
        <f>IF(ISBLANK('SQL Builder'!K131)=FALSE,(DATE(LEFT('SQL Builder'!K131,4),MID('SQL Builder'!K131,6,2),MID('SQL Builder'!K131,9,2))),NA())</f>
        <v>46055</v>
      </c>
      <c r="C156" s="50" t="str">
        <f>IF(ISBLANK('SQL Builder'!K131)=FALSE,'SQL Builder'!L131,"")</f>
        <v>LA8</v>
      </c>
      <c r="D156" s="1" t="str">
        <f>IF(ISBLANK('SQL Builder'!K131)=FALSE,'SQL Builder'!O131,"")</f>
        <v>091 - Photon Outputs (+15MV)</v>
      </c>
      <c r="H156" s="43">
        <f>IF(ISBLANK('SQL Builder'!K130)=FALSE,H155+1,"")</f>
        <v>127</v>
      </c>
      <c r="I156" s="1" t="str">
        <f>IF(ISBLANK('SQL Builder'!P131)=FALSE,'SQL Builder'!N131,"")</f>
        <v>jamesb</v>
      </c>
      <c r="J156" s="79">
        <f t="shared" si="1"/>
        <v>1</v>
      </c>
      <c r="K156" s="81"/>
    </row>
    <row r="157" spans="2:11" ht="16.5" x14ac:dyDescent="0.25">
      <c r="B157" s="49">
        <f>IF(ISBLANK('SQL Builder'!K132)=FALSE,(DATE(LEFT('SQL Builder'!K132,4),MID('SQL Builder'!K132,6,2),MID('SQL Builder'!K132,9,2))),NA())</f>
        <v>46072</v>
      </c>
      <c r="C157" s="50" t="str">
        <f>IF(ISBLANK('SQL Builder'!K132)=FALSE,'SQL Builder'!L132,"")</f>
        <v>LA11</v>
      </c>
      <c r="D157" s="1" t="str">
        <f>IF(ISBLANK('SQL Builder'!K132)=FALSE,'SQL Builder'!O132,"")</f>
        <v>151 - Leaf Speed</v>
      </c>
      <c r="H157" s="43">
        <f>IF(ISBLANK('SQL Builder'!K131)=FALSE,H156+1,"")</f>
        <v>128</v>
      </c>
      <c r="I157" s="1" t="str">
        <f>IF(ISBLANK('SQL Builder'!P132)=FALSE,'SQL Builder'!N132,"")</f>
        <v>jackh</v>
      </c>
      <c r="J157" s="79">
        <f t="shared" si="1"/>
        <v>1</v>
      </c>
      <c r="K157" s="81"/>
    </row>
    <row r="158" spans="2:11" ht="16.5" x14ac:dyDescent="0.25">
      <c r="B158" s="49">
        <f>IF(ISBLANK('SQL Builder'!K133)=FALSE,(DATE(LEFT('SQL Builder'!K133,4),MID('SQL Builder'!K133,6,2),MID('SQL Builder'!K133,9,2))),NA())</f>
        <v>46072</v>
      </c>
      <c r="C158" s="50" t="str">
        <f>IF(ISBLANK('SQL Builder'!K133)=FALSE,'SQL Builder'!L133,"")</f>
        <v>LA11</v>
      </c>
      <c r="D158" s="1" t="str">
        <f>IF(ISBLANK('SQL Builder'!K133)=FALSE,'SQL Builder'!O133,"")</f>
        <v>153 - Rapid Arc</v>
      </c>
      <c r="H158" s="43">
        <f>IF(ISBLANK('SQL Builder'!K132)=FALSE,H157+1,"")</f>
        <v>129</v>
      </c>
      <c r="I158" s="1" t="str">
        <f>IF(ISBLANK('SQL Builder'!P133)=FALSE,'SQL Builder'!N133,"")</f>
        <v>jackh</v>
      </c>
      <c r="J158" s="79">
        <f t="shared" si="1"/>
        <v>1</v>
      </c>
      <c r="K158" s="81"/>
    </row>
    <row r="159" spans="2:11" ht="16.5" x14ac:dyDescent="0.25">
      <c r="B159" s="49">
        <f>IF(ISBLANK('SQL Builder'!K134)=FALSE,(DATE(LEFT('SQL Builder'!K134,4),MID('SQL Builder'!K134,6,2),MID('SQL Builder'!K134,9,2))),NA())</f>
        <v>46072</v>
      </c>
      <c r="C159" s="50" t="str">
        <f>IF(ISBLANK('SQL Builder'!K134)=FALSE,'SQL Builder'!L134,"")</f>
        <v>LA11</v>
      </c>
      <c r="D159" s="1" t="str">
        <f>IF(ISBLANK('SQL Builder'!K134)=FALSE,'SQL Builder'!O134,"")</f>
        <v>171 - Delta 4 Patient</v>
      </c>
      <c r="H159" s="43">
        <f>IF(ISBLANK('SQL Builder'!K133)=FALSE,H158+1,"")</f>
        <v>130</v>
      </c>
      <c r="I159" s="1" t="str">
        <f>IF(ISBLANK('SQL Builder'!P134)=FALSE,'SQL Builder'!N134,"")</f>
        <v>jackh</v>
      </c>
      <c r="J159" s="79">
        <f t="shared" ref="J159:J222" si="2">IF(I159="",0,IF(I159=C$5,2,1))</f>
        <v>1</v>
      </c>
      <c r="K159" s="81"/>
    </row>
    <row r="160" spans="2:11" ht="16.5" x14ac:dyDescent="0.25">
      <c r="B160" s="49">
        <f>IF(ISBLANK('SQL Builder'!K135)=FALSE,(DATE(LEFT('SQL Builder'!K135,4),MID('SQL Builder'!K135,6,2),MID('SQL Builder'!K135,9,2))),NA())</f>
        <v>46072</v>
      </c>
      <c r="C160" s="50" t="str">
        <f>IF(ISBLANK('SQL Builder'!K135)=FALSE,'SQL Builder'!L135,"")</f>
        <v>LA11</v>
      </c>
      <c r="D160" s="1" t="str">
        <f>IF(ISBLANK('SQL Builder'!K135)=FALSE,'SQL Builder'!O135,"")</f>
        <v>171 - Delta 4 Patient</v>
      </c>
      <c r="H160" s="43">
        <f>IF(ISBLANK('SQL Builder'!K134)=FALSE,H159+1,"")</f>
        <v>131</v>
      </c>
      <c r="I160" s="1" t="str">
        <f>IF(ISBLANK('SQL Builder'!P135)=FALSE,'SQL Builder'!N135,"")</f>
        <v>jackh</v>
      </c>
      <c r="J160" s="79">
        <f t="shared" si="2"/>
        <v>1</v>
      </c>
      <c r="K160" s="81"/>
    </row>
    <row r="161" spans="2:11" ht="16.5" x14ac:dyDescent="0.25">
      <c r="B161" s="49">
        <f>IF(ISBLANK('SQL Builder'!K136)=FALSE,(DATE(LEFT('SQL Builder'!K136,4),MID('SQL Builder'!K136,6,2),MID('SQL Builder'!K136,9,2))),NA())</f>
        <v>46072</v>
      </c>
      <c r="C161" s="50" t="str">
        <f>IF(ISBLANK('SQL Builder'!K136)=FALSE,'SQL Builder'!L136,"")</f>
        <v>LA11</v>
      </c>
      <c r="D161" s="1" t="str">
        <f>IF(ISBLANK('SQL Builder'!K136)=FALSE,'SQL Builder'!O136,"")</f>
        <v>171 - Delta 4 Patient</v>
      </c>
      <c r="H161" s="43">
        <f>IF(ISBLANK('SQL Builder'!K135)=FALSE,H160+1,"")</f>
        <v>132</v>
      </c>
      <c r="I161" s="1" t="str">
        <f>IF(ISBLANK('SQL Builder'!P136)=FALSE,'SQL Builder'!N136,"")</f>
        <v>jackh</v>
      </c>
      <c r="J161" s="79">
        <f t="shared" si="2"/>
        <v>1</v>
      </c>
      <c r="K161" s="81"/>
    </row>
    <row r="162" spans="2:11" ht="16.5" x14ac:dyDescent="0.25">
      <c r="B162" s="49">
        <f>IF(ISBLANK('SQL Builder'!K137)=FALSE,(DATE(LEFT('SQL Builder'!K137,4),MID('SQL Builder'!K137,6,2),MID('SQL Builder'!K137,9,2))),NA())</f>
        <v>46072</v>
      </c>
      <c r="C162" s="50" t="str">
        <f>IF(ISBLANK('SQL Builder'!K137)=FALSE,'SQL Builder'!L137,"")</f>
        <v>LA11</v>
      </c>
      <c r="D162" s="1" t="str">
        <f>IF(ISBLANK('SQL Builder'!K137)=FALSE,'SQL Builder'!O137,"")</f>
        <v>171 - Delta 4 Patient</v>
      </c>
      <c r="H162" s="43">
        <f>IF(ISBLANK('SQL Builder'!K136)=FALSE,H161+1,"")</f>
        <v>133</v>
      </c>
      <c r="I162" s="1" t="str">
        <f>IF(ISBLANK('SQL Builder'!P137)=FALSE,'SQL Builder'!N137,"")</f>
        <v>jackh</v>
      </c>
      <c r="J162" s="79">
        <f t="shared" si="2"/>
        <v>1</v>
      </c>
      <c r="K162" s="81"/>
    </row>
    <row r="163" spans="2:11" ht="16.5" x14ac:dyDescent="0.25">
      <c r="B163" s="49">
        <f>IF(ISBLANK('SQL Builder'!K138)=FALSE,(DATE(LEFT('SQL Builder'!K138,4),MID('SQL Builder'!K138,6,2),MID('SQL Builder'!K138,9,2))),NA())</f>
        <v>46072</v>
      </c>
      <c r="C163" s="50" t="str">
        <f>IF(ISBLANK('SQL Builder'!K138)=FALSE,'SQL Builder'!L138,"")</f>
        <v>LA11</v>
      </c>
      <c r="D163" s="1" t="str">
        <f>IF(ISBLANK('SQL Builder'!K138)=FALSE,'SQL Builder'!O138,"")</f>
        <v>171 - Delta 4 Patient</v>
      </c>
      <c r="H163" s="43">
        <f>IF(ISBLANK('SQL Builder'!K137)=FALSE,H162+1,"")</f>
        <v>134</v>
      </c>
      <c r="I163" s="1" t="str">
        <f>IF(ISBLANK('SQL Builder'!P138)=FALSE,'SQL Builder'!N138,"")</f>
        <v>jackh</v>
      </c>
      <c r="J163" s="79">
        <f t="shared" si="2"/>
        <v>1</v>
      </c>
      <c r="K163" s="81"/>
    </row>
    <row r="164" spans="2:11" ht="16.5" x14ac:dyDescent="0.25">
      <c r="B164" s="49">
        <f>IF(ISBLANK('SQL Builder'!K139)=FALSE,(DATE(LEFT('SQL Builder'!K139,4),MID('SQL Builder'!K139,6,2),MID('SQL Builder'!K139,9,2))),NA())</f>
        <v>46084</v>
      </c>
      <c r="C164" s="50" t="str">
        <f>IF(ISBLANK('SQL Builder'!K139)=FALSE,'SQL Builder'!L139,"")</f>
        <v>LA12</v>
      </c>
      <c r="D164" s="1" t="str">
        <f>IF(ISBLANK('SQL Builder'!K139)=FALSE,'SQL Builder'!O139,"")</f>
        <v>171 - Delta 4 Patient</v>
      </c>
      <c r="H164" s="43">
        <f>IF(ISBLANK('SQL Builder'!K138)=FALSE,H163+1,"")</f>
        <v>135</v>
      </c>
      <c r="I164" s="1" t="str">
        <f>IF(ISBLANK('SQL Builder'!P139)=FALSE,'SQL Builder'!N139,"")</f>
        <v>jamesb</v>
      </c>
      <c r="J164" s="79">
        <f t="shared" si="2"/>
        <v>1</v>
      </c>
      <c r="K164" s="81"/>
    </row>
    <row r="165" spans="2:11" ht="16.5" x14ac:dyDescent="0.25">
      <c r="B165" s="49">
        <f>IF(ISBLANK('SQL Builder'!K140)=FALSE,(DATE(LEFT('SQL Builder'!K140,4),MID('SQL Builder'!K140,6,2),MID('SQL Builder'!K140,9,2))),NA())</f>
        <v>46113</v>
      </c>
      <c r="C165" s="50" t="str">
        <f>IF(ISBLANK('SQL Builder'!K140)=FALSE,'SQL Builder'!L140,"")</f>
        <v>LA11</v>
      </c>
      <c r="D165" s="1" t="str">
        <f>IF(ISBLANK('SQL Builder'!K140)=FALSE,'SQL Builder'!O140,"")</f>
        <v>142 - Isocentre Verification</v>
      </c>
      <c r="H165" s="43">
        <f>IF(ISBLANK('SQL Builder'!K139)=FALSE,H164+1,"")</f>
        <v>136</v>
      </c>
      <c r="I165" s="1" t="str">
        <f>IF(ISBLANK('SQL Builder'!P140)=FALSE,'SQL Builder'!N140,"")</f>
        <v>pree</v>
      </c>
      <c r="J165" s="79">
        <f t="shared" si="2"/>
        <v>2</v>
      </c>
      <c r="K165" s="81"/>
    </row>
    <row r="166" spans="2:11" ht="16.5" x14ac:dyDescent="0.25">
      <c r="B166" s="49">
        <f>IF(ISBLANK('SQL Builder'!K141)=FALSE,(DATE(LEFT('SQL Builder'!K141,4),MID('SQL Builder'!K141,6,2),MID('SQL Builder'!K141,9,2))),NA())</f>
        <v>46120</v>
      </c>
      <c r="C166" s="50" t="str">
        <f>IF(ISBLANK('SQL Builder'!K141)=FALSE,'SQL Builder'!L141,"")</f>
        <v>LA11</v>
      </c>
      <c r="D166" s="1" t="str">
        <f>IF(ISBLANK('SQL Builder'!K141)=FALSE,'SQL Builder'!O141,"")</f>
        <v>147 - kV Image Quality</v>
      </c>
      <c r="H166" s="43">
        <f>IF(ISBLANK('SQL Builder'!K140)=FALSE,H165+1,"")</f>
        <v>137</v>
      </c>
      <c r="I166" s="1" t="str">
        <f>IF(ISBLANK('SQL Builder'!P141)=FALSE,'SQL Builder'!N141,"")</f>
        <v>jordanhyw</v>
      </c>
      <c r="J166" s="79">
        <f t="shared" si="2"/>
        <v>1</v>
      </c>
      <c r="K166" s="81"/>
    </row>
    <row r="167" spans="2:11" ht="16.5" x14ac:dyDescent="0.25">
      <c r="B167" s="49">
        <f>IF(ISBLANK('SQL Builder'!K142)=FALSE,(DATE(LEFT('SQL Builder'!K142,4),MID('SQL Builder'!K142,6,2),MID('SQL Builder'!K142,9,2))),NA())</f>
        <v>46120</v>
      </c>
      <c r="C167" s="50" t="str">
        <f>IF(ISBLANK('SQL Builder'!K142)=FALSE,'SQL Builder'!L142,"")</f>
        <v>LA11</v>
      </c>
      <c r="D167" s="1" t="str">
        <f>IF(ISBLANK('SQL Builder'!K142)=FALSE,'SQL Builder'!O142,"")</f>
        <v>151 - Leaf Speed</v>
      </c>
      <c r="H167" s="43">
        <f>IF(ISBLANK('SQL Builder'!K141)=FALSE,H166+1,"")</f>
        <v>138</v>
      </c>
      <c r="I167" s="1" t="str">
        <f>IF(ISBLANK('SQL Builder'!P142)=FALSE,'SQL Builder'!N142,"")</f>
        <v>jordanhyw</v>
      </c>
      <c r="J167" s="79">
        <f t="shared" si="2"/>
        <v>1</v>
      </c>
      <c r="K167" s="81"/>
    </row>
    <row r="168" spans="2:11" ht="16.5" x14ac:dyDescent="0.25">
      <c r="B168" s="49">
        <f>IF(ISBLANK('SQL Builder'!K143)=FALSE,(DATE(LEFT('SQL Builder'!K143,4),MID('SQL Builder'!K143,6,2),MID('SQL Builder'!K143,9,2))),NA())</f>
        <v>46120</v>
      </c>
      <c r="C168" s="50" t="str">
        <f>IF(ISBLANK('SQL Builder'!K143)=FALSE,'SQL Builder'!L143,"")</f>
        <v>LA11</v>
      </c>
      <c r="D168" s="1" t="str">
        <f>IF(ISBLANK('SQL Builder'!K143)=FALSE,'SQL Builder'!O143,"")</f>
        <v>153 - Rapid Arc</v>
      </c>
      <c r="H168" s="43">
        <f>IF(ISBLANK('SQL Builder'!K142)=FALSE,H167+1,"")</f>
        <v>139</v>
      </c>
      <c r="I168" s="1" t="str">
        <f>IF(ISBLANK('SQL Builder'!P143)=FALSE,'SQL Builder'!N143,"")</f>
        <v>jordanhyw</v>
      </c>
      <c r="J168" s="79">
        <f t="shared" si="2"/>
        <v>1</v>
      </c>
      <c r="K168" s="81"/>
    </row>
    <row r="169" spans="2:11" ht="16.5" x14ac:dyDescent="0.25">
      <c r="B169" s="49" t="e">
        <f>IF(ISBLANK('SQL Builder'!K144)=FALSE,(DATE(LEFT('SQL Builder'!K144,4),MID('SQL Builder'!K144,6,2),MID('SQL Builder'!K144,9,2))),NA())</f>
        <v>#N/A</v>
      </c>
      <c r="C169" s="50" t="str">
        <f>IF(ISBLANK('SQL Builder'!K144)=FALSE,'SQL Builder'!L144,"")</f>
        <v/>
      </c>
      <c r="D169" s="1" t="str">
        <f>IF(ISBLANK('SQL Builder'!K144)=FALSE,'SQL Builder'!O144,"")</f>
        <v/>
      </c>
      <c r="H169" s="43">
        <f>IF(ISBLANK('SQL Builder'!K143)=FALSE,H168+1,"")</f>
        <v>140</v>
      </c>
      <c r="I169" s="1" t="str">
        <f>IF(ISBLANK('SQL Builder'!P144)=FALSE,'SQL Builder'!N144,"")</f>
        <v/>
      </c>
      <c r="J169" s="79">
        <f t="shared" si="2"/>
        <v>0</v>
      </c>
      <c r="K169" s="81"/>
    </row>
    <row r="170" spans="2:11" ht="16.5" x14ac:dyDescent="0.25">
      <c r="B170" s="49" t="e">
        <f>IF(ISBLANK('SQL Builder'!K145)=FALSE,(DATE(LEFT('SQL Builder'!K145,4),MID('SQL Builder'!K145,6,2),MID('SQL Builder'!K145,9,2))),NA())</f>
        <v>#N/A</v>
      </c>
      <c r="C170" s="50" t="str">
        <f>IF(ISBLANK('SQL Builder'!K145)=FALSE,'SQL Builder'!L145,"")</f>
        <v/>
      </c>
      <c r="D170" s="1" t="str">
        <f>IF(ISBLANK('SQL Builder'!K145)=FALSE,'SQL Builder'!O145,"")</f>
        <v/>
      </c>
      <c r="H170" s="43" t="str">
        <f>IF(ISBLANK('SQL Builder'!K144)=FALSE,H169+1,"")</f>
        <v/>
      </c>
      <c r="I170" s="1" t="str">
        <f>IF(ISBLANK('SQL Builder'!P145)=FALSE,'SQL Builder'!N145,"")</f>
        <v/>
      </c>
      <c r="J170" s="79">
        <f t="shared" si="2"/>
        <v>0</v>
      </c>
      <c r="K170" s="81"/>
    </row>
    <row r="171" spans="2:11" ht="16.5" x14ac:dyDescent="0.25">
      <c r="B171" s="49" t="e">
        <f>IF(ISBLANK('SQL Builder'!K146)=FALSE,(DATE(LEFT('SQL Builder'!K146,4),MID('SQL Builder'!K146,6,2),MID('SQL Builder'!K146,9,2))),NA())</f>
        <v>#N/A</v>
      </c>
      <c r="C171" s="50" t="str">
        <f>IF(ISBLANK('SQL Builder'!K146)=FALSE,'SQL Builder'!L146,"")</f>
        <v/>
      </c>
      <c r="D171" s="1" t="str">
        <f>IF(ISBLANK('SQL Builder'!K146)=FALSE,'SQL Builder'!O146,"")</f>
        <v/>
      </c>
      <c r="H171" s="43" t="str">
        <f>IF(ISBLANK('SQL Builder'!K145)=FALSE,H170+1,"")</f>
        <v/>
      </c>
      <c r="I171" s="1" t="str">
        <f>IF(ISBLANK('SQL Builder'!P146)=FALSE,'SQL Builder'!N146,"")</f>
        <v/>
      </c>
      <c r="J171" s="79">
        <f t="shared" si="2"/>
        <v>0</v>
      </c>
      <c r="K171" s="81"/>
    </row>
    <row r="172" spans="2:11" ht="16.5" x14ac:dyDescent="0.25">
      <c r="B172" s="49" t="e">
        <f>IF(ISBLANK('SQL Builder'!K147)=FALSE,(DATE(LEFT('SQL Builder'!K147,4),MID('SQL Builder'!K147,6,2),MID('SQL Builder'!K147,9,2))),NA())</f>
        <v>#N/A</v>
      </c>
      <c r="C172" s="50" t="str">
        <f>IF(ISBLANK('SQL Builder'!K147)=FALSE,'SQL Builder'!L147,"")</f>
        <v/>
      </c>
      <c r="D172" s="1" t="str">
        <f>IF(ISBLANK('SQL Builder'!K147)=FALSE,'SQL Builder'!O147,"")</f>
        <v/>
      </c>
      <c r="H172" s="43" t="str">
        <f>IF(ISBLANK('SQL Builder'!K146)=FALSE,H171+1,"")</f>
        <v/>
      </c>
      <c r="I172" s="1" t="str">
        <f>IF(ISBLANK('SQL Builder'!P147)=FALSE,'SQL Builder'!N147,"")</f>
        <v/>
      </c>
      <c r="J172" s="79">
        <f t="shared" si="2"/>
        <v>0</v>
      </c>
      <c r="K172" s="81"/>
    </row>
    <row r="173" spans="2:11" ht="16.5" x14ac:dyDescent="0.25">
      <c r="B173" s="49" t="e">
        <f>IF(ISBLANK('SQL Builder'!K148)=FALSE,(DATE(LEFT('SQL Builder'!K148,4),MID('SQL Builder'!K148,6,2),MID('SQL Builder'!K148,9,2))),NA())</f>
        <v>#N/A</v>
      </c>
      <c r="C173" s="50" t="str">
        <f>IF(ISBLANK('SQL Builder'!K148)=FALSE,'SQL Builder'!L148,"")</f>
        <v/>
      </c>
      <c r="D173" s="1" t="str">
        <f>IF(ISBLANK('SQL Builder'!K148)=FALSE,'SQL Builder'!O148,"")</f>
        <v/>
      </c>
      <c r="H173" s="43" t="str">
        <f>IF(ISBLANK('SQL Builder'!K147)=FALSE,H172+1,"")</f>
        <v/>
      </c>
      <c r="I173" s="1" t="str">
        <f>IF(ISBLANK('SQL Builder'!P148)=FALSE,'SQL Builder'!N148,"")</f>
        <v/>
      </c>
      <c r="J173" s="79">
        <f t="shared" si="2"/>
        <v>0</v>
      </c>
      <c r="K173" s="81"/>
    </row>
    <row r="174" spans="2:11" ht="16.5" x14ac:dyDescent="0.25">
      <c r="B174" s="49" t="e">
        <f>IF(ISBLANK('SQL Builder'!K149)=FALSE,(DATE(LEFT('SQL Builder'!K149,4),MID('SQL Builder'!K149,6,2),MID('SQL Builder'!K149,9,2))),NA())</f>
        <v>#N/A</v>
      </c>
      <c r="C174" s="50" t="str">
        <f>IF(ISBLANK('SQL Builder'!K149)=FALSE,'SQL Builder'!L149,"")</f>
        <v/>
      </c>
      <c r="D174" s="1" t="str">
        <f>IF(ISBLANK('SQL Builder'!K149)=FALSE,'SQL Builder'!O149,"")</f>
        <v/>
      </c>
      <c r="H174" s="43" t="str">
        <f>IF(ISBLANK('SQL Builder'!K148)=FALSE,H173+1,"")</f>
        <v/>
      </c>
      <c r="I174" s="1" t="str">
        <f>IF(ISBLANK('SQL Builder'!P149)=FALSE,'SQL Builder'!N149,"")</f>
        <v/>
      </c>
      <c r="J174" s="79">
        <f t="shared" si="2"/>
        <v>0</v>
      </c>
      <c r="K174" s="81"/>
    </row>
    <row r="175" spans="2:11" ht="16.5" x14ac:dyDescent="0.25">
      <c r="B175" s="49" t="e">
        <f>IF(ISBLANK('SQL Builder'!K150)=FALSE,(DATE(LEFT('SQL Builder'!K150,4),MID('SQL Builder'!K150,6,2),MID('SQL Builder'!K150,9,2))),NA())</f>
        <v>#N/A</v>
      </c>
      <c r="C175" s="50" t="str">
        <f>IF(ISBLANK('SQL Builder'!K150)=FALSE,'SQL Builder'!L150,"")</f>
        <v/>
      </c>
      <c r="D175" s="1" t="str">
        <f>IF(ISBLANK('SQL Builder'!K150)=FALSE,'SQL Builder'!O150,"")</f>
        <v/>
      </c>
      <c r="H175" s="43" t="str">
        <f>IF(ISBLANK('SQL Builder'!K149)=FALSE,H174+1,"")</f>
        <v/>
      </c>
      <c r="I175" s="1" t="str">
        <f>IF(ISBLANK('SQL Builder'!P150)=FALSE,'SQL Builder'!N150,"")</f>
        <v/>
      </c>
      <c r="J175" s="79">
        <f t="shared" si="2"/>
        <v>0</v>
      </c>
      <c r="K175" s="81"/>
    </row>
    <row r="176" spans="2:11" ht="16.5" x14ac:dyDescent="0.25">
      <c r="B176" s="49" t="e">
        <f>IF(ISBLANK('SQL Builder'!K151)=FALSE,(DATE(LEFT('SQL Builder'!K151,4),MID('SQL Builder'!K151,6,2),MID('SQL Builder'!K151,9,2))),NA())</f>
        <v>#N/A</v>
      </c>
      <c r="C176" s="50" t="str">
        <f>IF(ISBLANK('SQL Builder'!K151)=FALSE,'SQL Builder'!L151,"")</f>
        <v/>
      </c>
      <c r="D176" s="1" t="str">
        <f>IF(ISBLANK('SQL Builder'!K151)=FALSE,'SQL Builder'!O151,"")</f>
        <v/>
      </c>
      <c r="H176" s="43" t="str">
        <f>IF(ISBLANK('SQL Builder'!K150)=FALSE,H175+1,"")</f>
        <v/>
      </c>
      <c r="I176" s="1" t="str">
        <f>IF(ISBLANK('SQL Builder'!P151)=FALSE,'SQL Builder'!N151,"")</f>
        <v/>
      </c>
      <c r="J176" s="79">
        <f t="shared" si="2"/>
        <v>0</v>
      </c>
      <c r="K176" s="81"/>
    </row>
    <row r="177" spans="2:11" ht="16.5" x14ac:dyDescent="0.25">
      <c r="B177" s="49" t="e">
        <f>IF(ISBLANK('SQL Builder'!K152)=FALSE,(DATE(LEFT('SQL Builder'!K152,4),MID('SQL Builder'!K152,6,2),MID('SQL Builder'!K152,9,2))),NA())</f>
        <v>#N/A</v>
      </c>
      <c r="C177" s="50" t="str">
        <f>IF(ISBLANK('SQL Builder'!K152)=FALSE,'SQL Builder'!L152,"")</f>
        <v/>
      </c>
      <c r="D177" s="1" t="str">
        <f>IF(ISBLANK('SQL Builder'!K152)=FALSE,'SQL Builder'!O152,"")</f>
        <v/>
      </c>
      <c r="H177" s="43" t="str">
        <f>IF(ISBLANK('SQL Builder'!K151)=FALSE,H176+1,"")</f>
        <v/>
      </c>
      <c r="I177" s="1" t="str">
        <f>IF(ISBLANK('SQL Builder'!P152)=FALSE,'SQL Builder'!N152,"")</f>
        <v/>
      </c>
      <c r="J177" s="79">
        <f t="shared" si="2"/>
        <v>0</v>
      </c>
      <c r="K177" s="81"/>
    </row>
    <row r="178" spans="2:11" ht="16.5" x14ac:dyDescent="0.25">
      <c r="B178" s="49" t="e">
        <f>IF(ISBLANK('SQL Builder'!K153)=FALSE,(DATE(LEFT('SQL Builder'!K153,4),MID('SQL Builder'!K153,6,2),MID('SQL Builder'!K153,9,2))),NA())</f>
        <v>#N/A</v>
      </c>
      <c r="C178" s="50" t="str">
        <f>IF(ISBLANK('SQL Builder'!K153)=FALSE,'SQL Builder'!L153,"")</f>
        <v/>
      </c>
      <c r="D178" s="1" t="str">
        <f>IF(ISBLANK('SQL Builder'!K153)=FALSE,'SQL Builder'!O153,"")</f>
        <v/>
      </c>
      <c r="H178" s="43" t="str">
        <f>IF(ISBLANK('SQL Builder'!K152)=FALSE,H177+1,"")</f>
        <v/>
      </c>
      <c r="I178" s="1" t="str">
        <f>IF(ISBLANK('SQL Builder'!P153)=FALSE,'SQL Builder'!N153,"")</f>
        <v/>
      </c>
      <c r="J178" s="79">
        <f t="shared" si="2"/>
        <v>0</v>
      </c>
      <c r="K178" s="81"/>
    </row>
    <row r="179" spans="2:11" ht="16.5" x14ac:dyDescent="0.25">
      <c r="B179" s="49" t="e">
        <f>IF(ISBLANK('SQL Builder'!K154)=FALSE,(DATE(LEFT('SQL Builder'!K154,4),MID('SQL Builder'!K154,6,2),MID('SQL Builder'!K154,9,2))),NA())</f>
        <v>#N/A</v>
      </c>
      <c r="C179" s="50" t="str">
        <f>IF(ISBLANK('SQL Builder'!K154)=FALSE,'SQL Builder'!L154,"")</f>
        <v/>
      </c>
      <c r="D179" s="1" t="str">
        <f>IF(ISBLANK('SQL Builder'!K154)=FALSE,'SQL Builder'!O154,"")</f>
        <v/>
      </c>
      <c r="H179" s="43" t="str">
        <f>IF(ISBLANK('SQL Builder'!K153)=FALSE,H178+1,"")</f>
        <v/>
      </c>
      <c r="I179" s="1" t="str">
        <f>IF(ISBLANK('SQL Builder'!P154)=FALSE,'SQL Builder'!N154,"")</f>
        <v/>
      </c>
      <c r="J179" s="79">
        <f t="shared" si="2"/>
        <v>0</v>
      </c>
      <c r="K179" s="81"/>
    </row>
    <row r="180" spans="2:11" ht="16.5" x14ac:dyDescent="0.25">
      <c r="B180" s="49" t="e">
        <f>IF(ISBLANK('SQL Builder'!K155)=FALSE,(DATE(LEFT('SQL Builder'!K155,4),MID('SQL Builder'!K155,6,2),MID('SQL Builder'!K155,9,2))),NA())</f>
        <v>#N/A</v>
      </c>
      <c r="C180" s="50" t="str">
        <f>IF(ISBLANK('SQL Builder'!K155)=FALSE,'SQL Builder'!L155,"")</f>
        <v/>
      </c>
      <c r="D180" s="1" t="str">
        <f>IF(ISBLANK('SQL Builder'!K155)=FALSE,'SQL Builder'!O155,"")</f>
        <v/>
      </c>
      <c r="H180" s="43" t="str">
        <f>IF(ISBLANK('SQL Builder'!K154)=FALSE,H179+1,"")</f>
        <v/>
      </c>
      <c r="I180" s="1" t="str">
        <f>IF(ISBLANK('SQL Builder'!P155)=FALSE,'SQL Builder'!N155,"")</f>
        <v/>
      </c>
      <c r="J180" s="79">
        <f t="shared" si="2"/>
        <v>0</v>
      </c>
      <c r="K180" s="81"/>
    </row>
    <row r="181" spans="2:11" ht="16.5" x14ac:dyDescent="0.25">
      <c r="B181" s="49" t="e">
        <f>IF(ISBLANK('SQL Builder'!K156)=FALSE,(DATE(LEFT('SQL Builder'!K156,4),MID('SQL Builder'!K156,6,2),MID('SQL Builder'!K156,9,2))),NA())</f>
        <v>#N/A</v>
      </c>
      <c r="C181" s="50" t="str">
        <f>IF(ISBLANK('SQL Builder'!K156)=FALSE,'SQL Builder'!L156,"")</f>
        <v/>
      </c>
      <c r="D181" s="1" t="str">
        <f>IF(ISBLANK('SQL Builder'!K156)=FALSE,'SQL Builder'!O156,"")</f>
        <v/>
      </c>
      <c r="H181" s="43" t="str">
        <f>IF(ISBLANK('SQL Builder'!K155)=FALSE,H180+1,"")</f>
        <v/>
      </c>
      <c r="I181" s="1" t="str">
        <f>IF(ISBLANK('SQL Builder'!P156)=FALSE,'SQL Builder'!N156,"")</f>
        <v/>
      </c>
      <c r="J181" s="79">
        <f t="shared" si="2"/>
        <v>0</v>
      </c>
      <c r="K181" s="81"/>
    </row>
    <row r="182" spans="2:11" ht="16.5" x14ac:dyDescent="0.25">
      <c r="B182" s="49" t="e">
        <f>IF(ISBLANK('SQL Builder'!K157)=FALSE,(DATE(LEFT('SQL Builder'!K157,4),MID('SQL Builder'!K157,6,2),MID('SQL Builder'!K157,9,2))),NA())</f>
        <v>#N/A</v>
      </c>
      <c r="C182" s="50" t="str">
        <f>IF(ISBLANK('SQL Builder'!K157)=FALSE,'SQL Builder'!L157,"")</f>
        <v/>
      </c>
      <c r="D182" s="1" t="str">
        <f>IF(ISBLANK('SQL Builder'!K157)=FALSE,'SQL Builder'!O157,"")</f>
        <v/>
      </c>
      <c r="H182" s="43" t="str">
        <f>IF(ISBLANK('SQL Builder'!K156)=FALSE,H181+1,"")</f>
        <v/>
      </c>
      <c r="I182" s="1" t="str">
        <f>IF(ISBLANK('SQL Builder'!P157)=FALSE,'SQL Builder'!N157,"")</f>
        <v/>
      </c>
      <c r="J182" s="79">
        <f t="shared" si="2"/>
        <v>0</v>
      </c>
      <c r="K182" s="81"/>
    </row>
    <row r="183" spans="2:11" ht="16.5" x14ac:dyDescent="0.25">
      <c r="B183" s="49" t="e">
        <f>IF(ISBLANK('SQL Builder'!K158)=FALSE,(DATE(LEFT('SQL Builder'!K158,4),MID('SQL Builder'!K158,6,2),MID('SQL Builder'!K158,9,2))),NA())</f>
        <v>#N/A</v>
      </c>
      <c r="C183" s="50" t="str">
        <f>IF(ISBLANK('SQL Builder'!K158)=FALSE,'SQL Builder'!L158,"")</f>
        <v/>
      </c>
      <c r="D183" s="1" t="str">
        <f>IF(ISBLANK('SQL Builder'!K158)=FALSE,'SQL Builder'!O158,"")</f>
        <v/>
      </c>
      <c r="H183" s="43" t="str">
        <f>IF(ISBLANK('SQL Builder'!K157)=FALSE,H182+1,"")</f>
        <v/>
      </c>
      <c r="I183" s="1" t="str">
        <f>IF(ISBLANK('SQL Builder'!P158)=FALSE,'SQL Builder'!N158,"")</f>
        <v/>
      </c>
      <c r="J183" s="79">
        <f t="shared" si="2"/>
        <v>0</v>
      </c>
      <c r="K183" s="81"/>
    </row>
    <row r="184" spans="2:11" ht="16.5" x14ac:dyDescent="0.25">
      <c r="B184" s="49" t="e">
        <f>IF(ISBLANK('SQL Builder'!K159)=FALSE,(DATE(LEFT('SQL Builder'!K159,4),MID('SQL Builder'!K159,6,2),MID('SQL Builder'!K159,9,2))),NA())</f>
        <v>#N/A</v>
      </c>
      <c r="C184" s="50" t="str">
        <f>IF(ISBLANK('SQL Builder'!K159)=FALSE,'SQL Builder'!L159,"")</f>
        <v/>
      </c>
      <c r="D184" s="1" t="str">
        <f>IF(ISBLANK('SQL Builder'!K159)=FALSE,'SQL Builder'!O159,"")</f>
        <v/>
      </c>
      <c r="H184" s="43" t="str">
        <f>IF(ISBLANK('SQL Builder'!K158)=FALSE,H183+1,"")</f>
        <v/>
      </c>
      <c r="I184" s="1" t="str">
        <f>IF(ISBLANK('SQL Builder'!P159)=FALSE,'SQL Builder'!N159,"")</f>
        <v/>
      </c>
      <c r="J184" s="79">
        <f t="shared" si="2"/>
        <v>0</v>
      </c>
      <c r="K184" s="81"/>
    </row>
    <row r="185" spans="2:11" ht="16.5" x14ac:dyDescent="0.25">
      <c r="B185" s="49" t="e">
        <f>IF(ISBLANK('SQL Builder'!K160)=FALSE,(DATE(LEFT('SQL Builder'!K160,4),MID('SQL Builder'!K160,6,2),MID('SQL Builder'!K160,9,2))),NA())</f>
        <v>#N/A</v>
      </c>
      <c r="C185" s="50" t="str">
        <f>IF(ISBLANK('SQL Builder'!K160)=FALSE,'SQL Builder'!L160,"")</f>
        <v/>
      </c>
      <c r="D185" s="1" t="str">
        <f>IF(ISBLANK('SQL Builder'!K160)=FALSE,'SQL Builder'!O160,"")</f>
        <v/>
      </c>
      <c r="H185" s="43" t="str">
        <f>IF(ISBLANK('SQL Builder'!K159)=FALSE,H184+1,"")</f>
        <v/>
      </c>
      <c r="I185" s="1" t="str">
        <f>IF(ISBLANK('SQL Builder'!P160)=FALSE,'SQL Builder'!N160,"")</f>
        <v/>
      </c>
      <c r="J185" s="79">
        <f t="shared" si="2"/>
        <v>0</v>
      </c>
      <c r="K185" s="81"/>
    </row>
    <row r="186" spans="2:11" ht="16.5" x14ac:dyDescent="0.25">
      <c r="B186" s="49" t="e">
        <f>IF(ISBLANK('SQL Builder'!K161)=FALSE,(DATE(LEFT('SQL Builder'!K161,4),MID('SQL Builder'!K161,6,2),MID('SQL Builder'!K161,9,2))),NA())</f>
        <v>#N/A</v>
      </c>
      <c r="C186" s="50" t="str">
        <f>IF(ISBLANK('SQL Builder'!K161)=FALSE,'SQL Builder'!L161,"")</f>
        <v/>
      </c>
      <c r="D186" s="1" t="str">
        <f>IF(ISBLANK('SQL Builder'!K161)=FALSE,'SQL Builder'!O161,"")</f>
        <v/>
      </c>
      <c r="H186" s="43" t="str">
        <f>IF(ISBLANK('SQL Builder'!K160)=FALSE,H185+1,"")</f>
        <v/>
      </c>
      <c r="I186" s="1" t="str">
        <f>IF(ISBLANK('SQL Builder'!P161)=FALSE,'SQL Builder'!N161,"")</f>
        <v/>
      </c>
      <c r="J186" s="79">
        <f t="shared" si="2"/>
        <v>0</v>
      </c>
      <c r="K186" s="81"/>
    </row>
    <row r="187" spans="2:11" ht="16.5" x14ac:dyDescent="0.25">
      <c r="B187" s="49" t="e">
        <f>IF(ISBLANK('SQL Builder'!K162)=FALSE,(DATE(LEFT('SQL Builder'!K162,4),MID('SQL Builder'!K162,6,2),MID('SQL Builder'!K162,9,2))),NA())</f>
        <v>#N/A</v>
      </c>
      <c r="C187" s="50" t="str">
        <f>IF(ISBLANK('SQL Builder'!K162)=FALSE,'SQL Builder'!L162,"")</f>
        <v/>
      </c>
      <c r="D187" s="1" t="str">
        <f>IF(ISBLANK('SQL Builder'!K162)=FALSE,'SQL Builder'!O162,"")</f>
        <v/>
      </c>
      <c r="H187" s="43" t="str">
        <f>IF(ISBLANK('SQL Builder'!K161)=FALSE,H186+1,"")</f>
        <v/>
      </c>
      <c r="I187" s="1" t="str">
        <f>IF(ISBLANK('SQL Builder'!P162)=FALSE,'SQL Builder'!N162,"")</f>
        <v/>
      </c>
      <c r="J187" s="79">
        <f t="shared" si="2"/>
        <v>0</v>
      </c>
      <c r="K187" s="81"/>
    </row>
    <row r="188" spans="2:11" ht="16.5" x14ac:dyDescent="0.25">
      <c r="B188" s="49" t="e">
        <f>IF(ISBLANK('SQL Builder'!K163)=FALSE,(DATE(LEFT('SQL Builder'!K163,4),MID('SQL Builder'!K163,6,2),MID('SQL Builder'!K163,9,2))),NA())</f>
        <v>#N/A</v>
      </c>
      <c r="C188" s="50" t="str">
        <f>IF(ISBLANK('SQL Builder'!K163)=FALSE,'SQL Builder'!L163,"")</f>
        <v/>
      </c>
      <c r="D188" s="1" t="str">
        <f>IF(ISBLANK('SQL Builder'!K163)=FALSE,'SQL Builder'!O163,"")</f>
        <v/>
      </c>
      <c r="H188" s="43" t="str">
        <f>IF(ISBLANK('SQL Builder'!K162)=FALSE,H187+1,"")</f>
        <v/>
      </c>
      <c r="I188" s="1" t="str">
        <f>IF(ISBLANK('SQL Builder'!P163)=FALSE,'SQL Builder'!N163,"")</f>
        <v/>
      </c>
      <c r="J188" s="79">
        <f t="shared" si="2"/>
        <v>0</v>
      </c>
      <c r="K188" s="81"/>
    </row>
    <row r="189" spans="2:11" ht="16.5" x14ac:dyDescent="0.25">
      <c r="B189" s="49" t="e">
        <f>IF(ISBLANK('SQL Builder'!K164)=FALSE,(DATE(LEFT('SQL Builder'!K164,4),MID('SQL Builder'!K164,6,2),MID('SQL Builder'!K164,9,2))),NA())</f>
        <v>#N/A</v>
      </c>
      <c r="C189" s="50" t="str">
        <f>IF(ISBLANK('SQL Builder'!K164)=FALSE,'SQL Builder'!L164,"")</f>
        <v/>
      </c>
      <c r="D189" s="1" t="str">
        <f>IF(ISBLANK('SQL Builder'!K164)=FALSE,'SQL Builder'!O164,"")</f>
        <v/>
      </c>
      <c r="H189" s="43" t="str">
        <f>IF(ISBLANK('SQL Builder'!K163)=FALSE,H188+1,"")</f>
        <v/>
      </c>
      <c r="I189" s="1" t="str">
        <f>IF(ISBLANK('SQL Builder'!P164)=FALSE,'SQL Builder'!N164,"")</f>
        <v/>
      </c>
      <c r="J189" s="79">
        <f t="shared" si="2"/>
        <v>0</v>
      </c>
      <c r="K189" s="81"/>
    </row>
    <row r="190" spans="2:11" ht="16.5" x14ac:dyDescent="0.25">
      <c r="B190" s="49" t="e">
        <f>IF(ISBLANK('SQL Builder'!K165)=FALSE,(DATE(LEFT('SQL Builder'!K165,4),MID('SQL Builder'!K165,6,2),MID('SQL Builder'!K165,9,2))),NA())</f>
        <v>#N/A</v>
      </c>
      <c r="C190" s="50" t="str">
        <f>IF(ISBLANK('SQL Builder'!K165)=FALSE,'SQL Builder'!L165,"")</f>
        <v/>
      </c>
      <c r="D190" s="1" t="str">
        <f>IF(ISBLANK('SQL Builder'!K165)=FALSE,'SQL Builder'!O165,"")</f>
        <v/>
      </c>
      <c r="H190" s="43" t="str">
        <f>IF(ISBLANK('SQL Builder'!K164)=FALSE,H189+1,"")</f>
        <v/>
      </c>
      <c r="I190" s="1" t="str">
        <f>IF(ISBLANK('SQL Builder'!P165)=FALSE,'SQL Builder'!N165,"")</f>
        <v/>
      </c>
      <c r="J190" s="79">
        <f t="shared" si="2"/>
        <v>0</v>
      </c>
      <c r="K190" s="81"/>
    </row>
    <row r="191" spans="2:11" ht="16.5" x14ac:dyDescent="0.25">
      <c r="B191" s="49" t="e">
        <f>IF(ISBLANK('SQL Builder'!K166)=FALSE,(DATE(LEFT('SQL Builder'!K166,4),MID('SQL Builder'!K166,6,2),MID('SQL Builder'!K166,9,2))),NA())</f>
        <v>#N/A</v>
      </c>
      <c r="C191" s="50" t="str">
        <f>IF(ISBLANK('SQL Builder'!K166)=FALSE,'SQL Builder'!L166,"")</f>
        <v/>
      </c>
      <c r="D191" s="1" t="str">
        <f>IF(ISBLANK('SQL Builder'!K166)=FALSE,'SQL Builder'!O166,"")</f>
        <v/>
      </c>
      <c r="H191" s="43" t="str">
        <f>IF(ISBLANK('SQL Builder'!K165)=FALSE,H190+1,"")</f>
        <v/>
      </c>
      <c r="I191" s="1" t="str">
        <f>IF(ISBLANK('SQL Builder'!P166)=FALSE,'SQL Builder'!N166,"")</f>
        <v/>
      </c>
      <c r="J191" s="79">
        <f t="shared" si="2"/>
        <v>0</v>
      </c>
      <c r="K191" s="81"/>
    </row>
    <row r="192" spans="2:11" ht="16.5" x14ac:dyDescent="0.25">
      <c r="B192" s="49" t="e">
        <f>IF(ISBLANK('SQL Builder'!K167)=FALSE,(DATE(LEFT('SQL Builder'!K167,4),MID('SQL Builder'!K167,6,2),MID('SQL Builder'!K167,9,2))),NA())</f>
        <v>#N/A</v>
      </c>
      <c r="C192" s="50" t="str">
        <f>IF(ISBLANK('SQL Builder'!K167)=FALSE,'SQL Builder'!L167,"")</f>
        <v/>
      </c>
      <c r="D192" s="1" t="str">
        <f>IF(ISBLANK('SQL Builder'!K167)=FALSE,'SQL Builder'!O167,"")</f>
        <v/>
      </c>
      <c r="H192" s="43" t="str">
        <f>IF(ISBLANK('SQL Builder'!K166)=FALSE,H191+1,"")</f>
        <v/>
      </c>
      <c r="I192" s="1" t="str">
        <f>IF(ISBLANK('SQL Builder'!P167)=FALSE,'SQL Builder'!N167,"")</f>
        <v/>
      </c>
      <c r="J192" s="79">
        <f t="shared" si="2"/>
        <v>0</v>
      </c>
      <c r="K192" s="81"/>
    </row>
    <row r="193" spans="2:11" ht="16.5" x14ac:dyDescent="0.25">
      <c r="B193" s="49" t="e">
        <f>IF(ISBLANK('SQL Builder'!K168)=FALSE,(DATE(LEFT('SQL Builder'!K168,4),MID('SQL Builder'!K168,6,2),MID('SQL Builder'!K168,9,2))),NA())</f>
        <v>#N/A</v>
      </c>
      <c r="C193" s="50" t="str">
        <f>IF(ISBLANK('SQL Builder'!K168)=FALSE,'SQL Builder'!L168,"")</f>
        <v/>
      </c>
      <c r="D193" s="1" t="str">
        <f>IF(ISBLANK('SQL Builder'!K168)=FALSE,'SQL Builder'!O168,"")</f>
        <v/>
      </c>
      <c r="H193" s="43" t="str">
        <f>IF(ISBLANK('SQL Builder'!K167)=FALSE,H192+1,"")</f>
        <v/>
      </c>
      <c r="I193" s="1" t="str">
        <f>IF(ISBLANK('SQL Builder'!P168)=FALSE,'SQL Builder'!N168,"")</f>
        <v/>
      </c>
      <c r="J193" s="79">
        <f t="shared" si="2"/>
        <v>0</v>
      </c>
      <c r="K193" s="81"/>
    </row>
    <row r="194" spans="2:11" ht="16.5" x14ac:dyDescent="0.25">
      <c r="B194" s="49" t="e">
        <f>IF(ISBLANK('SQL Builder'!K169)=FALSE,(DATE(LEFT('SQL Builder'!K169,4),MID('SQL Builder'!K169,6,2),MID('SQL Builder'!K169,9,2))),NA())</f>
        <v>#N/A</v>
      </c>
      <c r="C194" s="50" t="str">
        <f>IF(ISBLANK('SQL Builder'!K169)=FALSE,'SQL Builder'!L169,"")</f>
        <v/>
      </c>
      <c r="D194" s="1" t="str">
        <f>IF(ISBLANK('SQL Builder'!K169)=FALSE,'SQL Builder'!O169,"")</f>
        <v/>
      </c>
      <c r="H194" s="43" t="str">
        <f>IF(ISBLANK('SQL Builder'!K168)=FALSE,H193+1,"")</f>
        <v/>
      </c>
      <c r="I194" s="1" t="str">
        <f>IF(ISBLANK('SQL Builder'!P169)=FALSE,'SQL Builder'!N169,"")</f>
        <v/>
      </c>
      <c r="J194" s="79">
        <f t="shared" si="2"/>
        <v>0</v>
      </c>
      <c r="K194" s="81"/>
    </row>
    <row r="195" spans="2:11" ht="16.5" x14ac:dyDescent="0.25">
      <c r="B195" s="49" t="e">
        <f>IF(ISBLANK('SQL Builder'!K170)=FALSE,(DATE(LEFT('SQL Builder'!K170,4),MID('SQL Builder'!K170,6,2),MID('SQL Builder'!K170,9,2))),NA())</f>
        <v>#N/A</v>
      </c>
      <c r="C195" s="50" t="str">
        <f>IF(ISBLANK('SQL Builder'!K170)=FALSE,'SQL Builder'!L170,"")</f>
        <v/>
      </c>
      <c r="D195" s="1" t="str">
        <f>IF(ISBLANK('SQL Builder'!K170)=FALSE,'SQL Builder'!O170,"")</f>
        <v/>
      </c>
      <c r="H195" s="43" t="str">
        <f>IF(ISBLANK('SQL Builder'!K169)=FALSE,H194+1,"")</f>
        <v/>
      </c>
      <c r="I195" s="1" t="str">
        <f>IF(ISBLANK('SQL Builder'!P170)=FALSE,'SQL Builder'!N170,"")</f>
        <v/>
      </c>
      <c r="J195" s="79">
        <f t="shared" si="2"/>
        <v>0</v>
      </c>
      <c r="K195" s="81"/>
    </row>
    <row r="196" spans="2:11" ht="16.5" x14ac:dyDescent="0.25">
      <c r="B196" s="49" t="e">
        <f>IF(ISBLANK('SQL Builder'!K171)=FALSE,(DATE(LEFT('SQL Builder'!K171,4),MID('SQL Builder'!K171,6,2),MID('SQL Builder'!K171,9,2))),NA())</f>
        <v>#N/A</v>
      </c>
      <c r="C196" s="50" t="str">
        <f>IF(ISBLANK('SQL Builder'!K171)=FALSE,'SQL Builder'!L171,"")</f>
        <v/>
      </c>
      <c r="D196" s="1" t="str">
        <f>IF(ISBLANK('SQL Builder'!K171)=FALSE,'SQL Builder'!O171,"")</f>
        <v/>
      </c>
      <c r="H196" s="43" t="str">
        <f>IF(ISBLANK('SQL Builder'!K170)=FALSE,H195+1,"")</f>
        <v/>
      </c>
      <c r="I196" s="1" t="str">
        <f>IF(ISBLANK('SQL Builder'!P171)=FALSE,'SQL Builder'!N171,"")</f>
        <v/>
      </c>
      <c r="J196" s="79">
        <f t="shared" si="2"/>
        <v>0</v>
      </c>
      <c r="K196" s="81"/>
    </row>
    <row r="197" spans="2:11" ht="16.5" x14ac:dyDescent="0.25">
      <c r="B197" s="49" t="e">
        <f>IF(ISBLANK('SQL Builder'!K172)=FALSE,(DATE(LEFT('SQL Builder'!K172,4),MID('SQL Builder'!K172,6,2),MID('SQL Builder'!K172,9,2))),NA())</f>
        <v>#N/A</v>
      </c>
      <c r="C197" s="50" t="str">
        <f>IF(ISBLANK('SQL Builder'!K172)=FALSE,'SQL Builder'!L172,"")</f>
        <v/>
      </c>
      <c r="D197" s="1" t="str">
        <f>IF(ISBLANK('SQL Builder'!K172)=FALSE,'SQL Builder'!O172,"")</f>
        <v/>
      </c>
      <c r="H197" s="43" t="str">
        <f>IF(ISBLANK('SQL Builder'!K171)=FALSE,H196+1,"")</f>
        <v/>
      </c>
      <c r="I197" s="1" t="str">
        <f>IF(ISBLANK('SQL Builder'!P172)=FALSE,'SQL Builder'!N172,"")</f>
        <v/>
      </c>
      <c r="J197" s="79">
        <f t="shared" si="2"/>
        <v>0</v>
      </c>
      <c r="K197" s="81"/>
    </row>
    <row r="198" spans="2:11" ht="16.5" x14ac:dyDescent="0.25">
      <c r="B198" s="49" t="e">
        <f>IF(ISBLANK('SQL Builder'!K173)=FALSE,(DATE(LEFT('SQL Builder'!K173,4),MID('SQL Builder'!K173,6,2),MID('SQL Builder'!K173,9,2))),NA())</f>
        <v>#N/A</v>
      </c>
      <c r="C198" s="50" t="str">
        <f>IF(ISBLANK('SQL Builder'!K173)=FALSE,'SQL Builder'!L173,"")</f>
        <v/>
      </c>
      <c r="D198" s="1" t="str">
        <f>IF(ISBLANK('SQL Builder'!K173)=FALSE,'SQL Builder'!O173,"")</f>
        <v/>
      </c>
      <c r="H198" s="43" t="str">
        <f>IF(ISBLANK('SQL Builder'!K172)=FALSE,H197+1,"")</f>
        <v/>
      </c>
      <c r="I198" s="1" t="str">
        <f>IF(ISBLANK('SQL Builder'!P173)=FALSE,'SQL Builder'!N173,"")</f>
        <v/>
      </c>
      <c r="J198" s="79">
        <f t="shared" si="2"/>
        <v>0</v>
      </c>
      <c r="K198" s="81"/>
    </row>
    <row r="199" spans="2:11" ht="16.5" x14ac:dyDescent="0.25">
      <c r="B199" s="49" t="e">
        <f>IF(ISBLANK('SQL Builder'!K174)=FALSE,(DATE(LEFT('SQL Builder'!K174,4),MID('SQL Builder'!K174,6,2),MID('SQL Builder'!K174,9,2))),NA())</f>
        <v>#N/A</v>
      </c>
      <c r="C199" s="50" t="str">
        <f>IF(ISBLANK('SQL Builder'!K174)=FALSE,'SQL Builder'!L174,"")</f>
        <v/>
      </c>
      <c r="D199" s="1" t="str">
        <f>IF(ISBLANK('SQL Builder'!K174)=FALSE,'SQL Builder'!O174,"")</f>
        <v/>
      </c>
      <c r="H199" s="43" t="str">
        <f>IF(ISBLANK('SQL Builder'!K173)=FALSE,H198+1,"")</f>
        <v/>
      </c>
      <c r="I199" s="1" t="str">
        <f>IF(ISBLANK('SQL Builder'!P174)=FALSE,'SQL Builder'!N174,"")</f>
        <v/>
      </c>
      <c r="J199" s="79">
        <f t="shared" si="2"/>
        <v>0</v>
      </c>
      <c r="K199" s="81"/>
    </row>
    <row r="200" spans="2:11" ht="16.5" x14ac:dyDescent="0.25">
      <c r="B200" s="49" t="e">
        <f>IF(ISBLANK('SQL Builder'!K175)=FALSE,(DATE(LEFT('SQL Builder'!K175,4),MID('SQL Builder'!K175,6,2),MID('SQL Builder'!K175,9,2))),NA())</f>
        <v>#N/A</v>
      </c>
      <c r="C200" s="50" t="str">
        <f>IF(ISBLANK('SQL Builder'!K175)=FALSE,'SQL Builder'!L175,"")</f>
        <v/>
      </c>
      <c r="D200" s="1" t="str">
        <f>IF(ISBLANK('SQL Builder'!K175)=FALSE,'SQL Builder'!O175,"")</f>
        <v/>
      </c>
      <c r="H200" s="43" t="str">
        <f>IF(ISBLANK('SQL Builder'!K174)=FALSE,H199+1,"")</f>
        <v/>
      </c>
      <c r="I200" s="1" t="str">
        <f>IF(ISBLANK('SQL Builder'!P175)=FALSE,'SQL Builder'!N175,"")</f>
        <v/>
      </c>
      <c r="J200" s="79">
        <f t="shared" si="2"/>
        <v>0</v>
      </c>
      <c r="K200" s="81"/>
    </row>
    <row r="201" spans="2:11" ht="16.5" x14ac:dyDescent="0.25">
      <c r="B201" s="49" t="e">
        <f>IF(ISBLANK('SQL Builder'!K176)=FALSE,(DATE(LEFT('SQL Builder'!K176,4),MID('SQL Builder'!K176,6,2),MID('SQL Builder'!K176,9,2))),NA())</f>
        <v>#N/A</v>
      </c>
      <c r="C201" s="50" t="str">
        <f>IF(ISBLANK('SQL Builder'!K176)=FALSE,'SQL Builder'!L176,"")</f>
        <v/>
      </c>
      <c r="D201" s="1" t="str">
        <f>IF(ISBLANK('SQL Builder'!K176)=FALSE,'SQL Builder'!O176,"")</f>
        <v/>
      </c>
      <c r="H201" s="43" t="str">
        <f>IF(ISBLANK('SQL Builder'!K175)=FALSE,H200+1,"")</f>
        <v/>
      </c>
      <c r="I201" s="1" t="str">
        <f>IF(ISBLANK('SQL Builder'!P176)=FALSE,'SQL Builder'!N176,"")</f>
        <v/>
      </c>
      <c r="J201" s="79">
        <f t="shared" si="2"/>
        <v>0</v>
      </c>
      <c r="K201" s="81"/>
    </row>
    <row r="202" spans="2:11" ht="16.5" x14ac:dyDescent="0.25">
      <c r="B202" s="49" t="e">
        <f>IF(ISBLANK('SQL Builder'!K177)=FALSE,(DATE(LEFT('SQL Builder'!K177,4),MID('SQL Builder'!K177,6,2),MID('SQL Builder'!K177,9,2))),NA())</f>
        <v>#N/A</v>
      </c>
      <c r="C202" s="50" t="str">
        <f>IF(ISBLANK('SQL Builder'!K177)=FALSE,'SQL Builder'!L177,"")</f>
        <v/>
      </c>
      <c r="D202" s="1" t="str">
        <f>IF(ISBLANK('SQL Builder'!K177)=FALSE,'SQL Builder'!O177,"")</f>
        <v/>
      </c>
      <c r="H202" s="43" t="str">
        <f>IF(ISBLANK('SQL Builder'!K176)=FALSE,H201+1,"")</f>
        <v/>
      </c>
      <c r="I202" s="1" t="str">
        <f>IF(ISBLANK('SQL Builder'!P177)=FALSE,'SQL Builder'!N177,"")</f>
        <v/>
      </c>
      <c r="J202" s="79">
        <f t="shared" si="2"/>
        <v>0</v>
      </c>
      <c r="K202" s="81"/>
    </row>
    <row r="203" spans="2:11" ht="16.5" x14ac:dyDescent="0.25">
      <c r="B203" s="49" t="e">
        <f>IF(ISBLANK('SQL Builder'!K178)=FALSE,(DATE(LEFT('SQL Builder'!K178,4),MID('SQL Builder'!K178,6,2),MID('SQL Builder'!K178,9,2))),NA())</f>
        <v>#N/A</v>
      </c>
      <c r="C203" s="50" t="str">
        <f>IF(ISBLANK('SQL Builder'!K178)=FALSE,'SQL Builder'!L178,"")</f>
        <v/>
      </c>
      <c r="D203" s="1" t="str">
        <f>IF(ISBLANK('SQL Builder'!K178)=FALSE,'SQL Builder'!O178,"")</f>
        <v/>
      </c>
      <c r="H203" s="43" t="str">
        <f>IF(ISBLANK('SQL Builder'!K177)=FALSE,H202+1,"")</f>
        <v/>
      </c>
      <c r="I203" s="1" t="str">
        <f>IF(ISBLANK('SQL Builder'!P178)=FALSE,'SQL Builder'!N178,"")</f>
        <v/>
      </c>
      <c r="J203" s="79">
        <f t="shared" si="2"/>
        <v>0</v>
      </c>
      <c r="K203" s="81"/>
    </row>
    <row r="204" spans="2:11" ht="16.5" x14ac:dyDescent="0.25">
      <c r="B204" s="49" t="e">
        <f>IF(ISBLANK('SQL Builder'!K179)=FALSE,(DATE(LEFT('SQL Builder'!K179,4),MID('SQL Builder'!K179,6,2),MID('SQL Builder'!K179,9,2))),NA())</f>
        <v>#N/A</v>
      </c>
      <c r="C204" s="50" t="str">
        <f>IF(ISBLANK('SQL Builder'!K179)=FALSE,'SQL Builder'!L179,"")</f>
        <v/>
      </c>
      <c r="D204" s="1" t="str">
        <f>IF(ISBLANK('SQL Builder'!K179)=FALSE,'SQL Builder'!O179,"")</f>
        <v/>
      </c>
      <c r="H204" s="43" t="str">
        <f>IF(ISBLANK('SQL Builder'!K178)=FALSE,H203+1,"")</f>
        <v/>
      </c>
      <c r="I204" s="1" t="str">
        <f>IF(ISBLANK('SQL Builder'!P179)=FALSE,'SQL Builder'!N179,"")</f>
        <v/>
      </c>
      <c r="J204" s="79">
        <f t="shared" si="2"/>
        <v>0</v>
      </c>
      <c r="K204" s="81"/>
    </row>
    <row r="205" spans="2:11" ht="16.5" x14ac:dyDescent="0.25">
      <c r="B205" s="49" t="e">
        <f>IF(ISBLANK('SQL Builder'!K180)=FALSE,(DATE(LEFT('SQL Builder'!K180,4),MID('SQL Builder'!K180,6,2),MID('SQL Builder'!K180,9,2))),NA())</f>
        <v>#N/A</v>
      </c>
      <c r="C205" s="50" t="str">
        <f>IF(ISBLANK('SQL Builder'!K180)=FALSE,'SQL Builder'!L180,"")</f>
        <v/>
      </c>
      <c r="D205" s="1" t="str">
        <f>IF(ISBLANK('SQL Builder'!K180)=FALSE,'SQL Builder'!O180,"")</f>
        <v/>
      </c>
      <c r="H205" s="43" t="str">
        <f>IF(ISBLANK('SQL Builder'!K179)=FALSE,H204+1,"")</f>
        <v/>
      </c>
      <c r="I205" s="1" t="str">
        <f>IF(ISBLANK('SQL Builder'!P180)=FALSE,'SQL Builder'!N180,"")</f>
        <v/>
      </c>
      <c r="J205" s="79">
        <f t="shared" si="2"/>
        <v>0</v>
      </c>
      <c r="K205" s="81"/>
    </row>
    <row r="206" spans="2:11" ht="16.5" x14ac:dyDescent="0.25">
      <c r="B206" s="49" t="e">
        <f>IF(ISBLANK('SQL Builder'!K181)=FALSE,(DATE(LEFT('SQL Builder'!K181,4),MID('SQL Builder'!K181,6,2),MID('SQL Builder'!K181,9,2))),NA())</f>
        <v>#N/A</v>
      </c>
      <c r="C206" s="50" t="str">
        <f>IF(ISBLANK('SQL Builder'!K181)=FALSE,'SQL Builder'!L181,"")</f>
        <v/>
      </c>
      <c r="D206" s="1" t="str">
        <f>IF(ISBLANK('SQL Builder'!K181)=FALSE,'SQL Builder'!O181,"")</f>
        <v/>
      </c>
      <c r="H206" s="43" t="str">
        <f>IF(ISBLANK('SQL Builder'!K180)=FALSE,H205+1,"")</f>
        <v/>
      </c>
      <c r="I206" s="1" t="str">
        <f>IF(ISBLANK('SQL Builder'!P181)=FALSE,'SQL Builder'!N181,"")</f>
        <v/>
      </c>
      <c r="J206" s="79">
        <f t="shared" si="2"/>
        <v>0</v>
      </c>
      <c r="K206" s="81"/>
    </row>
    <row r="207" spans="2:11" ht="16.5" x14ac:dyDescent="0.25">
      <c r="B207" s="49" t="e">
        <f>IF(ISBLANK('SQL Builder'!K182)=FALSE,(DATE(LEFT('SQL Builder'!K182,4),MID('SQL Builder'!K182,6,2),MID('SQL Builder'!K182,9,2))),NA())</f>
        <v>#N/A</v>
      </c>
      <c r="C207" s="50" t="str">
        <f>IF(ISBLANK('SQL Builder'!K182)=FALSE,'SQL Builder'!L182,"")</f>
        <v/>
      </c>
      <c r="D207" s="1" t="str">
        <f>IF(ISBLANK('SQL Builder'!K182)=FALSE,'SQL Builder'!O182,"")</f>
        <v/>
      </c>
      <c r="H207" s="43" t="str">
        <f>IF(ISBLANK('SQL Builder'!K181)=FALSE,H206+1,"")</f>
        <v/>
      </c>
      <c r="I207" s="1" t="str">
        <f>IF(ISBLANK('SQL Builder'!P182)=FALSE,'SQL Builder'!N182,"")</f>
        <v/>
      </c>
      <c r="J207" s="79">
        <f t="shared" si="2"/>
        <v>0</v>
      </c>
      <c r="K207" s="81"/>
    </row>
    <row r="208" spans="2:11" ht="16.5" x14ac:dyDescent="0.25">
      <c r="B208" s="49" t="e">
        <f>IF(ISBLANK('SQL Builder'!K183)=FALSE,(DATE(LEFT('SQL Builder'!K183,4),MID('SQL Builder'!K183,6,2),MID('SQL Builder'!K183,9,2))),NA())</f>
        <v>#N/A</v>
      </c>
      <c r="C208" s="50" t="str">
        <f>IF(ISBLANK('SQL Builder'!K183)=FALSE,'SQL Builder'!L183,"")</f>
        <v/>
      </c>
      <c r="D208" s="1" t="str">
        <f>IF(ISBLANK('SQL Builder'!K183)=FALSE,'SQL Builder'!O183,"")</f>
        <v/>
      </c>
      <c r="H208" s="43" t="str">
        <f>IF(ISBLANK('SQL Builder'!K182)=FALSE,H207+1,"")</f>
        <v/>
      </c>
      <c r="I208" s="1" t="str">
        <f>IF(ISBLANK('SQL Builder'!P183)=FALSE,'SQL Builder'!N183,"")</f>
        <v/>
      </c>
      <c r="J208" s="79">
        <f t="shared" si="2"/>
        <v>0</v>
      </c>
      <c r="K208" s="81"/>
    </row>
    <row r="209" spans="2:11" ht="16.5" x14ac:dyDescent="0.25">
      <c r="B209" s="49" t="e">
        <f>IF(ISBLANK('SQL Builder'!K184)=FALSE,(DATE(LEFT('SQL Builder'!K184,4),MID('SQL Builder'!K184,6,2),MID('SQL Builder'!K184,9,2))),NA())</f>
        <v>#N/A</v>
      </c>
      <c r="C209" s="50" t="str">
        <f>IF(ISBLANK('SQL Builder'!K184)=FALSE,'SQL Builder'!L184,"")</f>
        <v/>
      </c>
      <c r="D209" s="1" t="str">
        <f>IF(ISBLANK('SQL Builder'!K184)=FALSE,'SQL Builder'!O184,"")</f>
        <v/>
      </c>
      <c r="H209" s="43" t="str">
        <f>IF(ISBLANK('SQL Builder'!K183)=FALSE,H208+1,"")</f>
        <v/>
      </c>
      <c r="I209" s="1" t="str">
        <f>IF(ISBLANK('SQL Builder'!P184)=FALSE,'SQL Builder'!N184,"")</f>
        <v/>
      </c>
      <c r="J209" s="79">
        <f t="shared" si="2"/>
        <v>0</v>
      </c>
      <c r="K209" s="81"/>
    </row>
    <row r="210" spans="2:11" ht="16.5" x14ac:dyDescent="0.25">
      <c r="B210" s="49" t="e">
        <f>IF(ISBLANK('SQL Builder'!K185)=FALSE,(DATE(LEFT('SQL Builder'!K185,4),MID('SQL Builder'!K185,6,2),MID('SQL Builder'!K185,9,2))),NA())</f>
        <v>#N/A</v>
      </c>
      <c r="C210" s="50" t="str">
        <f>IF(ISBLANK('SQL Builder'!K185)=FALSE,'SQL Builder'!L185,"")</f>
        <v/>
      </c>
      <c r="D210" s="1" t="str">
        <f>IF(ISBLANK('SQL Builder'!K185)=FALSE,'SQL Builder'!O185,"")</f>
        <v/>
      </c>
      <c r="H210" s="43" t="str">
        <f>IF(ISBLANK('SQL Builder'!K184)=FALSE,H209+1,"")</f>
        <v/>
      </c>
      <c r="I210" s="1" t="str">
        <f>IF(ISBLANK('SQL Builder'!P185)=FALSE,'SQL Builder'!N185,"")</f>
        <v/>
      </c>
      <c r="J210" s="79">
        <f t="shared" si="2"/>
        <v>0</v>
      </c>
      <c r="K210" s="81"/>
    </row>
    <row r="211" spans="2:11" ht="16.5" x14ac:dyDescent="0.25">
      <c r="B211" s="49" t="e">
        <f>IF(ISBLANK('SQL Builder'!K186)=FALSE,(DATE(LEFT('SQL Builder'!K186,4),MID('SQL Builder'!K186,6,2),MID('SQL Builder'!K186,9,2))),NA())</f>
        <v>#N/A</v>
      </c>
      <c r="C211" s="50" t="str">
        <f>IF(ISBLANK('SQL Builder'!K186)=FALSE,'SQL Builder'!L186,"")</f>
        <v/>
      </c>
      <c r="D211" s="1" t="str">
        <f>IF(ISBLANK('SQL Builder'!K186)=FALSE,'SQL Builder'!O186,"")</f>
        <v/>
      </c>
      <c r="H211" s="43" t="str">
        <f>IF(ISBLANK('SQL Builder'!K185)=FALSE,H210+1,"")</f>
        <v/>
      </c>
      <c r="I211" s="1" t="str">
        <f>IF(ISBLANK('SQL Builder'!P186)=FALSE,'SQL Builder'!N186,"")</f>
        <v/>
      </c>
      <c r="J211" s="79">
        <f t="shared" si="2"/>
        <v>0</v>
      </c>
      <c r="K211" s="81"/>
    </row>
    <row r="212" spans="2:11" ht="16.5" x14ac:dyDescent="0.25">
      <c r="B212" s="49" t="e">
        <f>IF(ISBLANK('SQL Builder'!K187)=FALSE,(DATE(LEFT('SQL Builder'!K187,4),MID('SQL Builder'!K187,6,2),MID('SQL Builder'!K187,9,2))),NA())</f>
        <v>#N/A</v>
      </c>
      <c r="C212" s="50" t="str">
        <f>IF(ISBLANK('SQL Builder'!K187)=FALSE,'SQL Builder'!L187,"")</f>
        <v/>
      </c>
      <c r="D212" s="1" t="str">
        <f>IF(ISBLANK('SQL Builder'!K187)=FALSE,'SQL Builder'!O187,"")</f>
        <v/>
      </c>
      <c r="H212" s="43" t="str">
        <f>IF(ISBLANK('SQL Builder'!K186)=FALSE,H211+1,"")</f>
        <v/>
      </c>
      <c r="I212" s="1" t="str">
        <f>IF(ISBLANK('SQL Builder'!P187)=FALSE,'SQL Builder'!N187,"")</f>
        <v/>
      </c>
      <c r="J212" s="79">
        <f t="shared" si="2"/>
        <v>0</v>
      </c>
      <c r="K212" s="81"/>
    </row>
    <row r="213" spans="2:11" ht="16.5" x14ac:dyDescent="0.25">
      <c r="B213" s="49" t="e">
        <f>IF(ISBLANK('SQL Builder'!K188)=FALSE,(DATE(LEFT('SQL Builder'!K188,4),MID('SQL Builder'!K188,6,2),MID('SQL Builder'!K188,9,2))),NA())</f>
        <v>#N/A</v>
      </c>
      <c r="C213" s="50" t="str">
        <f>IF(ISBLANK('SQL Builder'!K188)=FALSE,'SQL Builder'!L188,"")</f>
        <v/>
      </c>
      <c r="D213" s="1" t="str">
        <f>IF(ISBLANK('SQL Builder'!K188)=FALSE,'SQL Builder'!O188,"")</f>
        <v/>
      </c>
      <c r="H213" s="43" t="str">
        <f>IF(ISBLANK('SQL Builder'!K187)=FALSE,H212+1,"")</f>
        <v/>
      </c>
      <c r="I213" s="1" t="str">
        <f>IF(ISBLANK('SQL Builder'!P188)=FALSE,'SQL Builder'!N188,"")</f>
        <v/>
      </c>
      <c r="J213" s="79">
        <f t="shared" si="2"/>
        <v>0</v>
      </c>
      <c r="K213" s="81"/>
    </row>
    <row r="214" spans="2:11" ht="16.5" x14ac:dyDescent="0.25">
      <c r="B214" s="49" t="e">
        <f>IF(ISBLANK('SQL Builder'!K189)=FALSE,(DATE(LEFT('SQL Builder'!K189,4),MID('SQL Builder'!K189,6,2),MID('SQL Builder'!K189,9,2))),NA())</f>
        <v>#N/A</v>
      </c>
      <c r="C214" s="50" t="str">
        <f>IF(ISBLANK('SQL Builder'!K189)=FALSE,'SQL Builder'!L189,"")</f>
        <v/>
      </c>
      <c r="D214" s="1" t="str">
        <f>IF(ISBLANK('SQL Builder'!K189)=FALSE,'SQL Builder'!O189,"")</f>
        <v/>
      </c>
      <c r="H214" s="43" t="str">
        <f>IF(ISBLANK('SQL Builder'!K188)=FALSE,H213+1,"")</f>
        <v/>
      </c>
      <c r="I214" s="1" t="str">
        <f>IF(ISBLANK('SQL Builder'!P189)=FALSE,'SQL Builder'!N189,"")</f>
        <v/>
      </c>
      <c r="J214" s="79">
        <f t="shared" si="2"/>
        <v>0</v>
      </c>
      <c r="K214" s="81"/>
    </row>
    <row r="215" spans="2:11" ht="16.5" x14ac:dyDescent="0.25">
      <c r="B215" s="49" t="e">
        <f>IF(ISBLANK('SQL Builder'!K190)=FALSE,(DATE(LEFT('SQL Builder'!K190,4),MID('SQL Builder'!K190,6,2),MID('SQL Builder'!K190,9,2))),NA())</f>
        <v>#N/A</v>
      </c>
      <c r="C215" s="50" t="str">
        <f>IF(ISBLANK('SQL Builder'!K190)=FALSE,'SQL Builder'!L190,"")</f>
        <v/>
      </c>
      <c r="D215" s="1" t="str">
        <f>IF(ISBLANK('SQL Builder'!K190)=FALSE,'SQL Builder'!O190,"")</f>
        <v/>
      </c>
      <c r="H215" s="43" t="str">
        <f>IF(ISBLANK('SQL Builder'!K189)=FALSE,H214+1,"")</f>
        <v/>
      </c>
      <c r="I215" s="1" t="str">
        <f>IF(ISBLANK('SQL Builder'!P190)=FALSE,'SQL Builder'!N190,"")</f>
        <v/>
      </c>
      <c r="J215" s="79">
        <f t="shared" si="2"/>
        <v>0</v>
      </c>
      <c r="K215" s="81"/>
    </row>
    <row r="216" spans="2:11" ht="16.5" x14ac:dyDescent="0.25">
      <c r="B216" s="49" t="e">
        <f>IF(ISBLANK('SQL Builder'!K191)=FALSE,(DATE(LEFT('SQL Builder'!K191,4),MID('SQL Builder'!K191,6,2),MID('SQL Builder'!K191,9,2))),NA())</f>
        <v>#N/A</v>
      </c>
      <c r="C216" s="50" t="str">
        <f>IF(ISBLANK('SQL Builder'!K191)=FALSE,'SQL Builder'!L191,"")</f>
        <v/>
      </c>
      <c r="D216" s="1" t="str">
        <f>IF(ISBLANK('SQL Builder'!K191)=FALSE,'SQL Builder'!O191,"")</f>
        <v/>
      </c>
      <c r="H216" s="43" t="str">
        <f>IF(ISBLANK('SQL Builder'!K190)=FALSE,H215+1,"")</f>
        <v/>
      </c>
      <c r="I216" s="1" t="str">
        <f>IF(ISBLANK('SQL Builder'!P191)=FALSE,'SQL Builder'!N191,"")</f>
        <v/>
      </c>
      <c r="J216" s="79">
        <f t="shared" si="2"/>
        <v>0</v>
      </c>
      <c r="K216" s="81"/>
    </row>
    <row r="217" spans="2:11" ht="16.5" x14ac:dyDescent="0.25">
      <c r="B217" s="49" t="e">
        <f>IF(ISBLANK('SQL Builder'!K192)=FALSE,(DATE(LEFT('SQL Builder'!K192,4),MID('SQL Builder'!K192,6,2),MID('SQL Builder'!K192,9,2))),NA())</f>
        <v>#N/A</v>
      </c>
      <c r="C217" s="50" t="str">
        <f>IF(ISBLANK('SQL Builder'!K192)=FALSE,'SQL Builder'!L192,"")</f>
        <v/>
      </c>
      <c r="D217" s="1" t="str">
        <f>IF(ISBLANK('SQL Builder'!K192)=FALSE,'SQL Builder'!O192,"")</f>
        <v/>
      </c>
      <c r="H217" s="43" t="str">
        <f>IF(ISBLANK('SQL Builder'!K191)=FALSE,H216+1,"")</f>
        <v/>
      </c>
      <c r="I217" s="1" t="str">
        <f>IF(ISBLANK('SQL Builder'!P192)=FALSE,'SQL Builder'!N192,"")</f>
        <v/>
      </c>
      <c r="J217" s="79">
        <f t="shared" si="2"/>
        <v>0</v>
      </c>
      <c r="K217" s="81"/>
    </row>
    <row r="218" spans="2:11" ht="16.5" x14ac:dyDescent="0.25">
      <c r="B218" s="49" t="e">
        <f>IF(ISBLANK('SQL Builder'!K193)=FALSE,(DATE(LEFT('SQL Builder'!K193,4),MID('SQL Builder'!K193,6,2),MID('SQL Builder'!K193,9,2))),NA())</f>
        <v>#N/A</v>
      </c>
      <c r="C218" s="50" t="str">
        <f>IF(ISBLANK('SQL Builder'!K193)=FALSE,'SQL Builder'!L193,"")</f>
        <v/>
      </c>
      <c r="D218" s="1" t="str">
        <f>IF(ISBLANK('SQL Builder'!K193)=FALSE,'SQL Builder'!O193,"")</f>
        <v/>
      </c>
      <c r="H218" s="43" t="str">
        <f>IF(ISBLANK('SQL Builder'!K192)=FALSE,H217+1,"")</f>
        <v/>
      </c>
      <c r="I218" s="1" t="str">
        <f>IF(ISBLANK('SQL Builder'!P193)=FALSE,'SQL Builder'!N193,"")</f>
        <v/>
      </c>
      <c r="J218" s="79">
        <f t="shared" si="2"/>
        <v>0</v>
      </c>
      <c r="K218" s="81"/>
    </row>
    <row r="219" spans="2:11" ht="16.5" x14ac:dyDescent="0.25">
      <c r="B219" s="49" t="e">
        <f>IF(ISBLANK('SQL Builder'!K194)=FALSE,(DATE(LEFT('SQL Builder'!K194,4),MID('SQL Builder'!K194,6,2),MID('SQL Builder'!K194,9,2))),NA())</f>
        <v>#N/A</v>
      </c>
      <c r="C219" s="50" t="str">
        <f>IF(ISBLANK('SQL Builder'!K194)=FALSE,'SQL Builder'!L194,"")</f>
        <v/>
      </c>
      <c r="D219" s="1" t="str">
        <f>IF(ISBLANK('SQL Builder'!K194)=FALSE,'SQL Builder'!O194,"")</f>
        <v/>
      </c>
      <c r="H219" s="43" t="str">
        <f>IF(ISBLANK('SQL Builder'!K193)=FALSE,H218+1,"")</f>
        <v/>
      </c>
      <c r="I219" s="1" t="str">
        <f>IF(ISBLANK('SQL Builder'!P194)=FALSE,'SQL Builder'!N194,"")</f>
        <v/>
      </c>
      <c r="J219" s="79">
        <f t="shared" si="2"/>
        <v>0</v>
      </c>
      <c r="K219" s="81"/>
    </row>
    <row r="220" spans="2:11" ht="16.5" x14ac:dyDescent="0.25">
      <c r="B220" s="49" t="e">
        <f>IF(ISBLANK('SQL Builder'!K195)=FALSE,(DATE(LEFT('SQL Builder'!K195,4),MID('SQL Builder'!K195,6,2),MID('SQL Builder'!K195,9,2))),NA())</f>
        <v>#N/A</v>
      </c>
      <c r="C220" s="50" t="str">
        <f>IF(ISBLANK('SQL Builder'!K195)=FALSE,'SQL Builder'!L195,"")</f>
        <v/>
      </c>
      <c r="D220" s="1" t="str">
        <f>IF(ISBLANK('SQL Builder'!K195)=FALSE,'SQL Builder'!O195,"")</f>
        <v/>
      </c>
      <c r="H220" s="43" t="str">
        <f>IF(ISBLANK('SQL Builder'!K194)=FALSE,H219+1,"")</f>
        <v/>
      </c>
      <c r="I220" s="1" t="str">
        <f>IF(ISBLANK('SQL Builder'!P195)=FALSE,'SQL Builder'!N195,"")</f>
        <v/>
      </c>
      <c r="J220" s="79">
        <f t="shared" si="2"/>
        <v>0</v>
      </c>
      <c r="K220" s="81"/>
    </row>
    <row r="221" spans="2:11" ht="16.5" x14ac:dyDescent="0.25">
      <c r="B221" s="49" t="e">
        <f>IF(ISBLANK('SQL Builder'!K196)=FALSE,(DATE(LEFT('SQL Builder'!K196,4),MID('SQL Builder'!K196,6,2),MID('SQL Builder'!K196,9,2))),NA())</f>
        <v>#N/A</v>
      </c>
      <c r="C221" s="50" t="str">
        <f>IF(ISBLANK('SQL Builder'!K196)=FALSE,'SQL Builder'!L196,"")</f>
        <v/>
      </c>
      <c r="D221" s="1" t="str">
        <f>IF(ISBLANK('SQL Builder'!K196)=FALSE,'SQL Builder'!O196,"")</f>
        <v/>
      </c>
      <c r="H221" s="43" t="str">
        <f>IF(ISBLANK('SQL Builder'!K195)=FALSE,H220+1,"")</f>
        <v/>
      </c>
      <c r="I221" s="1" t="str">
        <f>IF(ISBLANK('SQL Builder'!P196)=FALSE,'SQL Builder'!N196,"")</f>
        <v/>
      </c>
      <c r="J221" s="79">
        <f t="shared" si="2"/>
        <v>0</v>
      </c>
      <c r="K221" s="81"/>
    </row>
    <row r="222" spans="2:11" ht="16.5" x14ac:dyDescent="0.25">
      <c r="B222" s="49" t="e">
        <f>IF(ISBLANK('SQL Builder'!K197)=FALSE,(DATE(LEFT('SQL Builder'!K197,4),MID('SQL Builder'!K197,6,2),MID('SQL Builder'!K197,9,2))),NA())</f>
        <v>#N/A</v>
      </c>
      <c r="C222" s="50" t="str">
        <f>IF(ISBLANK('SQL Builder'!K197)=FALSE,'SQL Builder'!L197,"")</f>
        <v/>
      </c>
      <c r="D222" s="1" t="str">
        <f>IF(ISBLANK('SQL Builder'!K197)=FALSE,'SQL Builder'!O197,"")</f>
        <v/>
      </c>
      <c r="H222" s="43" t="str">
        <f>IF(ISBLANK('SQL Builder'!K196)=FALSE,H221+1,"")</f>
        <v/>
      </c>
      <c r="I222" s="1" t="str">
        <f>IF(ISBLANK('SQL Builder'!P197)=FALSE,'SQL Builder'!N197,"")</f>
        <v/>
      </c>
      <c r="J222" s="79">
        <f t="shared" si="2"/>
        <v>0</v>
      </c>
      <c r="K222" s="81"/>
    </row>
    <row r="223" spans="2:11" ht="16.5" x14ac:dyDescent="0.25">
      <c r="B223" s="49" t="e">
        <f>IF(ISBLANK('SQL Builder'!K198)=FALSE,(DATE(LEFT('SQL Builder'!K198,4),MID('SQL Builder'!K198,6,2),MID('SQL Builder'!K198,9,2))),NA())</f>
        <v>#N/A</v>
      </c>
      <c r="C223" s="50" t="str">
        <f>IF(ISBLANK('SQL Builder'!K198)=FALSE,'SQL Builder'!L198,"")</f>
        <v/>
      </c>
      <c r="D223" s="1" t="str">
        <f>IF(ISBLANK('SQL Builder'!K198)=FALSE,'SQL Builder'!O198,"")</f>
        <v/>
      </c>
      <c r="H223" s="43" t="str">
        <f>IF(ISBLANK('SQL Builder'!K197)=FALSE,H222+1,"")</f>
        <v/>
      </c>
      <c r="I223" s="1" t="str">
        <f>IF(ISBLANK('SQL Builder'!P198)=FALSE,'SQL Builder'!N198,"")</f>
        <v/>
      </c>
      <c r="J223" s="79">
        <f t="shared" ref="J223:J286" si="3">IF(I223="",0,IF(I223=C$5,2,1))</f>
        <v>0</v>
      </c>
      <c r="K223" s="81"/>
    </row>
    <row r="224" spans="2:11" ht="16.5" x14ac:dyDescent="0.25">
      <c r="B224" s="49" t="e">
        <f>IF(ISBLANK('SQL Builder'!K199)=FALSE,(DATE(LEFT('SQL Builder'!K199,4),MID('SQL Builder'!K199,6,2),MID('SQL Builder'!K199,9,2))),NA())</f>
        <v>#N/A</v>
      </c>
      <c r="C224" s="50" t="str">
        <f>IF(ISBLANK('SQL Builder'!K199)=FALSE,'SQL Builder'!L199,"")</f>
        <v/>
      </c>
      <c r="D224" s="1" t="str">
        <f>IF(ISBLANK('SQL Builder'!K199)=FALSE,'SQL Builder'!O199,"")</f>
        <v/>
      </c>
      <c r="H224" s="43" t="str">
        <f>IF(ISBLANK('SQL Builder'!K198)=FALSE,H223+1,"")</f>
        <v/>
      </c>
      <c r="I224" s="1" t="str">
        <f>IF(ISBLANK('SQL Builder'!P199)=FALSE,'SQL Builder'!N199,"")</f>
        <v/>
      </c>
      <c r="J224" s="79">
        <f t="shared" si="3"/>
        <v>0</v>
      </c>
      <c r="K224" s="81"/>
    </row>
    <row r="225" spans="2:11" ht="16.5" x14ac:dyDescent="0.25">
      <c r="B225" s="49" t="e">
        <f>IF(ISBLANK('SQL Builder'!K200)=FALSE,(DATE(LEFT('SQL Builder'!K200,4),MID('SQL Builder'!K200,6,2),MID('SQL Builder'!K200,9,2))),NA())</f>
        <v>#N/A</v>
      </c>
      <c r="C225" s="50" t="str">
        <f>IF(ISBLANK('SQL Builder'!K200)=FALSE,'SQL Builder'!L200,"")</f>
        <v/>
      </c>
      <c r="D225" s="1" t="str">
        <f>IF(ISBLANK('SQL Builder'!K200)=FALSE,'SQL Builder'!O200,"")</f>
        <v/>
      </c>
      <c r="H225" s="43" t="str">
        <f>IF(ISBLANK('SQL Builder'!K199)=FALSE,H224+1,"")</f>
        <v/>
      </c>
      <c r="I225" s="1" t="str">
        <f>IF(ISBLANK('SQL Builder'!P200)=FALSE,'SQL Builder'!N200,"")</f>
        <v/>
      </c>
      <c r="J225" s="79">
        <f t="shared" si="3"/>
        <v>0</v>
      </c>
      <c r="K225" s="81"/>
    </row>
    <row r="226" spans="2:11" ht="16.5" x14ac:dyDescent="0.25">
      <c r="B226" s="49" t="e">
        <f>IF(ISBLANK('SQL Builder'!K201)=FALSE,(DATE(LEFT('SQL Builder'!K201,4),MID('SQL Builder'!K201,6,2),MID('SQL Builder'!K201,9,2))),NA())</f>
        <v>#N/A</v>
      </c>
      <c r="C226" s="50" t="str">
        <f>IF(ISBLANK('SQL Builder'!K201)=FALSE,'SQL Builder'!L201,"")</f>
        <v/>
      </c>
      <c r="D226" s="1" t="str">
        <f>IF(ISBLANK('SQL Builder'!K201)=FALSE,'SQL Builder'!O201,"")</f>
        <v/>
      </c>
      <c r="H226" s="43" t="str">
        <f>IF(ISBLANK('SQL Builder'!K200)=FALSE,H225+1,"")</f>
        <v/>
      </c>
      <c r="I226" s="1" t="str">
        <f>IF(ISBLANK('SQL Builder'!P201)=FALSE,'SQL Builder'!N201,"")</f>
        <v/>
      </c>
      <c r="J226" s="79">
        <f t="shared" si="3"/>
        <v>0</v>
      </c>
      <c r="K226" s="81"/>
    </row>
    <row r="227" spans="2:11" ht="16.5" x14ac:dyDescent="0.25">
      <c r="B227" s="49" t="e">
        <f>IF(ISBLANK('SQL Builder'!K202)=FALSE,(DATE(LEFT('SQL Builder'!K202,4),MID('SQL Builder'!K202,6,2),MID('SQL Builder'!K202,9,2))),NA())</f>
        <v>#N/A</v>
      </c>
      <c r="C227" s="50" t="str">
        <f>IF(ISBLANK('SQL Builder'!K202)=FALSE,'SQL Builder'!L202,"")</f>
        <v/>
      </c>
      <c r="D227" s="1" t="str">
        <f>IF(ISBLANK('SQL Builder'!K202)=FALSE,'SQL Builder'!O202,"")</f>
        <v/>
      </c>
      <c r="H227" s="43" t="str">
        <f>IF(ISBLANK('SQL Builder'!K201)=FALSE,H226+1,"")</f>
        <v/>
      </c>
      <c r="I227" s="1" t="str">
        <f>IF(ISBLANK('SQL Builder'!P202)=FALSE,'SQL Builder'!N202,"")</f>
        <v/>
      </c>
      <c r="J227" s="79">
        <f t="shared" si="3"/>
        <v>0</v>
      </c>
      <c r="K227" s="81"/>
    </row>
    <row r="228" spans="2:11" ht="16.5" x14ac:dyDescent="0.25">
      <c r="B228" s="49" t="e">
        <f>IF(ISBLANK('SQL Builder'!K203)=FALSE,(DATE(LEFT('SQL Builder'!K203,4),MID('SQL Builder'!K203,6,2),MID('SQL Builder'!K203,9,2))),NA())</f>
        <v>#N/A</v>
      </c>
      <c r="C228" s="50" t="str">
        <f>IF(ISBLANK('SQL Builder'!K203)=FALSE,'SQL Builder'!L203,"")</f>
        <v/>
      </c>
      <c r="D228" s="1" t="str">
        <f>IF(ISBLANK('SQL Builder'!K203)=FALSE,'SQL Builder'!O203,"")</f>
        <v/>
      </c>
      <c r="H228" s="43" t="str">
        <f>IF(ISBLANK('SQL Builder'!K202)=FALSE,H227+1,"")</f>
        <v/>
      </c>
      <c r="I228" s="1" t="str">
        <f>IF(ISBLANK('SQL Builder'!P203)=FALSE,'SQL Builder'!N203,"")</f>
        <v/>
      </c>
      <c r="J228" s="79">
        <f t="shared" si="3"/>
        <v>0</v>
      </c>
      <c r="K228" s="81"/>
    </row>
    <row r="229" spans="2:11" ht="16.5" x14ac:dyDescent="0.25">
      <c r="B229" s="49" t="e">
        <f>IF(ISBLANK('SQL Builder'!K204)=FALSE,(DATE(LEFT('SQL Builder'!K204,4),MID('SQL Builder'!K204,6,2),MID('SQL Builder'!K204,9,2))),NA())</f>
        <v>#N/A</v>
      </c>
      <c r="C229" s="50" t="str">
        <f>IF(ISBLANK('SQL Builder'!K204)=FALSE,'SQL Builder'!L204,"")</f>
        <v/>
      </c>
      <c r="D229" s="1" t="str">
        <f>IF(ISBLANK('SQL Builder'!K204)=FALSE,'SQL Builder'!O204,"")</f>
        <v/>
      </c>
      <c r="H229" s="43" t="str">
        <f>IF(ISBLANK('SQL Builder'!K203)=FALSE,H228+1,"")</f>
        <v/>
      </c>
      <c r="I229" s="1" t="str">
        <f>IF(ISBLANK('SQL Builder'!P204)=FALSE,'SQL Builder'!N204,"")</f>
        <v/>
      </c>
      <c r="J229" s="79">
        <f t="shared" si="3"/>
        <v>0</v>
      </c>
      <c r="K229" s="81"/>
    </row>
    <row r="230" spans="2:11" ht="16.5" x14ac:dyDescent="0.25">
      <c r="B230" s="49" t="e">
        <f>IF(ISBLANK('SQL Builder'!K205)=FALSE,(DATE(LEFT('SQL Builder'!K205,4),MID('SQL Builder'!K205,6,2),MID('SQL Builder'!K205,9,2))),NA())</f>
        <v>#N/A</v>
      </c>
      <c r="C230" s="50" t="str">
        <f>IF(ISBLANK('SQL Builder'!K205)=FALSE,'SQL Builder'!L205,"")</f>
        <v/>
      </c>
      <c r="D230" s="1" t="str">
        <f>IF(ISBLANK('SQL Builder'!K205)=FALSE,'SQL Builder'!O205,"")</f>
        <v/>
      </c>
      <c r="H230" s="43" t="str">
        <f>IF(ISBLANK('SQL Builder'!K204)=FALSE,H229+1,"")</f>
        <v/>
      </c>
      <c r="I230" s="1" t="str">
        <f>IF(ISBLANK('SQL Builder'!P205)=FALSE,'SQL Builder'!N205,"")</f>
        <v/>
      </c>
      <c r="J230" s="79">
        <f t="shared" si="3"/>
        <v>0</v>
      </c>
      <c r="K230" s="81"/>
    </row>
    <row r="231" spans="2:11" ht="16.5" x14ac:dyDescent="0.25">
      <c r="B231" s="49" t="e">
        <f>IF(ISBLANK('SQL Builder'!K206)=FALSE,(DATE(LEFT('SQL Builder'!K206,4),MID('SQL Builder'!K206,6,2),MID('SQL Builder'!K206,9,2))),NA())</f>
        <v>#N/A</v>
      </c>
      <c r="C231" s="50" t="str">
        <f>IF(ISBLANK('SQL Builder'!K206)=FALSE,'SQL Builder'!L206,"")</f>
        <v/>
      </c>
      <c r="D231" s="1" t="str">
        <f>IF(ISBLANK('SQL Builder'!K206)=FALSE,'SQL Builder'!O206,"")</f>
        <v/>
      </c>
      <c r="H231" s="43" t="str">
        <f>IF(ISBLANK('SQL Builder'!K205)=FALSE,H230+1,"")</f>
        <v/>
      </c>
      <c r="I231" s="1" t="str">
        <f>IF(ISBLANK('SQL Builder'!P206)=FALSE,'SQL Builder'!N206,"")</f>
        <v/>
      </c>
      <c r="J231" s="79">
        <f t="shared" si="3"/>
        <v>0</v>
      </c>
      <c r="K231" s="81"/>
    </row>
    <row r="232" spans="2:11" ht="16.5" x14ac:dyDescent="0.25">
      <c r="B232" s="49" t="e">
        <f>IF(ISBLANK('SQL Builder'!K207)=FALSE,(DATE(LEFT('SQL Builder'!K207,4),MID('SQL Builder'!K207,6,2),MID('SQL Builder'!K207,9,2))),NA())</f>
        <v>#N/A</v>
      </c>
      <c r="C232" s="50" t="str">
        <f>IF(ISBLANK('SQL Builder'!K207)=FALSE,'SQL Builder'!L207,"")</f>
        <v/>
      </c>
      <c r="D232" s="1" t="str">
        <f>IF(ISBLANK('SQL Builder'!K207)=FALSE,'SQL Builder'!O207,"")</f>
        <v/>
      </c>
      <c r="H232" s="43" t="str">
        <f>IF(ISBLANK('SQL Builder'!K206)=FALSE,H231+1,"")</f>
        <v/>
      </c>
      <c r="I232" s="1" t="str">
        <f>IF(ISBLANK('SQL Builder'!P207)=FALSE,'SQL Builder'!N207,"")</f>
        <v/>
      </c>
      <c r="J232" s="79">
        <f t="shared" si="3"/>
        <v>0</v>
      </c>
      <c r="K232" s="81"/>
    </row>
    <row r="233" spans="2:11" ht="16.5" x14ac:dyDescent="0.25">
      <c r="B233" s="49" t="e">
        <f>IF(ISBLANK('SQL Builder'!K208)=FALSE,(DATE(LEFT('SQL Builder'!K208,4),MID('SQL Builder'!K208,6,2),MID('SQL Builder'!K208,9,2))),NA())</f>
        <v>#N/A</v>
      </c>
      <c r="C233" s="50" t="str">
        <f>IF(ISBLANK('SQL Builder'!K208)=FALSE,'SQL Builder'!L208,"")</f>
        <v/>
      </c>
      <c r="D233" s="1" t="str">
        <f>IF(ISBLANK('SQL Builder'!K208)=FALSE,'SQL Builder'!O208,"")</f>
        <v/>
      </c>
      <c r="H233" s="43" t="str">
        <f>IF(ISBLANK('SQL Builder'!K207)=FALSE,H232+1,"")</f>
        <v/>
      </c>
      <c r="I233" s="1" t="str">
        <f>IF(ISBLANK('SQL Builder'!P208)=FALSE,'SQL Builder'!N208,"")</f>
        <v/>
      </c>
      <c r="J233" s="79">
        <f t="shared" si="3"/>
        <v>0</v>
      </c>
      <c r="K233" s="81"/>
    </row>
    <row r="234" spans="2:11" ht="16.5" x14ac:dyDescent="0.25">
      <c r="B234" s="49" t="e">
        <f>IF(ISBLANK('SQL Builder'!K209)=FALSE,(DATE(LEFT('SQL Builder'!K209,4),MID('SQL Builder'!K209,6,2),MID('SQL Builder'!K209,9,2))),NA())</f>
        <v>#N/A</v>
      </c>
      <c r="C234" s="50" t="str">
        <f>IF(ISBLANK('SQL Builder'!K209)=FALSE,'SQL Builder'!L209,"")</f>
        <v/>
      </c>
      <c r="D234" s="1" t="str">
        <f>IF(ISBLANK('SQL Builder'!K209)=FALSE,'SQL Builder'!O209,"")</f>
        <v/>
      </c>
      <c r="H234" s="43" t="str">
        <f>IF(ISBLANK('SQL Builder'!K208)=FALSE,H233+1,"")</f>
        <v/>
      </c>
      <c r="I234" s="1" t="str">
        <f>IF(ISBLANK('SQL Builder'!P209)=FALSE,'SQL Builder'!N209,"")</f>
        <v/>
      </c>
      <c r="J234" s="79">
        <f t="shared" si="3"/>
        <v>0</v>
      </c>
      <c r="K234" s="81"/>
    </row>
    <row r="235" spans="2:11" ht="16.5" x14ac:dyDescent="0.25">
      <c r="B235" s="49" t="e">
        <f>IF(ISBLANK('SQL Builder'!K210)=FALSE,(DATE(LEFT('SQL Builder'!K210,4),MID('SQL Builder'!K210,6,2),MID('SQL Builder'!K210,9,2))),NA())</f>
        <v>#N/A</v>
      </c>
      <c r="C235" s="50" t="str">
        <f>IF(ISBLANK('SQL Builder'!K210)=FALSE,'SQL Builder'!L210,"")</f>
        <v/>
      </c>
      <c r="D235" s="1" t="str">
        <f>IF(ISBLANK('SQL Builder'!K210)=FALSE,'SQL Builder'!O210,"")</f>
        <v/>
      </c>
      <c r="H235" s="43" t="str">
        <f>IF(ISBLANK('SQL Builder'!K209)=FALSE,H234+1,"")</f>
        <v/>
      </c>
      <c r="I235" s="1" t="str">
        <f>IF(ISBLANK('SQL Builder'!P210)=FALSE,'SQL Builder'!N210,"")</f>
        <v/>
      </c>
      <c r="J235" s="79">
        <f t="shared" si="3"/>
        <v>0</v>
      </c>
      <c r="K235" s="81"/>
    </row>
    <row r="236" spans="2:11" ht="16.5" x14ac:dyDescent="0.25">
      <c r="B236" s="49" t="e">
        <f>IF(ISBLANK('SQL Builder'!K211)=FALSE,(DATE(LEFT('SQL Builder'!K211,4),MID('SQL Builder'!K211,6,2),MID('SQL Builder'!K211,9,2))),NA())</f>
        <v>#N/A</v>
      </c>
      <c r="C236" s="50" t="str">
        <f>IF(ISBLANK('SQL Builder'!K211)=FALSE,'SQL Builder'!L211,"")</f>
        <v/>
      </c>
      <c r="D236" s="1" t="str">
        <f>IF(ISBLANK('SQL Builder'!K211)=FALSE,'SQL Builder'!O211,"")</f>
        <v/>
      </c>
      <c r="H236" s="43" t="str">
        <f>IF(ISBLANK('SQL Builder'!K210)=FALSE,H235+1,"")</f>
        <v/>
      </c>
      <c r="I236" s="1" t="str">
        <f>IF(ISBLANK('SQL Builder'!P211)=FALSE,'SQL Builder'!N211,"")</f>
        <v/>
      </c>
      <c r="J236" s="79">
        <f t="shared" si="3"/>
        <v>0</v>
      </c>
      <c r="K236" s="81"/>
    </row>
    <row r="237" spans="2:11" ht="16.5" x14ac:dyDescent="0.25">
      <c r="B237" s="49" t="e">
        <f>IF(ISBLANK('SQL Builder'!K212)=FALSE,(DATE(LEFT('SQL Builder'!K212,4),MID('SQL Builder'!K212,6,2),MID('SQL Builder'!K212,9,2))),NA())</f>
        <v>#N/A</v>
      </c>
      <c r="C237" s="50" t="str">
        <f>IF(ISBLANK('SQL Builder'!K212)=FALSE,'SQL Builder'!L212,"")</f>
        <v/>
      </c>
      <c r="D237" s="1" t="str">
        <f>IF(ISBLANK('SQL Builder'!K212)=FALSE,'SQL Builder'!O212,"")</f>
        <v/>
      </c>
      <c r="H237" s="43" t="str">
        <f>IF(ISBLANK('SQL Builder'!K211)=FALSE,H236+1,"")</f>
        <v/>
      </c>
      <c r="I237" s="1" t="str">
        <f>IF(ISBLANK('SQL Builder'!P212)=FALSE,'SQL Builder'!N212,"")</f>
        <v/>
      </c>
      <c r="J237" s="79">
        <f t="shared" si="3"/>
        <v>0</v>
      </c>
      <c r="K237" s="81"/>
    </row>
    <row r="238" spans="2:11" ht="16.5" x14ac:dyDescent="0.25">
      <c r="B238" s="49" t="e">
        <f>IF(ISBLANK('SQL Builder'!K213)=FALSE,(DATE(LEFT('SQL Builder'!K213,4),MID('SQL Builder'!K213,6,2),MID('SQL Builder'!K213,9,2))),NA())</f>
        <v>#N/A</v>
      </c>
      <c r="C238" s="50" t="str">
        <f>IF(ISBLANK('SQL Builder'!K213)=FALSE,'SQL Builder'!L213,"")</f>
        <v/>
      </c>
      <c r="D238" s="1" t="str">
        <f>IF(ISBLANK('SQL Builder'!K213)=FALSE,'SQL Builder'!O213,"")</f>
        <v/>
      </c>
      <c r="H238" s="43" t="str">
        <f>IF(ISBLANK('SQL Builder'!K212)=FALSE,H237+1,"")</f>
        <v/>
      </c>
      <c r="I238" s="1" t="str">
        <f>IF(ISBLANK('SQL Builder'!P213)=FALSE,'SQL Builder'!N213,"")</f>
        <v/>
      </c>
      <c r="J238" s="79">
        <f t="shared" si="3"/>
        <v>0</v>
      </c>
      <c r="K238" s="81"/>
    </row>
    <row r="239" spans="2:11" ht="16.5" x14ac:dyDescent="0.25">
      <c r="B239" s="49" t="e">
        <f>IF(ISBLANK('SQL Builder'!K214)=FALSE,(DATE(LEFT('SQL Builder'!K214,4),MID('SQL Builder'!K214,6,2),MID('SQL Builder'!K214,9,2))),NA())</f>
        <v>#N/A</v>
      </c>
      <c r="C239" s="50" t="str">
        <f>IF(ISBLANK('SQL Builder'!K214)=FALSE,'SQL Builder'!L214,"")</f>
        <v/>
      </c>
      <c r="D239" s="1" t="str">
        <f>IF(ISBLANK('SQL Builder'!K214)=FALSE,'SQL Builder'!O214,"")</f>
        <v/>
      </c>
      <c r="H239" s="43" t="str">
        <f>IF(ISBLANK('SQL Builder'!K213)=FALSE,H238+1,"")</f>
        <v/>
      </c>
      <c r="I239" s="1" t="str">
        <f>IF(ISBLANK('SQL Builder'!P214)=FALSE,'SQL Builder'!N214,"")</f>
        <v/>
      </c>
      <c r="J239" s="79">
        <f t="shared" si="3"/>
        <v>0</v>
      </c>
      <c r="K239" s="81"/>
    </row>
    <row r="240" spans="2:11" ht="16.5" x14ac:dyDescent="0.25">
      <c r="B240" s="49" t="e">
        <f>IF(ISBLANK('SQL Builder'!K215)=FALSE,(DATE(LEFT('SQL Builder'!K215,4),MID('SQL Builder'!K215,6,2),MID('SQL Builder'!K215,9,2))),NA())</f>
        <v>#N/A</v>
      </c>
      <c r="C240" s="50" t="str">
        <f>IF(ISBLANK('SQL Builder'!K215)=FALSE,'SQL Builder'!L215,"")</f>
        <v/>
      </c>
      <c r="D240" s="1" t="str">
        <f>IF(ISBLANK('SQL Builder'!K215)=FALSE,'SQL Builder'!O215,"")</f>
        <v/>
      </c>
      <c r="H240" s="43" t="str">
        <f>IF(ISBLANK('SQL Builder'!K214)=FALSE,H239+1,"")</f>
        <v/>
      </c>
      <c r="I240" s="1" t="str">
        <f>IF(ISBLANK('SQL Builder'!P215)=FALSE,'SQL Builder'!N215,"")</f>
        <v/>
      </c>
      <c r="J240" s="79">
        <f t="shared" si="3"/>
        <v>0</v>
      </c>
      <c r="K240" s="81"/>
    </row>
    <row r="241" spans="2:11" ht="16.5" x14ac:dyDescent="0.25">
      <c r="B241" s="49" t="e">
        <f>IF(ISBLANK('SQL Builder'!K216)=FALSE,(DATE(LEFT('SQL Builder'!K216,4),MID('SQL Builder'!K216,6,2),MID('SQL Builder'!K216,9,2))),NA())</f>
        <v>#N/A</v>
      </c>
      <c r="C241" s="50" t="str">
        <f>IF(ISBLANK('SQL Builder'!K216)=FALSE,'SQL Builder'!L216,"")</f>
        <v/>
      </c>
      <c r="D241" s="1" t="str">
        <f>IF(ISBLANK('SQL Builder'!K216)=FALSE,'SQL Builder'!O216,"")</f>
        <v/>
      </c>
      <c r="H241" s="43" t="str">
        <f>IF(ISBLANK('SQL Builder'!K215)=FALSE,H240+1,"")</f>
        <v/>
      </c>
      <c r="I241" s="1" t="str">
        <f>IF(ISBLANK('SQL Builder'!P216)=FALSE,'SQL Builder'!N216,"")</f>
        <v/>
      </c>
      <c r="J241" s="79">
        <f t="shared" si="3"/>
        <v>0</v>
      </c>
      <c r="K241" s="81"/>
    </row>
    <row r="242" spans="2:11" ht="16.5" x14ac:dyDescent="0.25">
      <c r="B242" s="49" t="e">
        <f>IF(ISBLANK('SQL Builder'!K217)=FALSE,(DATE(LEFT('SQL Builder'!K217,4),MID('SQL Builder'!K217,6,2),MID('SQL Builder'!K217,9,2))),NA())</f>
        <v>#N/A</v>
      </c>
      <c r="C242" s="50" t="str">
        <f>IF(ISBLANK('SQL Builder'!K217)=FALSE,'SQL Builder'!L217,"")</f>
        <v/>
      </c>
      <c r="D242" s="1" t="str">
        <f>IF(ISBLANK('SQL Builder'!K217)=FALSE,'SQL Builder'!O217,"")</f>
        <v/>
      </c>
      <c r="H242" s="43" t="str">
        <f>IF(ISBLANK('SQL Builder'!K216)=FALSE,H241+1,"")</f>
        <v/>
      </c>
      <c r="I242" s="1" t="str">
        <f>IF(ISBLANK('SQL Builder'!P217)=FALSE,'SQL Builder'!N217,"")</f>
        <v/>
      </c>
      <c r="J242" s="79">
        <f t="shared" si="3"/>
        <v>0</v>
      </c>
      <c r="K242" s="81"/>
    </row>
    <row r="243" spans="2:11" ht="16.5" x14ac:dyDescent="0.25">
      <c r="B243" s="49" t="e">
        <f>IF(ISBLANK('SQL Builder'!K218)=FALSE,(DATE(LEFT('SQL Builder'!K218,4),MID('SQL Builder'!K218,6,2),MID('SQL Builder'!K218,9,2))),NA())</f>
        <v>#N/A</v>
      </c>
      <c r="C243" s="50" t="str">
        <f>IF(ISBLANK('SQL Builder'!K218)=FALSE,'SQL Builder'!L218,"")</f>
        <v/>
      </c>
      <c r="D243" s="1" t="str">
        <f>IF(ISBLANK('SQL Builder'!K218)=FALSE,'SQL Builder'!O218,"")</f>
        <v/>
      </c>
      <c r="H243" s="43" t="str">
        <f>IF(ISBLANK('SQL Builder'!K217)=FALSE,H242+1,"")</f>
        <v/>
      </c>
      <c r="I243" s="1" t="str">
        <f>IF(ISBLANK('SQL Builder'!P218)=FALSE,'SQL Builder'!N218,"")</f>
        <v/>
      </c>
      <c r="J243" s="79">
        <f t="shared" si="3"/>
        <v>0</v>
      </c>
      <c r="K243" s="81"/>
    </row>
    <row r="244" spans="2:11" ht="16.5" x14ac:dyDescent="0.25">
      <c r="B244" s="49" t="e">
        <f>IF(ISBLANK('SQL Builder'!K219)=FALSE,(DATE(LEFT('SQL Builder'!K219,4),MID('SQL Builder'!K219,6,2),MID('SQL Builder'!K219,9,2))),NA())</f>
        <v>#N/A</v>
      </c>
      <c r="C244" s="50" t="str">
        <f>IF(ISBLANK('SQL Builder'!K219)=FALSE,'SQL Builder'!L219,"")</f>
        <v/>
      </c>
      <c r="D244" s="1" t="str">
        <f>IF(ISBLANK('SQL Builder'!K219)=FALSE,'SQL Builder'!O219,"")</f>
        <v/>
      </c>
      <c r="H244" s="43" t="str">
        <f>IF(ISBLANK('SQL Builder'!K218)=FALSE,H243+1,"")</f>
        <v/>
      </c>
      <c r="I244" s="1" t="str">
        <f>IF(ISBLANK('SQL Builder'!P219)=FALSE,'SQL Builder'!N219,"")</f>
        <v/>
      </c>
      <c r="J244" s="79">
        <f t="shared" si="3"/>
        <v>0</v>
      </c>
      <c r="K244" s="81"/>
    </row>
    <row r="245" spans="2:11" ht="16.5" x14ac:dyDescent="0.25">
      <c r="B245" s="49" t="e">
        <f>IF(ISBLANK('SQL Builder'!K220)=FALSE,(DATE(LEFT('SQL Builder'!K220,4),MID('SQL Builder'!K220,6,2),MID('SQL Builder'!K220,9,2))),NA())</f>
        <v>#N/A</v>
      </c>
      <c r="C245" s="50" t="str">
        <f>IF(ISBLANK('SQL Builder'!K220)=FALSE,'SQL Builder'!L220,"")</f>
        <v/>
      </c>
      <c r="D245" s="1" t="str">
        <f>IF(ISBLANK('SQL Builder'!K220)=FALSE,'SQL Builder'!O220,"")</f>
        <v/>
      </c>
      <c r="H245" s="43" t="str">
        <f>IF(ISBLANK('SQL Builder'!K219)=FALSE,H244+1,"")</f>
        <v/>
      </c>
      <c r="I245" s="1" t="str">
        <f>IF(ISBLANK('SQL Builder'!P220)=FALSE,'SQL Builder'!N220,"")</f>
        <v/>
      </c>
      <c r="J245" s="79">
        <f t="shared" si="3"/>
        <v>0</v>
      </c>
      <c r="K245" s="81"/>
    </row>
    <row r="246" spans="2:11" ht="16.5" x14ac:dyDescent="0.25">
      <c r="B246" s="49" t="e">
        <f>IF(ISBLANK('SQL Builder'!K221)=FALSE,(DATE(LEFT('SQL Builder'!K221,4),MID('SQL Builder'!K221,6,2),MID('SQL Builder'!K221,9,2))),NA())</f>
        <v>#N/A</v>
      </c>
      <c r="C246" s="50" t="str">
        <f>IF(ISBLANK('SQL Builder'!K221)=FALSE,'SQL Builder'!L221,"")</f>
        <v/>
      </c>
      <c r="D246" s="1" t="str">
        <f>IF(ISBLANK('SQL Builder'!K221)=FALSE,'SQL Builder'!O221,"")</f>
        <v/>
      </c>
      <c r="H246" s="43" t="str">
        <f>IF(ISBLANK('SQL Builder'!K220)=FALSE,H245+1,"")</f>
        <v/>
      </c>
      <c r="I246" s="1" t="str">
        <f>IF(ISBLANK('SQL Builder'!P221)=FALSE,'SQL Builder'!N221,"")</f>
        <v/>
      </c>
      <c r="J246" s="79">
        <f t="shared" si="3"/>
        <v>0</v>
      </c>
      <c r="K246" s="81"/>
    </row>
    <row r="247" spans="2:11" ht="16.5" x14ac:dyDescent="0.25">
      <c r="B247" s="49" t="e">
        <f>IF(ISBLANK('SQL Builder'!K222)=FALSE,(DATE(LEFT('SQL Builder'!K222,4),MID('SQL Builder'!K222,6,2),MID('SQL Builder'!K222,9,2))),NA())</f>
        <v>#N/A</v>
      </c>
      <c r="C247" s="50" t="str">
        <f>IF(ISBLANK('SQL Builder'!K222)=FALSE,'SQL Builder'!L222,"")</f>
        <v/>
      </c>
      <c r="D247" s="1" t="str">
        <f>IF(ISBLANK('SQL Builder'!K222)=FALSE,'SQL Builder'!O222,"")</f>
        <v/>
      </c>
      <c r="H247" s="43" t="str">
        <f>IF(ISBLANK('SQL Builder'!K221)=FALSE,H246+1,"")</f>
        <v/>
      </c>
      <c r="I247" s="1" t="str">
        <f>IF(ISBLANK('SQL Builder'!P222)=FALSE,'SQL Builder'!N222,"")</f>
        <v/>
      </c>
      <c r="J247" s="79">
        <f t="shared" si="3"/>
        <v>0</v>
      </c>
      <c r="K247" s="81"/>
    </row>
    <row r="248" spans="2:11" ht="16.5" x14ac:dyDescent="0.25">
      <c r="B248" s="49" t="e">
        <f>IF(ISBLANK('SQL Builder'!K223)=FALSE,(DATE(LEFT('SQL Builder'!K223,4),MID('SQL Builder'!K223,6,2),MID('SQL Builder'!K223,9,2))),NA())</f>
        <v>#N/A</v>
      </c>
      <c r="C248" s="50" t="str">
        <f>IF(ISBLANK('SQL Builder'!K223)=FALSE,'SQL Builder'!L223,"")</f>
        <v/>
      </c>
      <c r="D248" s="1" t="str">
        <f>IF(ISBLANK('SQL Builder'!K223)=FALSE,'SQL Builder'!O223,"")</f>
        <v/>
      </c>
      <c r="H248" s="43" t="str">
        <f>IF(ISBLANK('SQL Builder'!K222)=FALSE,H247+1,"")</f>
        <v/>
      </c>
      <c r="I248" s="1" t="str">
        <f>IF(ISBLANK('SQL Builder'!P223)=FALSE,'SQL Builder'!N223,"")</f>
        <v/>
      </c>
      <c r="J248" s="79">
        <f t="shared" si="3"/>
        <v>0</v>
      </c>
      <c r="K248" s="81"/>
    </row>
    <row r="249" spans="2:11" ht="16.5" x14ac:dyDescent="0.25">
      <c r="B249" s="49" t="e">
        <f>IF(ISBLANK('SQL Builder'!K224)=FALSE,(DATE(LEFT('SQL Builder'!K224,4),MID('SQL Builder'!K224,6,2),MID('SQL Builder'!K224,9,2))),NA())</f>
        <v>#N/A</v>
      </c>
      <c r="C249" s="50" t="str">
        <f>IF(ISBLANK('SQL Builder'!K224)=FALSE,'SQL Builder'!L224,"")</f>
        <v/>
      </c>
      <c r="D249" s="1" t="str">
        <f>IF(ISBLANK('SQL Builder'!K224)=FALSE,'SQL Builder'!O224,"")</f>
        <v/>
      </c>
      <c r="H249" s="43" t="str">
        <f>IF(ISBLANK('SQL Builder'!K223)=FALSE,H248+1,"")</f>
        <v/>
      </c>
      <c r="I249" s="1" t="str">
        <f>IF(ISBLANK('SQL Builder'!P224)=FALSE,'SQL Builder'!N224,"")</f>
        <v/>
      </c>
      <c r="J249" s="79">
        <f t="shared" si="3"/>
        <v>0</v>
      </c>
      <c r="K249" s="81"/>
    </row>
    <row r="250" spans="2:11" ht="16.5" x14ac:dyDescent="0.25">
      <c r="B250" s="49" t="e">
        <f>IF(ISBLANK('SQL Builder'!K225)=FALSE,(DATE(LEFT('SQL Builder'!K225,4),MID('SQL Builder'!K225,6,2),MID('SQL Builder'!K225,9,2))),NA())</f>
        <v>#N/A</v>
      </c>
      <c r="C250" s="50" t="str">
        <f>IF(ISBLANK('SQL Builder'!K225)=FALSE,'SQL Builder'!L225,"")</f>
        <v/>
      </c>
      <c r="D250" s="1" t="str">
        <f>IF(ISBLANK('SQL Builder'!K225)=FALSE,'SQL Builder'!O225,"")</f>
        <v/>
      </c>
      <c r="H250" s="43" t="str">
        <f>IF(ISBLANK('SQL Builder'!K224)=FALSE,H249+1,"")</f>
        <v/>
      </c>
      <c r="I250" s="1" t="str">
        <f>IF(ISBLANK('SQL Builder'!P225)=FALSE,'SQL Builder'!N225,"")</f>
        <v/>
      </c>
      <c r="J250" s="79">
        <f t="shared" si="3"/>
        <v>0</v>
      </c>
      <c r="K250" s="81"/>
    </row>
    <row r="251" spans="2:11" ht="16.5" x14ac:dyDescent="0.25">
      <c r="B251" s="49" t="e">
        <f>IF(ISBLANK('SQL Builder'!K226)=FALSE,(DATE(LEFT('SQL Builder'!K226,4),MID('SQL Builder'!K226,6,2),MID('SQL Builder'!K226,9,2))),NA())</f>
        <v>#N/A</v>
      </c>
      <c r="C251" s="50" t="str">
        <f>IF(ISBLANK('SQL Builder'!K226)=FALSE,'SQL Builder'!L226,"")</f>
        <v/>
      </c>
      <c r="D251" s="1" t="str">
        <f>IF(ISBLANK('SQL Builder'!K226)=FALSE,'SQL Builder'!O226,"")</f>
        <v/>
      </c>
      <c r="H251" s="43" t="str">
        <f>IF(ISBLANK('SQL Builder'!K225)=FALSE,H250+1,"")</f>
        <v/>
      </c>
      <c r="I251" s="1" t="str">
        <f>IF(ISBLANK('SQL Builder'!P226)=FALSE,'SQL Builder'!N226,"")</f>
        <v/>
      </c>
      <c r="J251" s="79">
        <f t="shared" si="3"/>
        <v>0</v>
      </c>
      <c r="K251" s="81"/>
    </row>
    <row r="252" spans="2:11" ht="16.5" x14ac:dyDescent="0.25">
      <c r="B252" s="49" t="e">
        <f>IF(ISBLANK('SQL Builder'!K227)=FALSE,(DATE(LEFT('SQL Builder'!K227,4),MID('SQL Builder'!K227,6,2),MID('SQL Builder'!K227,9,2))),NA())</f>
        <v>#N/A</v>
      </c>
      <c r="C252" s="50" t="str">
        <f>IF(ISBLANK('SQL Builder'!K227)=FALSE,'SQL Builder'!L227,"")</f>
        <v/>
      </c>
      <c r="D252" s="1" t="str">
        <f>IF(ISBLANK('SQL Builder'!K227)=FALSE,'SQL Builder'!O227,"")</f>
        <v/>
      </c>
      <c r="H252" s="43" t="str">
        <f>IF(ISBLANK('SQL Builder'!K226)=FALSE,H251+1,"")</f>
        <v/>
      </c>
      <c r="I252" s="1" t="str">
        <f>IF(ISBLANK('SQL Builder'!P227)=FALSE,'SQL Builder'!N227,"")</f>
        <v/>
      </c>
      <c r="J252" s="79">
        <f t="shared" si="3"/>
        <v>0</v>
      </c>
      <c r="K252" s="81"/>
    </row>
    <row r="253" spans="2:11" ht="16.5" x14ac:dyDescent="0.25">
      <c r="B253" s="49" t="e">
        <f>IF(ISBLANK('SQL Builder'!K228)=FALSE,(DATE(LEFT('SQL Builder'!K228,4),MID('SQL Builder'!K228,6,2),MID('SQL Builder'!K228,9,2))),NA())</f>
        <v>#N/A</v>
      </c>
      <c r="C253" s="50" t="str">
        <f>IF(ISBLANK('SQL Builder'!K228)=FALSE,'SQL Builder'!L228,"")</f>
        <v/>
      </c>
      <c r="D253" s="1" t="str">
        <f>IF(ISBLANK('SQL Builder'!K228)=FALSE,'SQL Builder'!O228,"")</f>
        <v/>
      </c>
      <c r="H253" s="43" t="str">
        <f>IF(ISBLANK('SQL Builder'!K227)=FALSE,H252+1,"")</f>
        <v/>
      </c>
      <c r="I253" s="1" t="str">
        <f>IF(ISBLANK('SQL Builder'!P228)=FALSE,'SQL Builder'!N228,"")</f>
        <v/>
      </c>
      <c r="J253" s="79">
        <f t="shared" si="3"/>
        <v>0</v>
      </c>
      <c r="K253" s="81"/>
    </row>
    <row r="254" spans="2:11" ht="16.5" x14ac:dyDescent="0.25">
      <c r="B254" s="49" t="e">
        <f>IF(ISBLANK('SQL Builder'!K229)=FALSE,(DATE(LEFT('SQL Builder'!K229,4),MID('SQL Builder'!K229,6,2),MID('SQL Builder'!K229,9,2))),NA())</f>
        <v>#N/A</v>
      </c>
      <c r="C254" s="50" t="str">
        <f>IF(ISBLANK('SQL Builder'!K229)=FALSE,'SQL Builder'!L229,"")</f>
        <v/>
      </c>
      <c r="D254" s="1" t="str">
        <f>IF(ISBLANK('SQL Builder'!K229)=FALSE,'SQL Builder'!O229,"")</f>
        <v/>
      </c>
      <c r="H254" s="43" t="str">
        <f>IF(ISBLANK('SQL Builder'!K228)=FALSE,H253+1,"")</f>
        <v/>
      </c>
      <c r="I254" s="1" t="str">
        <f>IF(ISBLANK('SQL Builder'!P229)=FALSE,'SQL Builder'!N229,"")</f>
        <v/>
      </c>
      <c r="J254" s="79">
        <f t="shared" si="3"/>
        <v>0</v>
      </c>
      <c r="K254" s="81"/>
    </row>
    <row r="255" spans="2:11" ht="16.5" x14ac:dyDescent="0.25">
      <c r="B255" s="49" t="e">
        <f>IF(ISBLANK('SQL Builder'!K230)=FALSE,(DATE(LEFT('SQL Builder'!K230,4),MID('SQL Builder'!K230,6,2),MID('SQL Builder'!K230,9,2))),NA())</f>
        <v>#N/A</v>
      </c>
      <c r="C255" s="50" t="str">
        <f>IF(ISBLANK('SQL Builder'!K230)=FALSE,'SQL Builder'!L230,"")</f>
        <v/>
      </c>
      <c r="D255" s="1" t="str">
        <f>IF(ISBLANK('SQL Builder'!K230)=FALSE,'SQL Builder'!O230,"")</f>
        <v/>
      </c>
      <c r="H255" s="43" t="str">
        <f>IF(ISBLANK('SQL Builder'!K229)=FALSE,H254+1,"")</f>
        <v/>
      </c>
      <c r="I255" s="1" t="str">
        <f>IF(ISBLANK('SQL Builder'!P230)=FALSE,'SQL Builder'!N230,"")</f>
        <v/>
      </c>
      <c r="J255" s="79">
        <f t="shared" si="3"/>
        <v>0</v>
      </c>
      <c r="K255" s="81"/>
    </row>
    <row r="256" spans="2:11" ht="16.5" x14ac:dyDescent="0.25">
      <c r="B256" s="49" t="e">
        <f>IF(ISBLANK('SQL Builder'!K231)=FALSE,(DATE(LEFT('SQL Builder'!K231,4),MID('SQL Builder'!K231,6,2),MID('SQL Builder'!K231,9,2))),NA())</f>
        <v>#N/A</v>
      </c>
      <c r="C256" s="50" t="str">
        <f>IF(ISBLANK('SQL Builder'!K231)=FALSE,'SQL Builder'!L231,"")</f>
        <v/>
      </c>
      <c r="D256" s="1" t="str">
        <f>IF(ISBLANK('SQL Builder'!K231)=FALSE,'SQL Builder'!O231,"")</f>
        <v/>
      </c>
      <c r="H256" s="43" t="str">
        <f>IF(ISBLANK('SQL Builder'!K230)=FALSE,H255+1,"")</f>
        <v/>
      </c>
      <c r="I256" s="1" t="str">
        <f>IF(ISBLANK('SQL Builder'!P231)=FALSE,'SQL Builder'!N231,"")</f>
        <v/>
      </c>
      <c r="J256" s="79">
        <f t="shared" si="3"/>
        <v>0</v>
      </c>
      <c r="K256" s="81"/>
    </row>
    <row r="257" spans="2:11" ht="16.5" x14ac:dyDescent="0.25">
      <c r="B257" s="49" t="e">
        <f>IF(ISBLANK('SQL Builder'!K232)=FALSE,(DATE(LEFT('SQL Builder'!K232,4),MID('SQL Builder'!K232,6,2),MID('SQL Builder'!K232,9,2))),NA())</f>
        <v>#N/A</v>
      </c>
      <c r="C257" s="50" t="str">
        <f>IF(ISBLANK('SQL Builder'!K232)=FALSE,'SQL Builder'!L232,"")</f>
        <v/>
      </c>
      <c r="D257" s="1" t="str">
        <f>IF(ISBLANK('SQL Builder'!K232)=FALSE,'SQL Builder'!O232,"")</f>
        <v/>
      </c>
      <c r="H257" s="43" t="str">
        <f>IF(ISBLANK('SQL Builder'!K231)=FALSE,H256+1,"")</f>
        <v/>
      </c>
      <c r="I257" s="1" t="str">
        <f>IF(ISBLANK('SQL Builder'!P232)=FALSE,'SQL Builder'!N232,"")</f>
        <v/>
      </c>
      <c r="J257" s="79">
        <f t="shared" si="3"/>
        <v>0</v>
      </c>
      <c r="K257" s="81"/>
    </row>
    <row r="258" spans="2:11" ht="16.5" x14ac:dyDescent="0.25">
      <c r="B258" s="49" t="e">
        <f>IF(ISBLANK('SQL Builder'!K233)=FALSE,(DATE(LEFT('SQL Builder'!K233,4),MID('SQL Builder'!K233,6,2),MID('SQL Builder'!K233,9,2))),NA())</f>
        <v>#N/A</v>
      </c>
      <c r="C258" s="50" t="str">
        <f>IF(ISBLANK('SQL Builder'!K233)=FALSE,'SQL Builder'!L233,"")</f>
        <v/>
      </c>
      <c r="D258" s="1" t="str">
        <f>IF(ISBLANK('SQL Builder'!K233)=FALSE,'SQL Builder'!O233,"")</f>
        <v/>
      </c>
      <c r="H258" s="43" t="str">
        <f>IF(ISBLANK('SQL Builder'!K232)=FALSE,H257+1,"")</f>
        <v/>
      </c>
      <c r="I258" s="1" t="str">
        <f>IF(ISBLANK('SQL Builder'!P233)=FALSE,'SQL Builder'!N233,"")</f>
        <v/>
      </c>
      <c r="J258" s="79">
        <f t="shared" si="3"/>
        <v>0</v>
      </c>
      <c r="K258" s="81"/>
    </row>
    <row r="259" spans="2:11" ht="16.5" x14ac:dyDescent="0.25">
      <c r="B259" s="49" t="e">
        <f>IF(ISBLANK('SQL Builder'!K234)=FALSE,(DATE(LEFT('SQL Builder'!K234,4),MID('SQL Builder'!K234,6,2),MID('SQL Builder'!K234,9,2))),NA())</f>
        <v>#N/A</v>
      </c>
      <c r="C259" s="50" t="str">
        <f>IF(ISBLANK('SQL Builder'!K234)=FALSE,'SQL Builder'!L234,"")</f>
        <v/>
      </c>
      <c r="D259" s="1" t="str">
        <f>IF(ISBLANK('SQL Builder'!K234)=FALSE,'SQL Builder'!O234,"")</f>
        <v/>
      </c>
      <c r="H259" s="43" t="str">
        <f>IF(ISBLANK('SQL Builder'!K233)=FALSE,H258+1,"")</f>
        <v/>
      </c>
      <c r="I259" s="1" t="str">
        <f>IF(ISBLANK('SQL Builder'!P234)=FALSE,'SQL Builder'!N234,"")</f>
        <v/>
      </c>
      <c r="J259" s="79">
        <f t="shared" si="3"/>
        <v>0</v>
      </c>
      <c r="K259" s="81"/>
    </row>
    <row r="260" spans="2:11" ht="16.5" x14ac:dyDescent="0.25">
      <c r="B260" s="49" t="e">
        <f>IF(ISBLANK('SQL Builder'!K235)=FALSE,(DATE(LEFT('SQL Builder'!K235,4),MID('SQL Builder'!K235,6,2),MID('SQL Builder'!K235,9,2))),NA())</f>
        <v>#N/A</v>
      </c>
      <c r="C260" s="50" t="str">
        <f>IF(ISBLANK('SQL Builder'!K235)=FALSE,'SQL Builder'!L235,"")</f>
        <v/>
      </c>
      <c r="D260" s="1" t="str">
        <f>IF(ISBLANK('SQL Builder'!K235)=FALSE,'SQL Builder'!O235,"")</f>
        <v/>
      </c>
      <c r="H260" s="43" t="str">
        <f>IF(ISBLANK('SQL Builder'!K234)=FALSE,H259+1,"")</f>
        <v/>
      </c>
      <c r="I260" s="1" t="str">
        <f>IF(ISBLANK('SQL Builder'!P235)=FALSE,'SQL Builder'!N235,"")</f>
        <v/>
      </c>
      <c r="J260" s="79">
        <f t="shared" si="3"/>
        <v>0</v>
      </c>
      <c r="K260" s="81"/>
    </row>
    <row r="261" spans="2:11" ht="16.5" x14ac:dyDescent="0.25">
      <c r="B261" s="49" t="e">
        <f>IF(ISBLANK('SQL Builder'!K236)=FALSE,(DATE(LEFT('SQL Builder'!K236,4),MID('SQL Builder'!K236,6,2),MID('SQL Builder'!K236,9,2))),NA())</f>
        <v>#N/A</v>
      </c>
      <c r="C261" s="50" t="str">
        <f>IF(ISBLANK('SQL Builder'!K236)=FALSE,'SQL Builder'!L236,"")</f>
        <v/>
      </c>
      <c r="D261" s="1" t="str">
        <f>IF(ISBLANK('SQL Builder'!K236)=FALSE,'SQL Builder'!O236,"")</f>
        <v/>
      </c>
      <c r="H261" s="43" t="str">
        <f>IF(ISBLANK('SQL Builder'!K235)=FALSE,H260+1,"")</f>
        <v/>
      </c>
      <c r="I261" s="1" t="str">
        <f>IF(ISBLANK('SQL Builder'!P236)=FALSE,'SQL Builder'!N236,"")</f>
        <v/>
      </c>
      <c r="J261" s="79">
        <f t="shared" si="3"/>
        <v>0</v>
      </c>
      <c r="K261" s="81"/>
    </row>
    <row r="262" spans="2:11" ht="16.5" x14ac:dyDescent="0.25">
      <c r="B262" s="49" t="e">
        <f>IF(ISBLANK('SQL Builder'!K237)=FALSE,(DATE(LEFT('SQL Builder'!K237,4),MID('SQL Builder'!K237,6,2),MID('SQL Builder'!K237,9,2))),NA())</f>
        <v>#N/A</v>
      </c>
      <c r="C262" s="50" t="str">
        <f>IF(ISBLANK('SQL Builder'!K237)=FALSE,'SQL Builder'!L237,"")</f>
        <v/>
      </c>
      <c r="D262" s="1" t="str">
        <f>IF(ISBLANK('SQL Builder'!K237)=FALSE,'SQL Builder'!O237,"")</f>
        <v/>
      </c>
      <c r="H262" s="43" t="str">
        <f>IF(ISBLANK('SQL Builder'!K236)=FALSE,H261+1,"")</f>
        <v/>
      </c>
      <c r="I262" s="1" t="str">
        <f>IF(ISBLANK('SQL Builder'!P237)=FALSE,'SQL Builder'!N237,"")</f>
        <v/>
      </c>
      <c r="J262" s="79">
        <f t="shared" si="3"/>
        <v>0</v>
      </c>
      <c r="K262" s="81"/>
    </row>
    <row r="263" spans="2:11" ht="16.5" x14ac:dyDescent="0.25">
      <c r="B263" s="49" t="e">
        <f>IF(ISBLANK('SQL Builder'!K238)=FALSE,(DATE(LEFT('SQL Builder'!K238,4),MID('SQL Builder'!K238,6,2),MID('SQL Builder'!K238,9,2))),NA())</f>
        <v>#N/A</v>
      </c>
      <c r="C263" s="50" t="str">
        <f>IF(ISBLANK('SQL Builder'!K238)=FALSE,'SQL Builder'!L238,"")</f>
        <v/>
      </c>
      <c r="D263" s="1" t="str">
        <f>IF(ISBLANK('SQL Builder'!K238)=FALSE,'SQL Builder'!O238,"")</f>
        <v/>
      </c>
      <c r="H263" s="43" t="str">
        <f>IF(ISBLANK('SQL Builder'!K237)=FALSE,H262+1,"")</f>
        <v/>
      </c>
      <c r="I263" s="1" t="str">
        <f>IF(ISBLANK('SQL Builder'!P238)=FALSE,'SQL Builder'!N238,"")</f>
        <v/>
      </c>
      <c r="J263" s="79">
        <f t="shared" si="3"/>
        <v>0</v>
      </c>
      <c r="K263" s="81"/>
    </row>
    <row r="264" spans="2:11" ht="16.5" x14ac:dyDescent="0.25">
      <c r="B264" s="49" t="e">
        <f>IF(ISBLANK('SQL Builder'!K239)=FALSE,(DATE(LEFT('SQL Builder'!K239,4),MID('SQL Builder'!K239,6,2),MID('SQL Builder'!K239,9,2))),NA())</f>
        <v>#N/A</v>
      </c>
      <c r="C264" s="50" t="str">
        <f>IF(ISBLANK('SQL Builder'!K239)=FALSE,'SQL Builder'!L239,"")</f>
        <v/>
      </c>
      <c r="D264" s="1" t="str">
        <f>IF(ISBLANK('SQL Builder'!K239)=FALSE,'SQL Builder'!O239,"")</f>
        <v/>
      </c>
      <c r="H264" s="43" t="str">
        <f>IF(ISBLANK('SQL Builder'!K238)=FALSE,H263+1,"")</f>
        <v/>
      </c>
      <c r="I264" s="1" t="str">
        <f>IF(ISBLANK('SQL Builder'!P239)=FALSE,'SQL Builder'!N239,"")</f>
        <v/>
      </c>
      <c r="J264" s="79">
        <f t="shared" si="3"/>
        <v>0</v>
      </c>
      <c r="K264" s="81"/>
    </row>
    <row r="265" spans="2:11" ht="16.5" x14ac:dyDescent="0.25">
      <c r="B265" s="49" t="e">
        <f>IF(ISBLANK('SQL Builder'!K240)=FALSE,(DATE(LEFT('SQL Builder'!K240,4),MID('SQL Builder'!K240,6,2),MID('SQL Builder'!K240,9,2))),NA())</f>
        <v>#N/A</v>
      </c>
      <c r="C265" s="50" t="str">
        <f>IF(ISBLANK('SQL Builder'!K240)=FALSE,'SQL Builder'!L240,"")</f>
        <v/>
      </c>
      <c r="D265" s="1" t="str">
        <f>IF(ISBLANK('SQL Builder'!K240)=FALSE,'SQL Builder'!O240,"")</f>
        <v/>
      </c>
      <c r="H265" s="43" t="str">
        <f>IF(ISBLANK('SQL Builder'!K239)=FALSE,H264+1,"")</f>
        <v/>
      </c>
      <c r="I265" s="1" t="str">
        <f>IF(ISBLANK('SQL Builder'!P240)=FALSE,'SQL Builder'!N240,"")</f>
        <v/>
      </c>
      <c r="J265" s="79">
        <f t="shared" si="3"/>
        <v>0</v>
      </c>
      <c r="K265" s="81"/>
    </row>
    <row r="266" spans="2:11" ht="16.5" x14ac:dyDescent="0.25">
      <c r="B266" s="49" t="e">
        <f>IF(ISBLANK('SQL Builder'!K241)=FALSE,(DATE(LEFT('SQL Builder'!K241,4),MID('SQL Builder'!K241,6,2),MID('SQL Builder'!K241,9,2))),NA())</f>
        <v>#N/A</v>
      </c>
      <c r="C266" s="50" t="str">
        <f>IF(ISBLANK('SQL Builder'!K241)=FALSE,'SQL Builder'!L241,"")</f>
        <v/>
      </c>
      <c r="D266" s="1" t="str">
        <f>IF(ISBLANK('SQL Builder'!K241)=FALSE,'SQL Builder'!O241,"")</f>
        <v/>
      </c>
      <c r="H266" s="43" t="str">
        <f>IF(ISBLANK('SQL Builder'!K240)=FALSE,H265+1,"")</f>
        <v/>
      </c>
      <c r="I266" s="1" t="str">
        <f>IF(ISBLANK('SQL Builder'!P241)=FALSE,'SQL Builder'!N241,"")</f>
        <v/>
      </c>
      <c r="J266" s="79">
        <f t="shared" si="3"/>
        <v>0</v>
      </c>
      <c r="K266" s="81"/>
    </row>
    <row r="267" spans="2:11" ht="16.5" x14ac:dyDescent="0.25">
      <c r="B267" s="49" t="e">
        <f>IF(ISBLANK('SQL Builder'!K242)=FALSE,(DATE(LEFT('SQL Builder'!K242,4),MID('SQL Builder'!K242,6,2),MID('SQL Builder'!K242,9,2))),NA())</f>
        <v>#N/A</v>
      </c>
      <c r="C267" s="50" t="str">
        <f>IF(ISBLANK('SQL Builder'!K242)=FALSE,'SQL Builder'!L242,"")</f>
        <v/>
      </c>
      <c r="D267" s="1" t="str">
        <f>IF(ISBLANK('SQL Builder'!K242)=FALSE,'SQL Builder'!O242,"")</f>
        <v/>
      </c>
      <c r="H267" s="43" t="str">
        <f>IF(ISBLANK('SQL Builder'!K241)=FALSE,H266+1,"")</f>
        <v/>
      </c>
      <c r="I267" s="1" t="str">
        <f>IF(ISBLANK('SQL Builder'!P242)=FALSE,'SQL Builder'!N242,"")</f>
        <v/>
      </c>
      <c r="J267" s="79">
        <f t="shared" si="3"/>
        <v>0</v>
      </c>
      <c r="K267" s="81"/>
    </row>
    <row r="268" spans="2:11" ht="16.5" x14ac:dyDescent="0.25">
      <c r="B268" s="49" t="e">
        <f>IF(ISBLANK('SQL Builder'!K243)=FALSE,(DATE(LEFT('SQL Builder'!K243,4),MID('SQL Builder'!K243,6,2),MID('SQL Builder'!K243,9,2))),NA())</f>
        <v>#N/A</v>
      </c>
      <c r="C268" s="50" t="str">
        <f>IF(ISBLANK('SQL Builder'!K243)=FALSE,'SQL Builder'!L243,"")</f>
        <v/>
      </c>
      <c r="D268" s="1" t="str">
        <f>IF(ISBLANK('SQL Builder'!K243)=FALSE,'SQL Builder'!O243,"")</f>
        <v/>
      </c>
      <c r="H268" s="43" t="str">
        <f>IF(ISBLANK('SQL Builder'!K242)=FALSE,H267+1,"")</f>
        <v/>
      </c>
      <c r="I268" s="1" t="str">
        <f>IF(ISBLANK('SQL Builder'!P243)=FALSE,'SQL Builder'!N243,"")</f>
        <v/>
      </c>
      <c r="J268" s="79">
        <f t="shared" si="3"/>
        <v>0</v>
      </c>
      <c r="K268" s="81"/>
    </row>
    <row r="269" spans="2:11" ht="16.5" x14ac:dyDescent="0.25">
      <c r="B269" s="49" t="e">
        <f>IF(ISBLANK('SQL Builder'!K244)=FALSE,(DATE(LEFT('SQL Builder'!K244,4),MID('SQL Builder'!K244,6,2),MID('SQL Builder'!K244,9,2))),NA())</f>
        <v>#N/A</v>
      </c>
      <c r="C269" s="50" t="str">
        <f>IF(ISBLANK('SQL Builder'!K244)=FALSE,'SQL Builder'!L244,"")</f>
        <v/>
      </c>
      <c r="D269" s="1" t="str">
        <f>IF(ISBLANK('SQL Builder'!K244)=FALSE,'SQL Builder'!O244,"")</f>
        <v/>
      </c>
      <c r="H269" s="43" t="str">
        <f>IF(ISBLANK('SQL Builder'!K243)=FALSE,H268+1,"")</f>
        <v/>
      </c>
      <c r="I269" s="1" t="str">
        <f>IF(ISBLANK('SQL Builder'!P244)=FALSE,'SQL Builder'!N244,"")</f>
        <v/>
      </c>
      <c r="J269" s="79">
        <f t="shared" si="3"/>
        <v>0</v>
      </c>
      <c r="K269" s="81"/>
    </row>
    <row r="270" spans="2:11" ht="16.5" x14ac:dyDescent="0.25">
      <c r="B270" s="49" t="e">
        <f>IF(ISBLANK('SQL Builder'!K245)=FALSE,(DATE(LEFT('SQL Builder'!K245,4),MID('SQL Builder'!K245,6,2),MID('SQL Builder'!K245,9,2))),NA())</f>
        <v>#N/A</v>
      </c>
      <c r="C270" s="50" t="str">
        <f>IF(ISBLANK('SQL Builder'!K245)=FALSE,'SQL Builder'!L245,"")</f>
        <v/>
      </c>
      <c r="D270" s="1" t="str">
        <f>IF(ISBLANK('SQL Builder'!K245)=FALSE,'SQL Builder'!O245,"")</f>
        <v/>
      </c>
      <c r="H270" s="43" t="str">
        <f>IF(ISBLANK('SQL Builder'!K244)=FALSE,H269+1,"")</f>
        <v/>
      </c>
      <c r="I270" s="1" t="str">
        <f>IF(ISBLANK('SQL Builder'!P245)=FALSE,'SQL Builder'!N245,"")</f>
        <v/>
      </c>
      <c r="J270" s="79">
        <f t="shared" si="3"/>
        <v>0</v>
      </c>
      <c r="K270" s="81"/>
    </row>
    <row r="271" spans="2:11" ht="16.5" x14ac:dyDescent="0.25">
      <c r="B271" s="49" t="e">
        <f>IF(ISBLANK('SQL Builder'!K246)=FALSE,(DATE(LEFT('SQL Builder'!K246,4),MID('SQL Builder'!K246,6,2),MID('SQL Builder'!K246,9,2))),NA())</f>
        <v>#N/A</v>
      </c>
      <c r="C271" s="50" t="str">
        <f>IF(ISBLANK('SQL Builder'!K246)=FALSE,'SQL Builder'!L246,"")</f>
        <v/>
      </c>
      <c r="D271" s="1" t="str">
        <f>IF(ISBLANK('SQL Builder'!K246)=FALSE,'SQL Builder'!O246,"")</f>
        <v/>
      </c>
      <c r="H271" s="43" t="str">
        <f>IF(ISBLANK('SQL Builder'!K245)=FALSE,H270+1,"")</f>
        <v/>
      </c>
      <c r="I271" s="1" t="str">
        <f>IF(ISBLANK('SQL Builder'!P246)=FALSE,'SQL Builder'!N246,"")</f>
        <v/>
      </c>
      <c r="J271" s="79">
        <f t="shared" si="3"/>
        <v>0</v>
      </c>
      <c r="K271" s="81"/>
    </row>
    <row r="272" spans="2:11" ht="16.5" x14ac:dyDescent="0.25">
      <c r="B272" s="49" t="e">
        <f>IF(ISBLANK('SQL Builder'!K247)=FALSE,(DATE(LEFT('SQL Builder'!K247,4),MID('SQL Builder'!K247,6,2),MID('SQL Builder'!K247,9,2))),NA())</f>
        <v>#N/A</v>
      </c>
      <c r="C272" s="50" t="str">
        <f>IF(ISBLANK('SQL Builder'!K247)=FALSE,'SQL Builder'!L247,"")</f>
        <v/>
      </c>
      <c r="D272" s="1" t="str">
        <f>IF(ISBLANK('SQL Builder'!K247)=FALSE,'SQL Builder'!O247,"")</f>
        <v/>
      </c>
      <c r="H272" s="43" t="str">
        <f>IF(ISBLANK('SQL Builder'!K246)=FALSE,H271+1,"")</f>
        <v/>
      </c>
      <c r="I272" s="1" t="str">
        <f>IF(ISBLANK('SQL Builder'!P247)=FALSE,'SQL Builder'!N247,"")</f>
        <v/>
      </c>
      <c r="J272" s="79">
        <f t="shared" si="3"/>
        <v>0</v>
      </c>
      <c r="K272" s="81"/>
    </row>
    <row r="273" spans="2:11" ht="16.5" x14ac:dyDescent="0.25">
      <c r="B273" s="49" t="e">
        <f>IF(ISBLANK('SQL Builder'!K248)=FALSE,(DATE(LEFT('SQL Builder'!K248,4),MID('SQL Builder'!K248,6,2),MID('SQL Builder'!K248,9,2))),NA())</f>
        <v>#N/A</v>
      </c>
      <c r="C273" s="50" t="str">
        <f>IF(ISBLANK('SQL Builder'!K248)=FALSE,'SQL Builder'!L248,"")</f>
        <v/>
      </c>
      <c r="D273" s="1" t="str">
        <f>IF(ISBLANK('SQL Builder'!K248)=FALSE,'SQL Builder'!O248,"")</f>
        <v/>
      </c>
      <c r="H273" s="43" t="str">
        <f>IF(ISBLANK('SQL Builder'!K247)=FALSE,H272+1,"")</f>
        <v/>
      </c>
      <c r="I273" s="1" t="str">
        <f>IF(ISBLANK('SQL Builder'!P248)=FALSE,'SQL Builder'!N248,"")</f>
        <v/>
      </c>
      <c r="J273" s="79">
        <f t="shared" si="3"/>
        <v>0</v>
      </c>
      <c r="K273" s="81"/>
    </row>
    <row r="274" spans="2:11" ht="16.5" x14ac:dyDescent="0.25">
      <c r="B274" s="49" t="e">
        <f>IF(ISBLANK('SQL Builder'!K249)=FALSE,(DATE(LEFT('SQL Builder'!K249,4),MID('SQL Builder'!K249,6,2),MID('SQL Builder'!K249,9,2))),NA())</f>
        <v>#N/A</v>
      </c>
      <c r="C274" s="50" t="str">
        <f>IF(ISBLANK('SQL Builder'!K249)=FALSE,'SQL Builder'!L249,"")</f>
        <v/>
      </c>
      <c r="D274" s="1" t="str">
        <f>IF(ISBLANK('SQL Builder'!K249)=FALSE,'SQL Builder'!O249,"")</f>
        <v/>
      </c>
      <c r="H274" s="43" t="str">
        <f>IF(ISBLANK('SQL Builder'!K248)=FALSE,H273+1,"")</f>
        <v/>
      </c>
      <c r="I274" s="1" t="str">
        <f>IF(ISBLANK('SQL Builder'!P249)=FALSE,'SQL Builder'!N249,"")</f>
        <v/>
      </c>
      <c r="J274" s="79">
        <f t="shared" si="3"/>
        <v>0</v>
      </c>
      <c r="K274" s="81"/>
    </row>
    <row r="275" spans="2:11" ht="16.5" x14ac:dyDescent="0.25">
      <c r="B275" s="49" t="e">
        <f>IF(ISBLANK('SQL Builder'!K250)=FALSE,(DATE(LEFT('SQL Builder'!K250,4),MID('SQL Builder'!K250,6,2),MID('SQL Builder'!K250,9,2))),NA())</f>
        <v>#N/A</v>
      </c>
      <c r="C275" s="50" t="str">
        <f>IF(ISBLANK('SQL Builder'!K250)=FALSE,'SQL Builder'!L250,"")</f>
        <v/>
      </c>
      <c r="D275" s="1" t="str">
        <f>IF(ISBLANK('SQL Builder'!K250)=FALSE,'SQL Builder'!O250,"")</f>
        <v/>
      </c>
      <c r="H275" s="43" t="str">
        <f>IF(ISBLANK('SQL Builder'!K249)=FALSE,H274+1,"")</f>
        <v/>
      </c>
      <c r="I275" s="1" t="str">
        <f>IF(ISBLANK('SQL Builder'!P250)=FALSE,'SQL Builder'!N250,"")</f>
        <v/>
      </c>
      <c r="J275" s="79">
        <f t="shared" si="3"/>
        <v>0</v>
      </c>
      <c r="K275" s="81"/>
    </row>
    <row r="276" spans="2:11" ht="16.5" x14ac:dyDescent="0.25">
      <c r="B276" s="49" t="e">
        <f>IF(ISBLANK('SQL Builder'!K251)=FALSE,(DATE(LEFT('SQL Builder'!K251,4),MID('SQL Builder'!K251,6,2),MID('SQL Builder'!K251,9,2))),NA())</f>
        <v>#N/A</v>
      </c>
      <c r="C276" s="50" t="str">
        <f>IF(ISBLANK('SQL Builder'!K251)=FALSE,'SQL Builder'!L251,"")</f>
        <v/>
      </c>
      <c r="D276" s="1" t="str">
        <f>IF(ISBLANK('SQL Builder'!K251)=FALSE,'SQL Builder'!O251,"")</f>
        <v/>
      </c>
      <c r="H276" s="43" t="str">
        <f>IF(ISBLANK('SQL Builder'!K250)=FALSE,H275+1,"")</f>
        <v/>
      </c>
      <c r="I276" s="1" t="str">
        <f>IF(ISBLANK('SQL Builder'!P251)=FALSE,'SQL Builder'!N251,"")</f>
        <v/>
      </c>
      <c r="J276" s="79">
        <f t="shared" si="3"/>
        <v>0</v>
      </c>
      <c r="K276" s="81"/>
    </row>
    <row r="277" spans="2:11" ht="16.5" x14ac:dyDescent="0.25">
      <c r="B277" s="49" t="e">
        <f>IF(ISBLANK('SQL Builder'!K252)=FALSE,(DATE(LEFT('SQL Builder'!K252,4),MID('SQL Builder'!K252,6,2),MID('SQL Builder'!K252,9,2))),NA())</f>
        <v>#N/A</v>
      </c>
      <c r="C277" s="50" t="str">
        <f>IF(ISBLANK('SQL Builder'!K252)=FALSE,'SQL Builder'!L252,"")</f>
        <v/>
      </c>
      <c r="D277" s="1" t="str">
        <f>IF(ISBLANK('SQL Builder'!K252)=FALSE,'SQL Builder'!O252,"")</f>
        <v/>
      </c>
      <c r="H277" s="43" t="str">
        <f>IF(ISBLANK('SQL Builder'!K251)=FALSE,H276+1,"")</f>
        <v/>
      </c>
      <c r="I277" s="1" t="str">
        <f>IF(ISBLANK('SQL Builder'!P252)=FALSE,'SQL Builder'!N252,"")</f>
        <v/>
      </c>
      <c r="J277" s="79">
        <f t="shared" si="3"/>
        <v>0</v>
      </c>
      <c r="K277" s="81"/>
    </row>
    <row r="278" spans="2:11" ht="16.5" x14ac:dyDescent="0.25">
      <c r="B278" s="49" t="e">
        <f>IF(ISBLANK('SQL Builder'!K253)=FALSE,(DATE(LEFT('SQL Builder'!K253,4),MID('SQL Builder'!K253,6,2),MID('SQL Builder'!K253,9,2))),NA())</f>
        <v>#N/A</v>
      </c>
      <c r="C278" s="50" t="str">
        <f>IF(ISBLANK('SQL Builder'!K253)=FALSE,'SQL Builder'!L253,"")</f>
        <v/>
      </c>
      <c r="D278" s="1" t="str">
        <f>IF(ISBLANK('SQL Builder'!K253)=FALSE,'SQL Builder'!O253,"")</f>
        <v/>
      </c>
      <c r="H278" s="43" t="str">
        <f>IF(ISBLANK('SQL Builder'!K252)=FALSE,H277+1,"")</f>
        <v/>
      </c>
      <c r="I278" s="1" t="str">
        <f>IF(ISBLANK('SQL Builder'!P253)=FALSE,'SQL Builder'!N253,"")</f>
        <v/>
      </c>
      <c r="J278" s="79">
        <f t="shared" si="3"/>
        <v>0</v>
      </c>
      <c r="K278" s="81"/>
    </row>
    <row r="279" spans="2:11" ht="16.5" x14ac:dyDescent="0.25">
      <c r="B279" s="49" t="e">
        <f>IF(ISBLANK('SQL Builder'!K254)=FALSE,(DATE(LEFT('SQL Builder'!K254,4),MID('SQL Builder'!K254,6,2),MID('SQL Builder'!K254,9,2))),NA())</f>
        <v>#N/A</v>
      </c>
      <c r="C279" s="50" t="str">
        <f>IF(ISBLANK('SQL Builder'!K254)=FALSE,'SQL Builder'!L254,"")</f>
        <v/>
      </c>
      <c r="D279" s="1" t="str">
        <f>IF(ISBLANK('SQL Builder'!K254)=FALSE,'SQL Builder'!O254,"")</f>
        <v/>
      </c>
      <c r="H279" s="43" t="str">
        <f>IF(ISBLANK('SQL Builder'!K253)=FALSE,H278+1,"")</f>
        <v/>
      </c>
      <c r="I279" s="1" t="str">
        <f>IF(ISBLANK('SQL Builder'!P254)=FALSE,'SQL Builder'!N254,"")</f>
        <v/>
      </c>
      <c r="J279" s="79">
        <f t="shared" si="3"/>
        <v>0</v>
      </c>
      <c r="K279" s="81"/>
    </row>
    <row r="280" spans="2:11" ht="16.5" x14ac:dyDescent="0.25">
      <c r="B280" s="49" t="e">
        <f>IF(ISBLANK('SQL Builder'!K255)=FALSE,(DATE(LEFT('SQL Builder'!K255,4),MID('SQL Builder'!K255,6,2),MID('SQL Builder'!K255,9,2))),NA())</f>
        <v>#N/A</v>
      </c>
      <c r="C280" s="50" t="str">
        <f>IF(ISBLANK('SQL Builder'!K255)=FALSE,'SQL Builder'!L255,"")</f>
        <v/>
      </c>
      <c r="D280" s="1" t="str">
        <f>IF(ISBLANK('SQL Builder'!K255)=FALSE,'SQL Builder'!O255,"")</f>
        <v/>
      </c>
      <c r="H280" s="43" t="str">
        <f>IF(ISBLANK('SQL Builder'!K254)=FALSE,H279+1,"")</f>
        <v/>
      </c>
      <c r="I280" s="1" t="str">
        <f>IF(ISBLANK('SQL Builder'!P255)=FALSE,'SQL Builder'!N255,"")</f>
        <v/>
      </c>
      <c r="J280" s="79">
        <f t="shared" si="3"/>
        <v>0</v>
      </c>
      <c r="K280" s="81"/>
    </row>
    <row r="281" spans="2:11" ht="16.5" x14ac:dyDescent="0.25">
      <c r="B281" s="49" t="e">
        <f>IF(ISBLANK('SQL Builder'!K256)=FALSE,(DATE(LEFT('SQL Builder'!K256,4),MID('SQL Builder'!K256,6,2),MID('SQL Builder'!K256,9,2))),NA())</f>
        <v>#N/A</v>
      </c>
      <c r="C281" s="50" t="str">
        <f>IF(ISBLANK('SQL Builder'!K256)=FALSE,'SQL Builder'!L256,"")</f>
        <v/>
      </c>
      <c r="D281" s="1" t="str">
        <f>IF(ISBLANK('SQL Builder'!K256)=FALSE,'SQL Builder'!O256,"")</f>
        <v/>
      </c>
      <c r="H281" s="43" t="str">
        <f>IF(ISBLANK('SQL Builder'!K255)=FALSE,H280+1,"")</f>
        <v/>
      </c>
      <c r="I281" s="1" t="str">
        <f>IF(ISBLANK('SQL Builder'!P256)=FALSE,'SQL Builder'!N256,"")</f>
        <v/>
      </c>
      <c r="J281" s="79">
        <f t="shared" si="3"/>
        <v>0</v>
      </c>
      <c r="K281" s="81"/>
    </row>
    <row r="282" spans="2:11" ht="16.5" x14ac:dyDescent="0.25">
      <c r="B282" s="49" t="e">
        <f>IF(ISBLANK('SQL Builder'!K257)=FALSE,(DATE(LEFT('SQL Builder'!K257,4),MID('SQL Builder'!K257,6,2),MID('SQL Builder'!K257,9,2))),NA())</f>
        <v>#N/A</v>
      </c>
      <c r="C282" s="50" t="str">
        <f>IF(ISBLANK('SQL Builder'!K257)=FALSE,'SQL Builder'!L257,"")</f>
        <v/>
      </c>
      <c r="D282" s="1" t="str">
        <f>IF(ISBLANK('SQL Builder'!K257)=FALSE,'SQL Builder'!O257,"")</f>
        <v/>
      </c>
      <c r="H282" s="43" t="str">
        <f>IF(ISBLANK('SQL Builder'!K256)=FALSE,H281+1,"")</f>
        <v/>
      </c>
      <c r="I282" s="1" t="str">
        <f>IF(ISBLANK('SQL Builder'!P257)=FALSE,'SQL Builder'!N257,"")</f>
        <v/>
      </c>
      <c r="J282" s="79">
        <f t="shared" si="3"/>
        <v>0</v>
      </c>
      <c r="K282" s="81"/>
    </row>
    <row r="283" spans="2:11" ht="16.5" x14ac:dyDescent="0.25">
      <c r="B283" s="49" t="e">
        <f>IF(ISBLANK('SQL Builder'!K258)=FALSE,(DATE(LEFT('SQL Builder'!K258,4),MID('SQL Builder'!K258,6,2),MID('SQL Builder'!K258,9,2))),NA())</f>
        <v>#N/A</v>
      </c>
      <c r="C283" s="50" t="str">
        <f>IF(ISBLANK('SQL Builder'!K258)=FALSE,'SQL Builder'!L258,"")</f>
        <v/>
      </c>
      <c r="D283" s="1" t="str">
        <f>IF(ISBLANK('SQL Builder'!K258)=FALSE,'SQL Builder'!O258,"")</f>
        <v/>
      </c>
      <c r="H283" s="43" t="str">
        <f>IF(ISBLANK('SQL Builder'!K257)=FALSE,H282+1,"")</f>
        <v/>
      </c>
      <c r="I283" s="1" t="str">
        <f>IF(ISBLANK('SQL Builder'!P258)=FALSE,'SQL Builder'!N258,"")</f>
        <v/>
      </c>
      <c r="J283" s="79">
        <f t="shared" si="3"/>
        <v>0</v>
      </c>
      <c r="K283" s="81"/>
    </row>
    <row r="284" spans="2:11" ht="16.5" x14ac:dyDescent="0.25">
      <c r="B284" s="49" t="e">
        <f>IF(ISBLANK('SQL Builder'!K259)=FALSE,(DATE(LEFT('SQL Builder'!K259,4),MID('SQL Builder'!K259,6,2),MID('SQL Builder'!K259,9,2))),NA())</f>
        <v>#N/A</v>
      </c>
      <c r="C284" s="50" t="str">
        <f>IF(ISBLANK('SQL Builder'!K259)=FALSE,'SQL Builder'!L259,"")</f>
        <v/>
      </c>
      <c r="D284" s="1" t="str">
        <f>IF(ISBLANK('SQL Builder'!K259)=FALSE,'SQL Builder'!O259,"")</f>
        <v/>
      </c>
      <c r="H284" s="43" t="str">
        <f>IF(ISBLANK('SQL Builder'!K258)=FALSE,H283+1,"")</f>
        <v/>
      </c>
      <c r="I284" s="1" t="str">
        <f>IF(ISBLANK('SQL Builder'!P259)=FALSE,'SQL Builder'!N259,"")</f>
        <v/>
      </c>
      <c r="J284" s="79">
        <f t="shared" si="3"/>
        <v>0</v>
      </c>
      <c r="K284" s="81"/>
    </row>
    <row r="285" spans="2:11" ht="16.5" x14ac:dyDescent="0.25">
      <c r="B285" s="49" t="e">
        <f>IF(ISBLANK('SQL Builder'!K260)=FALSE,(DATE(LEFT('SQL Builder'!K260,4),MID('SQL Builder'!K260,6,2),MID('SQL Builder'!K260,9,2))),NA())</f>
        <v>#N/A</v>
      </c>
      <c r="C285" s="50" t="str">
        <f>IF(ISBLANK('SQL Builder'!K260)=FALSE,'SQL Builder'!L260,"")</f>
        <v/>
      </c>
      <c r="D285" s="1" t="str">
        <f>IF(ISBLANK('SQL Builder'!K260)=FALSE,'SQL Builder'!O260,"")</f>
        <v/>
      </c>
      <c r="H285" s="43" t="str">
        <f>IF(ISBLANK('SQL Builder'!K259)=FALSE,H284+1,"")</f>
        <v/>
      </c>
      <c r="I285" s="1" t="str">
        <f>IF(ISBLANK('SQL Builder'!P260)=FALSE,'SQL Builder'!N260,"")</f>
        <v/>
      </c>
      <c r="J285" s="79">
        <f t="shared" si="3"/>
        <v>0</v>
      </c>
      <c r="K285" s="81"/>
    </row>
    <row r="286" spans="2:11" ht="16.5" x14ac:dyDescent="0.25">
      <c r="B286" s="49" t="e">
        <f>IF(ISBLANK('SQL Builder'!K261)=FALSE,(DATE(LEFT('SQL Builder'!K261,4),MID('SQL Builder'!K261,6,2),MID('SQL Builder'!K261,9,2))),NA())</f>
        <v>#N/A</v>
      </c>
      <c r="C286" s="50" t="str">
        <f>IF(ISBLANK('SQL Builder'!K261)=FALSE,'SQL Builder'!L261,"")</f>
        <v/>
      </c>
      <c r="D286" s="1" t="str">
        <f>IF(ISBLANK('SQL Builder'!K261)=FALSE,'SQL Builder'!O261,"")</f>
        <v/>
      </c>
      <c r="H286" s="43" t="str">
        <f>IF(ISBLANK('SQL Builder'!K260)=FALSE,H285+1,"")</f>
        <v/>
      </c>
      <c r="I286" s="1" t="str">
        <f>IF(ISBLANK('SQL Builder'!P261)=FALSE,'SQL Builder'!N261,"")</f>
        <v/>
      </c>
      <c r="J286" s="79">
        <f t="shared" si="3"/>
        <v>0</v>
      </c>
      <c r="K286" s="81"/>
    </row>
    <row r="287" spans="2:11" ht="16.5" x14ac:dyDescent="0.25">
      <c r="B287" s="49" t="e">
        <f>IF(ISBLANK('SQL Builder'!K262)=FALSE,(DATE(LEFT('SQL Builder'!K262,4),MID('SQL Builder'!K262,6,2),MID('SQL Builder'!K262,9,2))),NA())</f>
        <v>#N/A</v>
      </c>
      <c r="C287" s="50" t="str">
        <f>IF(ISBLANK('SQL Builder'!K262)=FALSE,'SQL Builder'!L262,"")</f>
        <v/>
      </c>
      <c r="D287" s="1" t="str">
        <f>IF(ISBLANK('SQL Builder'!K262)=FALSE,'SQL Builder'!O262,"")</f>
        <v/>
      </c>
      <c r="H287" s="43" t="str">
        <f>IF(ISBLANK('SQL Builder'!K261)=FALSE,H286+1,"")</f>
        <v/>
      </c>
      <c r="I287" s="1" t="str">
        <f>IF(ISBLANK('SQL Builder'!P262)=FALSE,'SQL Builder'!N262,"")</f>
        <v/>
      </c>
      <c r="J287" s="79">
        <f t="shared" ref="J287:J350" si="4">IF(I287="",0,IF(I287=C$5,2,1))</f>
        <v>0</v>
      </c>
      <c r="K287" s="81"/>
    </row>
    <row r="288" spans="2:11" ht="16.5" x14ac:dyDescent="0.25">
      <c r="B288" s="49" t="e">
        <f>IF(ISBLANK('SQL Builder'!K263)=FALSE,(DATE(LEFT('SQL Builder'!K263,4),MID('SQL Builder'!K263,6,2),MID('SQL Builder'!K263,9,2))),NA())</f>
        <v>#N/A</v>
      </c>
      <c r="C288" s="50" t="str">
        <f>IF(ISBLANK('SQL Builder'!K263)=FALSE,'SQL Builder'!L263,"")</f>
        <v/>
      </c>
      <c r="D288" s="1" t="str">
        <f>IF(ISBLANK('SQL Builder'!K263)=FALSE,'SQL Builder'!O263,"")</f>
        <v/>
      </c>
      <c r="H288" s="43" t="str">
        <f>IF(ISBLANK('SQL Builder'!K262)=FALSE,H287+1,"")</f>
        <v/>
      </c>
      <c r="I288" s="1" t="str">
        <f>IF(ISBLANK('SQL Builder'!P263)=FALSE,'SQL Builder'!N263,"")</f>
        <v/>
      </c>
      <c r="J288" s="79">
        <f t="shared" si="4"/>
        <v>0</v>
      </c>
      <c r="K288" s="81"/>
    </row>
    <row r="289" spans="2:11" ht="16.5" x14ac:dyDescent="0.25">
      <c r="B289" s="49" t="e">
        <f>IF(ISBLANK('SQL Builder'!K264)=FALSE,(DATE(LEFT('SQL Builder'!K264,4),MID('SQL Builder'!K264,6,2),MID('SQL Builder'!K264,9,2))),NA())</f>
        <v>#N/A</v>
      </c>
      <c r="C289" s="50" t="str">
        <f>IF(ISBLANK('SQL Builder'!K264)=FALSE,'SQL Builder'!L264,"")</f>
        <v/>
      </c>
      <c r="D289" s="1" t="str">
        <f>IF(ISBLANK('SQL Builder'!K264)=FALSE,'SQL Builder'!O264,"")</f>
        <v/>
      </c>
      <c r="H289" s="43" t="str">
        <f>IF(ISBLANK('SQL Builder'!K263)=FALSE,H288+1,"")</f>
        <v/>
      </c>
      <c r="I289" s="1" t="str">
        <f>IF(ISBLANK('SQL Builder'!P264)=FALSE,'SQL Builder'!N264,"")</f>
        <v/>
      </c>
      <c r="J289" s="79">
        <f t="shared" si="4"/>
        <v>0</v>
      </c>
      <c r="K289" s="81"/>
    </row>
    <row r="290" spans="2:11" ht="16.5" x14ac:dyDescent="0.25">
      <c r="B290" s="49" t="e">
        <f>IF(ISBLANK('SQL Builder'!K265)=FALSE,(DATE(LEFT('SQL Builder'!K265,4),MID('SQL Builder'!K265,6,2),MID('SQL Builder'!K265,9,2))),NA())</f>
        <v>#N/A</v>
      </c>
      <c r="C290" s="50" t="str">
        <f>IF(ISBLANK('SQL Builder'!K265)=FALSE,'SQL Builder'!L265,"")</f>
        <v/>
      </c>
      <c r="D290" s="1" t="str">
        <f>IF(ISBLANK('SQL Builder'!K265)=FALSE,'SQL Builder'!O265,"")</f>
        <v/>
      </c>
      <c r="H290" s="43" t="str">
        <f>IF(ISBLANK('SQL Builder'!K264)=FALSE,H289+1,"")</f>
        <v/>
      </c>
      <c r="I290" s="1" t="str">
        <f>IF(ISBLANK('SQL Builder'!P265)=FALSE,'SQL Builder'!N265,"")</f>
        <v/>
      </c>
      <c r="J290" s="79">
        <f t="shared" si="4"/>
        <v>0</v>
      </c>
      <c r="K290" s="81"/>
    </row>
    <row r="291" spans="2:11" ht="16.5" x14ac:dyDescent="0.25">
      <c r="B291" s="49" t="e">
        <f>IF(ISBLANK('SQL Builder'!K266)=FALSE,(DATE(LEFT('SQL Builder'!K266,4),MID('SQL Builder'!K266,6,2),MID('SQL Builder'!K266,9,2))),NA())</f>
        <v>#N/A</v>
      </c>
      <c r="C291" s="50" t="str">
        <f>IF(ISBLANK('SQL Builder'!K266)=FALSE,'SQL Builder'!L266,"")</f>
        <v/>
      </c>
      <c r="D291" s="1" t="str">
        <f>IF(ISBLANK('SQL Builder'!K266)=FALSE,'SQL Builder'!O266,"")</f>
        <v/>
      </c>
      <c r="H291" s="43" t="str">
        <f>IF(ISBLANK('SQL Builder'!K265)=FALSE,H290+1,"")</f>
        <v/>
      </c>
      <c r="I291" s="1" t="str">
        <f>IF(ISBLANK('SQL Builder'!P266)=FALSE,'SQL Builder'!N266,"")</f>
        <v/>
      </c>
      <c r="J291" s="79">
        <f t="shared" si="4"/>
        <v>0</v>
      </c>
      <c r="K291" s="81"/>
    </row>
    <row r="292" spans="2:11" ht="16.5" x14ac:dyDescent="0.25">
      <c r="B292" s="49" t="e">
        <f>IF(ISBLANK('SQL Builder'!K267)=FALSE,(DATE(LEFT('SQL Builder'!K267,4),MID('SQL Builder'!K267,6,2),MID('SQL Builder'!K267,9,2))),NA())</f>
        <v>#N/A</v>
      </c>
      <c r="C292" s="50" t="str">
        <f>IF(ISBLANK('SQL Builder'!K267)=FALSE,'SQL Builder'!L267,"")</f>
        <v/>
      </c>
      <c r="D292" s="1" t="str">
        <f>IF(ISBLANK('SQL Builder'!K267)=FALSE,'SQL Builder'!O267,"")</f>
        <v/>
      </c>
      <c r="H292" s="43" t="str">
        <f>IF(ISBLANK('SQL Builder'!K266)=FALSE,H291+1,"")</f>
        <v/>
      </c>
      <c r="I292" s="1" t="str">
        <f>IF(ISBLANK('SQL Builder'!P267)=FALSE,'SQL Builder'!N267,"")</f>
        <v/>
      </c>
      <c r="J292" s="79">
        <f t="shared" si="4"/>
        <v>0</v>
      </c>
      <c r="K292" s="81"/>
    </row>
    <row r="293" spans="2:11" ht="16.5" x14ac:dyDescent="0.25">
      <c r="B293" s="49" t="e">
        <f>IF(ISBLANK('SQL Builder'!K268)=FALSE,(DATE(LEFT('SQL Builder'!K268,4),MID('SQL Builder'!K268,6,2),MID('SQL Builder'!K268,9,2))),NA())</f>
        <v>#N/A</v>
      </c>
      <c r="C293" s="50" t="str">
        <f>IF(ISBLANK('SQL Builder'!K268)=FALSE,'SQL Builder'!L268,"")</f>
        <v/>
      </c>
      <c r="D293" s="1" t="str">
        <f>IF(ISBLANK('SQL Builder'!K268)=FALSE,'SQL Builder'!O268,"")</f>
        <v/>
      </c>
      <c r="H293" s="43" t="str">
        <f>IF(ISBLANK('SQL Builder'!K267)=FALSE,H292+1,"")</f>
        <v/>
      </c>
      <c r="I293" s="1" t="str">
        <f>IF(ISBLANK('SQL Builder'!P268)=FALSE,'SQL Builder'!N268,"")</f>
        <v/>
      </c>
      <c r="J293" s="79">
        <f t="shared" si="4"/>
        <v>0</v>
      </c>
      <c r="K293" s="81"/>
    </row>
    <row r="294" spans="2:11" ht="16.5" x14ac:dyDescent="0.25">
      <c r="B294" s="49" t="e">
        <f>IF(ISBLANK('SQL Builder'!K269)=FALSE,(DATE(LEFT('SQL Builder'!K269,4),MID('SQL Builder'!K269,6,2),MID('SQL Builder'!K269,9,2))),NA())</f>
        <v>#N/A</v>
      </c>
      <c r="C294" s="50" t="str">
        <f>IF(ISBLANK('SQL Builder'!K269)=FALSE,'SQL Builder'!L269,"")</f>
        <v/>
      </c>
      <c r="D294" s="1" t="str">
        <f>IF(ISBLANK('SQL Builder'!K269)=FALSE,'SQL Builder'!O269,"")</f>
        <v/>
      </c>
      <c r="H294" s="43" t="str">
        <f>IF(ISBLANK('SQL Builder'!K268)=FALSE,H293+1,"")</f>
        <v/>
      </c>
      <c r="I294" s="1" t="str">
        <f>IF(ISBLANK('SQL Builder'!P269)=FALSE,'SQL Builder'!N269,"")</f>
        <v/>
      </c>
      <c r="J294" s="79">
        <f t="shared" si="4"/>
        <v>0</v>
      </c>
      <c r="K294" s="81"/>
    </row>
    <row r="295" spans="2:11" ht="16.5" x14ac:dyDescent="0.25">
      <c r="B295" s="49" t="e">
        <f>IF(ISBLANK('SQL Builder'!K270)=FALSE,(DATE(LEFT('SQL Builder'!K270,4),MID('SQL Builder'!K270,6,2),MID('SQL Builder'!K270,9,2))),NA())</f>
        <v>#N/A</v>
      </c>
      <c r="C295" s="50" t="str">
        <f>IF(ISBLANK('SQL Builder'!K270)=FALSE,'SQL Builder'!L270,"")</f>
        <v/>
      </c>
      <c r="D295" s="1" t="str">
        <f>IF(ISBLANK('SQL Builder'!K270)=FALSE,'SQL Builder'!O270,"")</f>
        <v/>
      </c>
      <c r="H295" s="43" t="str">
        <f>IF(ISBLANK('SQL Builder'!K269)=FALSE,H294+1,"")</f>
        <v/>
      </c>
      <c r="I295" s="1" t="str">
        <f>IF(ISBLANK('SQL Builder'!P270)=FALSE,'SQL Builder'!N270,"")</f>
        <v/>
      </c>
      <c r="J295" s="79">
        <f t="shared" si="4"/>
        <v>0</v>
      </c>
      <c r="K295" s="81"/>
    </row>
    <row r="296" spans="2:11" ht="16.5" x14ac:dyDescent="0.25">
      <c r="B296" s="49" t="e">
        <f>IF(ISBLANK('SQL Builder'!K271)=FALSE,(DATE(LEFT('SQL Builder'!K271,4),MID('SQL Builder'!K271,6,2),MID('SQL Builder'!K271,9,2))),NA())</f>
        <v>#N/A</v>
      </c>
      <c r="C296" s="50" t="str">
        <f>IF(ISBLANK('SQL Builder'!K271)=FALSE,'SQL Builder'!L271,"")</f>
        <v/>
      </c>
      <c r="D296" s="1" t="str">
        <f>IF(ISBLANK('SQL Builder'!K271)=FALSE,'SQL Builder'!O271,"")</f>
        <v/>
      </c>
      <c r="H296" s="43" t="str">
        <f>IF(ISBLANK('SQL Builder'!K270)=FALSE,H295+1,"")</f>
        <v/>
      </c>
      <c r="I296" s="1" t="str">
        <f>IF(ISBLANK('SQL Builder'!P271)=FALSE,'SQL Builder'!N271,"")</f>
        <v/>
      </c>
      <c r="J296" s="79">
        <f t="shared" si="4"/>
        <v>0</v>
      </c>
      <c r="K296" s="81"/>
    </row>
    <row r="297" spans="2:11" ht="16.5" x14ac:dyDescent="0.25">
      <c r="B297" s="49" t="e">
        <f>IF(ISBLANK('SQL Builder'!K272)=FALSE,(DATE(LEFT('SQL Builder'!K272,4),MID('SQL Builder'!K272,6,2),MID('SQL Builder'!K272,9,2))),NA())</f>
        <v>#N/A</v>
      </c>
      <c r="C297" s="50" t="str">
        <f>IF(ISBLANK('SQL Builder'!K272)=FALSE,'SQL Builder'!L272,"")</f>
        <v/>
      </c>
      <c r="D297" s="1" t="str">
        <f>IF(ISBLANK('SQL Builder'!K272)=FALSE,'SQL Builder'!O272,"")</f>
        <v/>
      </c>
      <c r="H297" s="43" t="str">
        <f>IF(ISBLANK('SQL Builder'!K271)=FALSE,H296+1,"")</f>
        <v/>
      </c>
      <c r="I297" s="1" t="str">
        <f>IF(ISBLANK('SQL Builder'!P272)=FALSE,'SQL Builder'!N272,"")</f>
        <v/>
      </c>
      <c r="J297" s="79">
        <f t="shared" si="4"/>
        <v>0</v>
      </c>
      <c r="K297" s="81"/>
    </row>
    <row r="298" spans="2:11" ht="16.5" x14ac:dyDescent="0.25">
      <c r="B298" s="49" t="e">
        <f>IF(ISBLANK('SQL Builder'!K273)=FALSE,(DATE(LEFT('SQL Builder'!K273,4),MID('SQL Builder'!K273,6,2),MID('SQL Builder'!K273,9,2))),NA())</f>
        <v>#N/A</v>
      </c>
      <c r="C298" s="50" t="str">
        <f>IF(ISBLANK('SQL Builder'!K273)=FALSE,'SQL Builder'!L273,"")</f>
        <v/>
      </c>
      <c r="D298" s="1" t="str">
        <f>IF(ISBLANK('SQL Builder'!K273)=FALSE,'SQL Builder'!O273,"")</f>
        <v/>
      </c>
      <c r="H298" s="43" t="str">
        <f>IF(ISBLANK('SQL Builder'!K272)=FALSE,H297+1,"")</f>
        <v/>
      </c>
      <c r="I298" s="1" t="str">
        <f>IF(ISBLANK('SQL Builder'!P273)=FALSE,'SQL Builder'!N273,"")</f>
        <v/>
      </c>
      <c r="J298" s="79">
        <f t="shared" si="4"/>
        <v>0</v>
      </c>
      <c r="K298" s="81"/>
    </row>
    <row r="299" spans="2:11" ht="16.5" x14ac:dyDescent="0.25">
      <c r="B299" s="49" t="e">
        <f>IF(ISBLANK('SQL Builder'!K274)=FALSE,(DATE(LEFT('SQL Builder'!K274,4),MID('SQL Builder'!K274,6,2),MID('SQL Builder'!K274,9,2))),NA())</f>
        <v>#N/A</v>
      </c>
      <c r="C299" s="50" t="str">
        <f>IF(ISBLANK('SQL Builder'!K274)=FALSE,'SQL Builder'!L274,"")</f>
        <v/>
      </c>
      <c r="D299" s="1" t="str">
        <f>IF(ISBLANK('SQL Builder'!K274)=FALSE,'SQL Builder'!O274,"")</f>
        <v/>
      </c>
      <c r="H299" s="43" t="str">
        <f>IF(ISBLANK('SQL Builder'!K273)=FALSE,H298+1,"")</f>
        <v/>
      </c>
      <c r="I299" s="1" t="str">
        <f>IF(ISBLANK('SQL Builder'!P274)=FALSE,'SQL Builder'!N274,"")</f>
        <v/>
      </c>
      <c r="J299" s="79">
        <f t="shared" si="4"/>
        <v>0</v>
      </c>
      <c r="K299" s="81"/>
    </row>
    <row r="300" spans="2:11" ht="16.5" x14ac:dyDescent="0.25">
      <c r="B300" s="49" t="e">
        <f>IF(ISBLANK('SQL Builder'!K275)=FALSE,(DATE(LEFT('SQL Builder'!K275,4),MID('SQL Builder'!K275,6,2),MID('SQL Builder'!K275,9,2))),NA())</f>
        <v>#N/A</v>
      </c>
      <c r="C300" s="50" t="str">
        <f>IF(ISBLANK('SQL Builder'!K275)=FALSE,'SQL Builder'!L275,"")</f>
        <v/>
      </c>
      <c r="D300" s="1" t="str">
        <f>IF(ISBLANK('SQL Builder'!K275)=FALSE,'SQL Builder'!O275,"")</f>
        <v/>
      </c>
      <c r="H300" s="43" t="str">
        <f>IF(ISBLANK('SQL Builder'!K274)=FALSE,H299+1,"")</f>
        <v/>
      </c>
      <c r="I300" s="1" t="str">
        <f>IF(ISBLANK('SQL Builder'!P275)=FALSE,'SQL Builder'!N275,"")</f>
        <v/>
      </c>
      <c r="J300" s="79">
        <f t="shared" si="4"/>
        <v>0</v>
      </c>
      <c r="K300" s="81"/>
    </row>
    <row r="301" spans="2:11" ht="16.5" x14ac:dyDescent="0.25">
      <c r="B301" s="49" t="e">
        <f>IF(ISBLANK('SQL Builder'!K276)=FALSE,(DATE(LEFT('SQL Builder'!K276,4),MID('SQL Builder'!K276,6,2),MID('SQL Builder'!K276,9,2))),NA())</f>
        <v>#N/A</v>
      </c>
      <c r="C301" s="50" t="str">
        <f>IF(ISBLANK('SQL Builder'!K276)=FALSE,'SQL Builder'!L276,"")</f>
        <v/>
      </c>
      <c r="D301" s="1" t="str">
        <f>IF(ISBLANK('SQL Builder'!K276)=FALSE,'SQL Builder'!O276,"")</f>
        <v/>
      </c>
      <c r="H301" s="43" t="str">
        <f>IF(ISBLANK('SQL Builder'!K275)=FALSE,H300+1,"")</f>
        <v/>
      </c>
      <c r="I301" s="1" t="str">
        <f>IF(ISBLANK('SQL Builder'!P276)=FALSE,'SQL Builder'!N276,"")</f>
        <v/>
      </c>
      <c r="J301" s="79">
        <f t="shared" si="4"/>
        <v>0</v>
      </c>
      <c r="K301" s="81"/>
    </row>
    <row r="302" spans="2:11" ht="16.5" x14ac:dyDescent="0.25">
      <c r="B302" s="49" t="e">
        <f>IF(ISBLANK('SQL Builder'!K277)=FALSE,(DATE(LEFT('SQL Builder'!K277,4),MID('SQL Builder'!K277,6,2),MID('SQL Builder'!K277,9,2))),NA())</f>
        <v>#N/A</v>
      </c>
      <c r="C302" s="50" t="str">
        <f>IF(ISBLANK('SQL Builder'!K277)=FALSE,'SQL Builder'!L277,"")</f>
        <v/>
      </c>
      <c r="D302" s="1" t="str">
        <f>IF(ISBLANK('SQL Builder'!K277)=FALSE,'SQL Builder'!O277,"")</f>
        <v/>
      </c>
      <c r="H302" s="43" t="str">
        <f>IF(ISBLANK('SQL Builder'!K276)=FALSE,H301+1,"")</f>
        <v/>
      </c>
      <c r="I302" s="1" t="str">
        <f>IF(ISBLANK('SQL Builder'!P277)=FALSE,'SQL Builder'!N277,"")</f>
        <v/>
      </c>
      <c r="J302" s="79">
        <f t="shared" si="4"/>
        <v>0</v>
      </c>
      <c r="K302" s="81"/>
    </row>
    <row r="303" spans="2:11" ht="16.5" x14ac:dyDescent="0.25">
      <c r="B303" s="49" t="e">
        <f>IF(ISBLANK('SQL Builder'!K278)=FALSE,(DATE(LEFT('SQL Builder'!K278,4),MID('SQL Builder'!K278,6,2),MID('SQL Builder'!K278,9,2))),NA())</f>
        <v>#N/A</v>
      </c>
      <c r="C303" s="50" t="str">
        <f>IF(ISBLANK('SQL Builder'!K278)=FALSE,'SQL Builder'!L278,"")</f>
        <v/>
      </c>
      <c r="D303" s="1" t="str">
        <f>IF(ISBLANK('SQL Builder'!K278)=FALSE,'SQL Builder'!O278,"")</f>
        <v/>
      </c>
      <c r="H303" s="43" t="str">
        <f>IF(ISBLANK('SQL Builder'!K277)=FALSE,H302+1,"")</f>
        <v/>
      </c>
      <c r="I303" s="1" t="str">
        <f>IF(ISBLANK('SQL Builder'!P278)=FALSE,'SQL Builder'!N278,"")</f>
        <v/>
      </c>
      <c r="J303" s="79">
        <f t="shared" si="4"/>
        <v>0</v>
      </c>
      <c r="K303" s="81"/>
    </row>
    <row r="304" spans="2:11" ht="16.5" x14ac:dyDescent="0.25">
      <c r="B304" s="49" t="e">
        <f>IF(ISBLANK('SQL Builder'!K279)=FALSE,(DATE(LEFT('SQL Builder'!K279,4),MID('SQL Builder'!K279,6,2),MID('SQL Builder'!K279,9,2))),NA())</f>
        <v>#N/A</v>
      </c>
      <c r="C304" s="50" t="str">
        <f>IF(ISBLANK('SQL Builder'!K279)=FALSE,'SQL Builder'!L279,"")</f>
        <v/>
      </c>
      <c r="D304" s="1" t="str">
        <f>IF(ISBLANK('SQL Builder'!K279)=FALSE,'SQL Builder'!O279,"")</f>
        <v/>
      </c>
      <c r="H304" s="43" t="str">
        <f>IF(ISBLANK('SQL Builder'!K278)=FALSE,H303+1,"")</f>
        <v/>
      </c>
      <c r="I304" s="1" t="str">
        <f>IF(ISBLANK('SQL Builder'!P279)=FALSE,'SQL Builder'!N279,"")</f>
        <v/>
      </c>
      <c r="J304" s="79">
        <f t="shared" si="4"/>
        <v>0</v>
      </c>
      <c r="K304" s="81"/>
    </row>
    <row r="305" spans="2:11" ht="16.5" x14ac:dyDescent="0.25">
      <c r="B305" s="49" t="e">
        <f>IF(ISBLANK('SQL Builder'!K280)=FALSE,(DATE(LEFT('SQL Builder'!K280,4),MID('SQL Builder'!K280,6,2),MID('SQL Builder'!K280,9,2))),NA())</f>
        <v>#N/A</v>
      </c>
      <c r="C305" s="50" t="str">
        <f>IF(ISBLANK('SQL Builder'!K280)=FALSE,'SQL Builder'!L280,"")</f>
        <v/>
      </c>
      <c r="D305" s="1" t="str">
        <f>IF(ISBLANK('SQL Builder'!K280)=FALSE,'SQL Builder'!O280,"")</f>
        <v/>
      </c>
      <c r="H305" s="43" t="str">
        <f>IF(ISBLANK('SQL Builder'!K279)=FALSE,H304+1,"")</f>
        <v/>
      </c>
      <c r="I305" s="1" t="str">
        <f>IF(ISBLANK('SQL Builder'!P280)=FALSE,'SQL Builder'!N280,"")</f>
        <v/>
      </c>
      <c r="J305" s="79">
        <f t="shared" si="4"/>
        <v>0</v>
      </c>
      <c r="K305" s="81"/>
    </row>
    <row r="306" spans="2:11" ht="16.5" x14ac:dyDescent="0.25">
      <c r="B306" s="49" t="e">
        <f>IF(ISBLANK('SQL Builder'!K281)=FALSE,(DATE(LEFT('SQL Builder'!K281,4),MID('SQL Builder'!K281,6,2),MID('SQL Builder'!K281,9,2))),NA())</f>
        <v>#N/A</v>
      </c>
      <c r="C306" s="50" t="str">
        <f>IF(ISBLANK('SQL Builder'!K281)=FALSE,'SQL Builder'!L281,"")</f>
        <v/>
      </c>
      <c r="D306" s="1" t="str">
        <f>IF(ISBLANK('SQL Builder'!K281)=FALSE,'SQL Builder'!O281,"")</f>
        <v/>
      </c>
      <c r="H306" s="43" t="str">
        <f>IF(ISBLANK('SQL Builder'!K280)=FALSE,H305+1,"")</f>
        <v/>
      </c>
      <c r="I306" s="1" t="str">
        <f>IF(ISBLANK('SQL Builder'!P281)=FALSE,'SQL Builder'!N281,"")</f>
        <v/>
      </c>
      <c r="J306" s="79">
        <f t="shared" si="4"/>
        <v>0</v>
      </c>
      <c r="K306" s="81"/>
    </row>
    <row r="307" spans="2:11" ht="16.5" x14ac:dyDescent="0.25">
      <c r="B307" s="49" t="e">
        <f>IF(ISBLANK('SQL Builder'!K282)=FALSE,(DATE(LEFT('SQL Builder'!K282,4),MID('SQL Builder'!K282,6,2),MID('SQL Builder'!K282,9,2))),NA())</f>
        <v>#N/A</v>
      </c>
      <c r="C307" s="50" t="str">
        <f>IF(ISBLANK('SQL Builder'!K282)=FALSE,'SQL Builder'!L282,"")</f>
        <v/>
      </c>
      <c r="D307" s="1" t="str">
        <f>IF(ISBLANK('SQL Builder'!K282)=FALSE,'SQL Builder'!O282,"")</f>
        <v/>
      </c>
      <c r="H307" s="43" t="str">
        <f>IF(ISBLANK('SQL Builder'!K281)=FALSE,H306+1,"")</f>
        <v/>
      </c>
      <c r="I307" s="1" t="str">
        <f>IF(ISBLANK('SQL Builder'!P282)=FALSE,'SQL Builder'!N282,"")</f>
        <v/>
      </c>
      <c r="J307" s="79">
        <f t="shared" si="4"/>
        <v>0</v>
      </c>
      <c r="K307" s="81"/>
    </row>
    <row r="308" spans="2:11" ht="16.5" x14ac:dyDescent="0.25">
      <c r="B308" s="49" t="e">
        <f>IF(ISBLANK('SQL Builder'!K283)=FALSE,(DATE(LEFT('SQL Builder'!K283,4),MID('SQL Builder'!K283,6,2),MID('SQL Builder'!K283,9,2))),NA())</f>
        <v>#N/A</v>
      </c>
      <c r="C308" s="50" t="str">
        <f>IF(ISBLANK('SQL Builder'!K283)=FALSE,'SQL Builder'!L283,"")</f>
        <v/>
      </c>
      <c r="D308" s="1" t="str">
        <f>IF(ISBLANK('SQL Builder'!K283)=FALSE,'SQL Builder'!O283,"")</f>
        <v/>
      </c>
      <c r="H308" s="43" t="str">
        <f>IF(ISBLANK('SQL Builder'!K282)=FALSE,H307+1,"")</f>
        <v/>
      </c>
      <c r="I308" s="1" t="str">
        <f>IF(ISBLANK('SQL Builder'!P283)=FALSE,'SQL Builder'!N283,"")</f>
        <v/>
      </c>
      <c r="J308" s="79">
        <f t="shared" si="4"/>
        <v>0</v>
      </c>
      <c r="K308" s="81"/>
    </row>
    <row r="309" spans="2:11" ht="16.5" x14ac:dyDescent="0.25">
      <c r="B309" s="49" t="e">
        <f>IF(ISBLANK('SQL Builder'!K284)=FALSE,(DATE(LEFT('SQL Builder'!K284,4),MID('SQL Builder'!K284,6,2),MID('SQL Builder'!K284,9,2))),NA())</f>
        <v>#N/A</v>
      </c>
      <c r="C309" s="50" t="str">
        <f>IF(ISBLANK('SQL Builder'!K284)=FALSE,'SQL Builder'!L284,"")</f>
        <v/>
      </c>
      <c r="D309" s="1" t="str">
        <f>IF(ISBLANK('SQL Builder'!K284)=FALSE,'SQL Builder'!O284,"")</f>
        <v/>
      </c>
      <c r="H309" s="43" t="str">
        <f>IF(ISBLANK('SQL Builder'!K283)=FALSE,H308+1,"")</f>
        <v/>
      </c>
      <c r="I309" s="1" t="str">
        <f>IF(ISBLANK('SQL Builder'!P284)=FALSE,'SQL Builder'!N284,"")</f>
        <v/>
      </c>
      <c r="J309" s="79">
        <f t="shared" si="4"/>
        <v>0</v>
      </c>
      <c r="K309" s="81"/>
    </row>
    <row r="310" spans="2:11" ht="16.5" x14ac:dyDescent="0.25">
      <c r="B310" s="49" t="e">
        <f>IF(ISBLANK('SQL Builder'!K285)=FALSE,(DATE(LEFT('SQL Builder'!K285,4),MID('SQL Builder'!K285,6,2),MID('SQL Builder'!K285,9,2))),NA())</f>
        <v>#N/A</v>
      </c>
      <c r="C310" s="50" t="str">
        <f>IF(ISBLANK('SQL Builder'!K285)=FALSE,'SQL Builder'!L285,"")</f>
        <v/>
      </c>
      <c r="D310" s="1" t="str">
        <f>IF(ISBLANK('SQL Builder'!K285)=FALSE,'SQL Builder'!O285,"")</f>
        <v/>
      </c>
      <c r="H310" s="43" t="str">
        <f>IF(ISBLANK('SQL Builder'!K284)=FALSE,H309+1,"")</f>
        <v/>
      </c>
      <c r="I310" s="1" t="str">
        <f>IF(ISBLANK('SQL Builder'!P285)=FALSE,'SQL Builder'!N285,"")</f>
        <v/>
      </c>
      <c r="J310" s="79">
        <f t="shared" si="4"/>
        <v>0</v>
      </c>
      <c r="K310" s="81"/>
    </row>
    <row r="311" spans="2:11" ht="16.5" x14ac:dyDescent="0.25">
      <c r="B311" s="49" t="e">
        <f>IF(ISBLANK('SQL Builder'!K286)=FALSE,(DATE(LEFT('SQL Builder'!K286,4),MID('SQL Builder'!K286,6,2),MID('SQL Builder'!K286,9,2))),NA())</f>
        <v>#N/A</v>
      </c>
      <c r="C311" s="50" t="str">
        <f>IF(ISBLANK('SQL Builder'!K286)=FALSE,'SQL Builder'!L286,"")</f>
        <v/>
      </c>
      <c r="D311" s="1" t="str">
        <f>IF(ISBLANK('SQL Builder'!K286)=FALSE,'SQL Builder'!O286,"")</f>
        <v/>
      </c>
      <c r="H311" s="43" t="str">
        <f>IF(ISBLANK('SQL Builder'!K285)=FALSE,H310+1,"")</f>
        <v/>
      </c>
      <c r="I311" s="1" t="str">
        <f>IF(ISBLANK('SQL Builder'!P286)=FALSE,'SQL Builder'!N286,"")</f>
        <v/>
      </c>
      <c r="J311" s="79">
        <f t="shared" si="4"/>
        <v>0</v>
      </c>
      <c r="K311" s="81"/>
    </row>
    <row r="312" spans="2:11" ht="16.5" x14ac:dyDescent="0.25">
      <c r="B312" s="49" t="e">
        <f>IF(ISBLANK('SQL Builder'!K287)=FALSE,(DATE(LEFT('SQL Builder'!K287,4),MID('SQL Builder'!K287,6,2),MID('SQL Builder'!K287,9,2))),NA())</f>
        <v>#N/A</v>
      </c>
      <c r="C312" s="50" t="str">
        <f>IF(ISBLANK('SQL Builder'!K287)=FALSE,'SQL Builder'!L287,"")</f>
        <v/>
      </c>
      <c r="D312" s="1" t="str">
        <f>IF(ISBLANK('SQL Builder'!K287)=FALSE,'SQL Builder'!O287,"")</f>
        <v/>
      </c>
      <c r="H312" s="43" t="str">
        <f>IF(ISBLANK('SQL Builder'!K286)=FALSE,H311+1,"")</f>
        <v/>
      </c>
      <c r="I312" s="1" t="str">
        <f>IF(ISBLANK('SQL Builder'!P287)=FALSE,'SQL Builder'!N287,"")</f>
        <v/>
      </c>
      <c r="J312" s="79">
        <f t="shared" si="4"/>
        <v>0</v>
      </c>
      <c r="K312" s="81"/>
    </row>
    <row r="313" spans="2:11" ht="16.5" x14ac:dyDescent="0.25">
      <c r="B313" s="49" t="e">
        <f>IF(ISBLANK('SQL Builder'!K288)=FALSE,(DATE(LEFT('SQL Builder'!K288,4),MID('SQL Builder'!K288,6,2),MID('SQL Builder'!K288,9,2))),NA())</f>
        <v>#N/A</v>
      </c>
      <c r="C313" s="50" t="str">
        <f>IF(ISBLANK('SQL Builder'!K288)=FALSE,'SQL Builder'!L288,"")</f>
        <v/>
      </c>
      <c r="D313" s="1" t="str">
        <f>IF(ISBLANK('SQL Builder'!K288)=FALSE,'SQL Builder'!O288,"")</f>
        <v/>
      </c>
      <c r="H313" s="43" t="str">
        <f>IF(ISBLANK('SQL Builder'!K287)=FALSE,H312+1,"")</f>
        <v/>
      </c>
      <c r="I313" s="1" t="str">
        <f>IF(ISBLANK('SQL Builder'!P288)=FALSE,'SQL Builder'!N288,"")</f>
        <v/>
      </c>
      <c r="J313" s="79">
        <f t="shared" si="4"/>
        <v>0</v>
      </c>
      <c r="K313" s="81"/>
    </row>
    <row r="314" spans="2:11" ht="16.5" x14ac:dyDescent="0.25">
      <c r="B314" s="49" t="e">
        <f>IF(ISBLANK('SQL Builder'!K289)=FALSE,(DATE(LEFT('SQL Builder'!K289,4),MID('SQL Builder'!K289,6,2),MID('SQL Builder'!K289,9,2))),NA())</f>
        <v>#N/A</v>
      </c>
      <c r="C314" s="50" t="str">
        <f>IF(ISBLANK('SQL Builder'!K289)=FALSE,'SQL Builder'!L289,"")</f>
        <v/>
      </c>
      <c r="D314" s="1" t="str">
        <f>IF(ISBLANK('SQL Builder'!K289)=FALSE,'SQL Builder'!O289,"")</f>
        <v/>
      </c>
      <c r="H314" s="43" t="str">
        <f>IF(ISBLANK('SQL Builder'!K288)=FALSE,H313+1,"")</f>
        <v/>
      </c>
      <c r="I314" s="1" t="str">
        <f>IF(ISBLANK('SQL Builder'!P289)=FALSE,'SQL Builder'!N289,"")</f>
        <v/>
      </c>
      <c r="J314" s="79">
        <f t="shared" si="4"/>
        <v>0</v>
      </c>
      <c r="K314" s="81"/>
    </row>
    <row r="315" spans="2:11" ht="16.5" x14ac:dyDescent="0.25">
      <c r="B315" s="49" t="e">
        <f>IF(ISBLANK('SQL Builder'!K290)=FALSE,(DATE(LEFT('SQL Builder'!K290,4),MID('SQL Builder'!K290,6,2),MID('SQL Builder'!K290,9,2))),NA())</f>
        <v>#N/A</v>
      </c>
      <c r="C315" s="50" t="str">
        <f>IF(ISBLANK('SQL Builder'!K290)=FALSE,'SQL Builder'!L290,"")</f>
        <v/>
      </c>
      <c r="D315" s="1" t="str">
        <f>IF(ISBLANK('SQL Builder'!K290)=FALSE,'SQL Builder'!O290,"")</f>
        <v/>
      </c>
      <c r="H315" s="43" t="str">
        <f>IF(ISBLANK('SQL Builder'!K289)=FALSE,H314+1,"")</f>
        <v/>
      </c>
      <c r="I315" s="1" t="str">
        <f>IF(ISBLANK('SQL Builder'!P290)=FALSE,'SQL Builder'!N290,"")</f>
        <v/>
      </c>
      <c r="J315" s="79">
        <f t="shared" si="4"/>
        <v>0</v>
      </c>
      <c r="K315" s="81"/>
    </row>
    <row r="316" spans="2:11" ht="16.5" x14ac:dyDescent="0.25">
      <c r="B316" s="49" t="e">
        <f>IF(ISBLANK('SQL Builder'!K291)=FALSE,(DATE(LEFT('SQL Builder'!K291,4),MID('SQL Builder'!K291,6,2),MID('SQL Builder'!K291,9,2))),NA())</f>
        <v>#N/A</v>
      </c>
      <c r="C316" s="50" t="str">
        <f>IF(ISBLANK('SQL Builder'!K291)=FALSE,'SQL Builder'!L291,"")</f>
        <v/>
      </c>
      <c r="D316" s="1" t="str">
        <f>IF(ISBLANK('SQL Builder'!K291)=FALSE,'SQL Builder'!O291,"")</f>
        <v/>
      </c>
      <c r="H316" s="43" t="str">
        <f>IF(ISBLANK('SQL Builder'!K290)=FALSE,H315+1,"")</f>
        <v/>
      </c>
      <c r="I316" s="1" t="str">
        <f>IF(ISBLANK('SQL Builder'!P291)=FALSE,'SQL Builder'!N291,"")</f>
        <v/>
      </c>
      <c r="J316" s="79">
        <f t="shared" si="4"/>
        <v>0</v>
      </c>
      <c r="K316" s="81"/>
    </row>
    <row r="317" spans="2:11" ht="16.5" x14ac:dyDescent="0.25">
      <c r="B317" s="49" t="e">
        <f>IF(ISBLANK('SQL Builder'!K292)=FALSE,(DATE(LEFT('SQL Builder'!K292,4),MID('SQL Builder'!K292,6,2),MID('SQL Builder'!K292,9,2))),NA())</f>
        <v>#N/A</v>
      </c>
      <c r="C317" s="50" t="str">
        <f>IF(ISBLANK('SQL Builder'!K292)=FALSE,'SQL Builder'!L292,"")</f>
        <v/>
      </c>
      <c r="D317" s="1" t="str">
        <f>IF(ISBLANK('SQL Builder'!K292)=FALSE,'SQL Builder'!O292,"")</f>
        <v/>
      </c>
      <c r="H317" s="43" t="str">
        <f>IF(ISBLANK('SQL Builder'!K291)=FALSE,H316+1,"")</f>
        <v/>
      </c>
      <c r="I317" s="1" t="str">
        <f>IF(ISBLANK('SQL Builder'!P292)=FALSE,'SQL Builder'!N292,"")</f>
        <v/>
      </c>
      <c r="J317" s="79">
        <f t="shared" si="4"/>
        <v>0</v>
      </c>
      <c r="K317" s="81"/>
    </row>
    <row r="318" spans="2:11" ht="16.5" x14ac:dyDescent="0.25">
      <c r="B318" s="49" t="e">
        <f>IF(ISBLANK('SQL Builder'!K293)=FALSE,(DATE(LEFT('SQL Builder'!K293,4),MID('SQL Builder'!K293,6,2),MID('SQL Builder'!K293,9,2))),NA())</f>
        <v>#N/A</v>
      </c>
      <c r="C318" s="50" t="str">
        <f>IF(ISBLANK('SQL Builder'!K293)=FALSE,'SQL Builder'!L293,"")</f>
        <v/>
      </c>
      <c r="D318" s="1" t="str">
        <f>IF(ISBLANK('SQL Builder'!K293)=FALSE,'SQL Builder'!O293,"")</f>
        <v/>
      </c>
      <c r="H318" s="43" t="str">
        <f>IF(ISBLANK('SQL Builder'!K292)=FALSE,H317+1,"")</f>
        <v/>
      </c>
      <c r="I318" s="1" t="str">
        <f>IF(ISBLANK('SQL Builder'!P293)=FALSE,'SQL Builder'!N293,"")</f>
        <v/>
      </c>
      <c r="J318" s="79">
        <f t="shared" si="4"/>
        <v>0</v>
      </c>
      <c r="K318" s="81"/>
    </row>
    <row r="319" spans="2:11" ht="16.5" x14ac:dyDescent="0.25">
      <c r="B319" s="49" t="e">
        <f>IF(ISBLANK('SQL Builder'!K294)=FALSE,(DATE(LEFT('SQL Builder'!K294,4),MID('SQL Builder'!K294,6,2),MID('SQL Builder'!K294,9,2))),NA())</f>
        <v>#N/A</v>
      </c>
      <c r="C319" s="50" t="str">
        <f>IF(ISBLANK('SQL Builder'!K294)=FALSE,'SQL Builder'!L294,"")</f>
        <v/>
      </c>
      <c r="D319" s="1" t="str">
        <f>IF(ISBLANK('SQL Builder'!K294)=FALSE,'SQL Builder'!O294,"")</f>
        <v/>
      </c>
      <c r="H319" s="43" t="str">
        <f>IF(ISBLANK('SQL Builder'!K293)=FALSE,H318+1,"")</f>
        <v/>
      </c>
      <c r="I319" s="1" t="str">
        <f>IF(ISBLANK('SQL Builder'!P294)=FALSE,'SQL Builder'!N294,"")</f>
        <v/>
      </c>
      <c r="J319" s="79">
        <f t="shared" si="4"/>
        <v>0</v>
      </c>
      <c r="K319" s="81"/>
    </row>
    <row r="320" spans="2:11" ht="16.5" x14ac:dyDescent="0.25">
      <c r="B320" s="49" t="e">
        <f>IF(ISBLANK('SQL Builder'!K295)=FALSE,(DATE(LEFT('SQL Builder'!K295,4),MID('SQL Builder'!K295,6,2),MID('SQL Builder'!K295,9,2))),NA())</f>
        <v>#N/A</v>
      </c>
      <c r="C320" s="50" t="str">
        <f>IF(ISBLANK('SQL Builder'!K295)=FALSE,'SQL Builder'!L295,"")</f>
        <v/>
      </c>
      <c r="D320" s="1" t="str">
        <f>IF(ISBLANK('SQL Builder'!K295)=FALSE,'SQL Builder'!O295,"")</f>
        <v/>
      </c>
      <c r="H320" s="43" t="str">
        <f>IF(ISBLANK('SQL Builder'!K294)=FALSE,H319+1,"")</f>
        <v/>
      </c>
      <c r="I320" s="1" t="str">
        <f>IF(ISBLANK('SQL Builder'!P295)=FALSE,'SQL Builder'!N295,"")</f>
        <v/>
      </c>
      <c r="J320" s="79">
        <f t="shared" si="4"/>
        <v>0</v>
      </c>
      <c r="K320" s="81"/>
    </row>
    <row r="321" spans="2:11" ht="16.5" x14ac:dyDescent="0.25">
      <c r="B321" s="49" t="e">
        <f>IF(ISBLANK('SQL Builder'!K296)=FALSE,(DATE(LEFT('SQL Builder'!K296,4),MID('SQL Builder'!K296,6,2),MID('SQL Builder'!K296,9,2))),NA())</f>
        <v>#N/A</v>
      </c>
      <c r="C321" s="50" t="str">
        <f>IF(ISBLANK('SQL Builder'!K296)=FALSE,'SQL Builder'!L296,"")</f>
        <v/>
      </c>
      <c r="D321" s="1" t="str">
        <f>IF(ISBLANK('SQL Builder'!K296)=FALSE,'SQL Builder'!O296,"")</f>
        <v/>
      </c>
      <c r="H321" s="43" t="str">
        <f>IF(ISBLANK('SQL Builder'!K295)=FALSE,H320+1,"")</f>
        <v/>
      </c>
      <c r="I321" s="1" t="str">
        <f>IF(ISBLANK('SQL Builder'!P296)=FALSE,'SQL Builder'!N296,"")</f>
        <v/>
      </c>
      <c r="J321" s="79">
        <f t="shared" si="4"/>
        <v>0</v>
      </c>
      <c r="K321" s="81"/>
    </row>
    <row r="322" spans="2:11" ht="16.5" x14ac:dyDescent="0.25">
      <c r="B322" s="49" t="e">
        <f>IF(ISBLANK('SQL Builder'!K297)=FALSE,(DATE(LEFT('SQL Builder'!K297,4),MID('SQL Builder'!K297,6,2),MID('SQL Builder'!K297,9,2))),NA())</f>
        <v>#N/A</v>
      </c>
      <c r="C322" s="50" t="str">
        <f>IF(ISBLANK('SQL Builder'!K297)=FALSE,'SQL Builder'!L297,"")</f>
        <v/>
      </c>
      <c r="D322" s="1" t="str">
        <f>IF(ISBLANK('SQL Builder'!K297)=FALSE,'SQL Builder'!O297,"")</f>
        <v/>
      </c>
      <c r="H322" s="43" t="str">
        <f>IF(ISBLANK('SQL Builder'!K296)=FALSE,H321+1,"")</f>
        <v/>
      </c>
      <c r="I322" s="1" t="str">
        <f>IF(ISBLANK('SQL Builder'!P297)=FALSE,'SQL Builder'!N297,"")</f>
        <v/>
      </c>
      <c r="J322" s="79">
        <f t="shared" si="4"/>
        <v>0</v>
      </c>
      <c r="K322" s="81"/>
    </row>
    <row r="323" spans="2:11" ht="16.5" x14ac:dyDescent="0.25">
      <c r="B323" s="49" t="e">
        <f>IF(ISBLANK('SQL Builder'!K298)=FALSE,(DATE(LEFT('SQL Builder'!K298,4),MID('SQL Builder'!K298,6,2),MID('SQL Builder'!K298,9,2))),NA())</f>
        <v>#N/A</v>
      </c>
      <c r="C323" s="50" t="str">
        <f>IF(ISBLANK('SQL Builder'!K298)=FALSE,'SQL Builder'!L298,"")</f>
        <v/>
      </c>
      <c r="D323" s="1" t="str">
        <f>IF(ISBLANK('SQL Builder'!K298)=FALSE,'SQL Builder'!O298,"")</f>
        <v/>
      </c>
      <c r="H323" s="43" t="str">
        <f>IF(ISBLANK('SQL Builder'!K297)=FALSE,H322+1,"")</f>
        <v/>
      </c>
      <c r="I323" s="1" t="str">
        <f>IF(ISBLANK('SQL Builder'!P298)=FALSE,'SQL Builder'!N298,"")</f>
        <v/>
      </c>
      <c r="J323" s="79">
        <f t="shared" si="4"/>
        <v>0</v>
      </c>
      <c r="K323" s="81"/>
    </row>
    <row r="324" spans="2:11" ht="16.5" x14ac:dyDescent="0.25">
      <c r="B324" s="49" t="e">
        <f>IF(ISBLANK('SQL Builder'!K299)=FALSE,(DATE(LEFT('SQL Builder'!K299,4),MID('SQL Builder'!K299,6,2),MID('SQL Builder'!K299,9,2))),NA())</f>
        <v>#N/A</v>
      </c>
      <c r="C324" s="50" t="str">
        <f>IF(ISBLANK('SQL Builder'!K299)=FALSE,'SQL Builder'!L299,"")</f>
        <v/>
      </c>
      <c r="D324" s="1" t="str">
        <f>IF(ISBLANK('SQL Builder'!K299)=FALSE,'SQL Builder'!O299,"")</f>
        <v/>
      </c>
      <c r="H324" s="43" t="str">
        <f>IF(ISBLANK('SQL Builder'!K298)=FALSE,H323+1,"")</f>
        <v/>
      </c>
      <c r="I324" s="1" t="str">
        <f>IF(ISBLANK('SQL Builder'!P299)=FALSE,'SQL Builder'!N299,"")</f>
        <v/>
      </c>
      <c r="J324" s="79">
        <f t="shared" si="4"/>
        <v>0</v>
      </c>
      <c r="K324" s="81"/>
    </row>
    <row r="325" spans="2:11" ht="16.5" x14ac:dyDescent="0.25">
      <c r="B325" s="49" t="e">
        <f>IF(ISBLANK('SQL Builder'!K300)=FALSE,(DATE(LEFT('SQL Builder'!K300,4),MID('SQL Builder'!K300,6,2),MID('SQL Builder'!K300,9,2))),NA())</f>
        <v>#N/A</v>
      </c>
      <c r="C325" s="50" t="str">
        <f>IF(ISBLANK('SQL Builder'!K300)=FALSE,'SQL Builder'!L300,"")</f>
        <v/>
      </c>
      <c r="D325" s="1" t="str">
        <f>IF(ISBLANK('SQL Builder'!K300)=FALSE,'SQL Builder'!O300,"")</f>
        <v/>
      </c>
      <c r="H325" s="43" t="str">
        <f>IF(ISBLANK('SQL Builder'!K299)=FALSE,H324+1,"")</f>
        <v/>
      </c>
      <c r="I325" s="1" t="str">
        <f>IF(ISBLANK('SQL Builder'!P300)=FALSE,'SQL Builder'!N300,"")</f>
        <v/>
      </c>
      <c r="J325" s="79">
        <f t="shared" si="4"/>
        <v>0</v>
      </c>
      <c r="K325" s="81"/>
    </row>
    <row r="326" spans="2:11" ht="16.5" x14ac:dyDescent="0.25">
      <c r="B326" s="49" t="e">
        <f>IF(ISBLANK('SQL Builder'!K301)=FALSE,(DATE(LEFT('SQL Builder'!K301,4),MID('SQL Builder'!K301,6,2),MID('SQL Builder'!K301,9,2))),NA())</f>
        <v>#N/A</v>
      </c>
      <c r="C326" s="50" t="str">
        <f>IF(ISBLANK('SQL Builder'!K301)=FALSE,'SQL Builder'!L301,"")</f>
        <v/>
      </c>
      <c r="D326" s="1" t="str">
        <f>IF(ISBLANK('SQL Builder'!K301)=FALSE,'SQL Builder'!O301,"")</f>
        <v/>
      </c>
      <c r="H326" s="43" t="str">
        <f>IF(ISBLANK('SQL Builder'!K300)=FALSE,H325+1,"")</f>
        <v/>
      </c>
      <c r="I326" s="1" t="str">
        <f>IF(ISBLANK('SQL Builder'!P301)=FALSE,'SQL Builder'!N301,"")</f>
        <v/>
      </c>
      <c r="J326" s="79">
        <f t="shared" si="4"/>
        <v>0</v>
      </c>
      <c r="K326" s="81"/>
    </row>
    <row r="327" spans="2:11" ht="16.5" x14ac:dyDescent="0.25">
      <c r="B327" s="49" t="e">
        <f>IF(ISBLANK('SQL Builder'!K302)=FALSE,(DATE(LEFT('SQL Builder'!K302,4),MID('SQL Builder'!K302,6,2),MID('SQL Builder'!K302,9,2))),NA())</f>
        <v>#N/A</v>
      </c>
      <c r="C327" s="50" t="str">
        <f>IF(ISBLANK('SQL Builder'!K302)=FALSE,'SQL Builder'!L302,"")</f>
        <v/>
      </c>
      <c r="D327" s="1" t="str">
        <f>IF(ISBLANK('SQL Builder'!K302)=FALSE,'SQL Builder'!O302,"")</f>
        <v/>
      </c>
      <c r="H327" s="43" t="str">
        <f>IF(ISBLANK('SQL Builder'!K301)=FALSE,H326+1,"")</f>
        <v/>
      </c>
      <c r="I327" s="1" t="str">
        <f>IF(ISBLANK('SQL Builder'!P302)=FALSE,'SQL Builder'!N302,"")</f>
        <v/>
      </c>
      <c r="J327" s="79">
        <f t="shared" si="4"/>
        <v>0</v>
      </c>
      <c r="K327" s="81"/>
    </row>
    <row r="328" spans="2:11" ht="16.5" x14ac:dyDescent="0.25">
      <c r="B328" s="49" t="e">
        <f>IF(ISBLANK('SQL Builder'!K303)=FALSE,(DATE(LEFT('SQL Builder'!K303,4),MID('SQL Builder'!K303,6,2),MID('SQL Builder'!K303,9,2))),NA())</f>
        <v>#N/A</v>
      </c>
      <c r="C328" s="50" t="str">
        <f>IF(ISBLANK('SQL Builder'!K303)=FALSE,'SQL Builder'!L303,"")</f>
        <v/>
      </c>
      <c r="D328" s="1" t="str">
        <f>IF(ISBLANK('SQL Builder'!K303)=FALSE,'SQL Builder'!O303,"")</f>
        <v/>
      </c>
      <c r="H328" s="43" t="str">
        <f>IF(ISBLANK('SQL Builder'!K302)=FALSE,H327+1,"")</f>
        <v/>
      </c>
      <c r="I328" s="1" t="str">
        <f>IF(ISBLANK('SQL Builder'!P303)=FALSE,'SQL Builder'!N303,"")</f>
        <v/>
      </c>
      <c r="J328" s="79">
        <f t="shared" si="4"/>
        <v>0</v>
      </c>
      <c r="K328" s="81"/>
    </row>
    <row r="329" spans="2:11" ht="16.5" x14ac:dyDescent="0.25">
      <c r="B329" s="49" t="e">
        <f>IF(ISBLANK('SQL Builder'!K304)=FALSE,(DATE(LEFT('SQL Builder'!K304,4),MID('SQL Builder'!K304,6,2),MID('SQL Builder'!K304,9,2))),NA())</f>
        <v>#N/A</v>
      </c>
      <c r="C329" s="50" t="str">
        <f>IF(ISBLANK('SQL Builder'!K304)=FALSE,'SQL Builder'!L304,"")</f>
        <v/>
      </c>
      <c r="D329" s="1" t="str">
        <f>IF(ISBLANK('SQL Builder'!K304)=FALSE,'SQL Builder'!O304,"")</f>
        <v/>
      </c>
      <c r="H329" s="43" t="str">
        <f>IF(ISBLANK('SQL Builder'!K303)=FALSE,H328+1,"")</f>
        <v/>
      </c>
      <c r="I329" s="1" t="str">
        <f>IF(ISBLANK('SQL Builder'!P304)=FALSE,'SQL Builder'!N304,"")</f>
        <v/>
      </c>
      <c r="J329" s="79">
        <f t="shared" si="4"/>
        <v>0</v>
      </c>
      <c r="K329" s="81"/>
    </row>
    <row r="330" spans="2:11" ht="16.5" x14ac:dyDescent="0.25">
      <c r="B330" s="49" t="e">
        <f>IF(ISBLANK('SQL Builder'!K305)=FALSE,(DATE(LEFT('SQL Builder'!K305,4),MID('SQL Builder'!K305,6,2),MID('SQL Builder'!K305,9,2))),NA())</f>
        <v>#N/A</v>
      </c>
      <c r="C330" s="50" t="str">
        <f>IF(ISBLANK('SQL Builder'!K305)=FALSE,'SQL Builder'!L305,"")</f>
        <v/>
      </c>
      <c r="D330" s="1" t="str">
        <f>IF(ISBLANK('SQL Builder'!K305)=FALSE,'SQL Builder'!O305,"")</f>
        <v/>
      </c>
      <c r="H330" s="43" t="str">
        <f>IF(ISBLANK('SQL Builder'!K304)=FALSE,H329+1,"")</f>
        <v/>
      </c>
      <c r="I330" s="1" t="str">
        <f>IF(ISBLANK('SQL Builder'!P305)=FALSE,'SQL Builder'!N305,"")</f>
        <v/>
      </c>
      <c r="J330" s="79">
        <f t="shared" si="4"/>
        <v>0</v>
      </c>
      <c r="K330" s="81"/>
    </row>
    <row r="331" spans="2:11" ht="16.5" x14ac:dyDescent="0.25">
      <c r="B331" s="49" t="e">
        <f>IF(ISBLANK('SQL Builder'!K306)=FALSE,(DATE(LEFT('SQL Builder'!K306,4),MID('SQL Builder'!K306,6,2),MID('SQL Builder'!K306,9,2))),NA())</f>
        <v>#N/A</v>
      </c>
      <c r="C331" s="50" t="str">
        <f>IF(ISBLANK('SQL Builder'!K306)=FALSE,'SQL Builder'!L306,"")</f>
        <v/>
      </c>
      <c r="D331" s="1" t="str">
        <f>IF(ISBLANK('SQL Builder'!K306)=FALSE,'SQL Builder'!O306,"")</f>
        <v/>
      </c>
      <c r="H331" s="43" t="str">
        <f>IF(ISBLANK('SQL Builder'!K305)=FALSE,H330+1,"")</f>
        <v/>
      </c>
      <c r="I331" s="1" t="str">
        <f>IF(ISBLANK('SQL Builder'!P306)=FALSE,'SQL Builder'!N306,"")</f>
        <v/>
      </c>
      <c r="J331" s="79">
        <f t="shared" si="4"/>
        <v>0</v>
      </c>
      <c r="K331" s="81"/>
    </row>
    <row r="332" spans="2:11" ht="16.5" x14ac:dyDescent="0.25">
      <c r="B332" s="49" t="e">
        <f>IF(ISBLANK('SQL Builder'!K307)=FALSE,(DATE(LEFT('SQL Builder'!K307,4),MID('SQL Builder'!K307,6,2),MID('SQL Builder'!K307,9,2))),NA())</f>
        <v>#N/A</v>
      </c>
      <c r="C332" s="50" t="str">
        <f>IF(ISBLANK('SQL Builder'!K307)=FALSE,'SQL Builder'!L307,"")</f>
        <v/>
      </c>
      <c r="D332" s="1" t="str">
        <f>IF(ISBLANK('SQL Builder'!K307)=FALSE,'SQL Builder'!O307,"")</f>
        <v/>
      </c>
      <c r="H332" s="43" t="str">
        <f>IF(ISBLANK('SQL Builder'!K306)=FALSE,H331+1,"")</f>
        <v/>
      </c>
      <c r="I332" s="1" t="str">
        <f>IF(ISBLANK('SQL Builder'!P307)=FALSE,'SQL Builder'!N307,"")</f>
        <v/>
      </c>
      <c r="J332" s="79">
        <f t="shared" si="4"/>
        <v>0</v>
      </c>
      <c r="K332" s="81"/>
    </row>
    <row r="333" spans="2:11" ht="16.5" x14ac:dyDescent="0.25">
      <c r="B333" s="49" t="e">
        <f>IF(ISBLANK('SQL Builder'!K308)=FALSE,(DATE(LEFT('SQL Builder'!K308,4),MID('SQL Builder'!K308,6,2),MID('SQL Builder'!K308,9,2))),NA())</f>
        <v>#N/A</v>
      </c>
      <c r="C333" s="50" t="str">
        <f>IF(ISBLANK('SQL Builder'!K308)=FALSE,'SQL Builder'!L308,"")</f>
        <v/>
      </c>
      <c r="D333" s="1" t="str">
        <f>IF(ISBLANK('SQL Builder'!K308)=FALSE,'SQL Builder'!O308,"")</f>
        <v/>
      </c>
      <c r="H333" s="43" t="str">
        <f>IF(ISBLANK('SQL Builder'!K307)=FALSE,H332+1,"")</f>
        <v/>
      </c>
      <c r="I333" s="1" t="str">
        <f>IF(ISBLANK('SQL Builder'!P308)=FALSE,'SQL Builder'!N308,"")</f>
        <v/>
      </c>
      <c r="J333" s="79">
        <f t="shared" si="4"/>
        <v>0</v>
      </c>
      <c r="K333" s="81"/>
    </row>
    <row r="334" spans="2:11" ht="16.5" x14ac:dyDescent="0.25">
      <c r="B334" s="49" t="e">
        <f>IF(ISBLANK('SQL Builder'!K309)=FALSE,(DATE(LEFT('SQL Builder'!K309,4),MID('SQL Builder'!K309,6,2),MID('SQL Builder'!K309,9,2))),NA())</f>
        <v>#N/A</v>
      </c>
      <c r="C334" s="50" t="str">
        <f>IF(ISBLANK('SQL Builder'!K309)=FALSE,'SQL Builder'!L309,"")</f>
        <v/>
      </c>
      <c r="D334" s="1" t="str">
        <f>IF(ISBLANK('SQL Builder'!K309)=FALSE,'SQL Builder'!O309,"")</f>
        <v/>
      </c>
      <c r="H334" s="43" t="str">
        <f>IF(ISBLANK('SQL Builder'!K308)=FALSE,H333+1,"")</f>
        <v/>
      </c>
      <c r="I334" s="1" t="str">
        <f>IF(ISBLANK('SQL Builder'!P309)=FALSE,'SQL Builder'!N309,"")</f>
        <v/>
      </c>
      <c r="J334" s="79">
        <f t="shared" si="4"/>
        <v>0</v>
      </c>
      <c r="K334" s="81"/>
    </row>
    <row r="335" spans="2:11" ht="16.5" x14ac:dyDescent="0.25">
      <c r="B335" s="49" t="e">
        <f>IF(ISBLANK('SQL Builder'!K310)=FALSE,(DATE(LEFT('SQL Builder'!K310,4),MID('SQL Builder'!K310,6,2),MID('SQL Builder'!K310,9,2))),NA())</f>
        <v>#N/A</v>
      </c>
      <c r="C335" s="50" t="str">
        <f>IF(ISBLANK('SQL Builder'!K310)=FALSE,'SQL Builder'!L310,"")</f>
        <v/>
      </c>
      <c r="D335" s="1" t="str">
        <f>IF(ISBLANK('SQL Builder'!K310)=FALSE,'SQL Builder'!O310,"")</f>
        <v/>
      </c>
      <c r="H335" s="43" t="str">
        <f>IF(ISBLANK('SQL Builder'!K309)=FALSE,H334+1,"")</f>
        <v/>
      </c>
      <c r="I335" s="1" t="str">
        <f>IF(ISBLANK('SQL Builder'!P310)=FALSE,'SQL Builder'!N310,"")</f>
        <v/>
      </c>
      <c r="J335" s="79">
        <f t="shared" si="4"/>
        <v>0</v>
      </c>
      <c r="K335" s="81"/>
    </row>
    <row r="336" spans="2:11" ht="16.5" x14ac:dyDescent="0.25">
      <c r="B336" s="49" t="e">
        <f>IF(ISBLANK('SQL Builder'!K311)=FALSE,(DATE(LEFT('SQL Builder'!K311,4),MID('SQL Builder'!K311,6,2),MID('SQL Builder'!K311,9,2))),NA())</f>
        <v>#N/A</v>
      </c>
      <c r="C336" s="50" t="str">
        <f>IF(ISBLANK('SQL Builder'!K311)=FALSE,'SQL Builder'!L311,"")</f>
        <v/>
      </c>
      <c r="D336" s="1" t="str">
        <f>IF(ISBLANK('SQL Builder'!K311)=FALSE,'SQL Builder'!O311,"")</f>
        <v/>
      </c>
      <c r="H336" s="43" t="str">
        <f>IF(ISBLANK('SQL Builder'!K310)=FALSE,H335+1,"")</f>
        <v/>
      </c>
      <c r="I336" s="1" t="str">
        <f>IF(ISBLANK('SQL Builder'!P311)=FALSE,'SQL Builder'!N311,"")</f>
        <v/>
      </c>
      <c r="J336" s="79">
        <f t="shared" si="4"/>
        <v>0</v>
      </c>
      <c r="K336" s="81"/>
    </row>
    <row r="337" spans="2:11" ht="16.5" x14ac:dyDescent="0.25">
      <c r="B337" s="49" t="e">
        <f>IF(ISBLANK('SQL Builder'!K312)=FALSE,(DATE(LEFT('SQL Builder'!K312,4),MID('SQL Builder'!K312,6,2),MID('SQL Builder'!K312,9,2))),NA())</f>
        <v>#N/A</v>
      </c>
      <c r="C337" s="50" t="str">
        <f>IF(ISBLANK('SQL Builder'!K312)=FALSE,'SQL Builder'!L312,"")</f>
        <v/>
      </c>
      <c r="D337" s="1" t="str">
        <f>IF(ISBLANK('SQL Builder'!K312)=FALSE,'SQL Builder'!O312,"")</f>
        <v/>
      </c>
      <c r="H337" s="43" t="str">
        <f>IF(ISBLANK('SQL Builder'!K311)=FALSE,H336+1,"")</f>
        <v/>
      </c>
      <c r="I337" s="1" t="str">
        <f>IF(ISBLANK('SQL Builder'!P312)=FALSE,'SQL Builder'!N312,"")</f>
        <v/>
      </c>
      <c r="J337" s="79">
        <f t="shared" si="4"/>
        <v>0</v>
      </c>
      <c r="K337" s="81"/>
    </row>
    <row r="338" spans="2:11" ht="16.5" x14ac:dyDescent="0.25">
      <c r="B338" s="49" t="e">
        <f>IF(ISBLANK('SQL Builder'!K313)=FALSE,(DATE(LEFT('SQL Builder'!K313,4),MID('SQL Builder'!K313,6,2),MID('SQL Builder'!K313,9,2))),NA())</f>
        <v>#N/A</v>
      </c>
      <c r="C338" s="50" t="str">
        <f>IF(ISBLANK('SQL Builder'!K313)=FALSE,'SQL Builder'!L313,"")</f>
        <v/>
      </c>
      <c r="D338" s="1" t="str">
        <f>IF(ISBLANK('SQL Builder'!K313)=FALSE,'SQL Builder'!O313,"")</f>
        <v/>
      </c>
      <c r="H338" s="43" t="str">
        <f>IF(ISBLANK('SQL Builder'!K312)=FALSE,H337+1,"")</f>
        <v/>
      </c>
      <c r="I338" s="1" t="str">
        <f>IF(ISBLANK('SQL Builder'!P313)=FALSE,'SQL Builder'!N313,"")</f>
        <v/>
      </c>
      <c r="J338" s="79">
        <f t="shared" si="4"/>
        <v>0</v>
      </c>
      <c r="K338" s="81"/>
    </row>
    <row r="339" spans="2:11" ht="16.5" x14ac:dyDescent="0.25">
      <c r="B339" s="49" t="e">
        <f>IF(ISBLANK('SQL Builder'!K314)=FALSE,(DATE(LEFT('SQL Builder'!K314,4),MID('SQL Builder'!K314,6,2),MID('SQL Builder'!K314,9,2))),NA())</f>
        <v>#N/A</v>
      </c>
      <c r="C339" s="50" t="str">
        <f>IF(ISBLANK('SQL Builder'!K314)=FALSE,'SQL Builder'!L314,"")</f>
        <v/>
      </c>
      <c r="D339" s="1" t="str">
        <f>IF(ISBLANK('SQL Builder'!K314)=FALSE,'SQL Builder'!O314,"")</f>
        <v/>
      </c>
      <c r="H339" s="43" t="str">
        <f>IF(ISBLANK('SQL Builder'!K313)=FALSE,H338+1,"")</f>
        <v/>
      </c>
      <c r="I339" s="1" t="str">
        <f>IF(ISBLANK('SQL Builder'!P314)=FALSE,'SQL Builder'!N314,"")</f>
        <v/>
      </c>
      <c r="J339" s="79">
        <f t="shared" si="4"/>
        <v>0</v>
      </c>
      <c r="K339" s="81"/>
    </row>
    <row r="340" spans="2:11" ht="16.5" x14ac:dyDescent="0.25">
      <c r="B340" s="49" t="e">
        <f>IF(ISBLANK('SQL Builder'!K315)=FALSE,(DATE(LEFT('SQL Builder'!K315,4),MID('SQL Builder'!K315,6,2),MID('SQL Builder'!K315,9,2))),NA())</f>
        <v>#N/A</v>
      </c>
      <c r="C340" s="50" t="str">
        <f>IF(ISBLANK('SQL Builder'!K315)=FALSE,'SQL Builder'!L315,"")</f>
        <v/>
      </c>
      <c r="D340" s="1" t="str">
        <f>IF(ISBLANK('SQL Builder'!K315)=FALSE,'SQL Builder'!O315,"")</f>
        <v/>
      </c>
      <c r="H340" s="43" t="str">
        <f>IF(ISBLANK('SQL Builder'!K314)=FALSE,H339+1,"")</f>
        <v/>
      </c>
      <c r="I340" s="1" t="str">
        <f>IF(ISBLANK('SQL Builder'!P315)=FALSE,'SQL Builder'!N315,"")</f>
        <v/>
      </c>
      <c r="J340" s="79">
        <f t="shared" si="4"/>
        <v>0</v>
      </c>
      <c r="K340" s="81"/>
    </row>
    <row r="341" spans="2:11" ht="16.5" x14ac:dyDescent="0.25">
      <c r="B341" s="49" t="e">
        <f>IF(ISBLANK('SQL Builder'!K316)=FALSE,(DATE(LEFT('SQL Builder'!K316,4),MID('SQL Builder'!K316,6,2),MID('SQL Builder'!K316,9,2))),NA())</f>
        <v>#N/A</v>
      </c>
      <c r="C341" s="50" t="str">
        <f>IF(ISBLANK('SQL Builder'!K316)=FALSE,'SQL Builder'!L316,"")</f>
        <v/>
      </c>
      <c r="D341" s="1" t="str">
        <f>IF(ISBLANK('SQL Builder'!K316)=FALSE,'SQL Builder'!O316,"")</f>
        <v/>
      </c>
      <c r="H341" s="43" t="str">
        <f>IF(ISBLANK('SQL Builder'!K315)=FALSE,H340+1,"")</f>
        <v/>
      </c>
      <c r="I341" s="1" t="str">
        <f>IF(ISBLANK('SQL Builder'!P316)=FALSE,'SQL Builder'!N316,"")</f>
        <v/>
      </c>
      <c r="J341" s="79">
        <f t="shared" si="4"/>
        <v>0</v>
      </c>
      <c r="K341" s="81"/>
    </row>
    <row r="342" spans="2:11" ht="16.5" x14ac:dyDescent="0.25">
      <c r="B342" s="49" t="e">
        <f>IF(ISBLANK('SQL Builder'!K317)=FALSE,(DATE(LEFT('SQL Builder'!K317,4),MID('SQL Builder'!K317,6,2),MID('SQL Builder'!K317,9,2))),NA())</f>
        <v>#N/A</v>
      </c>
      <c r="C342" s="50" t="str">
        <f>IF(ISBLANK('SQL Builder'!K317)=FALSE,'SQL Builder'!L317,"")</f>
        <v/>
      </c>
      <c r="D342" s="1" t="str">
        <f>IF(ISBLANK('SQL Builder'!K317)=FALSE,'SQL Builder'!O317,"")</f>
        <v/>
      </c>
      <c r="H342" s="43" t="str">
        <f>IF(ISBLANK('SQL Builder'!K316)=FALSE,H341+1,"")</f>
        <v/>
      </c>
      <c r="I342" s="1" t="str">
        <f>IF(ISBLANK('SQL Builder'!P317)=FALSE,'SQL Builder'!N317,"")</f>
        <v/>
      </c>
      <c r="J342" s="79">
        <f t="shared" si="4"/>
        <v>0</v>
      </c>
      <c r="K342" s="81"/>
    </row>
    <row r="343" spans="2:11" ht="16.5" x14ac:dyDescent="0.25">
      <c r="B343" s="49" t="e">
        <f>IF(ISBLANK('SQL Builder'!K318)=FALSE,(DATE(LEFT('SQL Builder'!K318,4),MID('SQL Builder'!K318,6,2),MID('SQL Builder'!K318,9,2))),NA())</f>
        <v>#N/A</v>
      </c>
      <c r="C343" s="50" t="str">
        <f>IF(ISBLANK('SQL Builder'!K318)=FALSE,'SQL Builder'!L318,"")</f>
        <v/>
      </c>
      <c r="D343" s="1" t="str">
        <f>IF(ISBLANK('SQL Builder'!K318)=FALSE,'SQL Builder'!O318,"")</f>
        <v/>
      </c>
      <c r="H343" s="43" t="str">
        <f>IF(ISBLANK('SQL Builder'!K317)=FALSE,H342+1,"")</f>
        <v/>
      </c>
      <c r="I343" s="1" t="str">
        <f>IF(ISBLANK('SQL Builder'!P318)=FALSE,'SQL Builder'!N318,"")</f>
        <v/>
      </c>
      <c r="J343" s="79">
        <f t="shared" si="4"/>
        <v>0</v>
      </c>
      <c r="K343" s="81"/>
    </row>
    <row r="344" spans="2:11" ht="16.5" x14ac:dyDescent="0.25">
      <c r="B344" s="49" t="e">
        <f>IF(ISBLANK('SQL Builder'!K319)=FALSE,(DATE(LEFT('SQL Builder'!K319,4),MID('SQL Builder'!K319,6,2),MID('SQL Builder'!K319,9,2))),NA())</f>
        <v>#N/A</v>
      </c>
      <c r="C344" s="50" t="str">
        <f>IF(ISBLANK('SQL Builder'!K319)=FALSE,'SQL Builder'!L319,"")</f>
        <v/>
      </c>
      <c r="D344" s="1" t="str">
        <f>IF(ISBLANK('SQL Builder'!K319)=FALSE,'SQL Builder'!O319,"")</f>
        <v/>
      </c>
      <c r="H344" s="43" t="str">
        <f>IF(ISBLANK('SQL Builder'!K318)=FALSE,H343+1,"")</f>
        <v/>
      </c>
      <c r="I344" s="1" t="str">
        <f>IF(ISBLANK('SQL Builder'!P319)=FALSE,'SQL Builder'!N319,"")</f>
        <v/>
      </c>
      <c r="J344" s="79">
        <f t="shared" si="4"/>
        <v>0</v>
      </c>
      <c r="K344" s="81"/>
    </row>
    <row r="345" spans="2:11" ht="16.5" x14ac:dyDescent="0.25">
      <c r="B345" s="49" t="e">
        <f>IF(ISBLANK('SQL Builder'!K320)=FALSE,(DATE(LEFT('SQL Builder'!K320,4),MID('SQL Builder'!K320,6,2),MID('SQL Builder'!K320,9,2))),NA())</f>
        <v>#N/A</v>
      </c>
      <c r="C345" s="50" t="str">
        <f>IF(ISBLANK('SQL Builder'!K320)=FALSE,'SQL Builder'!L320,"")</f>
        <v/>
      </c>
      <c r="D345" s="1" t="str">
        <f>IF(ISBLANK('SQL Builder'!K320)=FALSE,'SQL Builder'!O320,"")</f>
        <v/>
      </c>
      <c r="H345" s="43" t="str">
        <f>IF(ISBLANK('SQL Builder'!K319)=FALSE,H344+1,"")</f>
        <v/>
      </c>
      <c r="I345" s="1" t="str">
        <f>IF(ISBLANK('SQL Builder'!P320)=FALSE,'SQL Builder'!N320,"")</f>
        <v/>
      </c>
      <c r="J345" s="79">
        <f t="shared" si="4"/>
        <v>0</v>
      </c>
      <c r="K345" s="81"/>
    </row>
    <row r="346" spans="2:11" ht="16.5" x14ac:dyDescent="0.25">
      <c r="B346" s="49" t="e">
        <f>IF(ISBLANK('SQL Builder'!K321)=FALSE,(DATE(LEFT('SQL Builder'!K321,4),MID('SQL Builder'!K321,6,2),MID('SQL Builder'!K321,9,2))),NA())</f>
        <v>#N/A</v>
      </c>
      <c r="C346" s="50" t="str">
        <f>IF(ISBLANK('SQL Builder'!K321)=FALSE,'SQL Builder'!L321,"")</f>
        <v/>
      </c>
      <c r="D346" s="1" t="str">
        <f>IF(ISBLANK('SQL Builder'!K321)=FALSE,'SQL Builder'!O321,"")</f>
        <v/>
      </c>
      <c r="H346" s="43" t="str">
        <f>IF(ISBLANK('SQL Builder'!K320)=FALSE,H345+1,"")</f>
        <v/>
      </c>
      <c r="I346" s="1" t="str">
        <f>IF(ISBLANK('SQL Builder'!P321)=FALSE,'SQL Builder'!N321,"")</f>
        <v/>
      </c>
      <c r="J346" s="79">
        <f t="shared" si="4"/>
        <v>0</v>
      </c>
      <c r="K346" s="81"/>
    </row>
    <row r="347" spans="2:11" ht="16.5" x14ac:dyDescent="0.25">
      <c r="B347" s="49" t="e">
        <f>IF(ISBLANK('SQL Builder'!K322)=FALSE,(DATE(LEFT('SQL Builder'!K322,4),MID('SQL Builder'!K322,6,2),MID('SQL Builder'!K322,9,2))),NA())</f>
        <v>#N/A</v>
      </c>
      <c r="C347" s="50" t="str">
        <f>IF(ISBLANK('SQL Builder'!K322)=FALSE,'SQL Builder'!L322,"")</f>
        <v/>
      </c>
      <c r="D347" s="1" t="str">
        <f>IF(ISBLANK('SQL Builder'!K322)=FALSE,'SQL Builder'!O322,"")</f>
        <v/>
      </c>
      <c r="H347" s="43" t="str">
        <f>IF(ISBLANK('SQL Builder'!K321)=FALSE,H346+1,"")</f>
        <v/>
      </c>
      <c r="I347" s="1" t="str">
        <f>IF(ISBLANK('SQL Builder'!P322)=FALSE,'SQL Builder'!N322,"")</f>
        <v/>
      </c>
      <c r="J347" s="79">
        <f t="shared" si="4"/>
        <v>0</v>
      </c>
      <c r="K347" s="81"/>
    </row>
    <row r="348" spans="2:11" ht="16.5" x14ac:dyDescent="0.25">
      <c r="B348" s="49" t="e">
        <f>IF(ISBLANK('SQL Builder'!K323)=FALSE,(DATE(LEFT('SQL Builder'!K323,4),MID('SQL Builder'!K323,6,2),MID('SQL Builder'!K323,9,2))),NA())</f>
        <v>#N/A</v>
      </c>
      <c r="C348" s="50" t="str">
        <f>IF(ISBLANK('SQL Builder'!K323)=FALSE,'SQL Builder'!L323,"")</f>
        <v/>
      </c>
      <c r="D348" s="1" t="str">
        <f>IF(ISBLANK('SQL Builder'!K323)=FALSE,'SQL Builder'!O323,"")</f>
        <v/>
      </c>
      <c r="H348" s="43" t="str">
        <f>IF(ISBLANK('SQL Builder'!K322)=FALSE,H347+1,"")</f>
        <v/>
      </c>
      <c r="I348" s="1" t="str">
        <f>IF(ISBLANK('SQL Builder'!P323)=FALSE,'SQL Builder'!N323,"")</f>
        <v/>
      </c>
      <c r="J348" s="79">
        <f t="shared" si="4"/>
        <v>0</v>
      </c>
      <c r="K348" s="81"/>
    </row>
    <row r="349" spans="2:11" ht="16.5" x14ac:dyDescent="0.25">
      <c r="B349" s="49" t="e">
        <f>IF(ISBLANK('SQL Builder'!K324)=FALSE,(DATE(LEFT('SQL Builder'!K324,4),MID('SQL Builder'!K324,6,2),MID('SQL Builder'!K324,9,2))),NA())</f>
        <v>#N/A</v>
      </c>
      <c r="C349" s="50" t="str">
        <f>IF(ISBLANK('SQL Builder'!K324)=FALSE,'SQL Builder'!L324,"")</f>
        <v/>
      </c>
      <c r="D349" s="1" t="str">
        <f>IF(ISBLANK('SQL Builder'!K324)=FALSE,'SQL Builder'!O324,"")</f>
        <v/>
      </c>
      <c r="H349" s="43" t="str">
        <f>IF(ISBLANK('SQL Builder'!K323)=FALSE,H348+1,"")</f>
        <v/>
      </c>
      <c r="I349" s="1" t="str">
        <f>IF(ISBLANK('SQL Builder'!P324)=FALSE,'SQL Builder'!N324,"")</f>
        <v/>
      </c>
      <c r="J349" s="79">
        <f t="shared" si="4"/>
        <v>0</v>
      </c>
      <c r="K349" s="81"/>
    </row>
    <row r="350" spans="2:11" ht="16.5" x14ac:dyDescent="0.25">
      <c r="B350" s="49" t="e">
        <f>IF(ISBLANK('SQL Builder'!K325)=FALSE,(DATE(LEFT('SQL Builder'!K325,4),MID('SQL Builder'!K325,6,2),MID('SQL Builder'!K325,9,2))),NA())</f>
        <v>#N/A</v>
      </c>
      <c r="C350" s="50" t="str">
        <f>IF(ISBLANK('SQL Builder'!K325)=FALSE,'SQL Builder'!L325,"")</f>
        <v/>
      </c>
      <c r="D350" s="1" t="str">
        <f>IF(ISBLANK('SQL Builder'!K325)=FALSE,'SQL Builder'!O325,"")</f>
        <v/>
      </c>
      <c r="H350" s="43" t="str">
        <f>IF(ISBLANK('SQL Builder'!K324)=FALSE,H349+1,"")</f>
        <v/>
      </c>
      <c r="I350" s="1" t="str">
        <f>IF(ISBLANK('SQL Builder'!P325)=FALSE,'SQL Builder'!N325,"")</f>
        <v/>
      </c>
      <c r="J350" s="79">
        <f t="shared" si="4"/>
        <v>0</v>
      </c>
      <c r="K350" s="81"/>
    </row>
    <row r="351" spans="2:11" ht="16.5" x14ac:dyDescent="0.25">
      <c r="B351" s="49" t="e">
        <f>IF(ISBLANK('SQL Builder'!K326)=FALSE,(DATE(LEFT('SQL Builder'!K326,4),MID('SQL Builder'!K326,6,2),MID('SQL Builder'!K326,9,2))),NA())</f>
        <v>#N/A</v>
      </c>
      <c r="C351" s="50" t="str">
        <f>IF(ISBLANK('SQL Builder'!K326)=FALSE,'SQL Builder'!L326,"")</f>
        <v/>
      </c>
      <c r="D351" s="1" t="str">
        <f>IF(ISBLANK('SQL Builder'!K326)=FALSE,'SQL Builder'!O326,"")</f>
        <v/>
      </c>
      <c r="H351" s="43" t="str">
        <f>IF(ISBLANK('SQL Builder'!K325)=FALSE,H350+1,"")</f>
        <v/>
      </c>
      <c r="I351" s="1" t="str">
        <f>IF(ISBLANK('SQL Builder'!P326)=FALSE,'SQL Builder'!N326,"")</f>
        <v/>
      </c>
      <c r="J351" s="79">
        <f t="shared" ref="J351:J414" si="5">IF(I351="",0,IF(I351=C$5,2,1))</f>
        <v>0</v>
      </c>
      <c r="K351" s="81"/>
    </row>
    <row r="352" spans="2:11" ht="16.5" x14ac:dyDescent="0.25">
      <c r="B352" s="49" t="e">
        <f>IF(ISBLANK('SQL Builder'!K327)=FALSE,(DATE(LEFT('SQL Builder'!K327,4),MID('SQL Builder'!K327,6,2),MID('SQL Builder'!K327,9,2))),NA())</f>
        <v>#N/A</v>
      </c>
      <c r="C352" s="50" t="str">
        <f>IF(ISBLANK('SQL Builder'!K327)=FALSE,'SQL Builder'!L327,"")</f>
        <v/>
      </c>
      <c r="D352" s="1" t="str">
        <f>IF(ISBLANK('SQL Builder'!K327)=FALSE,'SQL Builder'!O327,"")</f>
        <v/>
      </c>
      <c r="H352" s="43" t="str">
        <f>IF(ISBLANK('SQL Builder'!K326)=FALSE,H351+1,"")</f>
        <v/>
      </c>
      <c r="I352" s="1" t="str">
        <f>IF(ISBLANK('SQL Builder'!P327)=FALSE,'SQL Builder'!N327,"")</f>
        <v/>
      </c>
      <c r="J352" s="79">
        <f t="shared" si="5"/>
        <v>0</v>
      </c>
      <c r="K352" s="81"/>
    </row>
    <row r="353" spans="2:11" ht="16.5" x14ac:dyDescent="0.25">
      <c r="B353" s="49" t="e">
        <f>IF(ISBLANK('SQL Builder'!K328)=FALSE,(DATE(LEFT('SQL Builder'!K328,4),MID('SQL Builder'!K328,6,2),MID('SQL Builder'!K328,9,2))),NA())</f>
        <v>#N/A</v>
      </c>
      <c r="C353" s="50" t="str">
        <f>IF(ISBLANK('SQL Builder'!K328)=FALSE,'SQL Builder'!L328,"")</f>
        <v/>
      </c>
      <c r="D353" s="1" t="str">
        <f>IF(ISBLANK('SQL Builder'!K328)=FALSE,'SQL Builder'!O328,"")</f>
        <v/>
      </c>
      <c r="H353" s="43" t="str">
        <f>IF(ISBLANK('SQL Builder'!K327)=FALSE,H352+1,"")</f>
        <v/>
      </c>
      <c r="I353" s="1" t="str">
        <f>IF(ISBLANK('SQL Builder'!P328)=FALSE,'SQL Builder'!N328,"")</f>
        <v/>
      </c>
      <c r="J353" s="79">
        <f t="shared" si="5"/>
        <v>0</v>
      </c>
      <c r="K353" s="81"/>
    </row>
    <row r="354" spans="2:11" ht="16.5" x14ac:dyDescent="0.25">
      <c r="B354" s="49" t="e">
        <f>IF(ISBLANK('SQL Builder'!K329)=FALSE,(DATE(LEFT('SQL Builder'!K329,4),MID('SQL Builder'!K329,6,2),MID('SQL Builder'!K329,9,2))),NA())</f>
        <v>#N/A</v>
      </c>
      <c r="C354" s="50" t="str">
        <f>IF(ISBLANK('SQL Builder'!K329)=FALSE,'SQL Builder'!L329,"")</f>
        <v/>
      </c>
      <c r="D354" s="1" t="str">
        <f>IF(ISBLANK('SQL Builder'!K329)=FALSE,'SQL Builder'!O329,"")</f>
        <v/>
      </c>
      <c r="H354" s="43" t="str">
        <f>IF(ISBLANK('SQL Builder'!K328)=FALSE,H353+1,"")</f>
        <v/>
      </c>
      <c r="I354" s="1" t="str">
        <f>IF(ISBLANK('SQL Builder'!P329)=FALSE,'SQL Builder'!N329,"")</f>
        <v/>
      </c>
      <c r="J354" s="79">
        <f t="shared" si="5"/>
        <v>0</v>
      </c>
      <c r="K354" s="81"/>
    </row>
    <row r="355" spans="2:11" ht="16.5" x14ac:dyDescent="0.25">
      <c r="B355" s="49" t="e">
        <f>IF(ISBLANK('SQL Builder'!K330)=FALSE,(DATE(LEFT('SQL Builder'!K330,4),MID('SQL Builder'!K330,6,2),MID('SQL Builder'!K330,9,2))),NA())</f>
        <v>#N/A</v>
      </c>
      <c r="C355" s="50" t="str">
        <f>IF(ISBLANK('SQL Builder'!K330)=FALSE,'SQL Builder'!L330,"")</f>
        <v/>
      </c>
      <c r="D355" s="1" t="str">
        <f>IF(ISBLANK('SQL Builder'!K330)=FALSE,'SQL Builder'!O330,"")</f>
        <v/>
      </c>
      <c r="H355" s="43" t="str">
        <f>IF(ISBLANK('SQL Builder'!K329)=FALSE,H354+1,"")</f>
        <v/>
      </c>
      <c r="I355" s="1" t="str">
        <f>IF(ISBLANK('SQL Builder'!P330)=FALSE,'SQL Builder'!N330,"")</f>
        <v/>
      </c>
      <c r="J355" s="79">
        <f t="shared" si="5"/>
        <v>0</v>
      </c>
      <c r="K355" s="81"/>
    </row>
    <row r="356" spans="2:11" ht="16.5" x14ac:dyDescent="0.25">
      <c r="B356" s="49" t="e">
        <f>IF(ISBLANK('SQL Builder'!K331)=FALSE,(DATE(LEFT('SQL Builder'!K331,4),MID('SQL Builder'!K331,6,2),MID('SQL Builder'!K331,9,2))),NA())</f>
        <v>#N/A</v>
      </c>
      <c r="C356" s="50" t="str">
        <f>IF(ISBLANK('SQL Builder'!K331)=FALSE,'SQL Builder'!L331,"")</f>
        <v/>
      </c>
      <c r="D356" s="1" t="str">
        <f>IF(ISBLANK('SQL Builder'!K331)=FALSE,'SQL Builder'!O331,"")</f>
        <v/>
      </c>
      <c r="H356" s="43" t="str">
        <f>IF(ISBLANK('SQL Builder'!K330)=FALSE,H355+1,"")</f>
        <v/>
      </c>
      <c r="I356" s="1" t="str">
        <f>IF(ISBLANK('SQL Builder'!P331)=FALSE,'SQL Builder'!N331,"")</f>
        <v/>
      </c>
      <c r="J356" s="79">
        <f t="shared" si="5"/>
        <v>0</v>
      </c>
      <c r="K356" s="81"/>
    </row>
    <row r="357" spans="2:11" ht="16.5" x14ac:dyDescent="0.25">
      <c r="B357" s="49" t="e">
        <f>IF(ISBLANK('SQL Builder'!K332)=FALSE,(DATE(LEFT('SQL Builder'!K332,4),MID('SQL Builder'!K332,6,2),MID('SQL Builder'!K332,9,2))),NA())</f>
        <v>#N/A</v>
      </c>
      <c r="C357" s="50" t="str">
        <f>IF(ISBLANK('SQL Builder'!K332)=FALSE,'SQL Builder'!L332,"")</f>
        <v/>
      </c>
      <c r="D357" s="1" t="str">
        <f>IF(ISBLANK('SQL Builder'!K332)=FALSE,'SQL Builder'!O332,"")</f>
        <v/>
      </c>
      <c r="H357" s="43" t="str">
        <f>IF(ISBLANK('SQL Builder'!K331)=FALSE,H356+1,"")</f>
        <v/>
      </c>
      <c r="I357" s="1" t="str">
        <f>IF(ISBLANK('SQL Builder'!P332)=FALSE,'SQL Builder'!N332,"")</f>
        <v/>
      </c>
      <c r="J357" s="79">
        <f t="shared" si="5"/>
        <v>0</v>
      </c>
      <c r="K357" s="81"/>
    </row>
    <row r="358" spans="2:11" ht="16.5" x14ac:dyDescent="0.25">
      <c r="B358" s="49" t="e">
        <f>IF(ISBLANK('SQL Builder'!K333)=FALSE,(DATE(LEFT('SQL Builder'!K333,4),MID('SQL Builder'!K333,6,2),MID('SQL Builder'!K333,9,2))),NA())</f>
        <v>#N/A</v>
      </c>
      <c r="C358" s="50" t="str">
        <f>IF(ISBLANK('SQL Builder'!K333)=FALSE,'SQL Builder'!L333,"")</f>
        <v/>
      </c>
      <c r="D358" s="1" t="str">
        <f>IF(ISBLANK('SQL Builder'!K333)=FALSE,'SQL Builder'!O333,"")</f>
        <v/>
      </c>
      <c r="H358" s="43" t="str">
        <f>IF(ISBLANK('SQL Builder'!K332)=FALSE,H357+1,"")</f>
        <v/>
      </c>
      <c r="I358" s="1" t="str">
        <f>IF(ISBLANK('SQL Builder'!P333)=FALSE,'SQL Builder'!N333,"")</f>
        <v/>
      </c>
      <c r="J358" s="79">
        <f t="shared" si="5"/>
        <v>0</v>
      </c>
      <c r="K358" s="81"/>
    </row>
    <row r="359" spans="2:11" ht="16.5" x14ac:dyDescent="0.25">
      <c r="B359" s="49" t="e">
        <f>IF(ISBLANK('SQL Builder'!K334)=FALSE,(DATE(LEFT('SQL Builder'!K334,4),MID('SQL Builder'!K334,6,2),MID('SQL Builder'!K334,9,2))),NA())</f>
        <v>#N/A</v>
      </c>
      <c r="C359" s="50" t="str">
        <f>IF(ISBLANK('SQL Builder'!K334)=FALSE,'SQL Builder'!L334,"")</f>
        <v/>
      </c>
      <c r="D359" s="1" t="str">
        <f>IF(ISBLANK('SQL Builder'!K334)=FALSE,'SQL Builder'!O334,"")</f>
        <v/>
      </c>
      <c r="H359" s="43" t="str">
        <f>IF(ISBLANK('SQL Builder'!K333)=FALSE,H358+1,"")</f>
        <v/>
      </c>
      <c r="I359" s="1" t="str">
        <f>IF(ISBLANK('SQL Builder'!P334)=FALSE,'SQL Builder'!N334,"")</f>
        <v/>
      </c>
      <c r="J359" s="79">
        <f t="shared" si="5"/>
        <v>0</v>
      </c>
      <c r="K359" s="81"/>
    </row>
    <row r="360" spans="2:11" ht="16.5" x14ac:dyDescent="0.25">
      <c r="B360" s="49" t="e">
        <f>IF(ISBLANK('SQL Builder'!K335)=FALSE,(DATE(LEFT('SQL Builder'!K335,4),MID('SQL Builder'!K335,6,2),MID('SQL Builder'!K335,9,2))),NA())</f>
        <v>#N/A</v>
      </c>
      <c r="C360" s="50" t="str">
        <f>IF(ISBLANK('SQL Builder'!K335)=FALSE,'SQL Builder'!L335,"")</f>
        <v/>
      </c>
      <c r="D360" s="1" t="str">
        <f>IF(ISBLANK('SQL Builder'!K335)=FALSE,'SQL Builder'!O335,"")</f>
        <v/>
      </c>
      <c r="H360" s="43" t="str">
        <f>IF(ISBLANK('SQL Builder'!K334)=FALSE,H359+1,"")</f>
        <v/>
      </c>
      <c r="I360" s="1" t="str">
        <f>IF(ISBLANK('SQL Builder'!P335)=FALSE,'SQL Builder'!N335,"")</f>
        <v/>
      </c>
      <c r="J360" s="79">
        <f t="shared" si="5"/>
        <v>0</v>
      </c>
      <c r="K360" s="81"/>
    </row>
    <row r="361" spans="2:11" ht="16.5" x14ac:dyDescent="0.25">
      <c r="B361" s="49" t="e">
        <f>IF(ISBLANK('SQL Builder'!K336)=FALSE,(DATE(LEFT('SQL Builder'!K336,4),MID('SQL Builder'!K336,6,2),MID('SQL Builder'!K336,9,2))),NA())</f>
        <v>#N/A</v>
      </c>
      <c r="C361" s="50" t="str">
        <f>IF(ISBLANK('SQL Builder'!K336)=FALSE,'SQL Builder'!L336,"")</f>
        <v/>
      </c>
      <c r="D361" s="1" t="str">
        <f>IF(ISBLANK('SQL Builder'!K336)=FALSE,'SQL Builder'!O336,"")</f>
        <v/>
      </c>
      <c r="H361" s="43" t="str">
        <f>IF(ISBLANK('SQL Builder'!K335)=FALSE,H360+1,"")</f>
        <v/>
      </c>
      <c r="I361" s="1" t="str">
        <f>IF(ISBLANK('SQL Builder'!P336)=FALSE,'SQL Builder'!N336,"")</f>
        <v/>
      </c>
      <c r="J361" s="79">
        <f t="shared" si="5"/>
        <v>0</v>
      </c>
      <c r="K361" s="81"/>
    </row>
    <row r="362" spans="2:11" ht="16.5" x14ac:dyDescent="0.25">
      <c r="B362" s="49" t="e">
        <f>IF(ISBLANK('SQL Builder'!K337)=FALSE,(DATE(LEFT('SQL Builder'!K337,4),MID('SQL Builder'!K337,6,2),MID('SQL Builder'!K337,9,2))),NA())</f>
        <v>#N/A</v>
      </c>
      <c r="C362" s="50" t="str">
        <f>IF(ISBLANK('SQL Builder'!K337)=FALSE,'SQL Builder'!L337,"")</f>
        <v/>
      </c>
      <c r="D362" s="1" t="str">
        <f>IF(ISBLANK('SQL Builder'!K337)=FALSE,'SQL Builder'!O337,"")</f>
        <v/>
      </c>
      <c r="H362" s="43" t="str">
        <f>IF(ISBLANK('SQL Builder'!K336)=FALSE,H361+1,"")</f>
        <v/>
      </c>
      <c r="I362" s="1" t="str">
        <f>IF(ISBLANK('SQL Builder'!P337)=FALSE,'SQL Builder'!N337,"")</f>
        <v/>
      </c>
      <c r="J362" s="79">
        <f t="shared" si="5"/>
        <v>0</v>
      </c>
      <c r="K362" s="81"/>
    </row>
    <row r="363" spans="2:11" ht="16.5" x14ac:dyDescent="0.25">
      <c r="B363" s="49" t="e">
        <f>IF(ISBLANK('SQL Builder'!K338)=FALSE,(DATE(LEFT('SQL Builder'!K338,4),MID('SQL Builder'!K338,6,2),MID('SQL Builder'!K338,9,2))),NA())</f>
        <v>#N/A</v>
      </c>
      <c r="C363" s="50" t="str">
        <f>IF(ISBLANK('SQL Builder'!K338)=FALSE,'SQL Builder'!L338,"")</f>
        <v/>
      </c>
      <c r="D363" s="1" t="str">
        <f>IF(ISBLANK('SQL Builder'!K338)=FALSE,'SQL Builder'!O338,"")</f>
        <v/>
      </c>
      <c r="H363" s="43" t="str">
        <f>IF(ISBLANK('SQL Builder'!K337)=FALSE,H362+1,"")</f>
        <v/>
      </c>
      <c r="I363" s="1" t="str">
        <f>IF(ISBLANK('SQL Builder'!P338)=FALSE,'SQL Builder'!N338,"")</f>
        <v/>
      </c>
      <c r="J363" s="79">
        <f t="shared" si="5"/>
        <v>0</v>
      </c>
      <c r="K363" s="81"/>
    </row>
    <row r="364" spans="2:11" ht="16.5" x14ac:dyDescent="0.25">
      <c r="B364" s="49" t="e">
        <f>IF(ISBLANK('SQL Builder'!K339)=FALSE,(DATE(LEFT('SQL Builder'!K339,4),MID('SQL Builder'!K339,6,2),MID('SQL Builder'!K339,9,2))),NA())</f>
        <v>#N/A</v>
      </c>
      <c r="C364" s="50" t="str">
        <f>IF(ISBLANK('SQL Builder'!K339)=FALSE,'SQL Builder'!L339,"")</f>
        <v/>
      </c>
      <c r="D364" s="1" t="str">
        <f>IF(ISBLANK('SQL Builder'!K339)=FALSE,'SQL Builder'!O339,"")</f>
        <v/>
      </c>
      <c r="H364" s="43" t="str">
        <f>IF(ISBLANK('SQL Builder'!K338)=FALSE,H363+1,"")</f>
        <v/>
      </c>
      <c r="I364" s="1" t="str">
        <f>IF(ISBLANK('SQL Builder'!P339)=FALSE,'SQL Builder'!N339,"")</f>
        <v/>
      </c>
      <c r="J364" s="79">
        <f t="shared" si="5"/>
        <v>0</v>
      </c>
      <c r="K364" s="81"/>
    </row>
    <row r="365" spans="2:11" ht="16.5" x14ac:dyDescent="0.25">
      <c r="B365" s="49" t="e">
        <f>IF(ISBLANK('SQL Builder'!K340)=FALSE,(DATE(LEFT('SQL Builder'!K340,4),MID('SQL Builder'!K340,6,2),MID('SQL Builder'!K340,9,2))),NA())</f>
        <v>#N/A</v>
      </c>
      <c r="C365" s="50" t="str">
        <f>IF(ISBLANK('SQL Builder'!K340)=FALSE,'SQL Builder'!L340,"")</f>
        <v/>
      </c>
      <c r="D365" s="1" t="str">
        <f>IF(ISBLANK('SQL Builder'!K340)=FALSE,'SQL Builder'!O340,"")</f>
        <v/>
      </c>
      <c r="H365" s="43" t="str">
        <f>IF(ISBLANK('SQL Builder'!K339)=FALSE,H364+1,"")</f>
        <v/>
      </c>
      <c r="I365" s="1" t="str">
        <f>IF(ISBLANK('SQL Builder'!P340)=FALSE,'SQL Builder'!N340,"")</f>
        <v/>
      </c>
      <c r="J365" s="79">
        <f t="shared" si="5"/>
        <v>0</v>
      </c>
      <c r="K365" s="81"/>
    </row>
    <row r="366" spans="2:11" ht="16.5" x14ac:dyDescent="0.25">
      <c r="B366" s="49" t="e">
        <f>IF(ISBLANK('SQL Builder'!K341)=FALSE,(DATE(LEFT('SQL Builder'!K341,4),MID('SQL Builder'!K341,6,2),MID('SQL Builder'!K341,9,2))),NA())</f>
        <v>#N/A</v>
      </c>
      <c r="C366" s="50" t="str">
        <f>IF(ISBLANK('SQL Builder'!K341)=FALSE,'SQL Builder'!L341,"")</f>
        <v/>
      </c>
      <c r="D366" s="1" t="str">
        <f>IF(ISBLANK('SQL Builder'!K341)=FALSE,'SQL Builder'!O341,"")</f>
        <v/>
      </c>
      <c r="H366" s="43" t="str">
        <f>IF(ISBLANK('SQL Builder'!K340)=FALSE,H365+1,"")</f>
        <v/>
      </c>
      <c r="I366" s="1" t="str">
        <f>IF(ISBLANK('SQL Builder'!P341)=FALSE,'SQL Builder'!N341,"")</f>
        <v/>
      </c>
      <c r="J366" s="79">
        <f t="shared" si="5"/>
        <v>0</v>
      </c>
      <c r="K366" s="81"/>
    </row>
    <row r="367" spans="2:11" ht="16.5" x14ac:dyDescent="0.25">
      <c r="B367" s="49" t="e">
        <f>IF(ISBLANK('SQL Builder'!K342)=FALSE,(DATE(LEFT('SQL Builder'!K342,4),MID('SQL Builder'!K342,6,2),MID('SQL Builder'!K342,9,2))),NA())</f>
        <v>#N/A</v>
      </c>
      <c r="C367" s="50" t="str">
        <f>IF(ISBLANK('SQL Builder'!K342)=FALSE,'SQL Builder'!L342,"")</f>
        <v/>
      </c>
      <c r="D367" s="1" t="str">
        <f>IF(ISBLANK('SQL Builder'!K342)=FALSE,'SQL Builder'!O342,"")</f>
        <v/>
      </c>
      <c r="H367" s="43" t="str">
        <f>IF(ISBLANK('SQL Builder'!K341)=FALSE,H366+1,"")</f>
        <v/>
      </c>
      <c r="I367" s="1" t="str">
        <f>IF(ISBLANK('SQL Builder'!P342)=FALSE,'SQL Builder'!N342,"")</f>
        <v/>
      </c>
      <c r="J367" s="79">
        <f t="shared" si="5"/>
        <v>0</v>
      </c>
      <c r="K367" s="81"/>
    </row>
    <row r="368" spans="2:11" ht="16.5" x14ac:dyDescent="0.25">
      <c r="B368" s="49" t="e">
        <f>IF(ISBLANK('SQL Builder'!K343)=FALSE,(DATE(LEFT('SQL Builder'!K343,4),MID('SQL Builder'!K343,6,2),MID('SQL Builder'!K343,9,2))),NA())</f>
        <v>#N/A</v>
      </c>
      <c r="C368" s="50" t="str">
        <f>IF(ISBLANK('SQL Builder'!K343)=FALSE,'SQL Builder'!L343,"")</f>
        <v/>
      </c>
      <c r="D368" s="1" t="str">
        <f>IF(ISBLANK('SQL Builder'!K343)=FALSE,'SQL Builder'!O343,"")</f>
        <v/>
      </c>
      <c r="H368" s="43" t="str">
        <f>IF(ISBLANK('SQL Builder'!K342)=FALSE,H367+1,"")</f>
        <v/>
      </c>
      <c r="I368" s="1" t="str">
        <f>IF(ISBLANK('SQL Builder'!P343)=FALSE,'SQL Builder'!N343,"")</f>
        <v/>
      </c>
      <c r="J368" s="79">
        <f t="shared" si="5"/>
        <v>0</v>
      </c>
      <c r="K368" s="81"/>
    </row>
    <row r="369" spans="2:11" ht="16.5" x14ac:dyDescent="0.25">
      <c r="B369" s="49" t="e">
        <f>IF(ISBLANK('SQL Builder'!K344)=FALSE,(DATE(LEFT('SQL Builder'!K344,4),MID('SQL Builder'!K344,6,2),MID('SQL Builder'!K344,9,2))),NA())</f>
        <v>#N/A</v>
      </c>
      <c r="C369" s="50" t="str">
        <f>IF(ISBLANK('SQL Builder'!K344)=FALSE,'SQL Builder'!L344,"")</f>
        <v/>
      </c>
      <c r="D369" s="1" t="str">
        <f>IF(ISBLANK('SQL Builder'!K344)=FALSE,'SQL Builder'!O344,"")</f>
        <v/>
      </c>
      <c r="H369" s="43" t="str">
        <f>IF(ISBLANK('SQL Builder'!K343)=FALSE,H368+1,"")</f>
        <v/>
      </c>
      <c r="I369" s="1" t="str">
        <f>IF(ISBLANK('SQL Builder'!P344)=FALSE,'SQL Builder'!N344,"")</f>
        <v/>
      </c>
      <c r="J369" s="79">
        <f t="shared" si="5"/>
        <v>0</v>
      </c>
      <c r="K369" s="81"/>
    </row>
    <row r="370" spans="2:11" ht="16.5" x14ac:dyDescent="0.25">
      <c r="B370" s="49" t="e">
        <f>IF(ISBLANK('SQL Builder'!K345)=FALSE,(DATE(LEFT('SQL Builder'!K345,4),MID('SQL Builder'!K345,6,2),MID('SQL Builder'!K345,9,2))),NA())</f>
        <v>#N/A</v>
      </c>
      <c r="C370" s="50" t="str">
        <f>IF(ISBLANK('SQL Builder'!K345)=FALSE,'SQL Builder'!L345,"")</f>
        <v/>
      </c>
      <c r="D370" s="1" t="str">
        <f>IF(ISBLANK('SQL Builder'!K345)=FALSE,'SQL Builder'!O345,"")</f>
        <v/>
      </c>
      <c r="H370" s="43" t="str">
        <f>IF(ISBLANK('SQL Builder'!K344)=FALSE,H369+1,"")</f>
        <v/>
      </c>
      <c r="I370" s="1" t="str">
        <f>IF(ISBLANK('SQL Builder'!P345)=FALSE,'SQL Builder'!N345,"")</f>
        <v/>
      </c>
      <c r="J370" s="79">
        <f t="shared" si="5"/>
        <v>0</v>
      </c>
      <c r="K370" s="81"/>
    </row>
    <row r="371" spans="2:11" ht="16.5" x14ac:dyDescent="0.25">
      <c r="B371" s="49" t="e">
        <f>IF(ISBLANK('SQL Builder'!K346)=FALSE,(DATE(LEFT('SQL Builder'!K346,4),MID('SQL Builder'!K346,6,2),MID('SQL Builder'!K346,9,2))),NA())</f>
        <v>#N/A</v>
      </c>
      <c r="C371" s="50" t="str">
        <f>IF(ISBLANK('SQL Builder'!K346)=FALSE,'SQL Builder'!L346,"")</f>
        <v/>
      </c>
      <c r="D371" s="1" t="str">
        <f>IF(ISBLANK('SQL Builder'!K346)=FALSE,'SQL Builder'!O346,"")</f>
        <v/>
      </c>
      <c r="H371" s="43" t="str">
        <f>IF(ISBLANK('SQL Builder'!K345)=FALSE,H370+1,"")</f>
        <v/>
      </c>
      <c r="I371" s="1" t="str">
        <f>IF(ISBLANK('SQL Builder'!P346)=FALSE,'SQL Builder'!N346,"")</f>
        <v/>
      </c>
      <c r="J371" s="79">
        <f t="shared" si="5"/>
        <v>0</v>
      </c>
      <c r="K371" s="81"/>
    </row>
    <row r="372" spans="2:11" ht="16.5" x14ac:dyDescent="0.25">
      <c r="B372" s="49" t="e">
        <f>IF(ISBLANK('SQL Builder'!K347)=FALSE,(DATE(LEFT('SQL Builder'!K347,4),MID('SQL Builder'!K347,6,2),MID('SQL Builder'!K347,9,2))),NA())</f>
        <v>#N/A</v>
      </c>
      <c r="C372" s="50" t="str">
        <f>IF(ISBLANK('SQL Builder'!K347)=FALSE,'SQL Builder'!L347,"")</f>
        <v/>
      </c>
      <c r="D372" s="1" t="str">
        <f>IF(ISBLANK('SQL Builder'!K347)=FALSE,'SQL Builder'!O347,"")</f>
        <v/>
      </c>
      <c r="H372" s="43" t="str">
        <f>IF(ISBLANK('SQL Builder'!K346)=FALSE,H371+1,"")</f>
        <v/>
      </c>
      <c r="I372" s="1" t="str">
        <f>IF(ISBLANK('SQL Builder'!P347)=FALSE,'SQL Builder'!N347,"")</f>
        <v/>
      </c>
      <c r="J372" s="79">
        <f t="shared" si="5"/>
        <v>0</v>
      </c>
      <c r="K372" s="81"/>
    </row>
    <row r="373" spans="2:11" ht="16.5" x14ac:dyDescent="0.25">
      <c r="B373" s="49" t="e">
        <f>IF(ISBLANK('SQL Builder'!K348)=FALSE,(DATE(LEFT('SQL Builder'!K348,4),MID('SQL Builder'!K348,6,2),MID('SQL Builder'!K348,9,2))),NA())</f>
        <v>#N/A</v>
      </c>
      <c r="C373" s="50" t="str">
        <f>IF(ISBLANK('SQL Builder'!K348)=FALSE,'SQL Builder'!L348,"")</f>
        <v/>
      </c>
      <c r="D373" s="1" t="str">
        <f>IF(ISBLANK('SQL Builder'!K348)=FALSE,'SQL Builder'!O348,"")</f>
        <v/>
      </c>
      <c r="H373" s="43" t="str">
        <f>IF(ISBLANK('SQL Builder'!K347)=FALSE,H372+1,"")</f>
        <v/>
      </c>
      <c r="I373" s="1" t="str">
        <f>IF(ISBLANK('SQL Builder'!P348)=FALSE,'SQL Builder'!N348,"")</f>
        <v/>
      </c>
      <c r="J373" s="79">
        <f t="shared" si="5"/>
        <v>0</v>
      </c>
      <c r="K373" s="81"/>
    </row>
    <row r="374" spans="2:11" ht="16.5" x14ac:dyDescent="0.25">
      <c r="B374" s="49" t="e">
        <f>IF(ISBLANK('SQL Builder'!K349)=FALSE,(DATE(LEFT('SQL Builder'!K349,4),MID('SQL Builder'!K349,6,2),MID('SQL Builder'!K349,9,2))),NA())</f>
        <v>#N/A</v>
      </c>
      <c r="C374" s="50" t="str">
        <f>IF(ISBLANK('SQL Builder'!K349)=FALSE,'SQL Builder'!L349,"")</f>
        <v/>
      </c>
      <c r="D374" s="1" t="str">
        <f>IF(ISBLANK('SQL Builder'!K349)=FALSE,'SQL Builder'!O349,"")</f>
        <v/>
      </c>
      <c r="H374" s="43" t="str">
        <f>IF(ISBLANK('SQL Builder'!K348)=FALSE,H373+1,"")</f>
        <v/>
      </c>
      <c r="I374" s="1" t="str">
        <f>IF(ISBLANK('SQL Builder'!P349)=FALSE,'SQL Builder'!N349,"")</f>
        <v/>
      </c>
      <c r="J374" s="79">
        <f t="shared" si="5"/>
        <v>0</v>
      </c>
      <c r="K374" s="81"/>
    </row>
    <row r="375" spans="2:11" ht="16.5" x14ac:dyDescent="0.25">
      <c r="B375" s="49" t="e">
        <f>IF(ISBLANK('SQL Builder'!K350)=FALSE,(DATE(LEFT('SQL Builder'!K350,4),MID('SQL Builder'!K350,6,2),MID('SQL Builder'!K350,9,2))),NA())</f>
        <v>#N/A</v>
      </c>
      <c r="C375" s="50" t="str">
        <f>IF(ISBLANK('SQL Builder'!K350)=FALSE,'SQL Builder'!L350,"")</f>
        <v/>
      </c>
      <c r="D375" s="1" t="str">
        <f>IF(ISBLANK('SQL Builder'!K350)=FALSE,'SQL Builder'!O350,"")</f>
        <v/>
      </c>
      <c r="H375" s="43" t="str">
        <f>IF(ISBLANK('SQL Builder'!K349)=FALSE,H374+1,"")</f>
        <v/>
      </c>
      <c r="I375" s="1" t="str">
        <f>IF(ISBLANK('SQL Builder'!P350)=FALSE,'SQL Builder'!N350,"")</f>
        <v/>
      </c>
      <c r="J375" s="79">
        <f t="shared" si="5"/>
        <v>0</v>
      </c>
      <c r="K375" s="81"/>
    </row>
    <row r="376" spans="2:11" ht="16.5" x14ac:dyDescent="0.25">
      <c r="B376" s="49" t="e">
        <f>IF(ISBLANK('SQL Builder'!K351)=FALSE,(DATE(LEFT('SQL Builder'!K351,4),MID('SQL Builder'!K351,6,2),MID('SQL Builder'!K351,9,2))),NA())</f>
        <v>#N/A</v>
      </c>
      <c r="C376" s="50" t="str">
        <f>IF(ISBLANK('SQL Builder'!K351)=FALSE,'SQL Builder'!L351,"")</f>
        <v/>
      </c>
      <c r="D376" s="1" t="str">
        <f>IF(ISBLANK('SQL Builder'!K351)=FALSE,'SQL Builder'!O351,"")</f>
        <v/>
      </c>
      <c r="H376" s="43" t="str">
        <f>IF(ISBLANK('SQL Builder'!K350)=FALSE,H375+1,"")</f>
        <v/>
      </c>
      <c r="I376" s="1" t="str">
        <f>IF(ISBLANK('SQL Builder'!P351)=FALSE,'SQL Builder'!N351,"")</f>
        <v/>
      </c>
      <c r="J376" s="79">
        <f t="shared" si="5"/>
        <v>0</v>
      </c>
      <c r="K376" s="81"/>
    </row>
    <row r="377" spans="2:11" ht="16.5" x14ac:dyDescent="0.25">
      <c r="B377" s="49" t="e">
        <f>IF(ISBLANK('SQL Builder'!K352)=FALSE,(DATE(LEFT('SQL Builder'!K352,4),MID('SQL Builder'!K352,6,2),MID('SQL Builder'!K352,9,2))),NA())</f>
        <v>#N/A</v>
      </c>
      <c r="C377" s="50" t="str">
        <f>IF(ISBLANK('SQL Builder'!K352)=FALSE,'SQL Builder'!L352,"")</f>
        <v/>
      </c>
      <c r="D377" s="1" t="str">
        <f>IF(ISBLANK('SQL Builder'!K352)=FALSE,'SQL Builder'!O352,"")</f>
        <v/>
      </c>
      <c r="H377" s="43" t="str">
        <f>IF(ISBLANK('SQL Builder'!K351)=FALSE,H376+1,"")</f>
        <v/>
      </c>
      <c r="I377" s="1" t="str">
        <f>IF(ISBLANK('SQL Builder'!P352)=FALSE,'SQL Builder'!N352,"")</f>
        <v/>
      </c>
      <c r="J377" s="79">
        <f t="shared" si="5"/>
        <v>0</v>
      </c>
      <c r="K377" s="81"/>
    </row>
    <row r="378" spans="2:11" ht="16.5" x14ac:dyDescent="0.25">
      <c r="B378" s="49" t="e">
        <f>IF(ISBLANK('SQL Builder'!K353)=FALSE,(DATE(LEFT('SQL Builder'!K353,4),MID('SQL Builder'!K353,6,2),MID('SQL Builder'!K353,9,2))),NA())</f>
        <v>#N/A</v>
      </c>
      <c r="C378" s="50" t="str">
        <f>IF(ISBLANK('SQL Builder'!K353)=FALSE,'SQL Builder'!L353,"")</f>
        <v/>
      </c>
      <c r="D378" s="1" t="str">
        <f>IF(ISBLANK('SQL Builder'!K353)=FALSE,'SQL Builder'!O353,"")</f>
        <v/>
      </c>
      <c r="H378" s="43" t="str">
        <f>IF(ISBLANK('SQL Builder'!K352)=FALSE,H377+1,"")</f>
        <v/>
      </c>
      <c r="I378" s="1" t="str">
        <f>IF(ISBLANK('SQL Builder'!P353)=FALSE,'SQL Builder'!N353,"")</f>
        <v/>
      </c>
      <c r="J378" s="79">
        <f t="shared" si="5"/>
        <v>0</v>
      </c>
      <c r="K378" s="81"/>
    </row>
    <row r="379" spans="2:11" ht="16.5" x14ac:dyDescent="0.25">
      <c r="B379" s="49" t="e">
        <f>IF(ISBLANK('SQL Builder'!K354)=FALSE,(DATE(LEFT('SQL Builder'!K354,4),MID('SQL Builder'!K354,6,2),MID('SQL Builder'!K354,9,2))),NA())</f>
        <v>#N/A</v>
      </c>
      <c r="C379" s="50" t="str">
        <f>IF(ISBLANK('SQL Builder'!K354)=FALSE,'SQL Builder'!L354,"")</f>
        <v/>
      </c>
      <c r="D379" s="1" t="str">
        <f>IF(ISBLANK('SQL Builder'!K354)=FALSE,'SQL Builder'!O354,"")</f>
        <v/>
      </c>
      <c r="H379" s="43" t="str">
        <f>IF(ISBLANK('SQL Builder'!K353)=FALSE,H378+1,"")</f>
        <v/>
      </c>
      <c r="I379" s="1" t="str">
        <f>IF(ISBLANK('SQL Builder'!P354)=FALSE,'SQL Builder'!N354,"")</f>
        <v/>
      </c>
      <c r="J379" s="79">
        <f t="shared" si="5"/>
        <v>0</v>
      </c>
      <c r="K379" s="81"/>
    </row>
    <row r="380" spans="2:11" ht="16.5" x14ac:dyDescent="0.25">
      <c r="B380" s="49" t="e">
        <f>IF(ISBLANK('SQL Builder'!K355)=FALSE,(DATE(LEFT('SQL Builder'!K355,4),MID('SQL Builder'!K355,6,2),MID('SQL Builder'!K355,9,2))),NA())</f>
        <v>#N/A</v>
      </c>
      <c r="C380" s="50" t="str">
        <f>IF(ISBLANK('SQL Builder'!K355)=FALSE,'SQL Builder'!L355,"")</f>
        <v/>
      </c>
      <c r="D380" s="1" t="str">
        <f>IF(ISBLANK('SQL Builder'!K355)=FALSE,'SQL Builder'!O355,"")</f>
        <v/>
      </c>
      <c r="H380" s="43" t="str">
        <f>IF(ISBLANK('SQL Builder'!K354)=FALSE,H379+1,"")</f>
        <v/>
      </c>
      <c r="I380" s="1" t="str">
        <f>IF(ISBLANK('SQL Builder'!P355)=FALSE,'SQL Builder'!N355,"")</f>
        <v/>
      </c>
      <c r="J380" s="79">
        <f t="shared" si="5"/>
        <v>0</v>
      </c>
      <c r="K380" s="81"/>
    </row>
    <row r="381" spans="2:11" ht="16.5" x14ac:dyDescent="0.25">
      <c r="B381" s="49" t="e">
        <f>IF(ISBLANK('SQL Builder'!K356)=FALSE,(DATE(LEFT('SQL Builder'!K356,4),MID('SQL Builder'!K356,6,2),MID('SQL Builder'!K356,9,2))),NA())</f>
        <v>#N/A</v>
      </c>
      <c r="C381" s="50" t="str">
        <f>IF(ISBLANK('SQL Builder'!K356)=FALSE,'SQL Builder'!L356,"")</f>
        <v/>
      </c>
      <c r="D381" s="1" t="str">
        <f>IF(ISBLANK('SQL Builder'!K356)=FALSE,'SQL Builder'!O356,"")</f>
        <v/>
      </c>
      <c r="H381" s="43" t="str">
        <f>IF(ISBLANK('SQL Builder'!K355)=FALSE,H380+1,"")</f>
        <v/>
      </c>
      <c r="I381" s="1" t="str">
        <f>IF(ISBLANK('SQL Builder'!P356)=FALSE,'SQL Builder'!N356,"")</f>
        <v/>
      </c>
      <c r="J381" s="79">
        <f t="shared" si="5"/>
        <v>0</v>
      </c>
      <c r="K381" s="81"/>
    </row>
    <row r="382" spans="2:11" ht="16.5" x14ac:dyDescent="0.25">
      <c r="B382" s="49" t="e">
        <f>IF(ISBLANK('SQL Builder'!K357)=FALSE,(DATE(LEFT('SQL Builder'!K357,4),MID('SQL Builder'!K357,6,2),MID('SQL Builder'!K357,9,2))),NA())</f>
        <v>#N/A</v>
      </c>
      <c r="C382" s="50" t="str">
        <f>IF(ISBLANK('SQL Builder'!K357)=FALSE,'SQL Builder'!L357,"")</f>
        <v/>
      </c>
      <c r="D382" s="1" t="str">
        <f>IF(ISBLANK('SQL Builder'!K357)=FALSE,'SQL Builder'!O357,"")</f>
        <v/>
      </c>
      <c r="H382" s="43" t="str">
        <f>IF(ISBLANK('SQL Builder'!K356)=FALSE,H381+1,"")</f>
        <v/>
      </c>
      <c r="I382" s="1" t="str">
        <f>IF(ISBLANK('SQL Builder'!P357)=FALSE,'SQL Builder'!N357,"")</f>
        <v/>
      </c>
      <c r="J382" s="79">
        <f t="shared" si="5"/>
        <v>0</v>
      </c>
      <c r="K382" s="81"/>
    </row>
    <row r="383" spans="2:11" ht="16.5" x14ac:dyDescent="0.25">
      <c r="B383" s="49" t="e">
        <f>IF(ISBLANK('SQL Builder'!K358)=FALSE,(DATE(LEFT('SQL Builder'!K358,4),MID('SQL Builder'!K358,6,2),MID('SQL Builder'!K358,9,2))),NA())</f>
        <v>#N/A</v>
      </c>
      <c r="C383" s="50" t="str">
        <f>IF(ISBLANK('SQL Builder'!K358)=FALSE,'SQL Builder'!L358,"")</f>
        <v/>
      </c>
      <c r="D383" s="1" t="str">
        <f>IF(ISBLANK('SQL Builder'!K358)=FALSE,'SQL Builder'!O358,"")</f>
        <v/>
      </c>
      <c r="H383" s="43" t="str">
        <f>IF(ISBLANK('SQL Builder'!K357)=FALSE,H382+1,"")</f>
        <v/>
      </c>
      <c r="I383" s="1" t="str">
        <f>IF(ISBLANK('SQL Builder'!P358)=FALSE,'SQL Builder'!N358,"")</f>
        <v/>
      </c>
      <c r="J383" s="79">
        <f t="shared" si="5"/>
        <v>0</v>
      </c>
      <c r="K383" s="81"/>
    </row>
    <row r="384" spans="2:11" ht="16.5" x14ac:dyDescent="0.25">
      <c r="B384" s="49" t="e">
        <f>IF(ISBLANK('SQL Builder'!K359)=FALSE,(DATE(LEFT('SQL Builder'!K359,4),MID('SQL Builder'!K359,6,2),MID('SQL Builder'!K359,9,2))),NA())</f>
        <v>#N/A</v>
      </c>
      <c r="C384" s="50" t="str">
        <f>IF(ISBLANK('SQL Builder'!K359)=FALSE,'SQL Builder'!L359,"")</f>
        <v/>
      </c>
      <c r="D384" s="1" t="str">
        <f>IF(ISBLANK('SQL Builder'!K359)=FALSE,'SQL Builder'!O359,"")</f>
        <v/>
      </c>
      <c r="H384" s="43" t="str">
        <f>IF(ISBLANK('SQL Builder'!K358)=FALSE,H383+1,"")</f>
        <v/>
      </c>
      <c r="I384" s="1" t="str">
        <f>IF(ISBLANK('SQL Builder'!P359)=FALSE,'SQL Builder'!N359,"")</f>
        <v/>
      </c>
      <c r="J384" s="79">
        <f t="shared" si="5"/>
        <v>0</v>
      </c>
      <c r="K384" s="81"/>
    </row>
    <row r="385" spans="2:11" ht="16.5" x14ac:dyDescent="0.25">
      <c r="B385" s="49" t="e">
        <f>IF(ISBLANK('SQL Builder'!K360)=FALSE,(DATE(LEFT('SQL Builder'!K360,4),MID('SQL Builder'!K360,6,2),MID('SQL Builder'!K360,9,2))),NA())</f>
        <v>#N/A</v>
      </c>
      <c r="C385" s="50" t="str">
        <f>IF(ISBLANK('SQL Builder'!K360)=FALSE,'SQL Builder'!L360,"")</f>
        <v/>
      </c>
      <c r="D385" s="1" t="str">
        <f>IF(ISBLANK('SQL Builder'!K360)=FALSE,'SQL Builder'!O360,"")</f>
        <v/>
      </c>
      <c r="H385" s="43" t="str">
        <f>IF(ISBLANK('SQL Builder'!K359)=FALSE,H384+1,"")</f>
        <v/>
      </c>
      <c r="I385" s="1" t="str">
        <f>IF(ISBLANK('SQL Builder'!P360)=FALSE,'SQL Builder'!N360,"")</f>
        <v/>
      </c>
      <c r="J385" s="79">
        <f t="shared" si="5"/>
        <v>0</v>
      </c>
      <c r="K385" s="81"/>
    </row>
    <row r="386" spans="2:11" ht="16.5" x14ac:dyDescent="0.25">
      <c r="B386" s="49" t="e">
        <f>IF(ISBLANK('SQL Builder'!K361)=FALSE,(DATE(LEFT('SQL Builder'!K361,4),MID('SQL Builder'!K361,6,2),MID('SQL Builder'!K361,9,2))),NA())</f>
        <v>#N/A</v>
      </c>
      <c r="C386" s="50" t="str">
        <f>IF(ISBLANK('SQL Builder'!K361)=FALSE,'SQL Builder'!L361,"")</f>
        <v/>
      </c>
      <c r="D386" s="1" t="str">
        <f>IF(ISBLANK('SQL Builder'!K361)=FALSE,'SQL Builder'!O361,"")</f>
        <v/>
      </c>
      <c r="H386" s="43" t="str">
        <f>IF(ISBLANK('SQL Builder'!K360)=FALSE,H385+1,"")</f>
        <v/>
      </c>
      <c r="I386" s="1" t="str">
        <f>IF(ISBLANK('SQL Builder'!P361)=FALSE,'SQL Builder'!N361,"")</f>
        <v/>
      </c>
      <c r="J386" s="79">
        <f t="shared" si="5"/>
        <v>0</v>
      </c>
      <c r="K386" s="81"/>
    </row>
    <row r="387" spans="2:11" ht="16.5" x14ac:dyDescent="0.25">
      <c r="B387" s="49" t="e">
        <f>IF(ISBLANK('SQL Builder'!K362)=FALSE,(DATE(LEFT('SQL Builder'!K362,4),MID('SQL Builder'!K362,6,2),MID('SQL Builder'!K362,9,2))),NA())</f>
        <v>#N/A</v>
      </c>
      <c r="C387" s="50" t="str">
        <f>IF(ISBLANK('SQL Builder'!K362)=FALSE,'SQL Builder'!L362,"")</f>
        <v/>
      </c>
      <c r="D387" s="1" t="str">
        <f>IF(ISBLANK('SQL Builder'!K362)=FALSE,'SQL Builder'!O362,"")</f>
        <v/>
      </c>
      <c r="H387" s="43" t="str">
        <f>IF(ISBLANK('SQL Builder'!K361)=FALSE,H386+1,"")</f>
        <v/>
      </c>
      <c r="I387" s="1" t="str">
        <f>IF(ISBLANK('SQL Builder'!P362)=FALSE,'SQL Builder'!N362,"")</f>
        <v/>
      </c>
      <c r="J387" s="79">
        <f t="shared" si="5"/>
        <v>0</v>
      </c>
      <c r="K387" s="81"/>
    </row>
    <row r="388" spans="2:11" ht="16.5" x14ac:dyDescent="0.25">
      <c r="B388" s="49" t="e">
        <f>IF(ISBLANK('SQL Builder'!K363)=FALSE,(DATE(LEFT('SQL Builder'!K363,4),MID('SQL Builder'!K363,6,2),MID('SQL Builder'!K363,9,2))),NA())</f>
        <v>#N/A</v>
      </c>
      <c r="C388" s="50" t="str">
        <f>IF(ISBLANK('SQL Builder'!K363)=FALSE,'SQL Builder'!L363,"")</f>
        <v/>
      </c>
      <c r="D388" s="1" t="str">
        <f>IF(ISBLANK('SQL Builder'!K363)=FALSE,'SQL Builder'!O363,"")</f>
        <v/>
      </c>
      <c r="H388" s="43" t="str">
        <f>IF(ISBLANK('SQL Builder'!K362)=FALSE,H387+1,"")</f>
        <v/>
      </c>
      <c r="I388" s="1" t="str">
        <f>IF(ISBLANK('SQL Builder'!P363)=FALSE,'SQL Builder'!N363,"")</f>
        <v/>
      </c>
      <c r="J388" s="79">
        <f t="shared" si="5"/>
        <v>0</v>
      </c>
      <c r="K388" s="81"/>
    </row>
    <row r="389" spans="2:11" ht="16.5" x14ac:dyDescent="0.25">
      <c r="B389" s="49" t="e">
        <f>IF(ISBLANK('SQL Builder'!K364)=FALSE,(DATE(LEFT('SQL Builder'!K364,4),MID('SQL Builder'!K364,6,2),MID('SQL Builder'!K364,9,2))),NA())</f>
        <v>#N/A</v>
      </c>
      <c r="C389" s="50" t="str">
        <f>IF(ISBLANK('SQL Builder'!K364)=FALSE,'SQL Builder'!L364,"")</f>
        <v/>
      </c>
      <c r="D389" s="1" t="str">
        <f>IF(ISBLANK('SQL Builder'!K364)=FALSE,'SQL Builder'!O364,"")</f>
        <v/>
      </c>
      <c r="H389" s="43" t="str">
        <f>IF(ISBLANK('SQL Builder'!K363)=FALSE,H388+1,"")</f>
        <v/>
      </c>
      <c r="I389" s="1" t="str">
        <f>IF(ISBLANK('SQL Builder'!P364)=FALSE,'SQL Builder'!N364,"")</f>
        <v/>
      </c>
      <c r="J389" s="79">
        <f t="shared" si="5"/>
        <v>0</v>
      </c>
      <c r="K389" s="81"/>
    </row>
    <row r="390" spans="2:11" ht="16.5" x14ac:dyDescent="0.25">
      <c r="B390" s="49" t="e">
        <f>IF(ISBLANK('SQL Builder'!K365)=FALSE,(DATE(LEFT('SQL Builder'!K365,4),MID('SQL Builder'!K365,6,2),MID('SQL Builder'!K365,9,2))),NA())</f>
        <v>#N/A</v>
      </c>
      <c r="C390" s="50" t="str">
        <f>IF(ISBLANK('SQL Builder'!K365)=FALSE,'SQL Builder'!L365,"")</f>
        <v/>
      </c>
      <c r="D390" s="1" t="str">
        <f>IF(ISBLANK('SQL Builder'!K365)=FALSE,'SQL Builder'!O365,"")</f>
        <v/>
      </c>
      <c r="H390" s="43" t="str">
        <f>IF(ISBLANK('SQL Builder'!K364)=FALSE,H389+1,"")</f>
        <v/>
      </c>
      <c r="I390" s="1" t="str">
        <f>IF(ISBLANK('SQL Builder'!P365)=FALSE,'SQL Builder'!N365,"")</f>
        <v/>
      </c>
      <c r="J390" s="79">
        <f t="shared" si="5"/>
        <v>0</v>
      </c>
      <c r="K390" s="81"/>
    </row>
    <row r="391" spans="2:11" ht="16.5" x14ac:dyDescent="0.25">
      <c r="B391" s="49" t="e">
        <f>IF(ISBLANK('SQL Builder'!K366)=FALSE,(DATE(LEFT('SQL Builder'!K366,4),MID('SQL Builder'!K366,6,2),MID('SQL Builder'!K366,9,2))),NA())</f>
        <v>#N/A</v>
      </c>
      <c r="C391" s="50" t="str">
        <f>IF(ISBLANK('SQL Builder'!K366)=FALSE,'SQL Builder'!L366,"")</f>
        <v/>
      </c>
      <c r="D391" s="1" t="str">
        <f>IF(ISBLANK('SQL Builder'!K366)=FALSE,'SQL Builder'!O366,"")</f>
        <v/>
      </c>
      <c r="H391" s="43" t="str">
        <f>IF(ISBLANK('SQL Builder'!K365)=FALSE,H390+1,"")</f>
        <v/>
      </c>
      <c r="I391" s="1" t="str">
        <f>IF(ISBLANK('SQL Builder'!P366)=FALSE,'SQL Builder'!N366,"")</f>
        <v/>
      </c>
      <c r="J391" s="79">
        <f t="shared" si="5"/>
        <v>0</v>
      </c>
      <c r="K391" s="81"/>
    </row>
    <row r="392" spans="2:11" ht="16.5" x14ac:dyDescent="0.25">
      <c r="B392" s="49" t="e">
        <f>IF(ISBLANK('SQL Builder'!K367)=FALSE,(DATE(LEFT('SQL Builder'!K367,4),MID('SQL Builder'!K367,6,2),MID('SQL Builder'!K367,9,2))),NA())</f>
        <v>#N/A</v>
      </c>
      <c r="C392" s="50" t="str">
        <f>IF(ISBLANK('SQL Builder'!K367)=FALSE,'SQL Builder'!L367,"")</f>
        <v/>
      </c>
      <c r="D392" s="1" t="str">
        <f>IF(ISBLANK('SQL Builder'!K367)=FALSE,'SQL Builder'!O367,"")</f>
        <v/>
      </c>
      <c r="H392" s="43" t="str">
        <f>IF(ISBLANK('SQL Builder'!K366)=FALSE,H391+1,"")</f>
        <v/>
      </c>
      <c r="I392" s="1" t="str">
        <f>IF(ISBLANK('SQL Builder'!P367)=FALSE,'SQL Builder'!N367,"")</f>
        <v/>
      </c>
      <c r="J392" s="79">
        <f t="shared" si="5"/>
        <v>0</v>
      </c>
      <c r="K392" s="81"/>
    </row>
    <row r="393" spans="2:11" ht="16.5" x14ac:dyDescent="0.25">
      <c r="B393" s="49" t="e">
        <f>IF(ISBLANK('SQL Builder'!K368)=FALSE,(DATE(LEFT('SQL Builder'!K368,4),MID('SQL Builder'!K368,6,2),MID('SQL Builder'!K368,9,2))),NA())</f>
        <v>#N/A</v>
      </c>
      <c r="C393" s="50" t="str">
        <f>IF(ISBLANK('SQL Builder'!K368)=FALSE,'SQL Builder'!L368,"")</f>
        <v/>
      </c>
      <c r="D393" s="1" t="str">
        <f>IF(ISBLANK('SQL Builder'!K368)=FALSE,'SQL Builder'!O368,"")</f>
        <v/>
      </c>
      <c r="H393" s="43" t="str">
        <f>IF(ISBLANK('SQL Builder'!K367)=FALSE,H392+1,"")</f>
        <v/>
      </c>
      <c r="I393" s="1" t="str">
        <f>IF(ISBLANK('SQL Builder'!P368)=FALSE,'SQL Builder'!N368,"")</f>
        <v/>
      </c>
      <c r="J393" s="79">
        <f t="shared" si="5"/>
        <v>0</v>
      </c>
      <c r="K393" s="81"/>
    </row>
    <row r="394" spans="2:11" ht="16.5" x14ac:dyDescent="0.25">
      <c r="B394" s="49" t="e">
        <f>IF(ISBLANK('SQL Builder'!K369)=FALSE,(DATE(LEFT('SQL Builder'!K369,4),MID('SQL Builder'!K369,6,2),MID('SQL Builder'!K369,9,2))),NA())</f>
        <v>#N/A</v>
      </c>
      <c r="C394" s="50" t="str">
        <f>IF(ISBLANK('SQL Builder'!K369)=FALSE,'SQL Builder'!L369,"")</f>
        <v/>
      </c>
      <c r="D394" s="1" t="str">
        <f>IF(ISBLANK('SQL Builder'!K369)=FALSE,'SQL Builder'!O369,"")</f>
        <v/>
      </c>
      <c r="H394" s="43" t="str">
        <f>IF(ISBLANK('SQL Builder'!K368)=FALSE,H393+1,"")</f>
        <v/>
      </c>
      <c r="I394" s="1" t="str">
        <f>IF(ISBLANK('SQL Builder'!P369)=FALSE,'SQL Builder'!N369,"")</f>
        <v/>
      </c>
      <c r="J394" s="79">
        <f t="shared" si="5"/>
        <v>0</v>
      </c>
      <c r="K394" s="81"/>
    </row>
    <row r="395" spans="2:11" ht="16.5" x14ac:dyDescent="0.25">
      <c r="B395" s="49" t="e">
        <f>IF(ISBLANK('SQL Builder'!K370)=FALSE,(DATE(LEFT('SQL Builder'!K370,4),MID('SQL Builder'!K370,6,2),MID('SQL Builder'!K370,9,2))),NA())</f>
        <v>#N/A</v>
      </c>
      <c r="C395" s="50" t="str">
        <f>IF(ISBLANK('SQL Builder'!K370)=FALSE,'SQL Builder'!L370,"")</f>
        <v/>
      </c>
      <c r="D395" s="1" t="str">
        <f>IF(ISBLANK('SQL Builder'!K370)=FALSE,'SQL Builder'!O370,"")</f>
        <v/>
      </c>
      <c r="H395" s="43" t="str">
        <f>IF(ISBLANK('SQL Builder'!K369)=FALSE,H394+1,"")</f>
        <v/>
      </c>
      <c r="I395" s="1" t="str">
        <f>IF(ISBLANK('SQL Builder'!P370)=FALSE,'SQL Builder'!N370,"")</f>
        <v/>
      </c>
      <c r="J395" s="79">
        <f t="shared" si="5"/>
        <v>0</v>
      </c>
      <c r="K395" s="81"/>
    </row>
    <row r="396" spans="2:11" ht="16.5" x14ac:dyDescent="0.25">
      <c r="B396" s="49" t="e">
        <f>IF(ISBLANK('SQL Builder'!K371)=FALSE,(DATE(LEFT('SQL Builder'!K371,4),MID('SQL Builder'!K371,6,2),MID('SQL Builder'!K371,9,2))),NA())</f>
        <v>#N/A</v>
      </c>
      <c r="C396" s="50" t="str">
        <f>IF(ISBLANK('SQL Builder'!K371)=FALSE,'SQL Builder'!L371,"")</f>
        <v/>
      </c>
      <c r="D396" s="1" t="str">
        <f>IF(ISBLANK('SQL Builder'!K371)=FALSE,'SQL Builder'!O371,"")</f>
        <v/>
      </c>
      <c r="H396" s="43" t="str">
        <f>IF(ISBLANK('SQL Builder'!K370)=FALSE,H395+1,"")</f>
        <v/>
      </c>
      <c r="I396" s="1" t="str">
        <f>IF(ISBLANK('SQL Builder'!P371)=FALSE,'SQL Builder'!N371,"")</f>
        <v/>
      </c>
      <c r="J396" s="79">
        <f t="shared" si="5"/>
        <v>0</v>
      </c>
      <c r="K396" s="81"/>
    </row>
    <row r="397" spans="2:11" ht="16.5" x14ac:dyDescent="0.25">
      <c r="B397" s="49" t="e">
        <f>IF(ISBLANK('SQL Builder'!K372)=FALSE,(DATE(LEFT('SQL Builder'!K372,4),MID('SQL Builder'!K372,6,2),MID('SQL Builder'!K372,9,2))),NA())</f>
        <v>#N/A</v>
      </c>
      <c r="C397" s="50" t="str">
        <f>IF(ISBLANK('SQL Builder'!K372)=FALSE,'SQL Builder'!L372,"")</f>
        <v/>
      </c>
      <c r="D397" s="1" t="str">
        <f>IF(ISBLANK('SQL Builder'!K372)=FALSE,'SQL Builder'!O372,"")</f>
        <v/>
      </c>
      <c r="H397" s="43" t="str">
        <f>IF(ISBLANK('SQL Builder'!K371)=FALSE,H396+1,"")</f>
        <v/>
      </c>
      <c r="I397" s="1" t="str">
        <f>IF(ISBLANK('SQL Builder'!P372)=FALSE,'SQL Builder'!N372,"")</f>
        <v/>
      </c>
      <c r="J397" s="79">
        <f t="shared" si="5"/>
        <v>0</v>
      </c>
      <c r="K397" s="81"/>
    </row>
    <row r="398" spans="2:11" ht="16.5" x14ac:dyDescent="0.25">
      <c r="B398" s="49" t="e">
        <f>IF(ISBLANK('SQL Builder'!K373)=FALSE,(DATE(LEFT('SQL Builder'!K373,4),MID('SQL Builder'!K373,6,2),MID('SQL Builder'!K373,9,2))),NA())</f>
        <v>#N/A</v>
      </c>
      <c r="C398" s="50" t="str">
        <f>IF(ISBLANK('SQL Builder'!K373)=FALSE,'SQL Builder'!L373,"")</f>
        <v/>
      </c>
      <c r="D398" s="1" t="str">
        <f>IF(ISBLANK('SQL Builder'!K373)=FALSE,'SQL Builder'!O373,"")</f>
        <v/>
      </c>
      <c r="H398" s="43" t="str">
        <f>IF(ISBLANK('SQL Builder'!K372)=FALSE,H397+1,"")</f>
        <v/>
      </c>
      <c r="I398" s="1" t="str">
        <f>IF(ISBLANK('SQL Builder'!P373)=FALSE,'SQL Builder'!N373,"")</f>
        <v/>
      </c>
      <c r="J398" s="79">
        <f t="shared" si="5"/>
        <v>0</v>
      </c>
      <c r="K398" s="81"/>
    </row>
    <row r="399" spans="2:11" ht="16.5" x14ac:dyDescent="0.25">
      <c r="B399" s="49" t="e">
        <f>IF(ISBLANK('SQL Builder'!K374)=FALSE,(DATE(LEFT('SQL Builder'!K374,4),MID('SQL Builder'!K374,6,2),MID('SQL Builder'!K374,9,2))),NA())</f>
        <v>#N/A</v>
      </c>
      <c r="C399" s="50" t="str">
        <f>IF(ISBLANK('SQL Builder'!K374)=FALSE,'SQL Builder'!L374,"")</f>
        <v/>
      </c>
      <c r="D399" s="1" t="str">
        <f>IF(ISBLANK('SQL Builder'!K374)=FALSE,'SQL Builder'!O374,"")</f>
        <v/>
      </c>
      <c r="H399" s="43" t="str">
        <f>IF(ISBLANK('SQL Builder'!K373)=FALSE,H398+1,"")</f>
        <v/>
      </c>
      <c r="I399" s="1" t="str">
        <f>IF(ISBLANK('SQL Builder'!P374)=FALSE,'SQL Builder'!N374,"")</f>
        <v/>
      </c>
      <c r="J399" s="79">
        <f t="shared" si="5"/>
        <v>0</v>
      </c>
      <c r="K399" s="81"/>
    </row>
    <row r="400" spans="2:11" ht="16.5" x14ac:dyDescent="0.25">
      <c r="B400" s="49" t="e">
        <f>IF(ISBLANK('SQL Builder'!K375)=FALSE,(DATE(LEFT('SQL Builder'!K375,4),MID('SQL Builder'!K375,6,2),MID('SQL Builder'!K375,9,2))),NA())</f>
        <v>#N/A</v>
      </c>
      <c r="C400" s="50" t="str">
        <f>IF(ISBLANK('SQL Builder'!K375)=FALSE,'SQL Builder'!L375,"")</f>
        <v/>
      </c>
      <c r="D400" s="1" t="str">
        <f>IF(ISBLANK('SQL Builder'!K375)=FALSE,'SQL Builder'!O375,"")</f>
        <v/>
      </c>
      <c r="H400" s="43" t="str">
        <f>IF(ISBLANK('SQL Builder'!K374)=FALSE,H399+1,"")</f>
        <v/>
      </c>
      <c r="I400" s="1" t="str">
        <f>IF(ISBLANK('SQL Builder'!P375)=FALSE,'SQL Builder'!N375,"")</f>
        <v/>
      </c>
      <c r="J400" s="79">
        <f t="shared" si="5"/>
        <v>0</v>
      </c>
      <c r="K400" s="81"/>
    </row>
    <row r="401" spans="2:11" ht="16.5" x14ac:dyDescent="0.25">
      <c r="B401" s="49" t="e">
        <f>IF(ISBLANK('SQL Builder'!K376)=FALSE,(DATE(LEFT('SQL Builder'!K376,4),MID('SQL Builder'!K376,6,2),MID('SQL Builder'!K376,9,2))),NA())</f>
        <v>#N/A</v>
      </c>
      <c r="C401" s="50" t="str">
        <f>IF(ISBLANK('SQL Builder'!K376)=FALSE,'SQL Builder'!L376,"")</f>
        <v/>
      </c>
      <c r="D401" s="1" t="str">
        <f>IF(ISBLANK('SQL Builder'!K376)=FALSE,'SQL Builder'!O376,"")</f>
        <v/>
      </c>
      <c r="H401" s="43" t="str">
        <f>IF(ISBLANK('SQL Builder'!K375)=FALSE,H400+1,"")</f>
        <v/>
      </c>
      <c r="I401" s="1" t="str">
        <f>IF(ISBLANK('SQL Builder'!P376)=FALSE,'SQL Builder'!N376,"")</f>
        <v/>
      </c>
      <c r="J401" s="79">
        <f t="shared" si="5"/>
        <v>0</v>
      </c>
      <c r="K401" s="81"/>
    </row>
    <row r="402" spans="2:11" ht="16.5" x14ac:dyDescent="0.25">
      <c r="B402" s="49" t="e">
        <f>IF(ISBLANK('SQL Builder'!K377)=FALSE,(DATE(LEFT('SQL Builder'!K377,4),MID('SQL Builder'!K377,6,2),MID('SQL Builder'!K377,9,2))),NA())</f>
        <v>#N/A</v>
      </c>
      <c r="C402" s="50" t="str">
        <f>IF(ISBLANK('SQL Builder'!K377)=FALSE,'SQL Builder'!L377,"")</f>
        <v/>
      </c>
      <c r="D402" s="1" t="str">
        <f>IF(ISBLANK('SQL Builder'!K377)=FALSE,'SQL Builder'!O377,"")</f>
        <v/>
      </c>
      <c r="H402" s="43" t="str">
        <f>IF(ISBLANK('SQL Builder'!K376)=FALSE,H401+1,"")</f>
        <v/>
      </c>
      <c r="I402" s="1" t="str">
        <f>IF(ISBLANK('SQL Builder'!P377)=FALSE,'SQL Builder'!N377,"")</f>
        <v/>
      </c>
      <c r="J402" s="79">
        <f t="shared" si="5"/>
        <v>0</v>
      </c>
      <c r="K402" s="81"/>
    </row>
    <row r="403" spans="2:11" ht="16.5" x14ac:dyDescent="0.25">
      <c r="B403" s="49" t="e">
        <f>IF(ISBLANK('SQL Builder'!K378)=FALSE,(DATE(LEFT('SQL Builder'!K378,4),MID('SQL Builder'!K378,6,2),MID('SQL Builder'!K378,9,2))),NA())</f>
        <v>#N/A</v>
      </c>
      <c r="C403" s="50" t="str">
        <f>IF(ISBLANK('SQL Builder'!K378)=FALSE,'SQL Builder'!L378,"")</f>
        <v/>
      </c>
      <c r="D403" s="1" t="str">
        <f>IF(ISBLANK('SQL Builder'!K378)=FALSE,'SQL Builder'!O378,"")</f>
        <v/>
      </c>
      <c r="H403" s="43" t="str">
        <f>IF(ISBLANK('SQL Builder'!K377)=FALSE,H402+1,"")</f>
        <v/>
      </c>
      <c r="I403" s="1" t="str">
        <f>IF(ISBLANK('SQL Builder'!P378)=FALSE,'SQL Builder'!N378,"")</f>
        <v/>
      </c>
      <c r="J403" s="79">
        <f t="shared" si="5"/>
        <v>0</v>
      </c>
      <c r="K403" s="81"/>
    </row>
    <row r="404" spans="2:11" ht="16.5" x14ac:dyDescent="0.25">
      <c r="B404" s="49" t="e">
        <f>IF(ISBLANK('SQL Builder'!K379)=FALSE,(DATE(LEFT('SQL Builder'!K379,4),MID('SQL Builder'!K379,6,2),MID('SQL Builder'!K379,9,2))),NA())</f>
        <v>#N/A</v>
      </c>
      <c r="C404" s="50" t="str">
        <f>IF(ISBLANK('SQL Builder'!K379)=FALSE,'SQL Builder'!L379,"")</f>
        <v/>
      </c>
      <c r="D404" s="1" t="str">
        <f>IF(ISBLANK('SQL Builder'!K379)=FALSE,'SQL Builder'!O379,"")</f>
        <v/>
      </c>
      <c r="H404" s="43" t="str">
        <f>IF(ISBLANK('SQL Builder'!K378)=FALSE,H403+1,"")</f>
        <v/>
      </c>
      <c r="I404" s="1" t="str">
        <f>IF(ISBLANK('SQL Builder'!P379)=FALSE,'SQL Builder'!N379,"")</f>
        <v/>
      </c>
      <c r="J404" s="79">
        <f t="shared" si="5"/>
        <v>0</v>
      </c>
      <c r="K404" s="81"/>
    </row>
    <row r="405" spans="2:11" ht="16.5" x14ac:dyDescent="0.25">
      <c r="B405" s="49" t="e">
        <f>IF(ISBLANK('SQL Builder'!K380)=FALSE,(DATE(LEFT('SQL Builder'!K380,4),MID('SQL Builder'!K380,6,2),MID('SQL Builder'!K380,9,2))),NA())</f>
        <v>#N/A</v>
      </c>
      <c r="C405" s="50" t="str">
        <f>IF(ISBLANK('SQL Builder'!K380)=FALSE,'SQL Builder'!L380,"")</f>
        <v/>
      </c>
      <c r="D405" s="1" t="str">
        <f>IF(ISBLANK('SQL Builder'!K380)=FALSE,'SQL Builder'!O380,"")</f>
        <v/>
      </c>
      <c r="H405" s="43" t="str">
        <f>IF(ISBLANK('SQL Builder'!K379)=FALSE,H404+1,"")</f>
        <v/>
      </c>
      <c r="I405" s="1" t="str">
        <f>IF(ISBLANK('SQL Builder'!P380)=FALSE,'SQL Builder'!N380,"")</f>
        <v/>
      </c>
      <c r="J405" s="79">
        <f t="shared" si="5"/>
        <v>0</v>
      </c>
      <c r="K405" s="81"/>
    </row>
    <row r="406" spans="2:11" ht="16.5" x14ac:dyDescent="0.25">
      <c r="B406" s="49" t="e">
        <f>IF(ISBLANK('SQL Builder'!K381)=FALSE,(DATE(LEFT('SQL Builder'!K381,4),MID('SQL Builder'!K381,6,2),MID('SQL Builder'!K381,9,2))),NA())</f>
        <v>#N/A</v>
      </c>
      <c r="C406" s="50" t="str">
        <f>IF(ISBLANK('SQL Builder'!K381)=FALSE,'SQL Builder'!L381,"")</f>
        <v/>
      </c>
      <c r="D406" s="1" t="str">
        <f>IF(ISBLANK('SQL Builder'!K381)=FALSE,'SQL Builder'!O381,"")</f>
        <v/>
      </c>
      <c r="H406" s="43" t="str">
        <f>IF(ISBLANK('SQL Builder'!K380)=FALSE,H405+1,"")</f>
        <v/>
      </c>
      <c r="I406" s="1" t="str">
        <f>IF(ISBLANK('SQL Builder'!P381)=FALSE,'SQL Builder'!N381,"")</f>
        <v/>
      </c>
      <c r="J406" s="79">
        <f t="shared" si="5"/>
        <v>0</v>
      </c>
      <c r="K406" s="81"/>
    </row>
    <row r="407" spans="2:11" ht="16.5" x14ac:dyDescent="0.25">
      <c r="B407" s="49" t="e">
        <f>IF(ISBLANK('SQL Builder'!K382)=FALSE,(DATE(LEFT('SQL Builder'!K382,4),MID('SQL Builder'!K382,6,2),MID('SQL Builder'!K382,9,2))),NA())</f>
        <v>#N/A</v>
      </c>
      <c r="C407" s="50" t="str">
        <f>IF(ISBLANK('SQL Builder'!K382)=FALSE,'SQL Builder'!L382,"")</f>
        <v/>
      </c>
      <c r="D407" s="1" t="str">
        <f>IF(ISBLANK('SQL Builder'!K382)=FALSE,'SQL Builder'!O382,"")</f>
        <v/>
      </c>
      <c r="H407" s="43" t="str">
        <f>IF(ISBLANK('SQL Builder'!K381)=FALSE,H406+1,"")</f>
        <v/>
      </c>
      <c r="I407" s="1" t="str">
        <f>IF(ISBLANK('SQL Builder'!P382)=FALSE,'SQL Builder'!N382,"")</f>
        <v/>
      </c>
      <c r="J407" s="79">
        <f t="shared" si="5"/>
        <v>0</v>
      </c>
      <c r="K407" s="81"/>
    </row>
    <row r="408" spans="2:11" ht="16.5" x14ac:dyDescent="0.25">
      <c r="B408" s="49" t="e">
        <f>IF(ISBLANK('SQL Builder'!K383)=FALSE,(DATE(LEFT('SQL Builder'!K383,4),MID('SQL Builder'!K383,6,2),MID('SQL Builder'!K383,9,2))),NA())</f>
        <v>#N/A</v>
      </c>
      <c r="C408" s="50" t="str">
        <f>IF(ISBLANK('SQL Builder'!K383)=FALSE,'SQL Builder'!L383,"")</f>
        <v/>
      </c>
      <c r="D408" s="1" t="str">
        <f>IF(ISBLANK('SQL Builder'!K383)=FALSE,'SQL Builder'!O383,"")</f>
        <v/>
      </c>
      <c r="H408" s="43" t="str">
        <f>IF(ISBLANK('SQL Builder'!K382)=FALSE,H407+1,"")</f>
        <v/>
      </c>
      <c r="I408" s="1" t="str">
        <f>IF(ISBLANK('SQL Builder'!P383)=FALSE,'SQL Builder'!N383,"")</f>
        <v/>
      </c>
      <c r="J408" s="79">
        <f t="shared" si="5"/>
        <v>0</v>
      </c>
      <c r="K408" s="81"/>
    </row>
    <row r="409" spans="2:11" ht="16.5" x14ac:dyDescent="0.25">
      <c r="B409" s="49" t="e">
        <f>IF(ISBLANK('SQL Builder'!K384)=FALSE,(DATE(LEFT('SQL Builder'!K384,4),MID('SQL Builder'!K384,6,2),MID('SQL Builder'!K384,9,2))),NA())</f>
        <v>#N/A</v>
      </c>
      <c r="C409" s="50" t="str">
        <f>IF(ISBLANK('SQL Builder'!K384)=FALSE,'SQL Builder'!L384,"")</f>
        <v/>
      </c>
      <c r="D409" s="1" t="str">
        <f>IF(ISBLANK('SQL Builder'!K384)=FALSE,'SQL Builder'!O384,"")</f>
        <v/>
      </c>
      <c r="H409" s="43" t="str">
        <f>IF(ISBLANK('SQL Builder'!K383)=FALSE,H408+1,"")</f>
        <v/>
      </c>
      <c r="I409" s="1" t="str">
        <f>IF(ISBLANK('SQL Builder'!P384)=FALSE,'SQL Builder'!N384,"")</f>
        <v/>
      </c>
      <c r="J409" s="79">
        <f t="shared" si="5"/>
        <v>0</v>
      </c>
      <c r="K409" s="81"/>
    </row>
    <row r="410" spans="2:11" ht="16.5" x14ac:dyDescent="0.25">
      <c r="B410" s="49" t="e">
        <f>IF(ISBLANK('SQL Builder'!K385)=FALSE,(DATE(LEFT('SQL Builder'!K385,4),MID('SQL Builder'!K385,6,2),MID('SQL Builder'!K385,9,2))),NA())</f>
        <v>#N/A</v>
      </c>
      <c r="C410" s="50" t="str">
        <f>IF(ISBLANK('SQL Builder'!K385)=FALSE,'SQL Builder'!L385,"")</f>
        <v/>
      </c>
      <c r="D410" s="1" t="str">
        <f>IF(ISBLANK('SQL Builder'!K385)=FALSE,'SQL Builder'!O385,"")</f>
        <v/>
      </c>
      <c r="H410" s="43" t="str">
        <f>IF(ISBLANK('SQL Builder'!K384)=FALSE,H409+1,"")</f>
        <v/>
      </c>
      <c r="I410" s="1" t="str">
        <f>IF(ISBLANK('SQL Builder'!P385)=FALSE,'SQL Builder'!N385,"")</f>
        <v/>
      </c>
      <c r="J410" s="79">
        <f t="shared" si="5"/>
        <v>0</v>
      </c>
      <c r="K410" s="81"/>
    </row>
    <row r="411" spans="2:11" ht="16.5" x14ac:dyDescent="0.25">
      <c r="B411" s="49" t="e">
        <f>IF(ISBLANK('SQL Builder'!K386)=FALSE,(DATE(LEFT('SQL Builder'!K386,4),MID('SQL Builder'!K386,6,2),MID('SQL Builder'!K386,9,2))),NA())</f>
        <v>#N/A</v>
      </c>
      <c r="C411" s="50" t="str">
        <f>IF(ISBLANK('SQL Builder'!K386)=FALSE,'SQL Builder'!L386,"")</f>
        <v/>
      </c>
      <c r="D411" s="1" t="str">
        <f>IF(ISBLANK('SQL Builder'!K386)=FALSE,'SQL Builder'!O386,"")</f>
        <v/>
      </c>
      <c r="H411" s="43" t="str">
        <f>IF(ISBLANK('SQL Builder'!K385)=FALSE,H410+1,"")</f>
        <v/>
      </c>
      <c r="I411" s="1" t="str">
        <f>IF(ISBLANK('SQL Builder'!P386)=FALSE,'SQL Builder'!N386,"")</f>
        <v/>
      </c>
      <c r="J411" s="79">
        <f t="shared" si="5"/>
        <v>0</v>
      </c>
      <c r="K411" s="81"/>
    </row>
    <row r="412" spans="2:11" ht="16.5" x14ac:dyDescent="0.25">
      <c r="B412" s="49" t="e">
        <f>IF(ISBLANK('SQL Builder'!K387)=FALSE,(DATE(LEFT('SQL Builder'!K387,4),MID('SQL Builder'!K387,6,2),MID('SQL Builder'!K387,9,2))),NA())</f>
        <v>#N/A</v>
      </c>
      <c r="C412" s="50" t="str">
        <f>IF(ISBLANK('SQL Builder'!K387)=FALSE,'SQL Builder'!L387,"")</f>
        <v/>
      </c>
      <c r="D412" s="1" t="str">
        <f>IF(ISBLANK('SQL Builder'!K387)=FALSE,'SQL Builder'!O387,"")</f>
        <v/>
      </c>
      <c r="H412" s="43" t="str">
        <f>IF(ISBLANK('SQL Builder'!K386)=FALSE,H411+1,"")</f>
        <v/>
      </c>
      <c r="I412" s="1" t="str">
        <f>IF(ISBLANK('SQL Builder'!P387)=FALSE,'SQL Builder'!N387,"")</f>
        <v/>
      </c>
      <c r="J412" s="79">
        <f t="shared" si="5"/>
        <v>0</v>
      </c>
      <c r="K412" s="81"/>
    </row>
    <row r="413" spans="2:11" ht="16.5" x14ac:dyDescent="0.25">
      <c r="B413" s="49" t="e">
        <f>IF(ISBLANK('SQL Builder'!K388)=FALSE,(DATE(LEFT('SQL Builder'!K388,4),MID('SQL Builder'!K388,6,2),MID('SQL Builder'!K388,9,2))),NA())</f>
        <v>#N/A</v>
      </c>
      <c r="C413" s="50" t="str">
        <f>IF(ISBLANK('SQL Builder'!K388)=FALSE,'SQL Builder'!L388,"")</f>
        <v/>
      </c>
      <c r="D413" s="1" t="str">
        <f>IF(ISBLANK('SQL Builder'!K388)=FALSE,'SQL Builder'!O388,"")</f>
        <v/>
      </c>
      <c r="H413" s="43" t="str">
        <f>IF(ISBLANK('SQL Builder'!K387)=FALSE,H412+1,"")</f>
        <v/>
      </c>
      <c r="I413" s="1" t="str">
        <f>IF(ISBLANK('SQL Builder'!P388)=FALSE,'SQL Builder'!N388,"")</f>
        <v/>
      </c>
      <c r="J413" s="79">
        <f t="shared" si="5"/>
        <v>0</v>
      </c>
      <c r="K413" s="81"/>
    </row>
    <row r="414" spans="2:11" ht="16.5" x14ac:dyDescent="0.25">
      <c r="B414" s="49" t="e">
        <f>IF(ISBLANK('SQL Builder'!K389)=FALSE,(DATE(LEFT('SQL Builder'!K389,4),MID('SQL Builder'!K389,6,2),MID('SQL Builder'!K389,9,2))),NA())</f>
        <v>#N/A</v>
      </c>
      <c r="C414" s="50" t="str">
        <f>IF(ISBLANK('SQL Builder'!K389)=FALSE,'SQL Builder'!L389,"")</f>
        <v/>
      </c>
      <c r="D414" s="1" t="str">
        <f>IF(ISBLANK('SQL Builder'!K389)=FALSE,'SQL Builder'!O389,"")</f>
        <v/>
      </c>
      <c r="H414" s="43" t="str">
        <f>IF(ISBLANK('SQL Builder'!K388)=FALSE,H413+1,"")</f>
        <v/>
      </c>
      <c r="I414" s="1" t="str">
        <f>IF(ISBLANK('SQL Builder'!P389)=FALSE,'SQL Builder'!N389,"")</f>
        <v/>
      </c>
      <c r="J414" s="79">
        <f t="shared" si="5"/>
        <v>0</v>
      </c>
      <c r="K414" s="81"/>
    </row>
    <row r="415" spans="2:11" ht="16.5" x14ac:dyDescent="0.25">
      <c r="B415" s="49" t="e">
        <f>IF(ISBLANK('SQL Builder'!K390)=FALSE,(DATE(LEFT('SQL Builder'!K390,4),MID('SQL Builder'!K390,6,2),MID('SQL Builder'!K390,9,2))),NA())</f>
        <v>#N/A</v>
      </c>
      <c r="C415" s="50" t="str">
        <f>IF(ISBLANK('SQL Builder'!K390)=FALSE,'SQL Builder'!L390,"")</f>
        <v/>
      </c>
      <c r="D415" s="1" t="str">
        <f>IF(ISBLANK('SQL Builder'!K390)=FALSE,'SQL Builder'!O390,"")</f>
        <v/>
      </c>
      <c r="H415" s="43" t="str">
        <f>IF(ISBLANK('SQL Builder'!K389)=FALSE,H414+1,"")</f>
        <v/>
      </c>
      <c r="I415" s="1" t="str">
        <f>IF(ISBLANK('SQL Builder'!P390)=FALSE,'SQL Builder'!N390,"")</f>
        <v/>
      </c>
      <c r="J415" s="79">
        <f t="shared" ref="J415:J478" si="6">IF(I415="",0,IF(I415=C$5,2,1))</f>
        <v>0</v>
      </c>
      <c r="K415" s="81"/>
    </row>
    <row r="416" spans="2:11" ht="16.5" x14ac:dyDescent="0.25">
      <c r="B416" s="49" t="e">
        <f>IF(ISBLANK('SQL Builder'!K391)=FALSE,(DATE(LEFT('SQL Builder'!K391,4),MID('SQL Builder'!K391,6,2),MID('SQL Builder'!K391,9,2))),NA())</f>
        <v>#N/A</v>
      </c>
      <c r="C416" s="50" t="str">
        <f>IF(ISBLANK('SQL Builder'!K391)=FALSE,'SQL Builder'!L391,"")</f>
        <v/>
      </c>
      <c r="D416" s="1" t="str">
        <f>IF(ISBLANK('SQL Builder'!K391)=FALSE,'SQL Builder'!O391,"")</f>
        <v/>
      </c>
      <c r="H416" s="43" t="str">
        <f>IF(ISBLANK('SQL Builder'!K390)=FALSE,H415+1,"")</f>
        <v/>
      </c>
      <c r="I416" s="1" t="str">
        <f>IF(ISBLANK('SQL Builder'!P391)=FALSE,'SQL Builder'!N391,"")</f>
        <v/>
      </c>
      <c r="J416" s="79">
        <f t="shared" si="6"/>
        <v>0</v>
      </c>
      <c r="K416" s="81"/>
    </row>
    <row r="417" spans="2:11" ht="16.5" x14ac:dyDescent="0.25">
      <c r="B417" s="49" t="e">
        <f>IF(ISBLANK('SQL Builder'!K392)=FALSE,(DATE(LEFT('SQL Builder'!K392,4),MID('SQL Builder'!K392,6,2),MID('SQL Builder'!K392,9,2))),NA())</f>
        <v>#N/A</v>
      </c>
      <c r="C417" s="50" t="str">
        <f>IF(ISBLANK('SQL Builder'!K392)=FALSE,'SQL Builder'!L392,"")</f>
        <v/>
      </c>
      <c r="D417" s="1" t="str">
        <f>IF(ISBLANK('SQL Builder'!K392)=FALSE,'SQL Builder'!O392,"")</f>
        <v/>
      </c>
      <c r="H417" s="43" t="str">
        <f>IF(ISBLANK('SQL Builder'!K391)=FALSE,H416+1,"")</f>
        <v/>
      </c>
      <c r="I417" s="1" t="str">
        <f>IF(ISBLANK('SQL Builder'!P392)=FALSE,'SQL Builder'!N392,"")</f>
        <v/>
      </c>
      <c r="J417" s="79">
        <f t="shared" si="6"/>
        <v>0</v>
      </c>
      <c r="K417" s="81"/>
    </row>
    <row r="418" spans="2:11" ht="16.5" x14ac:dyDescent="0.25">
      <c r="B418" s="49" t="e">
        <f>IF(ISBLANK('SQL Builder'!K393)=FALSE,(DATE(LEFT('SQL Builder'!K393,4),MID('SQL Builder'!K393,6,2),MID('SQL Builder'!K393,9,2))),NA())</f>
        <v>#N/A</v>
      </c>
      <c r="C418" s="50" t="str">
        <f>IF(ISBLANK('SQL Builder'!K393)=FALSE,'SQL Builder'!L393,"")</f>
        <v/>
      </c>
      <c r="D418" s="1" t="str">
        <f>IF(ISBLANK('SQL Builder'!K393)=FALSE,'SQL Builder'!O393,"")</f>
        <v/>
      </c>
      <c r="H418" s="43" t="str">
        <f>IF(ISBLANK('SQL Builder'!K392)=FALSE,H417+1,"")</f>
        <v/>
      </c>
      <c r="I418" s="1" t="str">
        <f>IF(ISBLANK('SQL Builder'!P393)=FALSE,'SQL Builder'!N393,"")</f>
        <v/>
      </c>
      <c r="J418" s="79">
        <f t="shared" si="6"/>
        <v>0</v>
      </c>
    </row>
    <row r="419" spans="2:11" ht="16.5" x14ac:dyDescent="0.25">
      <c r="B419" s="49" t="e">
        <f>IF(ISBLANK('SQL Builder'!K394)=FALSE,(DATE(LEFT('SQL Builder'!K394,4),MID('SQL Builder'!K394,6,2),MID('SQL Builder'!K394,9,2))),NA())</f>
        <v>#N/A</v>
      </c>
      <c r="C419" s="50" t="str">
        <f>IF(ISBLANK('SQL Builder'!K394)=FALSE,'SQL Builder'!L394,"")</f>
        <v/>
      </c>
      <c r="D419" s="1" t="str">
        <f>IF(ISBLANK('SQL Builder'!K394)=FALSE,'SQL Builder'!O394,"")</f>
        <v/>
      </c>
      <c r="H419" s="43" t="str">
        <f>IF(ISBLANK('SQL Builder'!K393)=FALSE,H418+1,"")</f>
        <v/>
      </c>
      <c r="I419" s="1" t="str">
        <f>IF(ISBLANK('SQL Builder'!P394)=FALSE,'SQL Builder'!N394,"")</f>
        <v/>
      </c>
      <c r="J419" s="79">
        <f t="shared" si="6"/>
        <v>0</v>
      </c>
    </row>
    <row r="420" spans="2:11" ht="16.5" x14ac:dyDescent="0.25">
      <c r="B420" s="49" t="e">
        <f>IF(ISBLANK('SQL Builder'!K395)=FALSE,(DATE(LEFT('SQL Builder'!K395,4),MID('SQL Builder'!K395,6,2),MID('SQL Builder'!K395,9,2))),NA())</f>
        <v>#N/A</v>
      </c>
      <c r="C420" s="50" t="str">
        <f>IF(ISBLANK('SQL Builder'!K395)=FALSE,'SQL Builder'!L395,"")</f>
        <v/>
      </c>
      <c r="D420" s="1" t="str">
        <f>IF(ISBLANK('SQL Builder'!K395)=FALSE,'SQL Builder'!O395,"")</f>
        <v/>
      </c>
      <c r="H420" s="43" t="str">
        <f>IF(ISBLANK('SQL Builder'!K394)=FALSE,H419+1,"")</f>
        <v/>
      </c>
      <c r="I420" s="1" t="str">
        <f>IF(ISBLANK('SQL Builder'!P395)=FALSE,'SQL Builder'!N395,"")</f>
        <v/>
      </c>
      <c r="J420" s="79">
        <f t="shared" si="6"/>
        <v>0</v>
      </c>
    </row>
    <row r="421" spans="2:11" ht="16.5" x14ac:dyDescent="0.25">
      <c r="B421" s="49" t="e">
        <f>IF(ISBLANK('SQL Builder'!K396)=FALSE,(DATE(LEFT('SQL Builder'!K396,4),MID('SQL Builder'!K396,6,2),MID('SQL Builder'!K396,9,2))),NA())</f>
        <v>#N/A</v>
      </c>
      <c r="C421" s="50" t="str">
        <f>IF(ISBLANK('SQL Builder'!K396)=FALSE,'SQL Builder'!L396,"")</f>
        <v/>
      </c>
      <c r="D421" s="1" t="str">
        <f>IF(ISBLANK('SQL Builder'!K396)=FALSE,'SQL Builder'!O396,"")</f>
        <v/>
      </c>
      <c r="H421" s="43" t="str">
        <f>IF(ISBLANK('SQL Builder'!K395)=FALSE,H420+1,"")</f>
        <v/>
      </c>
      <c r="I421" s="1" t="str">
        <f>IF(ISBLANK('SQL Builder'!P396)=FALSE,'SQL Builder'!N396,"")</f>
        <v/>
      </c>
      <c r="J421" s="79">
        <f t="shared" si="6"/>
        <v>0</v>
      </c>
    </row>
    <row r="422" spans="2:11" ht="16.5" x14ac:dyDescent="0.25">
      <c r="B422" s="49" t="e">
        <f>IF(ISBLANK('SQL Builder'!K397)=FALSE,(DATE(LEFT('SQL Builder'!K397,4),MID('SQL Builder'!K397,6,2),MID('SQL Builder'!K397,9,2))),NA())</f>
        <v>#N/A</v>
      </c>
      <c r="C422" s="50" t="str">
        <f>IF(ISBLANK('SQL Builder'!K397)=FALSE,'SQL Builder'!L397,"")</f>
        <v/>
      </c>
      <c r="D422" s="1" t="str">
        <f>IF(ISBLANK('SQL Builder'!K397)=FALSE,'SQL Builder'!O397,"")</f>
        <v/>
      </c>
      <c r="H422" s="43" t="str">
        <f>IF(ISBLANK('SQL Builder'!K396)=FALSE,H421+1,"")</f>
        <v/>
      </c>
      <c r="I422" s="1" t="str">
        <f>IF(ISBLANK('SQL Builder'!P397)=FALSE,'SQL Builder'!N397,"")</f>
        <v/>
      </c>
      <c r="J422" s="79">
        <f t="shared" si="6"/>
        <v>0</v>
      </c>
    </row>
    <row r="423" spans="2:11" ht="16.5" x14ac:dyDescent="0.25">
      <c r="B423" s="49" t="e">
        <f>IF(ISBLANK('SQL Builder'!K398)=FALSE,(DATE(LEFT('SQL Builder'!K398,4),MID('SQL Builder'!K398,6,2),MID('SQL Builder'!K398,9,2))),NA())</f>
        <v>#N/A</v>
      </c>
      <c r="C423" s="50" t="str">
        <f>IF(ISBLANK('SQL Builder'!K398)=FALSE,'SQL Builder'!L398,"")</f>
        <v/>
      </c>
      <c r="D423" s="1" t="str">
        <f>IF(ISBLANK('SQL Builder'!K398)=FALSE,'SQL Builder'!O398,"")</f>
        <v/>
      </c>
      <c r="H423" s="43" t="str">
        <f>IF(ISBLANK('SQL Builder'!K397)=FALSE,H422+1,"")</f>
        <v/>
      </c>
      <c r="I423" s="1" t="str">
        <f>IF(ISBLANK('SQL Builder'!P398)=FALSE,'SQL Builder'!N398,"")</f>
        <v/>
      </c>
      <c r="J423" s="79">
        <f t="shared" si="6"/>
        <v>0</v>
      </c>
    </row>
    <row r="424" spans="2:11" ht="16.5" x14ac:dyDescent="0.25">
      <c r="B424" s="49" t="e">
        <f>IF(ISBLANK('SQL Builder'!K399)=FALSE,(DATE(LEFT('SQL Builder'!K399,4),MID('SQL Builder'!K399,6,2),MID('SQL Builder'!K399,9,2))),NA())</f>
        <v>#N/A</v>
      </c>
      <c r="C424" s="50" t="str">
        <f>IF(ISBLANK('SQL Builder'!K399)=FALSE,'SQL Builder'!L399,"")</f>
        <v/>
      </c>
      <c r="D424" s="1" t="str">
        <f>IF(ISBLANK('SQL Builder'!K399)=FALSE,'SQL Builder'!O399,"")</f>
        <v/>
      </c>
      <c r="H424" s="43" t="str">
        <f>IF(ISBLANK('SQL Builder'!K398)=FALSE,H423+1,"")</f>
        <v/>
      </c>
      <c r="I424" s="1" t="str">
        <f>IF(ISBLANK('SQL Builder'!P399)=FALSE,'SQL Builder'!N399,"")</f>
        <v/>
      </c>
      <c r="J424" s="79">
        <f t="shared" si="6"/>
        <v>0</v>
      </c>
    </row>
    <row r="425" spans="2:11" ht="16.5" x14ac:dyDescent="0.25">
      <c r="B425" s="49" t="e">
        <f>IF(ISBLANK('SQL Builder'!K400)=FALSE,(DATE(LEFT('SQL Builder'!K400,4),MID('SQL Builder'!K400,6,2),MID('SQL Builder'!K400,9,2))),NA())</f>
        <v>#N/A</v>
      </c>
      <c r="C425" s="50" t="str">
        <f>IF(ISBLANK('SQL Builder'!K400)=FALSE,'SQL Builder'!L400,"")</f>
        <v/>
      </c>
      <c r="D425" s="1" t="str">
        <f>IF(ISBLANK('SQL Builder'!K400)=FALSE,'SQL Builder'!O400,"")</f>
        <v/>
      </c>
      <c r="H425" s="43" t="str">
        <f>IF(ISBLANK('SQL Builder'!K399)=FALSE,H424+1,"")</f>
        <v/>
      </c>
      <c r="I425" s="1" t="str">
        <f>IF(ISBLANK('SQL Builder'!P400)=FALSE,'SQL Builder'!N400,"")</f>
        <v/>
      </c>
      <c r="J425" s="79">
        <f t="shared" si="6"/>
        <v>0</v>
      </c>
    </row>
    <row r="426" spans="2:11" ht="16.5" x14ac:dyDescent="0.25">
      <c r="B426" s="49" t="e">
        <f>IF(ISBLANK('SQL Builder'!K401)=FALSE,(DATE(LEFT('SQL Builder'!K401,4),MID('SQL Builder'!K401,6,2),MID('SQL Builder'!K401,9,2))),NA())</f>
        <v>#N/A</v>
      </c>
      <c r="C426" s="50" t="str">
        <f>IF(ISBLANK('SQL Builder'!K401)=FALSE,'SQL Builder'!L401,"")</f>
        <v/>
      </c>
      <c r="D426" s="1" t="str">
        <f>IF(ISBLANK('SQL Builder'!K401)=FALSE,'SQL Builder'!O401,"")</f>
        <v/>
      </c>
      <c r="H426" s="43" t="str">
        <f>IF(ISBLANK('SQL Builder'!K400)=FALSE,H425+1,"")</f>
        <v/>
      </c>
      <c r="I426" s="1" t="str">
        <f>IF(ISBLANK('SQL Builder'!P401)=FALSE,'SQL Builder'!N401,"")</f>
        <v/>
      </c>
      <c r="J426" s="79">
        <f t="shared" si="6"/>
        <v>0</v>
      </c>
    </row>
    <row r="427" spans="2:11" ht="16.5" x14ac:dyDescent="0.25">
      <c r="B427" s="49" t="e">
        <f>IF(ISBLANK('SQL Builder'!K402)=FALSE,(DATE(LEFT('SQL Builder'!K402,4),MID('SQL Builder'!K402,6,2),MID('SQL Builder'!K402,9,2))),NA())</f>
        <v>#N/A</v>
      </c>
      <c r="C427" s="50" t="str">
        <f>IF(ISBLANK('SQL Builder'!K402)=FALSE,'SQL Builder'!L402,"")</f>
        <v/>
      </c>
      <c r="D427" s="1" t="str">
        <f>IF(ISBLANK('SQL Builder'!K402)=FALSE,'SQL Builder'!O402,"")</f>
        <v/>
      </c>
      <c r="H427" s="43" t="str">
        <f>IF(ISBLANK('SQL Builder'!K401)=FALSE,H426+1,"")</f>
        <v/>
      </c>
      <c r="I427" s="1" t="str">
        <f>IF(ISBLANK('SQL Builder'!P402)=FALSE,'SQL Builder'!N402,"")</f>
        <v/>
      </c>
      <c r="J427" s="79">
        <f t="shared" si="6"/>
        <v>0</v>
      </c>
    </row>
    <row r="428" spans="2:11" ht="16.5" x14ac:dyDescent="0.25">
      <c r="B428" s="49" t="e">
        <f>IF(ISBLANK('SQL Builder'!K403)=FALSE,(DATE(LEFT('SQL Builder'!K403,4),MID('SQL Builder'!K403,6,2),MID('SQL Builder'!K403,9,2))),NA())</f>
        <v>#N/A</v>
      </c>
      <c r="C428" s="50" t="str">
        <f>IF(ISBLANK('SQL Builder'!K403)=FALSE,'SQL Builder'!L403,"")</f>
        <v/>
      </c>
      <c r="D428" s="1" t="str">
        <f>IF(ISBLANK('SQL Builder'!K403)=FALSE,'SQL Builder'!O403,"")</f>
        <v/>
      </c>
      <c r="H428" s="43" t="str">
        <f>IF(ISBLANK('SQL Builder'!K402)=FALSE,H427+1,"")</f>
        <v/>
      </c>
      <c r="I428" s="1" t="str">
        <f>IF(ISBLANK('SQL Builder'!P403)=FALSE,'SQL Builder'!N403,"")</f>
        <v/>
      </c>
      <c r="J428" s="79">
        <f t="shared" si="6"/>
        <v>0</v>
      </c>
    </row>
    <row r="429" spans="2:11" ht="16.5" x14ac:dyDescent="0.25">
      <c r="B429" s="49" t="e">
        <f>IF(ISBLANK('SQL Builder'!K404)=FALSE,(DATE(LEFT('SQL Builder'!K404,4),MID('SQL Builder'!K404,6,2),MID('SQL Builder'!K404,9,2))),NA())</f>
        <v>#N/A</v>
      </c>
      <c r="C429" s="50" t="str">
        <f>IF(ISBLANK('SQL Builder'!K404)=FALSE,'SQL Builder'!L404,"")</f>
        <v/>
      </c>
      <c r="D429" s="1" t="str">
        <f>IF(ISBLANK('SQL Builder'!K404)=FALSE,'SQL Builder'!O404,"")</f>
        <v/>
      </c>
      <c r="H429" s="43" t="str">
        <f>IF(ISBLANK('SQL Builder'!K403)=FALSE,H428+1,"")</f>
        <v/>
      </c>
      <c r="I429" s="1" t="str">
        <f>IF(ISBLANK('SQL Builder'!P404)=FALSE,'SQL Builder'!N404,"")</f>
        <v/>
      </c>
      <c r="J429" s="79">
        <f t="shared" si="6"/>
        <v>0</v>
      </c>
    </row>
    <row r="430" spans="2:11" ht="16.5" x14ac:dyDescent="0.25">
      <c r="B430" s="49" t="e">
        <f>IF(ISBLANK('SQL Builder'!K405)=FALSE,(DATE(LEFT('SQL Builder'!K405,4),MID('SQL Builder'!K405,6,2),MID('SQL Builder'!K405,9,2))),NA())</f>
        <v>#N/A</v>
      </c>
      <c r="C430" s="50" t="str">
        <f>IF(ISBLANK('SQL Builder'!K405)=FALSE,'SQL Builder'!L405,"")</f>
        <v/>
      </c>
      <c r="D430" s="1" t="str">
        <f>IF(ISBLANK('SQL Builder'!K405)=FALSE,'SQL Builder'!O405,"")</f>
        <v/>
      </c>
      <c r="H430" s="43" t="str">
        <f>IF(ISBLANK('SQL Builder'!K404)=FALSE,H429+1,"")</f>
        <v/>
      </c>
      <c r="I430" s="1" t="str">
        <f>IF(ISBLANK('SQL Builder'!P405)=FALSE,'SQL Builder'!N405,"")</f>
        <v/>
      </c>
      <c r="J430" s="79">
        <f t="shared" si="6"/>
        <v>0</v>
      </c>
    </row>
    <row r="431" spans="2:11" ht="16.5" x14ac:dyDescent="0.25">
      <c r="B431" s="49" t="e">
        <f>IF(ISBLANK('SQL Builder'!K406)=FALSE,(DATE(LEFT('SQL Builder'!K406,4),MID('SQL Builder'!K406,6,2),MID('SQL Builder'!K406,9,2))),NA())</f>
        <v>#N/A</v>
      </c>
      <c r="C431" s="50" t="str">
        <f>IF(ISBLANK('SQL Builder'!K406)=FALSE,'SQL Builder'!L406,"")</f>
        <v/>
      </c>
      <c r="D431" s="1" t="str">
        <f>IF(ISBLANK('SQL Builder'!K406)=FALSE,'SQL Builder'!O406,"")</f>
        <v/>
      </c>
      <c r="H431" s="43" t="str">
        <f>IF(ISBLANK('SQL Builder'!K405)=FALSE,H430+1,"")</f>
        <v/>
      </c>
      <c r="I431" s="1" t="str">
        <f>IF(ISBLANK('SQL Builder'!P406)=FALSE,'SQL Builder'!N406,"")</f>
        <v/>
      </c>
      <c r="J431" s="79">
        <f t="shared" si="6"/>
        <v>0</v>
      </c>
    </row>
    <row r="432" spans="2:11" ht="16.5" x14ac:dyDescent="0.25">
      <c r="B432" s="49" t="e">
        <f>IF(ISBLANK('SQL Builder'!K407)=FALSE,(DATE(LEFT('SQL Builder'!K407,4),MID('SQL Builder'!K407,6,2),MID('SQL Builder'!K407,9,2))),NA())</f>
        <v>#N/A</v>
      </c>
      <c r="C432" s="50" t="str">
        <f>IF(ISBLANK('SQL Builder'!K407)=FALSE,'SQL Builder'!L407,"")</f>
        <v/>
      </c>
      <c r="D432" s="1" t="str">
        <f>IF(ISBLANK('SQL Builder'!K407)=FALSE,'SQL Builder'!O407,"")</f>
        <v/>
      </c>
      <c r="H432" s="43" t="str">
        <f>IF(ISBLANK('SQL Builder'!K406)=FALSE,H431+1,"")</f>
        <v/>
      </c>
      <c r="I432" s="1" t="str">
        <f>IF(ISBLANK('SQL Builder'!P407)=FALSE,'SQL Builder'!N407,"")</f>
        <v/>
      </c>
      <c r="J432" s="79">
        <f t="shared" si="6"/>
        <v>0</v>
      </c>
    </row>
    <row r="433" spans="2:10" ht="16.5" x14ac:dyDescent="0.25">
      <c r="B433" s="49" t="e">
        <f>IF(ISBLANK('SQL Builder'!K408)=FALSE,(DATE(LEFT('SQL Builder'!K408,4),MID('SQL Builder'!K408,6,2),MID('SQL Builder'!K408,9,2))),NA())</f>
        <v>#N/A</v>
      </c>
      <c r="C433" s="50" t="str">
        <f>IF(ISBLANK('SQL Builder'!K408)=FALSE,'SQL Builder'!L408,"")</f>
        <v/>
      </c>
      <c r="D433" s="1" t="str">
        <f>IF(ISBLANK('SQL Builder'!K408)=FALSE,'SQL Builder'!O408,"")</f>
        <v/>
      </c>
      <c r="H433" s="43" t="str">
        <f>IF(ISBLANK('SQL Builder'!K407)=FALSE,H432+1,"")</f>
        <v/>
      </c>
      <c r="I433" s="1" t="str">
        <f>IF(ISBLANK('SQL Builder'!P408)=FALSE,'SQL Builder'!N408,"")</f>
        <v/>
      </c>
      <c r="J433" s="79">
        <f t="shared" si="6"/>
        <v>0</v>
      </c>
    </row>
    <row r="434" spans="2:10" ht="16.5" x14ac:dyDescent="0.25">
      <c r="B434" s="49" t="e">
        <f>IF(ISBLANK('SQL Builder'!K409)=FALSE,(DATE(LEFT('SQL Builder'!K409,4),MID('SQL Builder'!K409,6,2),MID('SQL Builder'!K409,9,2))),NA())</f>
        <v>#N/A</v>
      </c>
      <c r="C434" s="50" t="str">
        <f>IF(ISBLANK('SQL Builder'!K409)=FALSE,'SQL Builder'!L409,"")</f>
        <v/>
      </c>
      <c r="D434" s="1" t="str">
        <f>IF(ISBLANK('SQL Builder'!K409)=FALSE,'SQL Builder'!O409,"")</f>
        <v/>
      </c>
      <c r="H434" s="43" t="str">
        <f>IF(ISBLANK('SQL Builder'!K408)=FALSE,H433+1,"")</f>
        <v/>
      </c>
      <c r="I434" s="1" t="str">
        <f>IF(ISBLANK('SQL Builder'!P409)=FALSE,'SQL Builder'!N409,"")</f>
        <v/>
      </c>
      <c r="J434" s="79">
        <f t="shared" si="6"/>
        <v>0</v>
      </c>
    </row>
    <row r="435" spans="2:10" ht="16.5" x14ac:dyDescent="0.25">
      <c r="B435" s="49" t="e">
        <f>IF(ISBLANK('SQL Builder'!K410)=FALSE,(DATE(LEFT('SQL Builder'!K410,4),MID('SQL Builder'!K410,6,2),MID('SQL Builder'!K410,9,2))),NA())</f>
        <v>#N/A</v>
      </c>
      <c r="C435" s="50" t="str">
        <f>IF(ISBLANK('SQL Builder'!K410)=FALSE,'SQL Builder'!L410,"")</f>
        <v/>
      </c>
      <c r="D435" s="1" t="str">
        <f>IF(ISBLANK('SQL Builder'!K410)=FALSE,'SQL Builder'!O410,"")</f>
        <v/>
      </c>
      <c r="H435" s="43" t="str">
        <f>IF(ISBLANK('SQL Builder'!K409)=FALSE,H434+1,"")</f>
        <v/>
      </c>
      <c r="I435" s="1" t="str">
        <f>IF(ISBLANK('SQL Builder'!P410)=FALSE,'SQL Builder'!N410,"")</f>
        <v/>
      </c>
      <c r="J435" s="79">
        <f t="shared" si="6"/>
        <v>0</v>
      </c>
    </row>
    <row r="436" spans="2:10" ht="16.5" x14ac:dyDescent="0.25">
      <c r="B436" s="49" t="e">
        <f>IF(ISBLANK('SQL Builder'!K411)=FALSE,(DATE(LEFT('SQL Builder'!K411,4),MID('SQL Builder'!K411,6,2),MID('SQL Builder'!K411,9,2))),NA())</f>
        <v>#N/A</v>
      </c>
      <c r="C436" s="50" t="str">
        <f>IF(ISBLANK('SQL Builder'!K411)=FALSE,'SQL Builder'!L411,"")</f>
        <v/>
      </c>
      <c r="D436" s="1" t="str">
        <f>IF(ISBLANK('SQL Builder'!K411)=FALSE,'SQL Builder'!O411,"")</f>
        <v/>
      </c>
      <c r="H436" s="43" t="str">
        <f>IF(ISBLANK('SQL Builder'!K410)=FALSE,H435+1,"")</f>
        <v/>
      </c>
      <c r="I436" s="1" t="str">
        <f>IF(ISBLANK('SQL Builder'!P411)=FALSE,'SQL Builder'!N411,"")</f>
        <v/>
      </c>
      <c r="J436" s="79">
        <f t="shared" si="6"/>
        <v>0</v>
      </c>
    </row>
    <row r="437" spans="2:10" ht="16.5" x14ac:dyDescent="0.25">
      <c r="B437" s="49" t="e">
        <f>IF(ISBLANK('SQL Builder'!K412)=FALSE,(DATE(LEFT('SQL Builder'!K412,4),MID('SQL Builder'!K412,6,2),MID('SQL Builder'!K412,9,2))),NA())</f>
        <v>#N/A</v>
      </c>
      <c r="C437" s="50" t="str">
        <f>IF(ISBLANK('SQL Builder'!K412)=FALSE,'SQL Builder'!L412,"")</f>
        <v/>
      </c>
      <c r="D437" s="1" t="str">
        <f>IF(ISBLANK('SQL Builder'!K412)=FALSE,'SQL Builder'!O412,"")</f>
        <v/>
      </c>
      <c r="H437" s="43" t="str">
        <f>IF(ISBLANK('SQL Builder'!K411)=FALSE,H436+1,"")</f>
        <v/>
      </c>
      <c r="I437" s="1" t="str">
        <f>IF(ISBLANK('SQL Builder'!P412)=FALSE,'SQL Builder'!N412,"")</f>
        <v/>
      </c>
      <c r="J437" s="79">
        <f t="shared" si="6"/>
        <v>0</v>
      </c>
    </row>
    <row r="438" spans="2:10" ht="16.5" x14ac:dyDescent="0.25">
      <c r="B438" s="49" t="e">
        <f>IF(ISBLANK('SQL Builder'!K413)=FALSE,(DATE(LEFT('SQL Builder'!K413,4),MID('SQL Builder'!K413,6,2),MID('SQL Builder'!K413,9,2))),NA())</f>
        <v>#N/A</v>
      </c>
      <c r="C438" s="50" t="str">
        <f>IF(ISBLANK('SQL Builder'!K413)=FALSE,'SQL Builder'!L413,"")</f>
        <v/>
      </c>
      <c r="D438" s="1" t="str">
        <f>IF(ISBLANK('SQL Builder'!K413)=FALSE,'SQL Builder'!O413,"")</f>
        <v/>
      </c>
      <c r="H438" s="43" t="str">
        <f>IF(ISBLANK('SQL Builder'!K412)=FALSE,H437+1,"")</f>
        <v/>
      </c>
      <c r="I438" s="1" t="str">
        <f>IF(ISBLANK('SQL Builder'!P413)=FALSE,'SQL Builder'!N413,"")</f>
        <v/>
      </c>
      <c r="J438" s="79">
        <f t="shared" si="6"/>
        <v>0</v>
      </c>
    </row>
    <row r="439" spans="2:10" ht="16.5" x14ac:dyDescent="0.25">
      <c r="B439" s="49" t="e">
        <f>IF(ISBLANK('SQL Builder'!K414)=FALSE,(DATE(LEFT('SQL Builder'!K414,4),MID('SQL Builder'!K414,6,2),MID('SQL Builder'!K414,9,2))),NA())</f>
        <v>#N/A</v>
      </c>
      <c r="C439" s="50" t="str">
        <f>IF(ISBLANK('SQL Builder'!K414)=FALSE,'SQL Builder'!L414,"")</f>
        <v/>
      </c>
      <c r="D439" s="1" t="str">
        <f>IF(ISBLANK('SQL Builder'!K414)=FALSE,'SQL Builder'!O414,"")</f>
        <v/>
      </c>
      <c r="H439" s="43" t="str">
        <f>IF(ISBLANK('SQL Builder'!K413)=FALSE,H438+1,"")</f>
        <v/>
      </c>
      <c r="I439" s="1" t="str">
        <f>IF(ISBLANK('SQL Builder'!P414)=FALSE,'SQL Builder'!N414,"")</f>
        <v/>
      </c>
      <c r="J439" s="79">
        <f t="shared" si="6"/>
        <v>0</v>
      </c>
    </row>
    <row r="440" spans="2:10" ht="16.5" x14ac:dyDescent="0.25">
      <c r="B440" s="49" t="e">
        <f>IF(ISBLANK('SQL Builder'!K415)=FALSE,(DATE(LEFT('SQL Builder'!K415,4),MID('SQL Builder'!K415,6,2),MID('SQL Builder'!K415,9,2))),NA())</f>
        <v>#N/A</v>
      </c>
      <c r="C440" s="50" t="str">
        <f>IF(ISBLANK('SQL Builder'!K415)=FALSE,'SQL Builder'!L415,"")</f>
        <v/>
      </c>
      <c r="D440" s="1" t="str">
        <f>IF(ISBLANK('SQL Builder'!K415)=FALSE,'SQL Builder'!O415,"")</f>
        <v/>
      </c>
      <c r="H440" s="43" t="str">
        <f>IF(ISBLANK('SQL Builder'!K414)=FALSE,H439+1,"")</f>
        <v/>
      </c>
      <c r="I440" s="1" t="str">
        <f>IF(ISBLANK('SQL Builder'!P415)=FALSE,'SQL Builder'!N415,"")</f>
        <v/>
      </c>
      <c r="J440" s="79">
        <f t="shared" si="6"/>
        <v>0</v>
      </c>
    </row>
    <row r="441" spans="2:10" ht="16.5" x14ac:dyDescent="0.25">
      <c r="B441" s="49" t="e">
        <f>IF(ISBLANK('SQL Builder'!K416)=FALSE,(DATE(LEFT('SQL Builder'!K416,4),MID('SQL Builder'!K416,6,2),MID('SQL Builder'!K416,9,2))),NA())</f>
        <v>#N/A</v>
      </c>
      <c r="C441" s="50" t="str">
        <f>IF(ISBLANK('SQL Builder'!K416)=FALSE,'SQL Builder'!L416,"")</f>
        <v/>
      </c>
      <c r="D441" s="1" t="str">
        <f>IF(ISBLANK('SQL Builder'!K416)=FALSE,'SQL Builder'!O416,"")</f>
        <v/>
      </c>
      <c r="H441" s="43" t="str">
        <f>IF(ISBLANK('SQL Builder'!K415)=FALSE,H440+1,"")</f>
        <v/>
      </c>
      <c r="I441" s="1" t="str">
        <f>IF(ISBLANK('SQL Builder'!P416)=FALSE,'SQL Builder'!N416,"")</f>
        <v/>
      </c>
      <c r="J441" s="79">
        <f t="shared" si="6"/>
        <v>0</v>
      </c>
    </row>
    <row r="442" spans="2:10" ht="16.5" x14ac:dyDescent="0.25">
      <c r="B442" s="49" t="e">
        <f>IF(ISBLANK('SQL Builder'!K417)=FALSE,(DATE(LEFT('SQL Builder'!K417,4),MID('SQL Builder'!K417,6,2),MID('SQL Builder'!K417,9,2))),NA())</f>
        <v>#N/A</v>
      </c>
      <c r="C442" s="50" t="str">
        <f>IF(ISBLANK('SQL Builder'!K417)=FALSE,'SQL Builder'!L417,"")</f>
        <v/>
      </c>
      <c r="D442" s="1" t="str">
        <f>IF(ISBLANK('SQL Builder'!K417)=FALSE,'SQL Builder'!O417,"")</f>
        <v/>
      </c>
      <c r="H442" s="43" t="str">
        <f>IF(ISBLANK('SQL Builder'!K416)=FALSE,H441+1,"")</f>
        <v/>
      </c>
      <c r="I442" s="1" t="str">
        <f>IF(ISBLANK('SQL Builder'!P417)=FALSE,'SQL Builder'!N417,"")</f>
        <v/>
      </c>
      <c r="J442" s="79">
        <f t="shared" si="6"/>
        <v>0</v>
      </c>
    </row>
    <row r="443" spans="2:10" ht="16.5" x14ac:dyDescent="0.25">
      <c r="B443" s="49" t="e">
        <f>IF(ISBLANK('SQL Builder'!K418)=FALSE,(DATE(LEFT('SQL Builder'!K418,4),MID('SQL Builder'!K418,6,2),MID('SQL Builder'!K418,9,2))),NA())</f>
        <v>#N/A</v>
      </c>
      <c r="C443" s="50" t="str">
        <f>IF(ISBLANK('SQL Builder'!K418)=FALSE,'SQL Builder'!L418,"")</f>
        <v/>
      </c>
      <c r="D443" s="1" t="str">
        <f>IF(ISBLANK('SQL Builder'!K418)=FALSE,'SQL Builder'!O418,"")</f>
        <v/>
      </c>
      <c r="H443" s="43" t="str">
        <f>IF(ISBLANK('SQL Builder'!K417)=FALSE,H442+1,"")</f>
        <v/>
      </c>
      <c r="I443" s="1" t="str">
        <f>IF(ISBLANK('SQL Builder'!P418)=FALSE,'SQL Builder'!N418,"")</f>
        <v/>
      </c>
      <c r="J443" s="79">
        <f t="shared" si="6"/>
        <v>0</v>
      </c>
    </row>
    <row r="444" spans="2:10" ht="16.5" x14ac:dyDescent="0.25">
      <c r="B444" s="49" t="e">
        <f>IF(ISBLANK('SQL Builder'!K419)=FALSE,(DATE(LEFT('SQL Builder'!K419,4),MID('SQL Builder'!K419,6,2),MID('SQL Builder'!K419,9,2))),NA())</f>
        <v>#N/A</v>
      </c>
      <c r="C444" s="50" t="str">
        <f>IF(ISBLANK('SQL Builder'!K419)=FALSE,'SQL Builder'!L419,"")</f>
        <v/>
      </c>
      <c r="D444" s="1" t="str">
        <f>IF(ISBLANK('SQL Builder'!K419)=FALSE,'SQL Builder'!O419,"")</f>
        <v/>
      </c>
      <c r="H444" s="43" t="str">
        <f>IF(ISBLANK('SQL Builder'!K418)=FALSE,H443+1,"")</f>
        <v/>
      </c>
      <c r="I444" s="1" t="str">
        <f>IF(ISBLANK('SQL Builder'!P419)=FALSE,'SQL Builder'!N419,"")</f>
        <v/>
      </c>
      <c r="J444" s="79">
        <f t="shared" si="6"/>
        <v>0</v>
      </c>
    </row>
    <row r="445" spans="2:10" ht="16.5" x14ac:dyDescent="0.25">
      <c r="B445" s="49" t="e">
        <f>IF(ISBLANK('SQL Builder'!K420)=FALSE,(DATE(LEFT('SQL Builder'!K420,4),MID('SQL Builder'!K420,6,2),MID('SQL Builder'!K420,9,2))),NA())</f>
        <v>#N/A</v>
      </c>
      <c r="C445" s="50" t="str">
        <f>IF(ISBLANK('SQL Builder'!K420)=FALSE,'SQL Builder'!L420,"")</f>
        <v/>
      </c>
      <c r="D445" s="1" t="str">
        <f>IF(ISBLANK('SQL Builder'!K420)=FALSE,'SQL Builder'!O420,"")</f>
        <v/>
      </c>
      <c r="H445" s="43" t="str">
        <f>IF(ISBLANK('SQL Builder'!K419)=FALSE,H444+1,"")</f>
        <v/>
      </c>
      <c r="I445" s="1" t="str">
        <f>IF(ISBLANK('SQL Builder'!P420)=FALSE,'SQL Builder'!N420,"")</f>
        <v/>
      </c>
      <c r="J445" s="79">
        <f t="shared" si="6"/>
        <v>0</v>
      </c>
    </row>
    <row r="446" spans="2:10" ht="16.5" x14ac:dyDescent="0.25">
      <c r="B446" s="49" t="e">
        <f>IF(ISBLANK('SQL Builder'!K421)=FALSE,(DATE(LEFT('SQL Builder'!K421,4),MID('SQL Builder'!K421,6,2),MID('SQL Builder'!K421,9,2))),NA())</f>
        <v>#N/A</v>
      </c>
      <c r="C446" s="50" t="str">
        <f>IF(ISBLANK('SQL Builder'!K421)=FALSE,'SQL Builder'!L421,"")</f>
        <v/>
      </c>
      <c r="D446" s="1" t="str">
        <f>IF(ISBLANK('SQL Builder'!K421)=FALSE,'SQL Builder'!O421,"")</f>
        <v/>
      </c>
      <c r="H446" s="43" t="str">
        <f>IF(ISBLANK('SQL Builder'!K420)=FALSE,H445+1,"")</f>
        <v/>
      </c>
      <c r="I446" s="1" t="str">
        <f>IF(ISBLANK('SQL Builder'!P421)=FALSE,'SQL Builder'!N421,"")</f>
        <v/>
      </c>
      <c r="J446" s="79">
        <f t="shared" si="6"/>
        <v>0</v>
      </c>
    </row>
    <row r="447" spans="2:10" ht="16.5" x14ac:dyDescent="0.25">
      <c r="B447" s="49" t="e">
        <f>IF(ISBLANK('SQL Builder'!K422)=FALSE,(DATE(LEFT('SQL Builder'!K422,4),MID('SQL Builder'!K422,6,2),MID('SQL Builder'!K422,9,2))),NA())</f>
        <v>#N/A</v>
      </c>
      <c r="C447" s="50" t="str">
        <f>IF(ISBLANK('SQL Builder'!K422)=FALSE,'SQL Builder'!L422,"")</f>
        <v/>
      </c>
      <c r="D447" s="1" t="str">
        <f>IF(ISBLANK('SQL Builder'!K422)=FALSE,'SQL Builder'!O422,"")</f>
        <v/>
      </c>
      <c r="H447" s="43" t="str">
        <f>IF(ISBLANK('SQL Builder'!K421)=FALSE,H446+1,"")</f>
        <v/>
      </c>
      <c r="I447" s="1" t="str">
        <f>IF(ISBLANK('SQL Builder'!P422)=FALSE,'SQL Builder'!N422,"")</f>
        <v/>
      </c>
      <c r="J447" s="79">
        <f t="shared" si="6"/>
        <v>0</v>
      </c>
    </row>
    <row r="448" spans="2:10" ht="16.5" x14ac:dyDescent="0.25">
      <c r="B448" s="49" t="e">
        <f>IF(ISBLANK('SQL Builder'!K423)=FALSE,(DATE(LEFT('SQL Builder'!K423,4),MID('SQL Builder'!K423,6,2),MID('SQL Builder'!K423,9,2))),NA())</f>
        <v>#N/A</v>
      </c>
      <c r="C448" s="50" t="str">
        <f>IF(ISBLANK('SQL Builder'!K423)=FALSE,'SQL Builder'!L423,"")</f>
        <v/>
      </c>
      <c r="D448" s="1" t="str">
        <f>IF(ISBLANK('SQL Builder'!K423)=FALSE,'SQL Builder'!O423,"")</f>
        <v/>
      </c>
      <c r="H448" s="43" t="str">
        <f>IF(ISBLANK('SQL Builder'!K422)=FALSE,H447+1,"")</f>
        <v/>
      </c>
      <c r="I448" s="1" t="str">
        <f>IF(ISBLANK('SQL Builder'!P423)=FALSE,'SQL Builder'!N423,"")</f>
        <v/>
      </c>
      <c r="J448" s="79">
        <f t="shared" si="6"/>
        <v>0</v>
      </c>
    </row>
    <row r="449" spans="2:10" ht="16.5" x14ac:dyDescent="0.25">
      <c r="B449" s="49" t="e">
        <f>IF(ISBLANK('SQL Builder'!K424)=FALSE,(DATE(LEFT('SQL Builder'!K424,4),MID('SQL Builder'!K424,6,2),MID('SQL Builder'!K424,9,2))),NA())</f>
        <v>#N/A</v>
      </c>
      <c r="C449" s="50" t="str">
        <f>IF(ISBLANK('SQL Builder'!K424)=FALSE,'SQL Builder'!L424,"")</f>
        <v/>
      </c>
      <c r="D449" s="1" t="str">
        <f>IF(ISBLANK('SQL Builder'!K424)=FALSE,'SQL Builder'!O424,"")</f>
        <v/>
      </c>
      <c r="H449" s="43" t="str">
        <f>IF(ISBLANK('SQL Builder'!K423)=FALSE,H448+1,"")</f>
        <v/>
      </c>
      <c r="I449" s="1" t="str">
        <f>IF(ISBLANK('SQL Builder'!P424)=FALSE,'SQL Builder'!N424,"")</f>
        <v/>
      </c>
      <c r="J449" s="79">
        <f t="shared" si="6"/>
        <v>0</v>
      </c>
    </row>
    <row r="450" spans="2:10" ht="16.5" x14ac:dyDescent="0.25">
      <c r="B450" s="49" t="e">
        <f>IF(ISBLANK('SQL Builder'!K425)=FALSE,(DATE(LEFT('SQL Builder'!K425,4),MID('SQL Builder'!K425,6,2),MID('SQL Builder'!K425,9,2))),NA())</f>
        <v>#N/A</v>
      </c>
      <c r="C450" s="50" t="str">
        <f>IF(ISBLANK('SQL Builder'!K425)=FALSE,'SQL Builder'!L425,"")</f>
        <v/>
      </c>
      <c r="D450" s="1" t="str">
        <f>IF(ISBLANK('SQL Builder'!K425)=FALSE,'SQL Builder'!O425,"")</f>
        <v/>
      </c>
      <c r="H450" s="43" t="str">
        <f>IF(ISBLANK('SQL Builder'!K424)=FALSE,H449+1,"")</f>
        <v/>
      </c>
      <c r="I450" s="1" t="str">
        <f>IF(ISBLANK('SQL Builder'!P425)=FALSE,'SQL Builder'!N425,"")</f>
        <v/>
      </c>
      <c r="J450" s="79">
        <f t="shared" si="6"/>
        <v>0</v>
      </c>
    </row>
    <row r="451" spans="2:10" ht="16.5" x14ac:dyDescent="0.25">
      <c r="B451" s="49" t="e">
        <f>IF(ISBLANK('SQL Builder'!K426)=FALSE,(DATE(LEFT('SQL Builder'!K426,4),MID('SQL Builder'!K426,6,2),MID('SQL Builder'!K426,9,2))),NA())</f>
        <v>#N/A</v>
      </c>
      <c r="C451" s="50" t="str">
        <f>IF(ISBLANK('SQL Builder'!K426)=FALSE,'SQL Builder'!L426,"")</f>
        <v/>
      </c>
      <c r="D451" s="1" t="str">
        <f>IF(ISBLANK('SQL Builder'!K426)=FALSE,'SQL Builder'!O426,"")</f>
        <v/>
      </c>
      <c r="H451" s="43" t="str">
        <f>IF(ISBLANK('SQL Builder'!K425)=FALSE,H450+1,"")</f>
        <v/>
      </c>
      <c r="I451" s="1" t="str">
        <f>IF(ISBLANK('SQL Builder'!P426)=FALSE,'SQL Builder'!N426,"")</f>
        <v/>
      </c>
      <c r="J451" s="79">
        <f t="shared" si="6"/>
        <v>0</v>
      </c>
    </row>
    <row r="452" spans="2:10" ht="16.5" x14ac:dyDescent="0.25">
      <c r="B452" s="49" t="e">
        <f>IF(ISBLANK('SQL Builder'!K427)=FALSE,(DATE(LEFT('SQL Builder'!K427,4),MID('SQL Builder'!K427,6,2),MID('SQL Builder'!K427,9,2))),NA())</f>
        <v>#N/A</v>
      </c>
      <c r="C452" s="50" t="str">
        <f>IF(ISBLANK('SQL Builder'!K427)=FALSE,'SQL Builder'!L427,"")</f>
        <v/>
      </c>
      <c r="D452" s="1" t="str">
        <f>IF(ISBLANK('SQL Builder'!K427)=FALSE,'SQL Builder'!O427,"")</f>
        <v/>
      </c>
      <c r="H452" s="43" t="str">
        <f>IF(ISBLANK('SQL Builder'!K426)=FALSE,H451+1,"")</f>
        <v/>
      </c>
      <c r="I452" s="1" t="str">
        <f>IF(ISBLANK('SQL Builder'!P427)=FALSE,'SQL Builder'!N427,"")</f>
        <v/>
      </c>
      <c r="J452" s="79">
        <f t="shared" si="6"/>
        <v>0</v>
      </c>
    </row>
    <row r="453" spans="2:10" ht="16.5" x14ac:dyDescent="0.25">
      <c r="B453" s="49" t="e">
        <f>IF(ISBLANK('SQL Builder'!K428)=FALSE,(DATE(LEFT('SQL Builder'!K428,4),MID('SQL Builder'!K428,6,2),MID('SQL Builder'!K428,9,2))),NA())</f>
        <v>#N/A</v>
      </c>
      <c r="C453" s="50" t="str">
        <f>IF(ISBLANK('SQL Builder'!K428)=FALSE,'SQL Builder'!L428,"")</f>
        <v/>
      </c>
      <c r="D453" s="1" t="str">
        <f>IF(ISBLANK('SQL Builder'!K428)=FALSE,'SQL Builder'!O428,"")</f>
        <v/>
      </c>
      <c r="H453" s="43" t="str">
        <f>IF(ISBLANK('SQL Builder'!K427)=FALSE,H452+1,"")</f>
        <v/>
      </c>
      <c r="I453" s="1" t="str">
        <f>IF(ISBLANK('SQL Builder'!P428)=FALSE,'SQL Builder'!N428,"")</f>
        <v/>
      </c>
      <c r="J453" s="79">
        <f t="shared" si="6"/>
        <v>0</v>
      </c>
    </row>
    <row r="454" spans="2:10" ht="16.5" x14ac:dyDescent="0.25">
      <c r="B454" s="49" t="e">
        <f>IF(ISBLANK('SQL Builder'!K429)=FALSE,(DATE(LEFT('SQL Builder'!K429,4),MID('SQL Builder'!K429,6,2),MID('SQL Builder'!K429,9,2))),NA())</f>
        <v>#N/A</v>
      </c>
      <c r="C454" s="50" t="str">
        <f>IF(ISBLANK('SQL Builder'!K429)=FALSE,'SQL Builder'!L429,"")</f>
        <v/>
      </c>
      <c r="D454" s="1" t="str">
        <f>IF(ISBLANK('SQL Builder'!K429)=FALSE,'SQL Builder'!O429,"")</f>
        <v/>
      </c>
      <c r="H454" s="43" t="str">
        <f>IF(ISBLANK('SQL Builder'!K428)=FALSE,H453+1,"")</f>
        <v/>
      </c>
      <c r="I454" s="1" t="str">
        <f>IF(ISBLANK('SQL Builder'!P429)=FALSE,'SQL Builder'!N429,"")</f>
        <v/>
      </c>
      <c r="J454" s="79">
        <f t="shared" si="6"/>
        <v>0</v>
      </c>
    </row>
    <row r="455" spans="2:10" ht="16.5" x14ac:dyDescent="0.25">
      <c r="B455" s="49" t="e">
        <f>IF(ISBLANK('SQL Builder'!K430)=FALSE,(DATE(LEFT('SQL Builder'!K430,4),MID('SQL Builder'!K430,6,2),MID('SQL Builder'!K430,9,2))),NA())</f>
        <v>#N/A</v>
      </c>
      <c r="C455" s="50" t="str">
        <f>IF(ISBLANK('SQL Builder'!K430)=FALSE,'SQL Builder'!L430,"")</f>
        <v/>
      </c>
      <c r="D455" s="1" t="str">
        <f>IF(ISBLANK('SQL Builder'!K430)=FALSE,'SQL Builder'!O430,"")</f>
        <v/>
      </c>
      <c r="H455" s="43" t="str">
        <f>IF(ISBLANK('SQL Builder'!K429)=FALSE,H454+1,"")</f>
        <v/>
      </c>
      <c r="I455" s="1" t="str">
        <f>IF(ISBLANK('SQL Builder'!P430)=FALSE,'SQL Builder'!N430,"")</f>
        <v/>
      </c>
      <c r="J455" s="79">
        <f t="shared" si="6"/>
        <v>0</v>
      </c>
    </row>
    <row r="456" spans="2:10" ht="16.5" x14ac:dyDescent="0.25">
      <c r="B456" s="49" t="e">
        <f>IF(ISBLANK('SQL Builder'!K431)=FALSE,(DATE(LEFT('SQL Builder'!K431,4),MID('SQL Builder'!K431,6,2),MID('SQL Builder'!K431,9,2))),NA())</f>
        <v>#N/A</v>
      </c>
      <c r="C456" s="50" t="str">
        <f>IF(ISBLANK('SQL Builder'!K431)=FALSE,'SQL Builder'!L431,"")</f>
        <v/>
      </c>
      <c r="D456" s="1" t="str">
        <f>IF(ISBLANK('SQL Builder'!K431)=FALSE,'SQL Builder'!O431,"")</f>
        <v/>
      </c>
      <c r="H456" s="43" t="str">
        <f>IF(ISBLANK('SQL Builder'!K430)=FALSE,H455+1,"")</f>
        <v/>
      </c>
      <c r="I456" s="1" t="str">
        <f>IF(ISBLANK('SQL Builder'!P431)=FALSE,'SQL Builder'!N431,"")</f>
        <v/>
      </c>
      <c r="J456" s="79">
        <f t="shared" si="6"/>
        <v>0</v>
      </c>
    </row>
    <row r="457" spans="2:10" ht="16.5" x14ac:dyDescent="0.25">
      <c r="B457" s="49" t="e">
        <f>IF(ISBLANK('SQL Builder'!K432)=FALSE,(DATE(LEFT('SQL Builder'!K432,4),MID('SQL Builder'!K432,6,2),MID('SQL Builder'!K432,9,2))),NA())</f>
        <v>#N/A</v>
      </c>
      <c r="C457" s="50" t="str">
        <f>IF(ISBLANK('SQL Builder'!K432)=FALSE,'SQL Builder'!L432,"")</f>
        <v/>
      </c>
      <c r="D457" s="1" t="str">
        <f>IF(ISBLANK('SQL Builder'!K432)=FALSE,'SQL Builder'!O432,"")</f>
        <v/>
      </c>
      <c r="H457" s="43" t="str">
        <f>IF(ISBLANK('SQL Builder'!K431)=FALSE,H456+1,"")</f>
        <v/>
      </c>
      <c r="I457" s="1" t="str">
        <f>IF(ISBLANK('SQL Builder'!P432)=FALSE,'SQL Builder'!N432,"")</f>
        <v/>
      </c>
      <c r="J457" s="79">
        <f t="shared" si="6"/>
        <v>0</v>
      </c>
    </row>
    <row r="458" spans="2:10" ht="16.5" x14ac:dyDescent="0.25">
      <c r="B458" s="49" t="e">
        <f>IF(ISBLANK('SQL Builder'!K433)=FALSE,(DATE(LEFT('SQL Builder'!K433,4),MID('SQL Builder'!K433,6,2),MID('SQL Builder'!K433,9,2))),NA())</f>
        <v>#N/A</v>
      </c>
      <c r="C458" s="50" t="str">
        <f>IF(ISBLANK('SQL Builder'!K433)=FALSE,'SQL Builder'!L433,"")</f>
        <v/>
      </c>
      <c r="D458" s="1" t="str">
        <f>IF(ISBLANK('SQL Builder'!K433)=FALSE,'SQL Builder'!O433,"")</f>
        <v/>
      </c>
      <c r="H458" s="43" t="str">
        <f>IF(ISBLANK('SQL Builder'!K432)=FALSE,H457+1,"")</f>
        <v/>
      </c>
      <c r="I458" s="1" t="str">
        <f>IF(ISBLANK('SQL Builder'!P433)=FALSE,'SQL Builder'!N433,"")</f>
        <v/>
      </c>
      <c r="J458" s="79">
        <f t="shared" si="6"/>
        <v>0</v>
      </c>
    </row>
    <row r="459" spans="2:10" ht="16.5" x14ac:dyDescent="0.25">
      <c r="B459" s="49" t="e">
        <f>IF(ISBLANK('SQL Builder'!K434)=FALSE,(DATE(LEFT('SQL Builder'!K434,4),MID('SQL Builder'!K434,6,2),MID('SQL Builder'!K434,9,2))),NA())</f>
        <v>#N/A</v>
      </c>
      <c r="C459" s="50" t="str">
        <f>IF(ISBLANK('SQL Builder'!K434)=FALSE,'SQL Builder'!L434,"")</f>
        <v/>
      </c>
      <c r="D459" s="1" t="str">
        <f>IF(ISBLANK('SQL Builder'!K434)=FALSE,'SQL Builder'!O434,"")</f>
        <v/>
      </c>
      <c r="H459" s="43" t="str">
        <f>IF(ISBLANK('SQL Builder'!K433)=FALSE,H458+1,"")</f>
        <v/>
      </c>
      <c r="I459" s="1" t="str">
        <f>IF(ISBLANK('SQL Builder'!P434)=FALSE,'SQL Builder'!N434,"")</f>
        <v/>
      </c>
      <c r="J459" s="79">
        <f t="shared" si="6"/>
        <v>0</v>
      </c>
    </row>
    <row r="460" spans="2:10" ht="16.5" x14ac:dyDescent="0.25">
      <c r="B460" s="49" t="e">
        <f>IF(ISBLANK('SQL Builder'!K435)=FALSE,(DATE(LEFT('SQL Builder'!K435,4),MID('SQL Builder'!K435,6,2),MID('SQL Builder'!K435,9,2))),NA())</f>
        <v>#N/A</v>
      </c>
      <c r="C460" s="50" t="str">
        <f>IF(ISBLANK('SQL Builder'!K435)=FALSE,'SQL Builder'!L435,"")</f>
        <v/>
      </c>
      <c r="D460" s="1" t="str">
        <f>IF(ISBLANK('SQL Builder'!K435)=FALSE,'SQL Builder'!O435,"")</f>
        <v/>
      </c>
      <c r="H460" s="43" t="str">
        <f>IF(ISBLANK('SQL Builder'!K434)=FALSE,H459+1,"")</f>
        <v/>
      </c>
      <c r="I460" s="1" t="str">
        <f>IF(ISBLANK('SQL Builder'!P435)=FALSE,'SQL Builder'!N435,"")</f>
        <v/>
      </c>
      <c r="J460" s="79">
        <f t="shared" si="6"/>
        <v>0</v>
      </c>
    </row>
    <row r="461" spans="2:10" ht="16.5" x14ac:dyDescent="0.25">
      <c r="B461" s="49" t="e">
        <f>IF(ISBLANK('SQL Builder'!K436)=FALSE,(DATE(LEFT('SQL Builder'!K436,4),MID('SQL Builder'!K436,6,2),MID('SQL Builder'!K436,9,2))),NA())</f>
        <v>#N/A</v>
      </c>
      <c r="C461" s="50" t="str">
        <f>IF(ISBLANK('SQL Builder'!K436)=FALSE,'SQL Builder'!L436,"")</f>
        <v/>
      </c>
      <c r="D461" s="1" t="str">
        <f>IF(ISBLANK('SQL Builder'!K436)=FALSE,'SQL Builder'!O436,"")</f>
        <v/>
      </c>
      <c r="H461" s="43" t="str">
        <f>IF(ISBLANK('SQL Builder'!K435)=FALSE,H460+1,"")</f>
        <v/>
      </c>
      <c r="I461" s="1" t="str">
        <f>IF(ISBLANK('SQL Builder'!P436)=FALSE,'SQL Builder'!N436,"")</f>
        <v/>
      </c>
      <c r="J461" s="79">
        <f t="shared" si="6"/>
        <v>0</v>
      </c>
    </row>
    <row r="462" spans="2:10" ht="16.5" x14ac:dyDescent="0.25">
      <c r="B462" s="49" t="e">
        <f>IF(ISBLANK('SQL Builder'!K437)=FALSE,(DATE(LEFT('SQL Builder'!K437,4),MID('SQL Builder'!K437,6,2),MID('SQL Builder'!K437,9,2))),NA())</f>
        <v>#N/A</v>
      </c>
      <c r="C462" s="50" t="str">
        <f>IF(ISBLANK('SQL Builder'!K437)=FALSE,'SQL Builder'!L437,"")</f>
        <v/>
      </c>
      <c r="D462" s="1" t="str">
        <f>IF(ISBLANK('SQL Builder'!K437)=FALSE,'SQL Builder'!O437,"")</f>
        <v/>
      </c>
      <c r="H462" s="43" t="str">
        <f>IF(ISBLANK('SQL Builder'!K436)=FALSE,H461+1,"")</f>
        <v/>
      </c>
      <c r="I462" s="1" t="str">
        <f>IF(ISBLANK('SQL Builder'!P437)=FALSE,'SQL Builder'!N437,"")</f>
        <v/>
      </c>
      <c r="J462" s="79">
        <f t="shared" si="6"/>
        <v>0</v>
      </c>
    </row>
    <row r="463" spans="2:10" ht="16.5" x14ac:dyDescent="0.25">
      <c r="B463" s="49" t="e">
        <f>IF(ISBLANK('SQL Builder'!K438)=FALSE,(DATE(LEFT('SQL Builder'!K438,4),MID('SQL Builder'!K438,6,2),MID('SQL Builder'!K438,9,2))),NA())</f>
        <v>#N/A</v>
      </c>
      <c r="C463" s="50" t="str">
        <f>IF(ISBLANK('SQL Builder'!K438)=FALSE,'SQL Builder'!L438,"")</f>
        <v/>
      </c>
      <c r="D463" s="1" t="str">
        <f>IF(ISBLANK('SQL Builder'!K438)=FALSE,'SQL Builder'!O438,"")</f>
        <v/>
      </c>
      <c r="H463" s="43" t="str">
        <f>IF(ISBLANK('SQL Builder'!K437)=FALSE,H462+1,"")</f>
        <v/>
      </c>
      <c r="I463" s="1" t="str">
        <f>IF(ISBLANK('SQL Builder'!P438)=FALSE,'SQL Builder'!N438,"")</f>
        <v/>
      </c>
      <c r="J463" s="79">
        <f t="shared" si="6"/>
        <v>0</v>
      </c>
    </row>
    <row r="464" spans="2:10" ht="16.5" x14ac:dyDescent="0.25">
      <c r="B464" s="49" t="e">
        <f>IF(ISBLANK('SQL Builder'!K439)=FALSE,(DATE(LEFT('SQL Builder'!K439,4),MID('SQL Builder'!K439,6,2),MID('SQL Builder'!K439,9,2))),NA())</f>
        <v>#N/A</v>
      </c>
      <c r="C464" s="50" t="str">
        <f>IF(ISBLANK('SQL Builder'!K439)=FALSE,'SQL Builder'!L439,"")</f>
        <v/>
      </c>
      <c r="D464" s="1" t="str">
        <f>IF(ISBLANK('SQL Builder'!K439)=FALSE,'SQL Builder'!O439,"")</f>
        <v/>
      </c>
      <c r="H464" s="43" t="str">
        <f>IF(ISBLANK('SQL Builder'!K438)=FALSE,H463+1,"")</f>
        <v/>
      </c>
      <c r="I464" s="1" t="str">
        <f>IF(ISBLANK('SQL Builder'!P439)=FALSE,'SQL Builder'!N439,"")</f>
        <v/>
      </c>
      <c r="J464" s="79">
        <f t="shared" si="6"/>
        <v>0</v>
      </c>
    </row>
    <row r="465" spans="2:10" ht="16.5" x14ac:dyDescent="0.25">
      <c r="B465" s="49" t="e">
        <f>IF(ISBLANK('SQL Builder'!K440)=FALSE,(DATE(LEFT('SQL Builder'!K440,4),MID('SQL Builder'!K440,6,2),MID('SQL Builder'!K440,9,2))),NA())</f>
        <v>#N/A</v>
      </c>
      <c r="C465" s="50" t="str">
        <f>IF(ISBLANK('SQL Builder'!K440)=FALSE,'SQL Builder'!L440,"")</f>
        <v/>
      </c>
      <c r="D465" s="1" t="str">
        <f>IF(ISBLANK('SQL Builder'!K440)=FALSE,'SQL Builder'!O440,"")</f>
        <v/>
      </c>
      <c r="H465" s="43" t="str">
        <f>IF(ISBLANK('SQL Builder'!K439)=FALSE,H464+1,"")</f>
        <v/>
      </c>
      <c r="I465" s="1" t="str">
        <f>IF(ISBLANK('SQL Builder'!P440)=FALSE,'SQL Builder'!N440,"")</f>
        <v/>
      </c>
      <c r="J465" s="79">
        <f t="shared" si="6"/>
        <v>0</v>
      </c>
    </row>
    <row r="466" spans="2:10" ht="16.5" x14ac:dyDescent="0.25">
      <c r="B466" s="49" t="e">
        <f>IF(ISBLANK('SQL Builder'!K441)=FALSE,(DATE(LEFT('SQL Builder'!K441,4),MID('SQL Builder'!K441,6,2),MID('SQL Builder'!K441,9,2))),NA())</f>
        <v>#N/A</v>
      </c>
      <c r="C466" s="50" t="str">
        <f>IF(ISBLANK('SQL Builder'!K441)=FALSE,'SQL Builder'!L441,"")</f>
        <v/>
      </c>
      <c r="D466" s="1" t="str">
        <f>IF(ISBLANK('SQL Builder'!K441)=FALSE,'SQL Builder'!O441,"")</f>
        <v/>
      </c>
      <c r="H466" s="43" t="str">
        <f>IF(ISBLANK('SQL Builder'!K440)=FALSE,H465+1,"")</f>
        <v/>
      </c>
      <c r="I466" s="1" t="str">
        <f>IF(ISBLANK('SQL Builder'!P441)=FALSE,'SQL Builder'!N441,"")</f>
        <v/>
      </c>
      <c r="J466" s="79">
        <f t="shared" si="6"/>
        <v>0</v>
      </c>
    </row>
    <row r="467" spans="2:10" ht="16.5" x14ac:dyDescent="0.25">
      <c r="B467" s="49" t="e">
        <f>IF(ISBLANK('SQL Builder'!K442)=FALSE,(DATE(LEFT('SQL Builder'!K442,4),MID('SQL Builder'!K442,6,2),MID('SQL Builder'!K442,9,2))),NA())</f>
        <v>#N/A</v>
      </c>
      <c r="C467" s="50" t="str">
        <f>IF(ISBLANK('SQL Builder'!K442)=FALSE,'SQL Builder'!L442,"")</f>
        <v/>
      </c>
      <c r="D467" s="1" t="str">
        <f>IF(ISBLANK('SQL Builder'!K442)=FALSE,'SQL Builder'!O442,"")</f>
        <v/>
      </c>
      <c r="H467" s="43" t="str">
        <f>IF(ISBLANK('SQL Builder'!K441)=FALSE,H466+1,"")</f>
        <v/>
      </c>
      <c r="I467" s="1" t="str">
        <f>IF(ISBLANK('SQL Builder'!P442)=FALSE,'SQL Builder'!N442,"")</f>
        <v/>
      </c>
      <c r="J467" s="79">
        <f t="shared" si="6"/>
        <v>0</v>
      </c>
    </row>
    <row r="468" spans="2:10" ht="16.5" x14ac:dyDescent="0.25">
      <c r="B468" s="49" t="e">
        <f>IF(ISBLANK('SQL Builder'!K443)=FALSE,(DATE(LEFT('SQL Builder'!K443,4),MID('SQL Builder'!K443,6,2),MID('SQL Builder'!K443,9,2))),NA())</f>
        <v>#N/A</v>
      </c>
      <c r="C468" s="50" t="str">
        <f>IF(ISBLANK('SQL Builder'!K443)=FALSE,'SQL Builder'!L443,"")</f>
        <v/>
      </c>
      <c r="D468" s="1" t="str">
        <f>IF(ISBLANK('SQL Builder'!K443)=FALSE,'SQL Builder'!O443,"")</f>
        <v/>
      </c>
      <c r="H468" s="43" t="str">
        <f>IF(ISBLANK('SQL Builder'!K442)=FALSE,H467+1,"")</f>
        <v/>
      </c>
      <c r="I468" s="1" t="str">
        <f>IF(ISBLANK('SQL Builder'!P443)=FALSE,'SQL Builder'!N443,"")</f>
        <v/>
      </c>
      <c r="J468" s="79">
        <f t="shared" si="6"/>
        <v>0</v>
      </c>
    </row>
    <row r="469" spans="2:10" ht="16.5" x14ac:dyDescent="0.25">
      <c r="B469" s="49" t="e">
        <f>IF(ISBLANK('SQL Builder'!K444)=FALSE,(DATE(LEFT('SQL Builder'!K444,4),MID('SQL Builder'!K444,6,2),MID('SQL Builder'!K444,9,2))),NA())</f>
        <v>#N/A</v>
      </c>
      <c r="C469" s="50" t="str">
        <f>IF(ISBLANK('SQL Builder'!K444)=FALSE,'SQL Builder'!L444,"")</f>
        <v/>
      </c>
      <c r="D469" s="1" t="str">
        <f>IF(ISBLANK('SQL Builder'!K444)=FALSE,'SQL Builder'!O444,"")</f>
        <v/>
      </c>
      <c r="H469" s="43" t="str">
        <f>IF(ISBLANK('SQL Builder'!K443)=FALSE,H468+1,"")</f>
        <v/>
      </c>
      <c r="I469" s="1" t="str">
        <f>IF(ISBLANK('SQL Builder'!P444)=FALSE,'SQL Builder'!N444,"")</f>
        <v/>
      </c>
      <c r="J469" s="79">
        <f t="shared" si="6"/>
        <v>0</v>
      </c>
    </row>
    <row r="470" spans="2:10" ht="16.5" x14ac:dyDescent="0.25">
      <c r="B470" s="49" t="e">
        <f>IF(ISBLANK('SQL Builder'!K445)=FALSE,(DATE(LEFT('SQL Builder'!K445,4),MID('SQL Builder'!K445,6,2),MID('SQL Builder'!K445,9,2))),NA())</f>
        <v>#N/A</v>
      </c>
      <c r="C470" s="50" t="str">
        <f>IF(ISBLANK('SQL Builder'!K445)=FALSE,'SQL Builder'!L445,"")</f>
        <v/>
      </c>
      <c r="D470" s="1" t="str">
        <f>IF(ISBLANK('SQL Builder'!K445)=FALSE,'SQL Builder'!O445,"")</f>
        <v/>
      </c>
      <c r="H470" s="43" t="str">
        <f>IF(ISBLANK('SQL Builder'!K444)=FALSE,H469+1,"")</f>
        <v/>
      </c>
      <c r="I470" s="1" t="str">
        <f>IF(ISBLANK('SQL Builder'!P445)=FALSE,'SQL Builder'!N445,"")</f>
        <v/>
      </c>
      <c r="J470" s="79">
        <f t="shared" si="6"/>
        <v>0</v>
      </c>
    </row>
    <row r="471" spans="2:10" ht="16.5" x14ac:dyDescent="0.25">
      <c r="B471" s="49" t="e">
        <f>IF(ISBLANK('SQL Builder'!K446)=FALSE,(DATE(LEFT('SQL Builder'!K446,4),MID('SQL Builder'!K446,6,2),MID('SQL Builder'!K446,9,2))),NA())</f>
        <v>#N/A</v>
      </c>
      <c r="C471" s="50" t="str">
        <f>IF(ISBLANK('SQL Builder'!K446)=FALSE,'SQL Builder'!L446,"")</f>
        <v/>
      </c>
      <c r="D471" s="1" t="str">
        <f>IF(ISBLANK('SQL Builder'!K446)=FALSE,'SQL Builder'!O446,"")</f>
        <v/>
      </c>
      <c r="H471" s="43" t="str">
        <f>IF(ISBLANK('SQL Builder'!K445)=FALSE,H470+1,"")</f>
        <v/>
      </c>
      <c r="I471" s="1" t="str">
        <f>IF(ISBLANK('SQL Builder'!P446)=FALSE,'SQL Builder'!N446,"")</f>
        <v/>
      </c>
      <c r="J471" s="79">
        <f t="shared" si="6"/>
        <v>0</v>
      </c>
    </row>
    <row r="472" spans="2:10" ht="16.5" x14ac:dyDescent="0.25">
      <c r="B472" s="49" t="e">
        <f>IF(ISBLANK('SQL Builder'!K447)=FALSE,(DATE(LEFT('SQL Builder'!K447,4),MID('SQL Builder'!K447,6,2),MID('SQL Builder'!K447,9,2))),NA())</f>
        <v>#N/A</v>
      </c>
      <c r="C472" s="50" t="str">
        <f>IF(ISBLANK('SQL Builder'!K447)=FALSE,'SQL Builder'!L447,"")</f>
        <v/>
      </c>
      <c r="D472" s="1" t="str">
        <f>IF(ISBLANK('SQL Builder'!K447)=FALSE,'SQL Builder'!O447,"")</f>
        <v/>
      </c>
      <c r="H472" s="43" t="str">
        <f>IF(ISBLANK('SQL Builder'!K446)=FALSE,H471+1,"")</f>
        <v/>
      </c>
      <c r="I472" s="1" t="str">
        <f>IF(ISBLANK('SQL Builder'!P447)=FALSE,'SQL Builder'!N447,"")</f>
        <v/>
      </c>
      <c r="J472" s="79">
        <f t="shared" si="6"/>
        <v>0</v>
      </c>
    </row>
    <row r="473" spans="2:10" ht="16.5" x14ac:dyDescent="0.25">
      <c r="B473" s="49" t="e">
        <f>IF(ISBLANK('SQL Builder'!K448)=FALSE,(DATE(LEFT('SQL Builder'!K448,4),MID('SQL Builder'!K448,6,2),MID('SQL Builder'!K448,9,2))),NA())</f>
        <v>#N/A</v>
      </c>
      <c r="C473" s="50" t="str">
        <f>IF(ISBLANK('SQL Builder'!K448)=FALSE,'SQL Builder'!L448,"")</f>
        <v/>
      </c>
      <c r="D473" s="1" t="str">
        <f>IF(ISBLANK('SQL Builder'!K448)=FALSE,'SQL Builder'!O448,"")</f>
        <v/>
      </c>
      <c r="H473" s="43" t="str">
        <f>IF(ISBLANK('SQL Builder'!K447)=FALSE,H472+1,"")</f>
        <v/>
      </c>
      <c r="I473" s="1" t="str">
        <f>IF(ISBLANK('SQL Builder'!P448)=FALSE,'SQL Builder'!N448,"")</f>
        <v/>
      </c>
      <c r="J473" s="79">
        <f t="shared" si="6"/>
        <v>0</v>
      </c>
    </row>
    <row r="474" spans="2:10" ht="16.5" x14ac:dyDescent="0.25">
      <c r="B474" s="49" t="e">
        <f>IF(ISBLANK('SQL Builder'!K449)=FALSE,(DATE(LEFT('SQL Builder'!K449,4),MID('SQL Builder'!K449,6,2),MID('SQL Builder'!K449,9,2))),NA())</f>
        <v>#N/A</v>
      </c>
      <c r="C474" s="50" t="str">
        <f>IF(ISBLANK('SQL Builder'!K449)=FALSE,'SQL Builder'!L449,"")</f>
        <v/>
      </c>
      <c r="D474" s="1" t="str">
        <f>IF(ISBLANK('SQL Builder'!K449)=FALSE,'SQL Builder'!O449,"")</f>
        <v/>
      </c>
      <c r="H474" s="43" t="str">
        <f>IF(ISBLANK('SQL Builder'!K448)=FALSE,H473+1,"")</f>
        <v/>
      </c>
      <c r="I474" s="1" t="str">
        <f>IF(ISBLANK('SQL Builder'!P449)=FALSE,'SQL Builder'!N449,"")</f>
        <v/>
      </c>
      <c r="J474" s="79">
        <f t="shared" si="6"/>
        <v>0</v>
      </c>
    </row>
    <row r="475" spans="2:10" ht="16.5" x14ac:dyDescent="0.25">
      <c r="B475" s="49" t="e">
        <f>IF(ISBLANK('SQL Builder'!K450)=FALSE,(DATE(LEFT('SQL Builder'!K450,4),MID('SQL Builder'!K450,6,2),MID('SQL Builder'!K450,9,2))),NA())</f>
        <v>#N/A</v>
      </c>
      <c r="C475" s="50" t="str">
        <f>IF(ISBLANK('SQL Builder'!K450)=FALSE,'SQL Builder'!L450,"")</f>
        <v/>
      </c>
      <c r="D475" s="1" t="str">
        <f>IF(ISBLANK('SQL Builder'!K450)=FALSE,'SQL Builder'!O450,"")</f>
        <v/>
      </c>
      <c r="H475" s="43" t="str">
        <f>IF(ISBLANK('SQL Builder'!K449)=FALSE,H474+1,"")</f>
        <v/>
      </c>
      <c r="I475" s="1" t="str">
        <f>IF(ISBLANK('SQL Builder'!P450)=FALSE,'SQL Builder'!N450,"")</f>
        <v/>
      </c>
      <c r="J475" s="79">
        <f t="shared" si="6"/>
        <v>0</v>
      </c>
    </row>
    <row r="476" spans="2:10" ht="16.5" x14ac:dyDescent="0.25">
      <c r="B476" s="49" t="e">
        <f>IF(ISBLANK('SQL Builder'!K451)=FALSE,(DATE(LEFT('SQL Builder'!K451,4),MID('SQL Builder'!K451,6,2),MID('SQL Builder'!K451,9,2))),NA())</f>
        <v>#N/A</v>
      </c>
      <c r="C476" s="50" t="str">
        <f>IF(ISBLANK('SQL Builder'!K451)=FALSE,'SQL Builder'!L451,"")</f>
        <v/>
      </c>
      <c r="D476" s="1" t="str">
        <f>IF(ISBLANK('SQL Builder'!K451)=FALSE,'SQL Builder'!O451,"")</f>
        <v/>
      </c>
      <c r="H476" s="43" t="str">
        <f>IF(ISBLANK('SQL Builder'!K450)=FALSE,H475+1,"")</f>
        <v/>
      </c>
      <c r="I476" s="1" t="str">
        <f>IF(ISBLANK('SQL Builder'!P451)=FALSE,'SQL Builder'!N451,"")</f>
        <v/>
      </c>
      <c r="J476" s="79">
        <f t="shared" si="6"/>
        <v>0</v>
      </c>
    </row>
    <row r="477" spans="2:10" ht="16.5" x14ac:dyDescent="0.25">
      <c r="B477" s="49" t="e">
        <f>IF(ISBLANK('SQL Builder'!K452)=FALSE,(DATE(LEFT('SQL Builder'!K452,4),MID('SQL Builder'!K452,6,2),MID('SQL Builder'!K452,9,2))),NA())</f>
        <v>#N/A</v>
      </c>
      <c r="C477" s="50" t="str">
        <f>IF(ISBLANK('SQL Builder'!K452)=FALSE,'SQL Builder'!L452,"")</f>
        <v/>
      </c>
      <c r="D477" s="1" t="str">
        <f>IF(ISBLANK('SQL Builder'!K452)=FALSE,'SQL Builder'!O452,"")</f>
        <v/>
      </c>
      <c r="H477" s="43" t="str">
        <f>IF(ISBLANK('SQL Builder'!K451)=FALSE,H476+1,"")</f>
        <v/>
      </c>
      <c r="I477" s="1" t="str">
        <f>IF(ISBLANK('SQL Builder'!P452)=FALSE,'SQL Builder'!N452,"")</f>
        <v/>
      </c>
      <c r="J477" s="79">
        <f t="shared" si="6"/>
        <v>0</v>
      </c>
    </row>
    <row r="478" spans="2:10" ht="16.5" x14ac:dyDescent="0.25">
      <c r="B478" s="49" t="e">
        <f>IF(ISBLANK('SQL Builder'!K453)=FALSE,(DATE(LEFT('SQL Builder'!K453,4),MID('SQL Builder'!K453,6,2),MID('SQL Builder'!K453,9,2))),NA())</f>
        <v>#N/A</v>
      </c>
      <c r="C478" s="50" t="str">
        <f>IF(ISBLANK('SQL Builder'!K453)=FALSE,'SQL Builder'!L453,"")</f>
        <v/>
      </c>
      <c r="D478" s="1" t="str">
        <f>IF(ISBLANK('SQL Builder'!K453)=FALSE,'SQL Builder'!O453,"")</f>
        <v/>
      </c>
      <c r="H478" s="43" t="str">
        <f>IF(ISBLANK('SQL Builder'!K452)=FALSE,H477+1,"")</f>
        <v/>
      </c>
      <c r="I478" s="1" t="str">
        <f>IF(ISBLANK('SQL Builder'!P453)=FALSE,'SQL Builder'!N453,"")</f>
        <v/>
      </c>
      <c r="J478" s="79">
        <f t="shared" si="6"/>
        <v>0</v>
      </c>
    </row>
    <row r="479" spans="2:10" ht="16.5" x14ac:dyDescent="0.25">
      <c r="B479" s="49" t="e">
        <f>IF(ISBLANK('SQL Builder'!K454)=FALSE,(DATE(LEFT('SQL Builder'!K454,4),MID('SQL Builder'!K454,6,2),MID('SQL Builder'!K454,9,2))),NA())</f>
        <v>#N/A</v>
      </c>
      <c r="C479" s="50" t="str">
        <f>IF(ISBLANK('SQL Builder'!K454)=FALSE,'SQL Builder'!L454,"")</f>
        <v/>
      </c>
      <c r="D479" s="1" t="str">
        <f>IF(ISBLANK('SQL Builder'!K454)=FALSE,'SQL Builder'!O454,"")</f>
        <v/>
      </c>
      <c r="H479" s="43" t="str">
        <f>IF(ISBLANK('SQL Builder'!K453)=FALSE,H478+1,"")</f>
        <v/>
      </c>
      <c r="I479" s="1" t="str">
        <f>IF(ISBLANK('SQL Builder'!P454)=FALSE,'SQL Builder'!N454,"")</f>
        <v/>
      </c>
      <c r="J479" s="79">
        <f t="shared" ref="J479:J542" si="7">IF(I479="",0,IF(I479=C$5,2,1))</f>
        <v>0</v>
      </c>
    </row>
    <row r="480" spans="2:10" ht="16.5" x14ac:dyDescent="0.25">
      <c r="B480" s="49" t="e">
        <f>IF(ISBLANK('SQL Builder'!K455)=FALSE,(DATE(LEFT('SQL Builder'!K455,4),MID('SQL Builder'!K455,6,2),MID('SQL Builder'!K455,9,2))),NA())</f>
        <v>#N/A</v>
      </c>
      <c r="C480" s="50" t="str">
        <f>IF(ISBLANK('SQL Builder'!K455)=FALSE,'SQL Builder'!L455,"")</f>
        <v/>
      </c>
      <c r="D480" s="1" t="str">
        <f>IF(ISBLANK('SQL Builder'!K455)=FALSE,'SQL Builder'!O455,"")</f>
        <v/>
      </c>
      <c r="H480" s="43" t="str">
        <f>IF(ISBLANK('SQL Builder'!K454)=FALSE,H479+1,"")</f>
        <v/>
      </c>
      <c r="I480" s="1" t="str">
        <f>IF(ISBLANK('SQL Builder'!P455)=FALSE,'SQL Builder'!N455,"")</f>
        <v/>
      </c>
      <c r="J480" s="79">
        <f t="shared" si="7"/>
        <v>0</v>
      </c>
    </row>
    <row r="481" spans="2:10" ht="16.5" x14ac:dyDescent="0.25">
      <c r="B481" s="49" t="e">
        <f>IF(ISBLANK('SQL Builder'!K456)=FALSE,(DATE(LEFT('SQL Builder'!K456,4),MID('SQL Builder'!K456,6,2),MID('SQL Builder'!K456,9,2))),NA())</f>
        <v>#N/A</v>
      </c>
      <c r="C481" s="50" t="str">
        <f>IF(ISBLANK('SQL Builder'!K456)=FALSE,'SQL Builder'!L456,"")</f>
        <v/>
      </c>
      <c r="D481" s="1" t="str">
        <f>IF(ISBLANK('SQL Builder'!K456)=FALSE,'SQL Builder'!O456,"")</f>
        <v/>
      </c>
      <c r="H481" s="43" t="str">
        <f>IF(ISBLANK('SQL Builder'!K455)=FALSE,H480+1,"")</f>
        <v/>
      </c>
      <c r="I481" s="1" t="str">
        <f>IF(ISBLANK('SQL Builder'!P456)=FALSE,'SQL Builder'!N456,"")</f>
        <v/>
      </c>
      <c r="J481" s="79">
        <f t="shared" si="7"/>
        <v>0</v>
      </c>
    </row>
    <row r="482" spans="2:10" ht="16.5" x14ac:dyDescent="0.25">
      <c r="B482" s="49" t="e">
        <f>IF(ISBLANK('SQL Builder'!K457)=FALSE,(DATE(LEFT('SQL Builder'!K457,4),MID('SQL Builder'!K457,6,2),MID('SQL Builder'!K457,9,2))),NA())</f>
        <v>#N/A</v>
      </c>
      <c r="C482" s="50" t="str">
        <f>IF(ISBLANK('SQL Builder'!K457)=FALSE,'SQL Builder'!L457,"")</f>
        <v/>
      </c>
      <c r="D482" s="1" t="str">
        <f>IF(ISBLANK('SQL Builder'!K457)=FALSE,'SQL Builder'!O457,"")</f>
        <v/>
      </c>
      <c r="H482" s="43" t="str">
        <f>IF(ISBLANK('SQL Builder'!K456)=FALSE,H481+1,"")</f>
        <v/>
      </c>
      <c r="I482" s="1" t="str">
        <f>IF(ISBLANK('SQL Builder'!P457)=FALSE,'SQL Builder'!N457,"")</f>
        <v/>
      </c>
      <c r="J482" s="79">
        <f t="shared" si="7"/>
        <v>0</v>
      </c>
    </row>
    <row r="483" spans="2:10" ht="16.5" x14ac:dyDescent="0.25">
      <c r="B483" s="49" t="e">
        <f>IF(ISBLANK('SQL Builder'!K458)=FALSE,(DATE(LEFT('SQL Builder'!K458,4),MID('SQL Builder'!K458,6,2),MID('SQL Builder'!K458,9,2))),NA())</f>
        <v>#N/A</v>
      </c>
      <c r="C483" s="50" t="str">
        <f>IF(ISBLANK('SQL Builder'!K458)=FALSE,'SQL Builder'!L458,"")</f>
        <v/>
      </c>
      <c r="D483" s="1" t="str">
        <f>IF(ISBLANK('SQL Builder'!K458)=FALSE,'SQL Builder'!O458,"")</f>
        <v/>
      </c>
      <c r="H483" s="43" t="str">
        <f>IF(ISBLANK('SQL Builder'!K457)=FALSE,H482+1,"")</f>
        <v/>
      </c>
      <c r="I483" s="1" t="str">
        <f>IF(ISBLANK('SQL Builder'!P458)=FALSE,'SQL Builder'!N458,"")</f>
        <v/>
      </c>
      <c r="J483" s="79">
        <f t="shared" si="7"/>
        <v>0</v>
      </c>
    </row>
    <row r="484" spans="2:10" ht="16.5" x14ac:dyDescent="0.25">
      <c r="B484" s="49" t="e">
        <f>IF(ISBLANK('SQL Builder'!K459)=FALSE,(DATE(LEFT('SQL Builder'!K459,4),MID('SQL Builder'!K459,6,2),MID('SQL Builder'!K459,9,2))),NA())</f>
        <v>#N/A</v>
      </c>
      <c r="C484" s="50" t="str">
        <f>IF(ISBLANK('SQL Builder'!K459)=FALSE,'SQL Builder'!L459,"")</f>
        <v/>
      </c>
      <c r="D484" s="1" t="str">
        <f>IF(ISBLANK('SQL Builder'!K459)=FALSE,'SQL Builder'!O459,"")</f>
        <v/>
      </c>
      <c r="H484" s="43" t="str">
        <f>IF(ISBLANK('SQL Builder'!K458)=FALSE,H483+1,"")</f>
        <v/>
      </c>
      <c r="I484" s="1" t="str">
        <f>IF(ISBLANK('SQL Builder'!P459)=FALSE,'SQL Builder'!N459,"")</f>
        <v/>
      </c>
      <c r="J484" s="79">
        <f t="shared" si="7"/>
        <v>0</v>
      </c>
    </row>
    <row r="485" spans="2:10" ht="16.5" x14ac:dyDescent="0.25">
      <c r="B485" s="49" t="e">
        <f>IF(ISBLANK('SQL Builder'!K460)=FALSE,(DATE(LEFT('SQL Builder'!K460,4),MID('SQL Builder'!K460,6,2),MID('SQL Builder'!K460,9,2))),NA())</f>
        <v>#N/A</v>
      </c>
      <c r="C485" s="50" t="str">
        <f>IF(ISBLANK('SQL Builder'!K460)=FALSE,'SQL Builder'!L460,"")</f>
        <v/>
      </c>
      <c r="D485" s="1" t="str">
        <f>IF(ISBLANK('SQL Builder'!K460)=FALSE,'SQL Builder'!O460,"")</f>
        <v/>
      </c>
      <c r="H485" s="43" t="str">
        <f>IF(ISBLANK('SQL Builder'!K459)=FALSE,H484+1,"")</f>
        <v/>
      </c>
      <c r="I485" s="1" t="str">
        <f>IF(ISBLANK('SQL Builder'!P460)=FALSE,'SQL Builder'!N460,"")</f>
        <v/>
      </c>
      <c r="J485" s="79">
        <f t="shared" si="7"/>
        <v>0</v>
      </c>
    </row>
    <row r="486" spans="2:10" ht="16.5" x14ac:dyDescent="0.25">
      <c r="B486" s="49" t="e">
        <f>IF(ISBLANK('SQL Builder'!K461)=FALSE,(DATE(LEFT('SQL Builder'!K461,4),MID('SQL Builder'!K461,6,2),MID('SQL Builder'!K461,9,2))),NA())</f>
        <v>#N/A</v>
      </c>
      <c r="C486" s="50" t="str">
        <f>IF(ISBLANK('SQL Builder'!K461)=FALSE,'SQL Builder'!L461,"")</f>
        <v/>
      </c>
      <c r="D486" s="1" t="str">
        <f>IF(ISBLANK('SQL Builder'!K461)=FALSE,'SQL Builder'!O461,"")</f>
        <v/>
      </c>
      <c r="H486" s="43" t="str">
        <f>IF(ISBLANK('SQL Builder'!K460)=FALSE,H485+1,"")</f>
        <v/>
      </c>
      <c r="I486" s="1" t="str">
        <f>IF(ISBLANK('SQL Builder'!P461)=FALSE,'SQL Builder'!N461,"")</f>
        <v/>
      </c>
      <c r="J486" s="79">
        <f t="shared" si="7"/>
        <v>0</v>
      </c>
    </row>
    <row r="487" spans="2:10" ht="16.5" x14ac:dyDescent="0.25">
      <c r="B487" s="49" t="e">
        <f>IF(ISBLANK('SQL Builder'!K462)=FALSE,(DATE(LEFT('SQL Builder'!K462,4),MID('SQL Builder'!K462,6,2),MID('SQL Builder'!K462,9,2))),NA())</f>
        <v>#N/A</v>
      </c>
      <c r="C487" s="50" t="str">
        <f>IF(ISBLANK('SQL Builder'!K462)=FALSE,'SQL Builder'!L462,"")</f>
        <v/>
      </c>
      <c r="D487" s="1" t="str">
        <f>IF(ISBLANK('SQL Builder'!K462)=FALSE,'SQL Builder'!O462,"")</f>
        <v/>
      </c>
      <c r="H487" s="43" t="str">
        <f>IF(ISBLANK('SQL Builder'!K461)=FALSE,H486+1,"")</f>
        <v/>
      </c>
      <c r="I487" s="1" t="str">
        <f>IF(ISBLANK('SQL Builder'!P462)=FALSE,'SQL Builder'!N462,"")</f>
        <v/>
      </c>
      <c r="J487" s="79">
        <f t="shared" si="7"/>
        <v>0</v>
      </c>
    </row>
    <row r="488" spans="2:10" ht="16.5" x14ac:dyDescent="0.25">
      <c r="B488" s="49" t="e">
        <f>IF(ISBLANK('SQL Builder'!K463)=FALSE,(DATE(LEFT('SQL Builder'!K463,4),MID('SQL Builder'!K463,6,2),MID('SQL Builder'!K463,9,2))),NA())</f>
        <v>#N/A</v>
      </c>
      <c r="C488" s="50" t="str">
        <f>IF(ISBLANK('SQL Builder'!K463)=FALSE,'SQL Builder'!L463,"")</f>
        <v/>
      </c>
      <c r="D488" s="1" t="str">
        <f>IF(ISBLANK('SQL Builder'!K463)=FALSE,'SQL Builder'!O463,"")</f>
        <v/>
      </c>
      <c r="H488" s="43" t="str">
        <f>IF(ISBLANK('SQL Builder'!K462)=FALSE,H487+1,"")</f>
        <v/>
      </c>
      <c r="I488" s="1" t="str">
        <f>IF(ISBLANK('SQL Builder'!P463)=FALSE,'SQL Builder'!N463,"")</f>
        <v/>
      </c>
      <c r="J488" s="79">
        <f t="shared" si="7"/>
        <v>0</v>
      </c>
    </row>
    <row r="489" spans="2:10" ht="16.5" x14ac:dyDescent="0.25">
      <c r="B489" s="49" t="e">
        <f>IF(ISBLANK('SQL Builder'!K464)=FALSE,(DATE(LEFT('SQL Builder'!K464,4),MID('SQL Builder'!K464,6,2),MID('SQL Builder'!K464,9,2))),NA())</f>
        <v>#N/A</v>
      </c>
      <c r="C489" s="50" t="str">
        <f>IF(ISBLANK('SQL Builder'!K464)=FALSE,'SQL Builder'!L464,"")</f>
        <v/>
      </c>
      <c r="D489" s="1" t="str">
        <f>IF(ISBLANK('SQL Builder'!K464)=FALSE,'SQL Builder'!O464,"")</f>
        <v/>
      </c>
      <c r="H489" s="43" t="str">
        <f>IF(ISBLANK('SQL Builder'!K463)=FALSE,H488+1,"")</f>
        <v/>
      </c>
      <c r="I489" s="1" t="str">
        <f>IF(ISBLANK('SQL Builder'!P464)=FALSE,'SQL Builder'!N464,"")</f>
        <v/>
      </c>
      <c r="J489" s="79">
        <f t="shared" si="7"/>
        <v>0</v>
      </c>
    </row>
    <row r="490" spans="2:10" ht="16.5" x14ac:dyDescent="0.25">
      <c r="B490" s="49" t="e">
        <f>IF(ISBLANK('SQL Builder'!K465)=FALSE,(DATE(LEFT('SQL Builder'!K465,4),MID('SQL Builder'!K465,6,2),MID('SQL Builder'!K465,9,2))),NA())</f>
        <v>#N/A</v>
      </c>
      <c r="C490" s="50" t="str">
        <f>IF(ISBLANK('SQL Builder'!K465)=FALSE,'SQL Builder'!L465,"")</f>
        <v/>
      </c>
      <c r="D490" s="1" t="str">
        <f>IF(ISBLANK('SQL Builder'!K465)=FALSE,'SQL Builder'!O465,"")</f>
        <v/>
      </c>
      <c r="H490" s="43" t="str">
        <f>IF(ISBLANK('SQL Builder'!K464)=FALSE,H489+1,"")</f>
        <v/>
      </c>
      <c r="I490" s="1" t="str">
        <f>IF(ISBLANK('SQL Builder'!P465)=FALSE,'SQL Builder'!N465,"")</f>
        <v/>
      </c>
      <c r="J490" s="79">
        <f t="shared" si="7"/>
        <v>0</v>
      </c>
    </row>
    <row r="491" spans="2:10" ht="16.5" x14ac:dyDescent="0.25">
      <c r="B491" s="49" t="e">
        <f>IF(ISBLANK('SQL Builder'!K466)=FALSE,(DATE(LEFT('SQL Builder'!K466,4),MID('SQL Builder'!K466,6,2),MID('SQL Builder'!K466,9,2))),NA())</f>
        <v>#N/A</v>
      </c>
      <c r="C491" s="50" t="str">
        <f>IF(ISBLANK('SQL Builder'!K466)=FALSE,'SQL Builder'!L466,"")</f>
        <v/>
      </c>
      <c r="D491" s="1" t="str">
        <f>IF(ISBLANK('SQL Builder'!K466)=FALSE,'SQL Builder'!O466,"")</f>
        <v/>
      </c>
      <c r="H491" s="43" t="str">
        <f>IF(ISBLANK('SQL Builder'!K465)=FALSE,H490+1,"")</f>
        <v/>
      </c>
      <c r="I491" s="1" t="str">
        <f>IF(ISBLANK('SQL Builder'!P466)=FALSE,'SQL Builder'!N466,"")</f>
        <v/>
      </c>
      <c r="J491" s="79">
        <f t="shared" si="7"/>
        <v>0</v>
      </c>
    </row>
    <row r="492" spans="2:10" ht="16.5" x14ac:dyDescent="0.25">
      <c r="B492" s="49" t="e">
        <f>IF(ISBLANK('SQL Builder'!K467)=FALSE,(DATE(LEFT('SQL Builder'!K467,4),MID('SQL Builder'!K467,6,2),MID('SQL Builder'!K467,9,2))),NA())</f>
        <v>#N/A</v>
      </c>
      <c r="C492" s="50" t="str">
        <f>IF(ISBLANK('SQL Builder'!K467)=FALSE,'SQL Builder'!L467,"")</f>
        <v/>
      </c>
      <c r="D492" s="1" t="str">
        <f>IF(ISBLANK('SQL Builder'!K467)=FALSE,'SQL Builder'!O467,"")</f>
        <v/>
      </c>
      <c r="H492" s="43" t="str">
        <f>IF(ISBLANK('SQL Builder'!K466)=FALSE,H491+1,"")</f>
        <v/>
      </c>
      <c r="I492" s="1" t="str">
        <f>IF(ISBLANK('SQL Builder'!P467)=FALSE,'SQL Builder'!N467,"")</f>
        <v/>
      </c>
      <c r="J492" s="79">
        <f t="shared" si="7"/>
        <v>0</v>
      </c>
    </row>
    <row r="493" spans="2:10" ht="16.5" x14ac:dyDescent="0.25">
      <c r="B493" s="49" t="e">
        <f>IF(ISBLANK('SQL Builder'!K468)=FALSE,(DATE(LEFT('SQL Builder'!K468,4),MID('SQL Builder'!K468,6,2),MID('SQL Builder'!K468,9,2))),NA())</f>
        <v>#N/A</v>
      </c>
      <c r="C493" s="50" t="str">
        <f>IF(ISBLANK('SQL Builder'!K468)=FALSE,'SQL Builder'!L468,"")</f>
        <v/>
      </c>
      <c r="D493" s="1" t="str">
        <f>IF(ISBLANK('SQL Builder'!K468)=FALSE,'SQL Builder'!O468,"")</f>
        <v/>
      </c>
      <c r="H493" s="43" t="str">
        <f>IF(ISBLANK('SQL Builder'!K467)=FALSE,H492+1,"")</f>
        <v/>
      </c>
      <c r="I493" s="1" t="str">
        <f>IF(ISBLANK('SQL Builder'!P468)=FALSE,'SQL Builder'!N468,"")</f>
        <v/>
      </c>
      <c r="J493" s="79">
        <f t="shared" si="7"/>
        <v>0</v>
      </c>
    </row>
    <row r="494" spans="2:10" ht="16.5" x14ac:dyDescent="0.25">
      <c r="B494" s="49" t="e">
        <f>IF(ISBLANK('SQL Builder'!K469)=FALSE,(DATE(LEFT('SQL Builder'!K469,4),MID('SQL Builder'!K469,6,2),MID('SQL Builder'!K469,9,2))),NA())</f>
        <v>#N/A</v>
      </c>
      <c r="C494" s="50" t="str">
        <f>IF(ISBLANK('SQL Builder'!K469)=FALSE,'SQL Builder'!L469,"")</f>
        <v/>
      </c>
      <c r="D494" s="1" t="str">
        <f>IF(ISBLANK('SQL Builder'!K469)=FALSE,'SQL Builder'!O469,"")</f>
        <v/>
      </c>
      <c r="H494" s="43" t="str">
        <f>IF(ISBLANK('SQL Builder'!K468)=FALSE,H493+1,"")</f>
        <v/>
      </c>
      <c r="I494" s="1" t="str">
        <f>IF(ISBLANK('SQL Builder'!P469)=FALSE,'SQL Builder'!N469,"")</f>
        <v/>
      </c>
      <c r="J494" s="79">
        <f t="shared" si="7"/>
        <v>0</v>
      </c>
    </row>
    <row r="495" spans="2:10" ht="16.5" x14ac:dyDescent="0.25">
      <c r="B495" s="49" t="e">
        <f>IF(ISBLANK('SQL Builder'!K470)=FALSE,(DATE(LEFT('SQL Builder'!K470,4),MID('SQL Builder'!K470,6,2),MID('SQL Builder'!K470,9,2))),NA())</f>
        <v>#N/A</v>
      </c>
      <c r="C495" s="50" t="str">
        <f>IF(ISBLANK('SQL Builder'!K470)=FALSE,'SQL Builder'!L470,"")</f>
        <v/>
      </c>
      <c r="D495" s="1" t="str">
        <f>IF(ISBLANK('SQL Builder'!K470)=FALSE,'SQL Builder'!O470,"")</f>
        <v/>
      </c>
      <c r="H495" s="43" t="str">
        <f>IF(ISBLANK('SQL Builder'!K469)=FALSE,H494+1,"")</f>
        <v/>
      </c>
      <c r="I495" s="1" t="str">
        <f>IF(ISBLANK('SQL Builder'!P470)=FALSE,'SQL Builder'!N470,"")</f>
        <v/>
      </c>
      <c r="J495" s="79">
        <f t="shared" si="7"/>
        <v>0</v>
      </c>
    </row>
    <row r="496" spans="2:10" ht="16.5" x14ac:dyDescent="0.25">
      <c r="B496" s="49" t="e">
        <f>IF(ISBLANK('SQL Builder'!K471)=FALSE,(DATE(LEFT('SQL Builder'!K471,4),MID('SQL Builder'!K471,6,2),MID('SQL Builder'!K471,9,2))),NA())</f>
        <v>#N/A</v>
      </c>
      <c r="C496" s="50" t="str">
        <f>IF(ISBLANK('SQL Builder'!K471)=FALSE,'SQL Builder'!L471,"")</f>
        <v/>
      </c>
      <c r="D496" s="1" t="str">
        <f>IF(ISBLANK('SQL Builder'!K471)=FALSE,'SQL Builder'!O471,"")</f>
        <v/>
      </c>
      <c r="H496" s="43" t="str">
        <f>IF(ISBLANK('SQL Builder'!K470)=FALSE,H495+1,"")</f>
        <v/>
      </c>
      <c r="I496" s="1" t="str">
        <f>IF(ISBLANK('SQL Builder'!P471)=FALSE,'SQL Builder'!N471,"")</f>
        <v/>
      </c>
      <c r="J496" s="79">
        <f t="shared" si="7"/>
        <v>0</v>
      </c>
    </row>
    <row r="497" spans="2:10" ht="16.5" x14ac:dyDescent="0.25">
      <c r="B497" s="49" t="e">
        <f>IF(ISBLANK('SQL Builder'!K472)=FALSE,(DATE(LEFT('SQL Builder'!K472,4),MID('SQL Builder'!K472,6,2),MID('SQL Builder'!K472,9,2))),NA())</f>
        <v>#N/A</v>
      </c>
      <c r="C497" s="50" t="str">
        <f>IF(ISBLANK('SQL Builder'!K472)=FALSE,'SQL Builder'!L472,"")</f>
        <v/>
      </c>
      <c r="D497" s="1" t="str">
        <f>IF(ISBLANK('SQL Builder'!K472)=FALSE,'SQL Builder'!O472,"")</f>
        <v/>
      </c>
      <c r="H497" s="43" t="str">
        <f>IF(ISBLANK('SQL Builder'!K471)=FALSE,H496+1,"")</f>
        <v/>
      </c>
      <c r="I497" s="1" t="str">
        <f>IF(ISBLANK('SQL Builder'!P472)=FALSE,'SQL Builder'!N472,"")</f>
        <v/>
      </c>
      <c r="J497" s="79">
        <f t="shared" si="7"/>
        <v>0</v>
      </c>
    </row>
    <row r="498" spans="2:10" ht="16.5" x14ac:dyDescent="0.25">
      <c r="B498" s="49" t="e">
        <f>IF(ISBLANK('SQL Builder'!K473)=FALSE,(DATE(LEFT('SQL Builder'!K473,4),MID('SQL Builder'!K473,6,2),MID('SQL Builder'!K473,9,2))),NA())</f>
        <v>#N/A</v>
      </c>
      <c r="C498" s="50" t="str">
        <f>IF(ISBLANK('SQL Builder'!K473)=FALSE,'SQL Builder'!L473,"")</f>
        <v/>
      </c>
      <c r="D498" s="1" t="str">
        <f>IF(ISBLANK('SQL Builder'!K473)=FALSE,'SQL Builder'!O473,"")</f>
        <v/>
      </c>
      <c r="H498" s="43" t="str">
        <f>IF(ISBLANK('SQL Builder'!K472)=FALSE,H497+1,"")</f>
        <v/>
      </c>
      <c r="I498" s="1" t="str">
        <f>IF(ISBLANK('SQL Builder'!P473)=FALSE,'SQL Builder'!N473,"")</f>
        <v/>
      </c>
      <c r="J498" s="79">
        <f t="shared" si="7"/>
        <v>0</v>
      </c>
    </row>
    <row r="499" spans="2:10" ht="16.5" x14ac:dyDescent="0.25">
      <c r="B499" s="49" t="e">
        <f>IF(ISBLANK('SQL Builder'!K474)=FALSE,(DATE(LEFT('SQL Builder'!K474,4),MID('SQL Builder'!K474,6,2),MID('SQL Builder'!K474,9,2))),NA())</f>
        <v>#N/A</v>
      </c>
      <c r="C499" s="50" t="str">
        <f>IF(ISBLANK('SQL Builder'!K474)=FALSE,'SQL Builder'!L474,"")</f>
        <v/>
      </c>
      <c r="D499" s="1" t="str">
        <f>IF(ISBLANK('SQL Builder'!K474)=FALSE,'SQL Builder'!O474,"")</f>
        <v/>
      </c>
      <c r="H499" s="43" t="str">
        <f>IF(ISBLANK('SQL Builder'!K473)=FALSE,H498+1,"")</f>
        <v/>
      </c>
      <c r="I499" s="1" t="str">
        <f>IF(ISBLANK('SQL Builder'!P474)=FALSE,'SQL Builder'!N474,"")</f>
        <v/>
      </c>
      <c r="J499" s="79">
        <f t="shared" si="7"/>
        <v>0</v>
      </c>
    </row>
    <row r="500" spans="2:10" ht="16.5" x14ac:dyDescent="0.25">
      <c r="B500" s="49" t="e">
        <f>IF(ISBLANK('SQL Builder'!K475)=FALSE,(DATE(LEFT('SQL Builder'!K475,4),MID('SQL Builder'!K475,6,2),MID('SQL Builder'!K475,9,2))),NA())</f>
        <v>#N/A</v>
      </c>
      <c r="C500" s="50" t="str">
        <f>IF(ISBLANK('SQL Builder'!K475)=FALSE,'SQL Builder'!L475,"")</f>
        <v/>
      </c>
      <c r="D500" s="1" t="str">
        <f>IF(ISBLANK('SQL Builder'!K475)=FALSE,'SQL Builder'!O475,"")</f>
        <v/>
      </c>
      <c r="H500" s="43" t="str">
        <f>IF(ISBLANK('SQL Builder'!K474)=FALSE,H499+1,"")</f>
        <v/>
      </c>
      <c r="I500" s="1" t="str">
        <f>IF(ISBLANK('SQL Builder'!P475)=FALSE,'SQL Builder'!N475,"")</f>
        <v/>
      </c>
      <c r="J500" s="79">
        <f t="shared" si="7"/>
        <v>0</v>
      </c>
    </row>
    <row r="501" spans="2:10" ht="16.5" x14ac:dyDescent="0.25">
      <c r="B501" s="49" t="e">
        <f>IF(ISBLANK('SQL Builder'!K476)=FALSE,(DATE(LEFT('SQL Builder'!K476,4),MID('SQL Builder'!K476,6,2),MID('SQL Builder'!K476,9,2))),NA())</f>
        <v>#N/A</v>
      </c>
      <c r="C501" s="50" t="str">
        <f>IF(ISBLANK('SQL Builder'!K476)=FALSE,'SQL Builder'!L476,"")</f>
        <v/>
      </c>
      <c r="D501" s="1" t="str">
        <f>IF(ISBLANK('SQL Builder'!K476)=FALSE,'SQL Builder'!O476,"")</f>
        <v/>
      </c>
      <c r="H501" s="43" t="str">
        <f>IF(ISBLANK('SQL Builder'!K475)=FALSE,H500+1,"")</f>
        <v/>
      </c>
      <c r="I501" s="1" t="str">
        <f>IF(ISBLANK('SQL Builder'!P476)=FALSE,'SQL Builder'!N476,"")</f>
        <v/>
      </c>
      <c r="J501" s="79">
        <f t="shared" si="7"/>
        <v>0</v>
      </c>
    </row>
    <row r="502" spans="2:10" ht="16.5" x14ac:dyDescent="0.25">
      <c r="B502" s="49" t="e">
        <f>IF(ISBLANK('SQL Builder'!K477)=FALSE,(DATE(LEFT('SQL Builder'!K477,4),MID('SQL Builder'!K477,6,2),MID('SQL Builder'!K477,9,2))),NA())</f>
        <v>#N/A</v>
      </c>
      <c r="C502" s="50" t="str">
        <f>IF(ISBLANK('SQL Builder'!K477)=FALSE,'SQL Builder'!L477,"")</f>
        <v/>
      </c>
      <c r="D502" s="1" t="str">
        <f>IF(ISBLANK('SQL Builder'!K477)=FALSE,'SQL Builder'!O477,"")</f>
        <v/>
      </c>
      <c r="H502" s="43" t="str">
        <f>IF(ISBLANK('SQL Builder'!K476)=FALSE,H501+1,"")</f>
        <v/>
      </c>
      <c r="I502" s="1" t="str">
        <f>IF(ISBLANK('SQL Builder'!P477)=FALSE,'SQL Builder'!N477,"")</f>
        <v/>
      </c>
      <c r="J502" s="79">
        <f t="shared" si="7"/>
        <v>0</v>
      </c>
    </row>
    <row r="503" spans="2:10" ht="16.5" x14ac:dyDescent="0.25">
      <c r="B503" s="49" t="e">
        <f>IF(ISBLANK('SQL Builder'!K478)=FALSE,(DATE(LEFT('SQL Builder'!K478,4),MID('SQL Builder'!K478,6,2),MID('SQL Builder'!K478,9,2))),NA())</f>
        <v>#N/A</v>
      </c>
      <c r="C503" s="50" t="str">
        <f>IF(ISBLANK('SQL Builder'!K478)=FALSE,'SQL Builder'!L478,"")</f>
        <v/>
      </c>
      <c r="D503" s="1" t="str">
        <f>IF(ISBLANK('SQL Builder'!K478)=FALSE,'SQL Builder'!O478,"")</f>
        <v/>
      </c>
      <c r="H503" s="43" t="str">
        <f>IF(ISBLANK('SQL Builder'!K477)=FALSE,H502+1,"")</f>
        <v/>
      </c>
      <c r="I503" s="1" t="str">
        <f>IF(ISBLANK('SQL Builder'!P478)=FALSE,'SQL Builder'!N478,"")</f>
        <v/>
      </c>
      <c r="J503" s="79">
        <f t="shared" si="7"/>
        <v>0</v>
      </c>
    </row>
    <row r="504" spans="2:10" ht="16.5" x14ac:dyDescent="0.25">
      <c r="B504" s="49" t="e">
        <f>IF(ISBLANK('SQL Builder'!K479)=FALSE,(DATE(LEFT('SQL Builder'!K479,4),MID('SQL Builder'!K479,6,2),MID('SQL Builder'!K479,9,2))),NA())</f>
        <v>#N/A</v>
      </c>
      <c r="C504" s="50" t="str">
        <f>IF(ISBLANK('SQL Builder'!K479)=FALSE,'SQL Builder'!L479,"")</f>
        <v/>
      </c>
      <c r="D504" s="1" t="str">
        <f>IF(ISBLANK('SQL Builder'!K479)=FALSE,'SQL Builder'!O479,"")</f>
        <v/>
      </c>
      <c r="H504" s="43" t="str">
        <f>IF(ISBLANK('SQL Builder'!K478)=FALSE,H503+1,"")</f>
        <v/>
      </c>
      <c r="I504" s="1" t="str">
        <f>IF(ISBLANK('SQL Builder'!P479)=FALSE,'SQL Builder'!N479,"")</f>
        <v/>
      </c>
      <c r="J504" s="79">
        <f t="shared" si="7"/>
        <v>0</v>
      </c>
    </row>
    <row r="505" spans="2:10" ht="16.5" x14ac:dyDescent="0.25">
      <c r="B505" s="49" t="e">
        <f>IF(ISBLANK('SQL Builder'!K480)=FALSE,(DATE(LEFT('SQL Builder'!K480,4),MID('SQL Builder'!K480,6,2),MID('SQL Builder'!K480,9,2))),NA())</f>
        <v>#N/A</v>
      </c>
      <c r="C505" s="50" t="str">
        <f>IF(ISBLANK('SQL Builder'!K480)=FALSE,'SQL Builder'!L480,"")</f>
        <v/>
      </c>
      <c r="D505" s="1" t="str">
        <f>IF(ISBLANK('SQL Builder'!K480)=FALSE,'SQL Builder'!O480,"")</f>
        <v/>
      </c>
      <c r="H505" s="43" t="str">
        <f>IF(ISBLANK('SQL Builder'!K479)=FALSE,H504+1,"")</f>
        <v/>
      </c>
      <c r="I505" s="1" t="str">
        <f>IF(ISBLANK('SQL Builder'!P480)=FALSE,'SQL Builder'!N480,"")</f>
        <v/>
      </c>
      <c r="J505" s="79">
        <f t="shared" si="7"/>
        <v>0</v>
      </c>
    </row>
    <row r="506" spans="2:10" ht="16.5" x14ac:dyDescent="0.25">
      <c r="B506" s="49" t="e">
        <f>IF(ISBLANK('SQL Builder'!K481)=FALSE,(DATE(LEFT('SQL Builder'!K481,4),MID('SQL Builder'!K481,6,2),MID('SQL Builder'!K481,9,2))),NA())</f>
        <v>#N/A</v>
      </c>
      <c r="C506" s="50" t="str">
        <f>IF(ISBLANK('SQL Builder'!K481)=FALSE,'SQL Builder'!L481,"")</f>
        <v/>
      </c>
      <c r="D506" s="1" t="str">
        <f>IF(ISBLANK('SQL Builder'!K481)=FALSE,'SQL Builder'!O481,"")</f>
        <v/>
      </c>
      <c r="H506" s="43" t="str">
        <f>IF(ISBLANK('SQL Builder'!K480)=FALSE,H505+1,"")</f>
        <v/>
      </c>
      <c r="I506" s="1" t="str">
        <f>IF(ISBLANK('SQL Builder'!P481)=FALSE,'SQL Builder'!N481,"")</f>
        <v/>
      </c>
      <c r="J506" s="79">
        <f t="shared" si="7"/>
        <v>0</v>
      </c>
    </row>
    <row r="507" spans="2:10" ht="16.5" x14ac:dyDescent="0.25">
      <c r="B507" s="49" t="e">
        <f>IF(ISBLANK('SQL Builder'!K482)=FALSE,(DATE(LEFT('SQL Builder'!K482,4),MID('SQL Builder'!K482,6,2),MID('SQL Builder'!K482,9,2))),NA())</f>
        <v>#N/A</v>
      </c>
      <c r="C507" s="50" t="str">
        <f>IF(ISBLANK('SQL Builder'!K482)=FALSE,'SQL Builder'!L482,"")</f>
        <v/>
      </c>
      <c r="D507" s="1" t="str">
        <f>IF(ISBLANK('SQL Builder'!K482)=FALSE,'SQL Builder'!O482,"")</f>
        <v/>
      </c>
      <c r="H507" s="43" t="str">
        <f>IF(ISBLANK('SQL Builder'!K481)=FALSE,H506+1,"")</f>
        <v/>
      </c>
      <c r="I507" s="1" t="str">
        <f>IF(ISBLANK('SQL Builder'!P482)=FALSE,'SQL Builder'!N482,"")</f>
        <v/>
      </c>
      <c r="J507" s="79">
        <f t="shared" si="7"/>
        <v>0</v>
      </c>
    </row>
    <row r="508" spans="2:10" ht="16.5" x14ac:dyDescent="0.25">
      <c r="B508" s="49" t="e">
        <f>IF(ISBLANK('SQL Builder'!K483)=FALSE,(DATE(LEFT('SQL Builder'!K483,4),MID('SQL Builder'!K483,6,2),MID('SQL Builder'!K483,9,2))),NA())</f>
        <v>#N/A</v>
      </c>
      <c r="C508" s="50" t="str">
        <f>IF(ISBLANK('SQL Builder'!K483)=FALSE,'SQL Builder'!L483,"")</f>
        <v/>
      </c>
      <c r="D508" s="1" t="str">
        <f>IF(ISBLANK('SQL Builder'!K483)=FALSE,'SQL Builder'!O483,"")</f>
        <v/>
      </c>
      <c r="H508" s="43" t="str">
        <f>IF(ISBLANK('SQL Builder'!K482)=FALSE,H507+1,"")</f>
        <v/>
      </c>
      <c r="I508" s="1" t="str">
        <f>IF(ISBLANK('SQL Builder'!P483)=FALSE,'SQL Builder'!N483,"")</f>
        <v/>
      </c>
      <c r="J508" s="79">
        <f t="shared" si="7"/>
        <v>0</v>
      </c>
    </row>
    <row r="509" spans="2:10" ht="16.5" x14ac:dyDescent="0.25">
      <c r="B509" s="49" t="e">
        <f>IF(ISBLANK('SQL Builder'!K484)=FALSE,(DATE(LEFT('SQL Builder'!K484,4),MID('SQL Builder'!K484,6,2),MID('SQL Builder'!K484,9,2))),NA())</f>
        <v>#N/A</v>
      </c>
      <c r="C509" s="50" t="str">
        <f>IF(ISBLANK('SQL Builder'!K484)=FALSE,'SQL Builder'!L484,"")</f>
        <v/>
      </c>
      <c r="D509" s="1" t="str">
        <f>IF(ISBLANK('SQL Builder'!K484)=FALSE,'SQL Builder'!O484,"")</f>
        <v/>
      </c>
      <c r="H509" s="43" t="str">
        <f>IF(ISBLANK('SQL Builder'!K483)=FALSE,H508+1,"")</f>
        <v/>
      </c>
      <c r="I509" s="1" t="str">
        <f>IF(ISBLANK('SQL Builder'!P484)=FALSE,'SQL Builder'!N484,"")</f>
        <v/>
      </c>
      <c r="J509" s="79">
        <f t="shared" si="7"/>
        <v>0</v>
      </c>
    </row>
    <row r="510" spans="2:10" ht="16.5" x14ac:dyDescent="0.25">
      <c r="B510" s="49" t="e">
        <f>IF(ISBLANK('SQL Builder'!K485)=FALSE,(DATE(LEFT('SQL Builder'!K485,4),MID('SQL Builder'!K485,6,2),MID('SQL Builder'!K485,9,2))),NA())</f>
        <v>#N/A</v>
      </c>
      <c r="C510" s="50" t="str">
        <f>IF(ISBLANK('SQL Builder'!K485)=FALSE,'SQL Builder'!L485,"")</f>
        <v/>
      </c>
      <c r="D510" s="1" t="str">
        <f>IF(ISBLANK('SQL Builder'!K485)=FALSE,'SQL Builder'!O485,"")</f>
        <v/>
      </c>
      <c r="H510" s="43" t="str">
        <f>IF(ISBLANK('SQL Builder'!K484)=FALSE,H509+1,"")</f>
        <v/>
      </c>
      <c r="I510" s="1" t="str">
        <f>IF(ISBLANK('SQL Builder'!P485)=FALSE,'SQL Builder'!N485,"")</f>
        <v/>
      </c>
      <c r="J510" s="79">
        <f t="shared" si="7"/>
        <v>0</v>
      </c>
    </row>
    <row r="511" spans="2:10" ht="16.5" x14ac:dyDescent="0.25">
      <c r="B511" s="49" t="e">
        <f>IF(ISBLANK('SQL Builder'!K486)=FALSE,(DATE(LEFT('SQL Builder'!K486,4),MID('SQL Builder'!K486,6,2),MID('SQL Builder'!K486,9,2))),NA())</f>
        <v>#N/A</v>
      </c>
      <c r="C511" s="50" t="str">
        <f>IF(ISBLANK('SQL Builder'!K486)=FALSE,'SQL Builder'!L486,"")</f>
        <v/>
      </c>
      <c r="D511" s="1" t="str">
        <f>IF(ISBLANK('SQL Builder'!K486)=FALSE,'SQL Builder'!O486,"")</f>
        <v/>
      </c>
      <c r="H511" s="43" t="str">
        <f>IF(ISBLANK('SQL Builder'!K485)=FALSE,H510+1,"")</f>
        <v/>
      </c>
      <c r="I511" s="1" t="str">
        <f>IF(ISBLANK('SQL Builder'!P486)=FALSE,'SQL Builder'!N486,"")</f>
        <v/>
      </c>
      <c r="J511" s="79">
        <f t="shared" si="7"/>
        <v>0</v>
      </c>
    </row>
    <row r="512" spans="2:10" ht="16.5" x14ac:dyDescent="0.25">
      <c r="B512" s="49" t="e">
        <f>IF(ISBLANK('SQL Builder'!K487)=FALSE,(DATE(LEFT('SQL Builder'!K487,4),MID('SQL Builder'!K487,6,2),MID('SQL Builder'!K487,9,2))),NA())</f>
        <v>#N/A</v>
      </c>
      <c r="C512" s="50" t="str">
        <f>IF(ISBLANK('SQL Builder'!K487)=FALSE,'SQL Builder'!L487,"")</f>
        <v/>
      </c>
      <c r="D512" s="1" t="str">
        <f>IF(ISBLANK('SQL Builder'!K487)=FALSE,'SQL Builder'!O487,"")</f>
        <v/>
      </c>
      <c r="H512" s="43" t="str">
        <f>IF(ISBLANK('SQL Builder'!K486)=FALSE,H511+1,"")</f>
        <v/>
      </c>
      <c r="I512" s="1" t="str">
        <f>IF(ISBLANK('SQL Builder'!P487)=FALSE,'SQL Builder'!N487,"")</f>
        <v/>
      </c>
      <c r="J512" s="79">
        <f t="shared" si="7"/>
        <v>0</v>
      </c>
    </row>
    <row r="513" spans="2:10" ht="16.5" x14ac:dyDescent="0.25">
      <c r="B513" s="49" t="e">
        <f>IF(ISBLANK('SQL Builder'!K488)=FALSE,(DATE(LEFT('SQL Builder'!K488,4),MID('SQL Builder'!K488,6,2),MID('SQL Builder'!K488,9,2))),NA())</f>
        <v>#N/A</v>
      </c>
      <c r="C513" s="50" t="str">
        <f>IF(ISBLANK('SQL Builder'!K488)=FALSE,'SQL Builder'!L488,"")</f>
        <v/>
      </c>
      <c r="D513" s="1" t="str">
        <f>IF(ISBLANK('SQL Builder'!K488)=FALSE,'SQL Builder'!O488,"")</f>
        <v/>
      </c>
      <c r="H513" s="43" t="str">
        <f>IF(ISBLANK('SQL Builder'!K487)=FALSE,H512+1,"")</f>
        <v/>
      </c>
      <c r="I513" s="1" t="str">
        <f>IF(ISBLANK('SQL Builder'!P488)=FALSE,'SQL Builder'!N488,"")</f>
        <v/>
      </c>
      <c r="J513" s="79">
        <f t="shared" si="7"/>
        <v>0</v>
      </c>
    </row>
    <row r="514" spans="2:10" ht="16.5" x14ac:dyDescent="0.25">
      <c r="B514" s="49" t="e">
        <f>IF(ISBLANK('SQL Builder'!K489)=FALSE,(DATE(LEFT('SQL Builder'!K489,4),MID('SQL Builder'!K489,6,2),MID('SQL Builder'!K489,9,2))),NA())</f>
        <v>#N/A</v>
      </c>
      <c r="C514" s="50" t="str">
        <f>IF(ISBLANK('SQL Builder'!K489)=FALSE,'SQL Builder'!L489,"")</f>
        <v/>
      </c>
      <c r="D514" s="1" t="str">
        <f>IF(ISBLANK('SQL Builder'!K489)=FALSE,'SQL Builder'!O489,"")</f>
        <v/>
      </c>
      <c r="H514" s="43" t="str">
        <f>IF(ISBLANK('SQL Builder'!K488)=FALSE,H513+1,"")</f>
        <v/>
      </c>
      <c r="I514" s="1" t="str">
        <f>IF(ISBLANK('SQL Builder'!P489)=FALSE,'SQL Builder'!N489,"")</f>
        <v/>
      </c>
      <c r="J514" s="79">
        <f t="shared" si="7"/>
        <v>0</v>
      </c>
    </row>
    <row r="515" spans="2:10" ht="16.5" x14ac:dyDescent="0.25">
      <c r="B515" s="49" t="e">
        <f>IF(ISBLANK('SQL Builder'!K490)=FALSE,(DATE(LEFT('SQL Builder'!K490,4),MID('SQL Builder'!K490,6,2),MID('SQL Builder'!K490,9,2))),NA())</f>
        <v>#N/A</v>
      </c>
      <c r="C515" s="50" t="str">
        <f>IF(ISBLANK('SQL Builder'!K490)=FALSE,'SQL Builder'!L490,"")</f>
        <v/>
      </c>
      <c r="D515" s="1" t="str">
        <f>IF(ISBLANK('SQL Builder'!K490)=FALSE,'SQL Builder'!O490,"")</f>
        <v/>
      </c>
      <c r="H515" s="43" t="str">
        <f>IF(ISBLANK('SQL Builder'!K489)=FALSE,H514+1,"")</f>
        <v/>
      </c>
      <c r="I515" s="1" t="str">
        <f>IF(ISBLANK('SQL Builder'!P490)=FALSE,'SQL Builder'!N490,"")</f>
        <v/>
      </c>
      <c r="J515" s="79">
        <f t="shared" si="7"/>
        <v>0</v>
      </c>
    </row>
    <row r="516" spans="2:10" ht="16.5" x14ac:dyDescent="0.25">
      <c r="B516" s="49" t="e">
        <f>IF(ISBLANK('SQL Builder'!K491)=FALSE,(DATE(LEFT('SQL Builder'!K491,4),MID('SQL Builder'!K491,6,2),MID('SQL Builder'!K491,9,2))),NA())</f>
        <v>#N/A</v>
      </c>
      <c r="C516" s="50" t="str">
        <f>IF(ISBLANK('SQL Builder'!K491)=FALSE,'SQL Builder'!L491,"")</f>
        <v/>
      </c>
      <c r="D516" s="1" t="str">
        <f>IF(ISBLANK('SQL Builder'!K491)=FALSE,'SQL Builder'!O491,"")</f>
        <v/>
      </c>
      <c r="H516" s="43" t="str">
        <f>IF(ISBLANK('SQL Builder'!K490)=FALSE,H515+1,"")</f>
        <v/>
      </c>
      <c r="I516" s="1" t="str">
        <f>IF(ISBLANK('SQL Builder'!P491)=FALSE,'SQL Builder'!N491,"")</f>
        <v/>
      </c>
      <c r="J516" s="79">
        <f t="shared" si="7"/>
        <v>0</v>
      </c>
    </row>
    <row r="517" spans="2:10" ht="16.5" x14ac:dyDescent="0.25">
      <c r="B517" s="49" t="e">
        <f>IF(ISBLANK('SQL Builder'!K492)=FALSE,(DATE(LEFT('SQL Builder'!K492,4),MID('SQL Builder'!K492,6,2),MID('SQL Builder'!K492,9,2))),NA())</f>
        <v>#N/A</v>
      </c>
      <c r="C517" s="50" t="str">
        <f>IF(ISBLANK('SQL Builder'!K492)=FALSE,'SQL Builder'!L492,"")</f>
        <v/>
      </c>
      <c r="D517" s="1" t="str">
        <f>IF(ISBLANK('SQL Builder'!K492)=FALSE,'SQL Builder'!O492,"")</f>
        <v/>
      </c>
      <c r="H517" s="43" t="str">
        <f>IF(ISBLANK('SQL Builder'!K491)=FALSE,H516+1,"")</f>
        <v/>
      </c>
      <c r="I517" s="1" t="str">
        <f>IF(ISBLANK('SQL Builder'!P492)=FALSE,'SQL Builder'!N492,"")</f>
        <v/>
      </c>
      <c r="J517" s="79">
        <f t="shared" si="7"/>
        <v>0</v>
      </c>
    </row>
    <row r="518" spans="2:10" ht="16.5" x14ac:dyDescent="0.25">
      <c r="B518" s="49" t="e">
        <f>IF(ISBLANK('SQL Builder'!K493)=FALSE,(DATE(LEFT('SQL Builder'!K493,4),MID('SQL Builder'!K493,6,2),MID('SQL Builder'!K493,9,2))),NA())</f>
        <v>#N/A</v>
      </c>
      <c r="C518" s="50" t="str">
        <f>IF(ISBLANK('SQL Builder'!K493)=FALSE,'SQL Builder'!L493,"")</f>
        <v/>
      </c>
      <c r="D518" s="1" t="str">
        <f>IF(ISBLANK('SQL Builder'!K493)=FALSE,'SQL Builder'!O493,"")</f>
        <v/>
      </c>
      <c r="H518" s="43" t="str">
        <f>IF(ISBLANK('SQL Builder'!K492)=FALSE,H517+1,"")</f>
        <v/>
      </c>
      <c r="I518" s="1" t="str">
        <f>IF(ISBLANK('SQL Builder'!P493)=FALSE,'SQL Builder'!N493,"")</f>
        <v/>
      </c>
      <c r="J518" s="79">
        <f t="shared" si="7"/>
        <v>0</v>
      </c>
    </row>
    <row r="519" spans="2:10" ht="16.5" x14ac:dyDescent="0.25">
      <c r="B519" s="49" t="e">
        <f>IF(ISBLANK('SQL Builder'!K494)=FALSE,(DATE(LEFT('SQL Builder'!K494,4),MID('SQL Builder'!K494,6,2),MID('SQL Builder'!K494,9,2))),NA())</f>
        <v>#N/A</v>
      </c>
      <c r="C519" s="50" t="str">
        <f>IF(ISBLANK('SQL Builder'!K494)=FALSE,'SQL Builder'!L494,"")</f>
        <v/>
      </c>
      <c r="D519" s="1" t="str">
        <f>IF(ISBLANK('SQL Builder'!K494)=FALSE,'SQL Builder'!O494,"")</f>
        <v/>
      </c>
      <c r="H519" s="43" t="str">
        <f>IF(ISBLANK('SQL Builder'!K493)=FALSE,H518+1,"")</f>
        <v/>
      </c>
      <c r="I519" s="1" t="str">
        <f>IF(ISBLANK('SQL Builder'!P494)=FALSE,'SQL Builder'!N494,"")</f>
        <v/>
      </c>
      <c r="J519" s="79">
        <f t="shared" si="7"/>
        <v>0</v>
      </c>
    </row>
    <row r="520" spans="2:10" ht="16.5" x14ac:dyDescent="0.25">
      <c r="B520" s="49" t="e">
        <f>IF(ISBLANK('SQL Builder'!K495)=FALSE,(DATE(LEFT('SQL Builder'!K495,4),MID('SQL Builder'!K495,6,2),MID('SQL Builder'!K495,9,2))),NA())</f>
        <v>#N/A</v>
      </c>
      <c r="C520" s="50" t="str">
        <f>IF(ISBLANK('SQL Builder'!K495)=FALSE,'SQL Builder'!L495,"")</f>
        <v/>
      </c>
      <c r="D520" s="1" t="str">
        <f>IF(ISBLANK('SQL Builder'!K495)=FALSE,'SQL Builder'!O495,"")</f>
        <v/>
      </c>
      <c r="H520" s="43" t="str">
        <f>IF(ISBLANK('SQL Builder'!K494)=FALSE,H519+1,"")</f>
        <v/>
      </c>
      <c r="I520" s="1" t="str">
        <f>IF(ISBLANK('SQL Builder'!P495)=FALSE,'SQL Builder'!N495,"")</f>
        <v/>
      </c>
      <c r="J520" s="79">
        <f t="shared" si="7"/>
        <v>0</v>
      </c>
    </row>
    <row r="521" spans="2:10" ht="16.5" x14ac:dyDescent="0.25">
      <c r="B521" s="49" t="e">
        <f>IF(ISBLANK('SQL Builder'!K496)=FALSE,(DATE(LEFT('SQL Builder'!K496,4),MID('SQL Builder'!K496,6,2),MID('SQL Builder'!K496,9,2))),NA())</f>
        <v>#N/A</v>
      </c>
      <c r="C521" s="50" t="str">
        <f>IF(ISBLANK('SQL Builder'!K496)=FALSE,'SQL Builder'!L496,"")</f>
        <v/>
      </c>
      <c r="D521" s="1" t="str">
        <f>IF(ISBLANK('SQL Builder'!K496)=FALSE,'SQL Builder'!O496,"")</f>
        <v/>
      </c>
      <c r="H521" s="43" t="str">
        <f>IF(ISBLANK('SQL Builder'!K495)=FALSE,H520+1,"")</f>
        <v/>
      </c>
      <c r="I521" s="1" t="str">
        <f>IF(ISBLANK('SQL Builder'!P496)=FALSE,'SQL Builder'!N496,"")</f>
        <v/>
      </c>
      <c r="J521" s="79">
        <f t="shared" si="7"/>
        <v>0</v>
      </c>
    </row>
    <row r="522" spans="2:10" ht="16.5" x14ac:dyDescent="0.25">
      <c r="B522" s="49" t="e">
        <f>IF(ISBLANK('SQL Builder'!K497)=FALSE,(DATE(LEFT('SQL Builder'!K497,4),MID('SQL Builder'!K497,6,2),MID('SQL Builder'!K497,9,2))),NA())</f>
        <v>#N/A</v>
      </c>
      <c r="C522" s="50" t="str">
        <f>IF(ISBLANK('SQL Builder'!K497)=FALSE,'SQL Builder'!L497,"")</f>
        <v/>
      </c>
      <c r="D522" s="1" t="str">
        <f>IF(ISBLANK('SQL Builder'!K497)=FALSE,'SQL Builder'!O497,"")</f>
        <v/>
      </c>
      <c r="H522" s="43" t="str">
        <f>IF(ISBLANK('SQL Builder'!K496)=FALSE,H521+1,"")</f>
        <v/>
      </c>
      <c r="I522" s="1" t="str">
        <f>IF(ISBLANK('SQL Builder'!P497)=FALSE,'SQL Builder'!N497,"")</f>
        <v/>
      </c>
      <c r="J522" s="79">
        <f t="shared" si="7"/>
        <v>0</v>
      </c>
    </row>
    <row r="523" spans="2:10" ht="16.5" x14ac:dyDescent="0.25">
      <c r="B523" s="49" t="e">
        <f>IF(ISBLANK('SQL Builder'!K498)=FALSE,(DATE(LEFT('SQL Builder'!K498,4),MID('SQL Builder'!K498,6,2),MID('SQL Builder'!K498,9,2))),NA())</f>
        <v>#N/A</v>
      </c>
      <c r="C523" s="50" t="str">
        <f>IF(ISBLANK('SQL Builder'!K498)=FALSE,'SQL Builder'!L498,"")</f>
        <v/>
      </c>
      <c r="D523" s="1" t="str">
        <f>IF(ISBLANK('SQL Builder'!K498)=FALSE,'SQL Builder'!O498,"")</f>
        <v/>
      </c>
      <c r="H523" s="43" t="str">
        <f>IF(ISBLANK('SQL Builder'!K497)=FALSE,H522+1,"")</f>
        <v/>
      </c>
      <c r="I523" s="1" t="str">
        <f>IF(ISBLANK('SQL Builder'!P498)=FALSE,'SQL Builder'!N498,"")</f>
        <v/>
      </c>
      <c r="J523" s="79">
        <f t="shared" si="7"/>
        <v>0</v>
      </c>
    </row>
    <row r="524" spans="2:10" ht="16.5" x14ac:dyDescent="0.25">
      <c r="B524" s="49" t="e">
        <f>IF(ISBLANK('SQL Builder'!K499)=FALSE,(DATE(LEFT('SQL Builder'!K499,4),MID('SQL Builder'!K499,6,2),MID('SQL Builder'!K499,9,2))),NA())</f>
        <v>#N/A</v>
      </c>
      <c r="C524" s="50" t="str">
        <f>IF(ISBLANK('SQL Builder'!K499)=FALSE,'SQL Builder'!L499,"")</f>
        <v/>
      </c>
      <c r="D524" s="1" t="str">
        <f>IF(ISBLANK('SQL Builder'!K499)=FALSE,'SQL Builder'!O499,"")</f>
        <v/>
      </c>
      <c r="H524" s="43" t="str">
        <f>IF(ISBLANK('SQL Builder'!K498)=FALSE,H523+1,"")</f>
        <v/>
      </c>
      <c r="I524" s="1" t="str">
        <f>IF(ISBLANK('SQL Builder'!P499)=FALSE,'SQL Builder'!N499,"")</f>
        <v/>
      </c>
      <c r="J524" s="79">
        <f t="shared" si="7"/>
        <v>0</v>
      </c>
    </row>
    <row r="525" spans="2:10" ht="16.5" x14ac:dyDescent="0.25">
      <c r="B525" s="49" t="e">
        <f>IF(ISBLANK('SQL Builder'!K500)=FALSE,(DATE(LEFT('SQL Builder'!K500,4),MID('SQL Builder'!K500,6,2),MID('SQL Builder'!K500,9,2))),NA())</f>
        <v>#N/A</v>
      </c>
      <c r="C525" s="50" t="str">
        <f>IF(ISBLANK('SQL Builder'!K500)=FALSE,'SQL Builder'!L500,"")</f>
        <v/>
      </c>
      <c r="D525" s="1" t="str">
        <f>IF(ISBLANK('SQL Builder'!K500)=FALSE,'SQL Builder'!O500,"")</f>
        <v/>
      </c>
      <c r="H525" s="43" t="str">
        <f>IF(ISBLANK('SQL Builder'!K499)=FALSE,H524+1,"")</f>
        <v/>
      </c>
      <c r="I525" s="1" t="str">
        <f>IF(ISBLANK('SQL Builder'!P500)=FALSE,'SQL Builder'!N500,"")</f>
        <v/>
      </c>
      <c r="J525" s="79">
        <f t="shared" si="7"/>
        <v>0</v>
      </c>
    </row>
    <row r="526" spans="2:10" ht="16.5" x14ac:dyDescent="0.25">
      <c r="B526" s="49" t="e">
        <f>IF(ISBLANK('SQL Builder'!K501)=FALSE,(DATE(LEFT('SQL Builder'!K501,4),MID('SQL Builder'!K501,6,2),MID('SQL Builder'!K501,9,2))),NA())</f>
        <v>#N/A</v>
      </c>
      <c r="C526" s="50" t="str">
        <f>IF(ISBLANK('SQL Builder'!K501)=FALSE,'SQL Builder'!L501,"")</f>
        <v/>
      </c>
      <c r="D526" s="1" t="str">
        <f>IF(ISBLANK('SQL Builder'!K501)=FALSE,'SQL Builder'!O501,"")</f>
        <v/>
      </c>
      <c r="H526" s="43" t="str">
        <f>IF(ISBLANK('SQL Builder'!K500)=FALSE,H525+1,"")</f>
        <v/>
      </c>
      <c r="I526" s="1" t="str">
        <f>IF(ISBLANK('SQL Builder'!P501)=FALSE,'SQL Builder'!N501,"")</f>
        <v/>
      </c>
      <c r="J526" s="79">
        <f t="shared" si="7"/>
        <v>0</v>
      </c>
    </row>
    <row r="527" spans="2:10" ht="16.5" x14ac:dyDescent="0.25">
      <c r="B527" s="49" t="e">
        <f>IF(ISBLANK('SQL Builder'!K502)=FALSE,(DATE(LEFT('SQL Builder'!K502,4),MID('SQL Builder'!K502,6,2),MID('SQL Builder'!K502,9,2))),NA())</f>
        <v>#N/A</v>
      </c>
      <c r="C527" s="50" t="str">
        <f>IF(ISBLANK('SQL Builder'!K502)=FALSE,'SQL Builder'!L502,"")</f>
        <v/>
      </c>
      <c r="D527" s="1" t="str">
        <f>IF(ISBLANK('SQL Builder'!K502)=FALSE,'SQL Builder'!O502,"")</f>
        <v/>
      </c>
      <c r="H527" s="43" t="str">
        <f>IF(ISBLANK('SQL Builder'!K501)=FALSE,H526+1,"")</f>
        <v/>
      </c>
      <c r="I527" s="1" t="str">
        <f>IF(ISBLANK('SQL Builder'!P502)=FALSE,'SQL Builder'!N502,"")</f>
        <v/>
      </c>
      <c r="J527" s="79">
        <f t="shared" si="7"/>
        <v>0</v>
      </c>
    </row>
    <row r="528" spans="2:10" ht="16.5" x14ac:dyDescent="0.25">
      <c r="B528" s="49" t="e">
        <f>IF(ISBLANK('SQL Builder'!K503)=FALSE,(DATE(LEFT('SQL Builder'!K503,4),MID('SQL Builder'!K503,6,2),MID('SQL Builder'!K503,9,2))),NA())</f>
        <v>#N/A</v>
      </c>
      <c r="C528" s="50" t="str">
        <f>IF(ISBLANK('SQL Builder'!K503)=FALSE,'SQL Builder'!L503,"")</f>
        <v/>
      </c>
      <c r="D528" s="1" t="str">
        <f>IF(ISBLANK('SQL Builder'!K503)=FALSE,'SQL Builder'!O503,"")</f>
        <v/>
      </c>
      <c r="H528" s="43" t="str">
        <f>IF(ISBLANK('SQL Builder'!K502)=FALSE,H527+1,"")</f>
        <v/>
      </c>
      <c r="I528" s="1" t="str">
        <f>IF(ISBLANK('SQL Builder'!P503)=FALSE,'SQL Builder'!N503,"")</f>
        <v/>
      </c>
      <c r="J528" s="79">
        <f t="shared" si="7"/>
        <v>0</v>
      </c>
    </row>
    <row r="529" spans="2:10" ht="16.5" x14ac:dyDescent="0.25">
      <c r="B529" s="49" t="e">
        <f>IF(ISBLANK('SQL Builder'!K504)=FALSE,(DATE(LEFT('SQL Builder'!K504,4),MID('SQL Builder'!K504,6,2),MID('SQL Builder'!K504,9,2))),NA())</f>
        <v>#N/A</v>
      </c>
      <c r="C529" s="50" t="str">
        <f>IF(ISBLANK('SQL Builder'!K504)=FALSE,'SQL Builder'!L504,"")</f>
        <v/>
      </c>
      <c r="D529" s="1" t="str">
        <f>IF(ISBLANK('SQL Builder'!K504)=FALSE,'SQL Builder'!O504,"")</f>
        <v/>
      </c>
      <c r="H529" s="43" t="str">
        <f>IF(ISBLANK('SQL Builder'!K503)=FALSE,H528+1,"")</f>
        <v/>
      </c>
      <c r="I529" s="1" t="str">
        <f>IF(ISBLANK('SQL Builder'!P504)=FALSE,'SQL Builder'!N504,"")</f>
        <v/>
      </c>
      <c r="J529" s="79">
        <f t="shared" si="7"/>
        <v>0</v>
      </c>
    </row>
    <row r="530" spans="2:10" ht="16.5" x14ac:dyDescent="0.25">
      <c r="B530" s="49" t="e">
        <f>IF(ISBLANK('SQL Builder'!K505)=FALSE,(DATE(LEFT('SQL Builder'!K505,4),MID('SQL Builder'!K505,6,2),MID('SQL Builder'!K505,9,2))),NA())</f>
        <v>#N/A</v>
      </c>
      <c r="C530" s="50" t="str">
        <f>IF(ISBLANK('SQL Builder'!K505)=FALSE,'SQL Builder'!L505,"")</f>
        <v/>
      </c>
      <c r="D530" s="1" t="str">
        <f>IF(ISBLANK('SQL Builder'!K505)=FALSE,'SQL Builder'!O505,"")</f>
        <v/>
      </c>
      <c r="H530" s="43" t="str">
        <f>IF(ISBLANK('SQL Builder'!K504)=FALSE,H529+1,"")</f>
        <v/>
      </c>
      <c r="I530" s="1" t="str">
        <f>IF(ISBLANK('SQL Builder'!P505)=FALSE,'SQL Builder'!N505,"")</f>
        <v/>
      </c>
      <c r="J530" s="79">
        <f t="shared" si="7"/>
        <v>0</v>
      </c>
    </row>
    <row r="531" spans="2:10" ht="16.5" x14ac:dyDescent="0.25">
      <c r="B531" s="49" t="e">
        <f>IF(ISBLANK('SQL Builder'!K506)=FALSE,(DATE(LEFT('SQL Builder'!K506,4),MID('SQL Builder'!K506,6,2),MID('SQL Builder'!K506,9,2))),NA())</f>
        <v>#N/A</v>
      </c>
      <c r="C531" s="50" t="str">
        <f>IF(ISBLANK('SQL Builder'!K506)=FALSE,'SQL Builder'!L506,"")</f>
        <v/>
      </c>
      <c r="D531" s="1" t="str">
        <f>IF(ISBLANK('SQL Builder'!K506)=FALSE,'SQL Builder'!O506,"")</f>
        <v/>
      </c>
      <c r="H531" s="43" t="str">
        <f>IF(ISBLANK('SQL Builder'!K505)=FALSE,H530+1,"")</f>
        <v/>
      </c>
      <c r="I531" s="1" t="str">
        <f>IF(ISBLANK('SQL Builder'!P506)=FALSE,'SQL Builder'!N506,"")</f>
        <v/>
      </c>
      <c r="J531" s="79">
        <f t="shared" si="7"/>
        <v>0</v>
      </c>
    </row>
    <row r="532" spans="2:10" ht="16.5" x14ac:dyDescent="0.25">
      <c r="B532" s="49" t="e">
        <f>IF(ISBLANK('SQL Builder'!K507)=FALSE,(DATE(LEFT('SQL Builder'!K507,4),MID('SQL Builder'!K507,6,2),MID('SQL Builder'!K507,9,2))),NA())</f>
        <v>#N/A</v>
      </c>
      <c r="C532" s="50" t="str">
        <f>IF(ISBLANK('SQL Builder'!K507)=FALSE,'SQL Builder'!L507,"")</f>
        <v/>
      </c>
      <c r="D532" s="1" t="str">
        <f>IF(ISBLANK('SQL Builder'!K507)=FALSE,'SQL Builder'!O507,"")</f>
        <v/>
      </c>
      <c r="H532" s="43" t="str">
        <f>IF(ISBLANK('SQL Builder'!K506)=FALSE,H531+1,"")</f>
        <v/>
      </c>
      <c r="I532" s="1" t="str">
        <f>IF(ISBLANK('SQL Builder'!P507)=FALSE,'SQL Builder'!N507,"")</f>
        <v/>
      </c>
      <c r="J532" s="79">
        <f t="shared" si="7"/>
        <v>0</v>
      </c>
    </row>
    <row r="533" spans="2:10" ht="16.5" x14ac:dyDescent="0.25">
      <c r="B533" s="49" t="e">
        <f>IF(ISBLANK('SQL Builder'!K508)=FALSE,(DATE(LEFT('SQL Builder'!K508,4),MID('SQL Builder'!K508,6,2),MID('SQL Builder'!K508,9,2))),NA())</f>
        <v>#N/A</v>
      </c>
      <c r="C533" s="50" t="str">
        <f>IF(ISBLANK('SQL Builder'!K508)=FALSE,'SQL Builder'!L508,"")</f>
        <v/>
      </c>
      <c r="D533" s="1" t="str">
        <f>IF(ISBLANK('SQL Builder'!K508)=FALSE,'SQL Builder'!O508,"")</f>
        <v/>
      </c>
      <c r="H533" s="43" t="str">
        <f>IF(ISBLANK('SQL Builder'!K507)=FALSE,H532+1,"")</f>
        <v/>
      </c>
      <c r="I533" s="1" t="str">
        <f>IF(ISBLANK('SQL Builder'!P508)=FALSE,'SQL Builder'!N508,"")</f>
        <v/>
      </c>
      <c r="J533" s="79">
        <f t="shared" si="7"/>
        <v>0</v>
      </c>
    </row>
    <row r="534" spans="2:10" ht="16.5" x14ac:dyDescent="0.25">
      <c r="B534" s="49" t="e">
        <f>IF(ISBLANK('SQL Builder'!K509)=FALSE,(DATE(LEFT('SQL Builder'!K509,4),MID('SQL Builder'!K509,6,2),MID('SQL Builder'!K509,9,2))),NA())</f>
        <v>#N/A</v>
      </c>
      <c r="C534" s="50" t="str">
        <f>IF(ISBLANK('SQL Builder'!K509)=FALSE,'SQL Builder'!L509,"")</f>
        <v/>
      </c>
      <c r="D534" s="1" t="str">
        <f>IF(ISBLANK('SQL Builder'!K509)=FALSE,'SQL Builder'!O509,"")</f>
        <v/>
      </c>
      <c r="H534" s="43" t="str">
        <f>IF(ISBLANK('SQL Builder'!K508)=FALSE,H533+1,"")</f>
        <v/>
      </c>
      <c r="I534" s="1" t="str">
        <f>IF(ISBLANK('SQL Builder'!P509)=FALSE,'SQL Builder'!N509,"")</f>
        <v/>
      </c>
      <c r="J534" s="79">
        <f t="shared" si="7"/>
        <v>0</v>
      </c>
    </row>
    <row r="535" spans="2:10" ht="16.5" x14ac:dyDescent="0.25">
      <c r="B535" s="49" t="e">
        <f>IF(ISBLANK('SQL Builder'!K510)=FALSE,(DATE(LEFT('SQL Builder'!K510,4),MID('SQL Builder'!K510,6,2),MID('SQL Builder'!K510,9,2))),NA())</f>
        <v>#N/A</v>
      </c>
      <c r="C535" s="50" t="str">
        <f>IF(ISBLANK('SQL Builder'!K510)=FALSE,'SQL Builder'!L510,"")</f>
        <v/>
      </c>
      <c r="D535" s="1" t="str">
        <f>IF(ISBLANK('SQL Builder'!K510)=FALSE,'SQL Builder'!O510,"")</f>
        <v/>
      </c>
      <c r="H535" s="43" t="str">
        <f>IF(ISBLANK('SQL Builder'!K509)=FALSE,H534+1,"")</f>
        <v/>
      </c>
      <c r="I535" s="1" t="str">
        <f>IF(ISBLANK('SQL Builder'!P510)=FALSE,'SQL Builder'!N510,"")</f>
        <v/>
      </c>
      <c r="J535" s="79">
        <f t="shared" si="7"/>
        <v>0</v>
      </c>
    </row>
    <row r="536" spans="2:10" ht="16.5" x14ac:dyDescent="0.25">
      <c r="B536" s="49" t="e">
        <f>IF(ISBLANK('SQL Builder'!K511)=FALSE,(DATE(LEFT('SQL Builder'!K511,4),MID('SQL Builder'!K511,6,2),MID('SQL Builder'!K511,9,2))),NA())</f>
        <v>#N/A</v>
      </c>
      <c r="C536" s="50" t="str">
        <f>IF(ISBLANK('SQL Builder'!K511)=FALSE,'SQL Builder'!L511,"")</f>
        <v/>
      </c>
      <c r="D536" s="1" t="str">
        <f>IF(ISBLANK('SQL Builder'!K511)=FALSE,'SQL Builder'!O511,"")</f>
        <v/>
      </c>
      <c r="H536" s="43" t="str">
        <f>IF(ISBLANK('SQL Builder'!K510)=FALSE,H535+1,"")</f>
        <v/>
      </c>
      <c r="I536" s="1" t="str">
        <f>IF(ISBLANK('SQL Builder'!P511)=FALSE,'SQL Builder'!N511,"")</f>
        <v/>
      </c>
      <c r="J536" s="79">
        <f t="shared" si="7"/>
        <v>0</v>
      </c>
    </row>
    <row r="537" spans="2:10" ht="16.5" x14ac:dyDescent="0.25">
      <c r="B537" s="49" t="e">
        <f>IF(ISBLANK('SQL Builder'!K512)=FALSE,(DATE(LEFT('SQL Builder'!K512,4),MID('SQL Builder'!K512,6,2),MID('SQL Builder'!K512,9,2))),NA())</f>
        <v>#N/A</v>
      </c>
      <c r="C537" s="50" t="str">
        <f>IF(ISBLANK('SQL Builder'!K512)=FALSE,'SQL Builder'!L512,"")</f>
        <v/>
      </c>
      <c r="D537" s="1" t="str">
        <f>IF(ISBLANK('SQL Builder'!K512)=FALSE,'SQL Builder'!O512,"")</f>
        <v/>
      </c>
      <c r="H537" s="43" t="str">
        <f>IF(ISBLANK('SQL Builder'!K511)=FALSE,H536+1,"")</f>
        <v/>
      </c>
      <c r="I537" s="1" t="str">
        <f>IF(ISBLANK('SQL Builder'!P512)=FALSE,'SQL Builder'!N512,"")</f>
        <v/>
      </c>
      <c r="J537" s="79">
        <f t="shared" si="7"/>
        <v>0</v>
      </c>
    </row>
    <row r="538" spans="2:10" ht="16.5" x14ac:dyDescent="0.25">
      <c r="B538" s="49" t="e">
        <f>IF(ISBLANK('SQL Builder'!K513)=FALSE,(DATE(LEFT('SQL Builder'!K513,4),MID('SQL Builder'!K513,6,2),MID('SQL Builder'!K513,9,2))),NA())</f>
        <v>#N/A</v>
      </c>
      <c r="C538" s="50" t="str">
        <f>IF(ISBLANK('SQL Builder'!K513)=FALSE,'SQL Builder'!L513,"")</f>
        <v/>
      </c>
      <c r="D538" s="1" t="str">
        <f>IF(ISBLANK('SQL Builder'!K513)=FALSE,'SQL Builder'!O513,"")</f>
        <v/>
      </c>
      <c r="H538" s="43" t="str">
        <f>IF(ISBLANK('SQL Builder'!K512)=FALSE,H537+1,"")</f>
        <v/>
      </c>
      <c r="I538" s="1" t="str">
        <f>IF(ISBLANK('SQL Builder'!P513)=FALSE,'SQL Builder'!N513,"")</f>
        <v/>
      </c>
      <c r="J538" s="79">
        <f t="shared" si="7"/>
        <v>0</v>
      </c>
    </row>
    <row r="539" spans="2:10" ht="16.5" x14ac:dyDescent="0.25">
      <c r="B539" s="49" t="e">
        <f>IF(ISBLANK('SQL Builder'!K514)=FALSE,(DATE(LEFT('SQL Builder'!K514,4),MID('SQL Builder'!K514,6,2),MID('SQL Builder'!K514,9,2))),NA())</f>
        <v>#N/A</v>
      </c>
      <c r="C539" s="50" t="str">
        <f>IF(ISBLANK('SQL Builder'!K514)=FALSE,'SQL Builder'!L514,"")</f>
        <v/>
      </c>
      <c r="D539" s="1" t="str">
        <f>IF(ISBLANK('SQL Builder'!K514)=FALSE,'SQL Builder'!O514,"")</f>
        <v/>
      </c>
      <c r="H539" s="43" t="str">
        <f>IF(ISBLANK('SQL Builder'!K513)=FALSE,H538+1,"")</f>
        <v/>
      </c>
      <c r="I539" s="1" t="str">
        <f>IF(ISBLANK('SQL Builder'!P514)=FALSE,'SQL Builder'!N514,"")</f>
        <v/>
      </c>
      <c r="J539" s="79">
        <f t="shared" si="7"/>
        <v>0</v>
      </c>
    </row>
    <row r="540" spans="2:10" ht="16.5" x14ac:dyDescent="0.25">
      <c r="B540" s="49" t="e">
        <f>IF(ISBLANK('SQL Builder'!K515)=FALSE,(DATE(LEFT('SQL Builder'!K515,4),MID('SQL Builder'!K515,6,2),MID('SQL Builder'!K515,9,2))),NA())</f>
        <v>#N/A</v>
      </c>
      <c r="C540" s="50" t="str">
        <f>IF(ISBLANK('SQL Builder'!K515)=FALSE,'SQL Builder'!L515,"")</f>
        <v/>
      </c>
      <c r="D540" s="1" t="str">
        <f>IF(ISBLANK('SQL Builder'!K515)=FALSE,'SQL Builder'!O515,"")</f>
        <v/>
      </c>
      <c r="H540" s="43" t="str">
        <f>IF(ISBLANK('SQL Builder'!K514)=FALSE,H539+1,"")</f>
        <v/>
      </c>
      <c r="I540" s="1" t="str">
        <f>IF(ISBLANK('SQL Builder'!P515)=FALSE,'SQL Builder'!N515,"")</f>
        <v/>
      </c>
      <c r="J540" s="79">
        <f t="shared" si="7"/>
        <v>0</v>
      </c>
    </row>
    <row r="541" spans="2:10" ht="16.5" x14ac:dyDescent="0.25">
      <c r="B541" s="49" t="e">
        <f>IF(ISBLANK('SQL Builder'!K516)=FALSE,(DATE(LEFT('SQL Builder'!K516,4),MID('SQL Builder'!K516,6,2),MID('SQL Builder'!K516,9,2))),NA())</f>
        <v>#N/A</v>
      </c>
      <c r="C541" s="50" t="str">
        <f>IF(ISBLANK('SQL Builder'!K516)=FALSE,'SQL Builder'!L516,"")</f>
        <v/>
      </c>
      <c r="D541" s="1" t="str">
        <f>IF(ISBLANK('SQL Builder'!K516)=FALSE,'SQL Builder'!O516,"")</f>
        <v/>
      </c>
      <c r="H541" s="43" t="str">
        <f>IF(ISBLANK('SQL Builder'!K515)=FALSE,H540+1,"")</f>
        <v/>
      </c>
      <c r="I541" s="1" t="str">
        <f>IF(ISBLANK('SQL Builder'!P516)=FALSE,'SQL Builder'!N516,"")</f>
        <v/>
      </c>
      <c r="J541" s="79">
        <f t="shared" si="7"/>
        <v>0</v>
      </c>
    </row>
    <row r="542" spans="2:10" ht="16.5" x14ac:dyDescent="0.25">
      <c r="B542" s="49" t="e">
        <f>IF(ISBLANK('SQL Builder'!K517)=FALSE,(DATE(LEFT('SQL Builder'!K517,4),MID('SQL Builder'!K517,6,2),MID('SQL Builder'!K517,9,2))),NA())</f>
        <v>#N/A</v>
      </c>
      <c r="C542" s="50" t="str">
        <f>IF(ISBLANK('SQL Builder'!K517)=FALSE,'SQL Builder'!L517,"")</f>
        <v/>
      </c>
      <c r="D542" s="1" t="str">
        <f>IF(ISBLANK('SQL Builder'!K517)=FALSE,'SQL Builder'!O517,"")</f>
        <v/>
      </c>
      <c r="H542" s="43" t="str">
        <f>IF(ISBLANK('SQL Builder'!K516)=FALSE,H541+1,"")</f>
        <v/>
      </c>
      <c r="I542" s="1" t="str">
        <f>IF(ISBLANK('SQL Builder'!P517)=FALSE,'SQL Builder'!N517,"")</f>
        <v/>
      </c>
      <c r="J542" s="79">
        <f t="shared" si="7"/>
        <v>0</v>
      </c>
    </row>
    <row r="543" spans="2:10" ht="16.5" x14ac:dyDescent="0.25">
      <c r="B543" s="49" t="e">
        <f>IF(ISBLANK('SQL Builder'!K518)=FALSE,(DATE(LEFT('SQL Builder'!K518,4),MID('SQL Builder'!K518,6,2),MID('SQL Builder'!K518,9,2))),NA())</f>
        <v>#N/A</v>
      </c>
      <c r="C543" s="50" t="str">
        <f>IF(ISBLANK('SQL Builder'!K518)=FALSE,'SQL Builder'!L518,"")</f>
        <v/>
      </c>
      <c r="D543" s="1" t="str">
        <f>IF(ISBLANK('SQL Builder'!K518)=FALSE,'SQL Builder'!O518,"")</f>
        <v/>
      </c>
      <c r="H543" s="43" t="str">
        <f>IF(ISBLANK('SQL Builder'!K517)=FALSE,H542+1,"")</f>
        <v/>
      </c>
      <c r="I543" s="1" t="str">
        <f>IF(ISBLANK('SQL Builder'!P518)=FALSE,'SQL Builder'!N518,"")</f>
        <v/>
      </c>
      <c r="J543" s="79">
        <f t="shared" ref="J543:J606" si="8">IF(I543="",0,IF(I543=C$5,2,1))</f>
        <v>0</v>
      </c>
    </row>
    <row r="544" spans="2:10" ht="16.5" x14ac:dyDescent="0.25">
      <c r="B544" s="49" t="e">
        <f>IF(ISBLANK('SQL Builder'!K519)=FALSE,(DATE(LEFT('SQL Builder'!K519,4),MID('SQL Builder'!K519,6,2),MID('SQL Builder'!K519,9,2))),NA())</f>
        <v>#N/A</v>
      </c>
      <c r="C544" s="50" t="str">
        <f>IF(ISBLANK('SQL Builder'!K519)=FALSE,'SQL Builder'!L519,"")</f>
        <v/>
      </c>
      <c r="D544" s="1" t="str">
        <f>IF(ISBLANK('SQL Builder'!K519)=FALSE,'SQL Builder'!O519,"")</f>
        <v/>
      </c>
      <c r="H544" s="43" t="str">
        <f>IF(ISBLANK('SQL Builder'!K518)=FALSE,H543+1,"")</f>
        <v/>
      </c>
      <c r="I544" s="1" t="str">
        <f>IF(ISBLANK('SQL Builder'!P519)=FALSE,'SQL Builder'!N519,"")</f>
        <v/>
      </c>
      <c r="J544" s="79">
        <f t="shared" si="8"/>
        <v>0</v>
      </c>
    </row>
    <row r="545" spans="2:10" ht="16.5" x14ac:dyDescent="0.25">
      <c r="B545" s="49" t="e">
        <f>IF(ISBLANK('SQL Builder'!K520)=FALSE,(DATE(LEFT('SQL Builder'!K520,4),MID('SQL Builder'!K520,6,2),MID('SQL Builder'!K520,9,2))),NA())</f>
        <v>#N/A</v>
      </c>
      <c r="C545" s="50" t="str">
        <f>IF(ISBLANK('SQL Builder'!K520)=FALSE,'SQL Builder'!L520,"")</f>
        <v/>
      </c>
      <c r="D545" s="1" t="str">
        <f>IF(ISBLANK('SQL Builder'!K520)=FALSE,'SQL Builder'!O520,"")</f>
        <v/>
      </c>
      <c r="H545" s="43" t="str">
        <f>IF(ISBLANK('SQL Builder'!K519)=FALSE,H544+1,"")</f>
        <v/>
      </c>
      <c r="I545" s="1" t="str">
        <f>IF(ISBLANK('SQL Builder'!P520)=FALSE,'SQL Builder'!N520,"")</f>
        <v/>
      </c>
      <c r="J545" s="79">
        <f t="shared" si="8"/>
        <v>0</v>
      </c>
    </row>
    <row r="546" spans="2:10" ht="16.5" x14ac:dyDescent="0.25">
      <c r="B546" s="49" t="e">
        <f>IF(ISBLANK('SQL Builder'!K521)=FALSE,(DATE(LEFT('SQL Builder'!K521,4),MID('SQL Builder'!K521,6,2),MID('SQL Builder'!K521,9,2))),NA())</f>
        <v>#N/A</v>
      </c>
      <c r="C546" s="50" t="str">
        <f>IF(ISBLANK('SQL Builder'!K521)=FALSE,'SQL Builder'!L521,"")</f>
        <v/>
      </c>
      <c r="D546" s="1" t="str">
        <f>IF(ISBLANK('SQL Builder'!K521)=FALSE,'SQL Builder'!O521,"")</f>
        <v/>
      </c>
      <c r="H546" s="43" t="str">
        <f>IF(ISBLANK('SQL Builder'!K520)=FALSE,H545+1,"")</f>
        <v/>
      </c>
      <c r="I546" s="1" t="str">
        <f>IF(ISBLANK('SQL Builder'!P521)=FALSE,'SQL Builder'!N521,"")</f>
        <v/>
      </c>
      <c r="J546" s="79">
        <f t="shared" si="8"/>
        <v>0</v>
      </c>
    </row>
    <row r="547" spans="2:10" ht="16.5" x14ac:dyDescent="0.25">
      <c r="B547" s="49" t="e">
        <f>IF(ISBLANK('SQL Builder'!K522)=FALSE,(DATE(LEFT('SQL Builder'!K522,4),MID('SQL Builder'!K522,6,2),MID('SQL Builder'!K522,9,2))),NA())</f>
        <v>#N/A</v>
      </c>
      <c r="C547" s="50" t="str">
        <f>IF(ISBLANK('SQL Builder'!K522)=FALSE,'SQL Builder'!L522,"")</f>
        <v/>
      </c>
      <c r="D547" s="1" t="str">
        <f>IF(ISBLANK('SQL Builder'!K522)=FALSE,'SQL Builder'!O522,"")</f>
        <v/>
      </c>
      <c r="H547" s="43" t="str">
        <f>IF(ISBLANK('SQL Builder'!K521)=FALSE,H546+1,"")</f>
        <v/>
      </c>
      <c r="I547" s="1" t="str">
        <f>IF(ISBLANK('SQL Builder'!P522)=FALSE,'SQL Builder'!N522,"")</f>
        <v/>
      </c>
      <c r="J547" s="79">
        <f t="shared" si="8"/>
        <v>0</v>
      </c>
    </row>
    <row r="548" spans="2:10" ht="16.5" x14ac:dyDescent="0.25">
      <c r="B548" s="49" t="e">
        <f>IF(ISBLANK('SQL Builder'!K523)=FALSE,(DATE(LEFT('SQL Builder'!K523,4),MID('SQL Builder'!K523,6,2),MID('SQL Builder'!K523,9,2))),NA())</f>
        <v>#N/A</v>
      </c>
      <c r="C548" s="50" t="str">
        <f>IF(ISBLANK('SQL Builder'!K523)=FALSE,'SQL Builder'!L523,"")</f>
        <v/>
      </c>
      <c r="D548" s="1" t="str">
        <f>IF(ISBLANK('SQL Builder'!K523)=FALSE,'SQL Builder'!O523,"")</f>
        <v/>
      </c>
      <c r="H548" s="43" t="str">
        <f>IF(ISBLANK('SQL Builder'!K522)=FALSE,H547+1,"")</f>
        <v/>
      </c>
      <c r="I548" s="1" t="str">
        <f>IF(ISBLANK('SQL Builder'!P523)=FALSE,'SQL Builder'!N523,"")</f>
        <v/>
      </c>
      <c r="J548" s="79">
        <f t="shared" si="8"/>
        <v>0</v>
      </c>
    </row>
    <row r="549" spans="2:10" ht="16.5" x14ac:dyDescent="0.25">
      <c r="B549" s="49" t="e">
        <f>IF(ISBLANK('SQL Builder'!K524)=FALSE,(DATE(LEFT('SQL Builder'!K524,4),MID('SQL Builder'!K524,6,2),MID('SQL Builder'!K524,9,2))),NA())</f>
        <v>#N/A</v>
      </c>
      <c r="C549" s="50" t="str">
        <f>IF(ISBLANK('SQL Builder'!K524)=FALSE,'SQL Builder'!L524,"")</f>
        <v/>
      </c>
      <c r="D549" s="1" t="str">
        <f>IF(ISBLANK('SQL Builder'!K524)=FALSE,'SQL Builder'!O524,"")</f>
        <v/>
      </c>
      <c r="H549" s="43" t="str">
        <f>IF(ISBLANK('SQL Builder'!K523)=FALSE,H548+1,"")</f>
        <v/>
      </c>
      <c r="I549" s="1" t="str">
        <f>IF(ISBLANK('SQL Builder'!P524)=FALSE,'SQL Builder'!N524,"")</f>
        <v/>
      </c>
      <c r="J549" s="79">
        <f t="shared" si="8"/>
        <v>0</v>
      </c>
    </row>
    <row r="550" spans="2:10" ht="16.5" x14ac:dyDescent="0.25">
      <c r="B550" s="49" t="e">
        <f>IF(ISBLANK('SQL Builder'!K525)=FALSE,(DATE(LEFT('SQL Builder'!K525,4),MID('SQL Builder'!K525,6,2),MID('SQL Builder'!K525,9,2))),NA())</f>
        <v>#N/A</v>
      </c>
      <c r="C550" s="50" t="str">
        <f>IF(ISBLANK('SQL Builder'!K525)=FALSE,'SQL Builder'!L525,"")</f>
        <v/>
      </c>
      <c r="D550" s="1" t="str">
        <f>IF(ISBLANK('SQL Builder'!K525)=FALSE,'SQL Builder'!O525,"")</f>
        <v/>
      </c>
      <c r="H550" s="43" t="str">
        <f>IF(ISBLANK('SQL Builder'!K524)=FALSE,H549+1,"")</f>
        <v/>
      </c>
      <c r="I550" s="1" t="str">
        <f>IF(ISBLANK('SQL Builder'!P525)=FALSE,'SQL Builder'!N525,"")</f>
        <v/>
      </c>
      <c r="J550" s="79">
        <f t="shared" si="8"/>
        <v>0</v>
      </c>
    </row>
    <row r="551" spans="2:10" ht="16.5" x14ac:dyDescent="0.25">
      <c r="B551" s="49" t="e">
        <f>IF(ISBLANK('SQL Builder'!K526)=FALSE,(DATE(LEFT('SQL Builder'!K526,4),MID('SQL Builder'!K526,6,2),MID('SQL Builder'!K526,9,2))),NA())</f>
        <v>#N/A</v>
      </c>
      <c r="C551" s="50" t="str">
        <f>IF(ISBLANK('SQL Builder'!K526)=FALSE,'SQL Builder'!L526,"")</f>
        <v/>
      </c>
      <c r="D551" s="1" t="str">
        <f>IF(ISBLANK('SQL Builder'!K526)=FALSE,'SQL Builder'!O526,"")</f>
        <v/>
      </c>
      <c r="H551" s="43" t="str">
        <f>IF(ISBLANK('SQL Builder'!K525)=FALSE,H550+1,"")</f>
        <v/>
      </c>
      <c r="I551" s="1" t="str">
        <f>IF(ISBLANK('SQL Builder'!P526)=FALSE,'SQL Builder'!N526,"")</f>
        <v/>
      </c>
      <c r="J551" s="79">
        <f t="shared" si="8"/>
        <v>0</v>
      </c>
    </row>
    <row r="552" spans="2:10" ht="16.5" x14ac:dyDescent="0.25">
      <c r="B552" s="49" t="e">
        <f>IF(ISBLANK('SQL Builder'!K527)=FALSE,(DATE(LEFT('SQL Builder'!K527,4),MID('SQL Builder'!K527,6,2),MID('SQL Builder'!K527,9,2))),NA())</f>
        <v>#N/A</v>
      </c>
      <c r="C552" s="50" t="str">
        <f>IF(ISBLANK('SQL Builder'!K527)=FALSE,'SQL Builder'!L527,"")</f>
        <v/>
      </c>
      <c r="D552" s="1" t="str">
        <f>IF(ISBLANK('SQL Builder'!K527)=FALSE,'SQL Builder'!O527,"")</f>
        <v/>
      </c>
      <c r="H552" s="43" t="str">
        <f>IF(ISBLANK('SQL Builder'!K526)=FALSE,H551+1,"")</f>
        <v/>
      </c>
      <c r="I552" s="1" t="str">
        <f>IF(ISBLANK('SQL Builder'!P527)=FALSE,'SQL Builder'!N527,"")</f>
        <v/>
      </c>
      <c r="J552" s="79">
        <f t="shared" si="8"/>
        <v>0</v>
      </c>
    </row>
    <row r="553" spans="2:10" ht="16.5" x14ac:dyDescent="0.25">
      <c r="B553" s="49" t="e">
        <f>IF(ISBLANK('SQL Builder'!K528)=FALSE,(DATE(LEFT('SQL Builder'!K528,4),MID('SQL Builder'!K528,6,2),MID('SQL Builder'!K528,9,2))),NA())</f>
        <v>#N/A</v>
      </c>
      <c r="C553" s="50" t="str">
        <f>IF(ISBLANK('SQL Builder'!K528)=FALSE,'SQL Builder'!L528,"")</f>
        <v/>
      </c>
      <c r="D553" s="1" t="str">
        <f>IF(ISBLANK('SQL Builder'!K528)=FALSE,'SQL Builder'!O528,"")</f>
        <v/>
      </c>
      <c r="H553" s="43" t="str">
        <f>IF(ISBLANK('SQL Builder'!K527)=FALSE,H552+1,"")</f>
        <v/>
      </c>
      <c r="I553" s="1" t="str">
        <f>IF(ISBLANK('SQL Builder'!P528)=FALSE,'SQL Builder'!N528,"")</f>
        <v/>
      </c>
      <c r="J553" s="79">
        <f t="shared" si="8"/>
        <v>0</v>
      </c>
    </row>
    <row r="554" spans="2:10" ht="16.5" x14ac:dyDescent="0.25">
      <c r="B554" s="49" t="e">
        <f>IF(ISBLANK('SQL Builder'!K529)=FALSE,(DATE(LEFT('SQL Builder'!K529,4),MID('SQL Builder'!K529,6,2),MID('SQL Builder'!K529,9,2))),NA())</f>
        <v>#N/A</v>
      </c>
      <c r="C554" s="50" t="str">
        <f>IF(ISBLANK('SQL Builder'!K529)=FALSE,'SQL Builder'!L529,"")</f>
        <v/>
      </c>
      <c r="D554" s="1" t="str">
        <f>IF(ISBLANK('SQL Builder'!K529)=FALSE,'SQL Builder'!O529,"")</f>
        <v/>
      </c>
      <c r="H554" s="43" t="str">
        <f>IF(ISBLANK('SQL Builder'!K528)=FALSE,H553+1,"")</f>
        <v/>
      </c>
      <c r="I554" s="1" t="str">
        <f>IF(ISBLANK('SQL Builder'!P529)=FALSE,'SQL Builder'!N529,"")</f>
        <v/>
      </c>
      <c r="J554" s="79">
        <f t="shared" si="8"/>
        <v>0</v>
      </c>
    </row>
    <row r="555" spans="2:10" ht="16.5" x14ac:dyDescent="0.25">
      <c r="B555" s="49" t="e">
        <f>IF(ISBLANK('SQL Builder'!K530)=FALSE,(DATE(LEFT('SQL Builder'!K530,4),MID('SQL Builder'!K530,6,2),MID('SQL Builder'!K530,9,2))),NA())</f>
        <v>#N/A</v>
      </c>
      <c r="C555" s="50" t="str">
        <f>IF(ISBLANK('SQL Builder'!K530)=FALSE,'SQL Builder'!L530,"")</f>
        <v/>
      </c>
      <c r="D555" s="1" t="str">
        <f>IF(ISBLANK('SQL Builder'!K530)=FALSE,'SQL Builder'!O530,"")</f>
        <v/>
      </c>
      <c r="H555" s="43" t="str">
        <f>IF(ISBLANK('SQL Builder'!K529)=FALSE,H554+1,"")</f>
        <v/>
      </c>
      <c r="I555" s="1" t="str">
        <f>IF(ISBLANK('SQL Builder'!P530)=FALSE,'SQL Builder'!N530,"")</f>
        <v/>
      </c>
      <c r="J555" s="79">
        <f t="shared" si="8"/>
        <v>0</v>
      </c>
    </row>
    <row r="556" spans="2:10" ht="16.5" x14ac:dyDescent="0.25">
      <c r="B556" s="49" t="e">
        <f>IF(ISBLANK('SQL Builder'!K531)=FALSE,(DATE(LEFT('SQL Builder'!K531,4),MID('SQL Builder'!K531,6,2),MID('SQL Builder'!K531,9,2))),NA())</f>
        <v>#N/A</v>
      </c>
      <c r="C556" s="50" t="str">
        <f>IF(ISBLANK('SQL Builder'!K531)=FALSE,'SQL Builder'!L531,"")</f>
        <v/>
      </c>
      <c r="D556" s="1" t="str">
        <f>IF(ISBLANK('SQL Builder'!K531)=FALSE,'SQL Builder'!O531,"")</f>
        <v/>
      </c>
      <c r="H556" s="43" t="str">
        <f>IF(ISBLANK('SQL Builder'!K530)=FALSE,H555+1,"")</f>
        <v/>
      </c>
      <c r="I556" s="1" t="str">
        <f>IF(ISBLANK('SQL Builder'!P531)=FALSE,'SQL Builder'!N531,"")</f>
        <v/>
      </c>
      <c r="J556" s="79">
        <f t="shared" si="8"/>
        <v>0</v>
      </c>
    </row>
    <row r="557" spans="2:10" ht="16.5" x14ac:dyDescent="0.25">
      <c r="B557" s="49" t="e">
        <f>IF(ISBLANK('SQL Builder'!K532)=FALSE,(DATE(LEFT('SQL Builder'!K532,4),MID('SQL Builder'!K532,6,2),MID('SQL Builder'!K532,9,2))),NA())</f>
        <v>#N/A</v>
      </c>
      <c r="C557" s="50" t="str">
        <f>IF(ISBLANK('SQL Builder'!K532)=FALSE,'SQL Builder'!L532,"")</f>
        <v/>
      </c>
      <c r="D557" s="1" t="str">
        <f>IF(ISBLANK('SQL Builder'!K532)=FALSE,'SQL Builder'!O532,"")</f>
        <v/>
      </c>
      <c r="H557" s="43" t="str">
        <f>IF(ISBLANK('SQL Builder'!K531)=FALSE,H556+1,"")</f>
        <v/>
      </c>
      <c r="I557" s="1" t="str">
        <f>IF(ISBLANK('SQL Builder'!P532)=FALSE,'SQL Builder'!N532,"")</f>
        <v/>
      </c>
      <c r="J557" s="79">
        <f t="shared" si="8"/>
        <v>0</v>
      </c>
    </row>
    <row r="558" spans="2:10" ht="16.5" x14ac:dyDescent="0.25">
      <c r="B558" s="49" t="e">
        <f>IF(ISBLANK('SQL Builder'!K533)=FALSE,(DATE(LEFT('SQL Builder'!K533,4),MID('SQL Builder'!K533,6,2),MID('SQL Builder'!K533,9,2))),NA())</f>
        <v>#N/A</v>
      </c>
      <c r="C558" s="50" t="str">
        <f>IF(ISBLANK('SQL Builder'!K533)=FALSE,'SQL Builder'!L533,"")</f>
        <v/>
      </c>
      <c r="D558" s="1" t="str">
        <f>IF(ISBLANK('SQL Builder'!K533)=FALSE,'SQL Builder'!O533,"")</f>
        <v/>
      </c>
      <c r="H558" s="43" t="str">
        <f>IF(ISBLANK('SQL Builder'!K532)=FALSE,H557+1,"")</f>
        <v/>
      </c>
      <c r="I558" s="1" t="str">
        <f>IF(ISBLANK('SQL Builder'!P533)=FALSE,'SQL Builder'!N533,"")</f>
        <v/>
      </c>
      <c r="J558" s="79">
        <f t="shared" si="8"/>
        <v>0</v>
      </c>
    </row>
    <row r="559" spans="2:10" ht="16.5" x14ac:dyDescent="0.25">
      <c r="B559" s="49" t="e">
        <f>IF(ISBLANK('SQL Builder'!K534)=FALSE,(DATE(LEFT('SQL Builder'!K534,4),MID('SQL Builder'!K534,6,2),MID('SQL Builder'!K534,9,2))),NA())</f>
        <v>#N/A</v>
      </c>
      <c r="C559" s="50" t="str">
        <f>IF(ISBLANK('SQL Builder'!K534)=FALSE,'SQL Builder'!L534,"")</f>
        <v/>
      </c>
      <c r="D559" s="1" t="str">
        <f>IF(ISBLANK('SQL Builder'!K534)=FALSE,'SQL Builder'!O534,"")</f>
        <v/>
      </c>
      <c r="H559" s="43" t="str">
        <f>IF(ISBLANK('SQL Builder'!K533)=FALSE,H558+1,"")</f>
        <v/>
      </c>
      <c r="I559" s="1" t="str">
        <f>IF(ISBLANK('SQL Builder'!P534)=FALSE,'SQL Builder'!N534,"")</f>
        <v/>
      </c>
      <c r="J559" s="79">
        <f t="shared" si="8"/>
        <v>0</v>
      </c>
    </row>
    <row r="560" spans="2:10" ht="16.5" x14ac:dyDescent="0.25">
      <c r="B560" s="49" t="e">
        <f>IF(ISBLANK('SQL Builder'!K535)=FALSE,(DATE(LEFT('SQL Builder'!K535,4),MID('SQL Builder'!K535,6,2),MID('SQL Builder'!K535,9,2))),NA())</f>
        <v>#N/A</v>
      </c>
      <c r="C560" s="50" t="str">
        <f>IF(ISBLANK('SQL Builder'!K535)=FALSE,'SQL Builder'!L535,"")</f>
        <v/>
      </c>
      <c r="D560" s="1" t="str">
        <f>IF(ISBLANK('SQL Builder'!K535)=FALSE,'SQL Builder'!O535,"")</f>
        <v/>
      </c>
      <c r="H560" s="43" t="str">
        <f>IF(ISBLANK('SQL Builder'!K534)=FALSE,H559+1,"")</f>
        <v/>
      </c>
      <c r="I560" s="1" t="str">
        <f>IF(ISBLANK('SQL Builder'!P535)=FALSE,'SQL Builder'!N535,"")</f>
        <v/>
      </c>
      <c r="J560" s="79">
        <f t="shared" si="8"/>
        <v>0</v>
      </c>
    </row>
    <row r="561" spans="2:10" ht="16.5" x14ac:dyDescent="0.25">
      <c r="B561" s="49" t="e">
        <f>IF(ISBLANK('SQL Builder'!K536)=FALSE,(DATE(LEFT('SQL Builder'!K536,4),MID('SQL Builder'!K536,6,2),MID('SQL Builder'!K536,9,2))),NA())</f>
        <v>#N/A</v>
      </c>
      <c r="C561" s="50" t="str">
        <f>IF(ISBLANK('SQL Builder'!K536)=FALSE,'SQL Builder'!L536,"")</f>
        <v/>
      </c>
      <c r="D561" s="1" t="str">
        <f>IF(ISBLANK('SQL Builder'!K536)=FALSE,'SQL Builder'!O536,"")</f>
        <v/>
      </c>
      <c r="H561" s="43" t="str">
        <f>IF(ISBLANK('SQL Builder'!K535)=FALSE,H560+1,"")</f>
        <v/>
      </c>
      <c r="I561" s="1" t="str">
        <f>IF(ISBLANK('SQL Builder'!P536)=FALSE,'SQL Builder'!N536,"")</f>
        <v/>
      </c>
      <c r="J561" s="79">
        <f t="shared" si="8"/>
        <v>0</v>
      </c>
    </row>
    <row r="562" spans="2:10" ht="16.5" x14ac:dyDescent="0.25">
      <c r="B562" s="49" t="e">
        <f>IF(ISBLANK('SQL Builder'!K537)=FALSE,(DATE(LEFT('SQL Builder'!K537,4),MID('SQL Builder'!K537,6,2),MID('SQL Builder'!K537,9,2))),NA())</f>
        <v>#N/A</v>
      </c>
      <c r="C562" s="50" t="str">
        <f>IF(ISBLANK('SQL Builder'!K537)=FALSE,'SQL Builder'!L537,"")</f>
        <v/>
      </c>
      <c r="D562" s="1" t="str">
        <f>IF(ISBLANK('SQL Builder'!K537)=FALSE,'SQL Builder'!O537,"")</f>
        <v/>
      </c>
      <c r="H562" s="43" t="str">
        <f>IF(ISBLANK('SQL Builder'!K536)=FALSE,H561+1,"")</f>
        <v/>
      </c>
      <c r="I562" s="1" t="str">
        <f>IF(ISBLANK('SQL Builder'!P537)=FALSE,'SQL Builder'!N537,"")</f>
        <v/>
      </c>
      <c r="J562" s="79">
        <f t="shared" si="8"/>
        <v>0</v>
      </c>
    </row>
    <row r="563" spans="2:10" ht="16.5" x14ac:dyDescent="0.25">
      <c r="B563" s="49" t="e">
        <f>IF(ISBLANK('SQL Builder'!K538)=FALSE,(DATE(LEFT('SQL Builder'!K538,4),MID('SQL Builder'!K538,6,2),MID('SQL Builder'!K538,9,2))),NA())</f>
        <v>#N/A</v>
      </c>
      <c r="C563" s="50" t="str">
        <f>IF(ISBLANK('SQL Builder'!K538)=FALSE,'SQL Builder'!L538,"")</f>
        <v/>
      </c>
      <c r="D563" s="1" t="str">
        <f>IF(ISBLANK('SQL Builder'!K538)=FALSE,'SQL Builder'!O538,"")</f>
        <v/>
      </c>
      <c r="H563" s="43" t="str">
        <f>IF(ISBLANK('SQL Builder'!K537)=FALSE,H562+1,"")</f>
        <v/>
      </c>
      <c r="I563" s="1" t="str">
        <f>IF(ISBLANK('SQL Builder'!P538)=FALSE,'SQL Builder'!N538,"")</f>
        <v/>
      </c>
      <c r="J563" s="79">
        <f t="shared" si="8"/>
        <v>0</v>
      </c>
    </row>
    <row r="564" spans="2:10" ht="16.5" x14ac:dyDescent="0.25">
      <c r="B564" s="49" t="e">
        <f>IF(ISBLANK('SQL Builder'!K539)=FALSE,(DATE(LEFT('SQL Builder'!K539,4),MID('SQL Builder'!K539,6,2),MID('SQL Builder'!K539,9,2))),NA())</f>
        <v>#N/A</v>
      </c>
      <c r="C564" s="50" t="str">
        <f>IF(ISBLANK('SQL Builder'!K539)=FALSE,'SQL Builder'!L539,"")</f>
        <v/>
      </c>
      <c r="D564" s="1" t="str">
        <f>IF(ISBLANK('SQL Builder'!K539)=FALSE,'SQL Builder'!O539,"")</f>
        <v/>
      </c>
      <c r="H564" s="43" t="str">
        <f>IF(ISBLANK('SQL Builder'!K538)=FALSE,H563+1,"")</f>
        <v/>
      </c>
      <c r="I564" s="1" t="str">
        <f>IF(ISBLANK('SQL Builder'!P539)=FALSE,'SQL Builder'!N539,"")</f>
        <v/>
      </c>
      <c r="J564" s="79">
        <f t="shared" si="8"/>
        <v>0</v>
      </c>
    </row>
    <row r="565" spans="2:10" ht="16.5" x14ac:dyDescent="0.25">
      <c r="B565" s="49" t="e">
        <f>IF(ISBLANK('SQL Builder'!K540)=FALSE,(DATE(LEFT('SQL Builder'!K540,4),MID('SQL Builder'!K540,6,2),MID('SQL Builder'!K540,9,2))),NA())</f>
        <v>#N/A</v>
      </c>
      <c r="C565" s="50" t="str">
        <f>IF(ISBLANK('SQL Builder'!K540)=FALSE,'SQL Builder'!L540,"")</f>
        <v/>
      </c>
      <c r="D565" s="1" t="str">
        <f>IF(ISBLANK('SQL Builder'!K540)=FALSE,'SQL Builder'!O540,"")</f>
        <v/>
      </c>
      <c r="H565" s="43" t="str">
        <f>IF(ISBLANK('SQL Builder'!K539)=FALSE,H564+1,"")</f>
        <v/>
      </c>
      <c r="I565" s="1" t="str">
        <f>IF(ISBLANK('SQL Builder'!P540)=FALSE,'SQL Builder'!N540,"")</f>
        <v/>
      </c>
      <c r="J565" s="79">
        <f t="shared" si="8"/>
        <v>0</v>
      </c>
    </row>
    <row r="566" spans="2:10" ht="16.5" x14ac:dyDescent="0.25">
      <c r="B566" s="49" t="e">
        <f>IF(ISBLANK('SQL Builder'!K541)=FALSE,(DATE(LEFT('SQL Builder'!K541,4),MID('SQL Builder'!K541,6,2),MID('SQL Builder'!K541,9,2))),NA())</f>
        <v>#N/A</v>
      </c>
      <c r="C566" s="50" t="str">
        <f>IF(ISBLANK('SQL Builder'!K541)=FALSE,'SQL Builder'!L541,"")</f>
        <v/>
      </c>
      <c r="D566" s="1" t="str">
        <f>IF(ISBLANK('SQL Builder'!K541)=FALSE,'SQL Builder'!O541,"")</f>
        <v/>
      </c>
      <c r="H566" s="43" t="str">
        <f>IF(ISBLANK('SQL Builder'!K540)=FALSE,H565+1,"")</f>
        <v/>
      </c>
      <c r="I566" s="1" t="str">
        <f>IF(ISBLANK('SQL Builder'!P541)=FALSE,'SQL Builder'!N541,"")</f>
        <v/>
      </c>
      <c r="J566" s="79">
        <f t="shared" si="8"/>
        <v>0</v>
      </c>
    </row>
    <row r="567" spans="2:10" ht="16.5" x14ac:dyDescent="0.25">
      <c r="B567" s="49" t="e">
        <f>IF(ISBLANK('SQL Builder'!K542)=FALSE,(DATE(LEFT('SQL Builder'!K542,4),MID('SQL Builder'!K542,6,2),MID('SQL Builder'!K542,9,2))),NA())</f>
        <v>#N/A</v>
      </c>
      <c r="C567" s="50" t="str">
        <f>IF(ISBLANK('SQL Builder'!K542)=FALSE,'SQL Builder'!L542,"")</f>
        <v/>
      </c>
      <c r="D567" s="1" t="str">
        <f>IF(ISBLANK('SQL Builder'!K542)=FALSE,'SQL Builder'!O542,"")</f>
        <v/>
      </c>
      <c r="H567" s="43" t="str">
        <f>IF(ISBLANK('SQL Builder'!K541)=FALSE,H566+1,"")</f>
        <v/>
      </c>
      <c r="I567" s="1" t="str">
        <f>IF(ISBLANK('SQL Builder'!P542)=FALSE,'SQL Builder'!N542,"")</f>
        <v/>
      </c>
      <c r="J567" s="79">
        <f t="shared" si="8"/>
        <v>0</v>
      </c>
    </row>
    <row r="568" spans="2:10" ht="16.5" x14ac:dyDescent="0.25">
      <c r="B568" s="49" t="e">
        <f>IF(ISBLANK('SQL Builder'!K543)=FALSE,(DATE(LEFT('SQL Builder'!K543,4),MID('SQL Builder'!K543,6,2),MID('SQL Builder'!K543,9,2))),NA())</f>
        <v>#N/A</v>
      </c>
      <c r="C568" s="50" t="str">
        <f>IF(ISBLANK('SQL Builder'!K543)=FALSE,'SQL Builder'!L543,"")</f>
        <v/>
      </c>
      <c r="D568" s="1" t="str">
        <f>IF(ISBLANK('SQL Builder'!K543)=FALSE,'SQL Builder'!O543,"")</f>
        <v/>
      </c>
      <c r="H568" s="43" t="str">
        <f>IF(ISBLANK('SQL Builder'!K542)=FALSE,H567+1,"")</f>
        <v/>
      </c>
      <c r="I568" s="1" t="str">
        <f>IF(ISBLANK('SQL Builder'!P543)=FALSE,'SQL Builder'!N543,"")</f>
        <v/>
      </c>
      <c r="J568" s="79">
        <f t="shared" si="8"/>
        <v>0</v>
      </c>
    </row>
    <row r="569" spans="2:10" ht="16.5" x14ac:dyDescent="0.25">
      <c r="B569" s="49" t="e">
        <f>IF(ISBLANK('SQL Builder'!K544)=FALSE,(DATE(LEFT('SQL Builder'!K544,4),MID('SQL Builder'!K544,6,2),MID('SQL Builder'!K544,9,2))),NA())</f>
        <v>#N/A</v>
      </c>
      <c r="C569" s="50" t="str">
        <f>IF(ISBLANK('SQL Builder'!K544)=FALSE,'SQL Builder'!L544,"")</f>
        <v/>
      </c>
      <c r="D569" s="1" t="str">
        <f>IF(ISBLANK('SQL Builder'!K544)=FALSE,'SQL Builder'!O544,"")</f>
        <v/>
      </c>
      <c r="H569" s="43" t="str">
        <f>IF(ISBLANK('SQL Builder'!K543)=FALSE,H568+1,"")</f>
        <v/>
      </c>
      <c r="I569" s="1" t="str">
        <f>IF(ISBLANK('SQL Builder'!P544)=FALSE,'SQL Builder'!N544,"")</f>
        <v/>
      </c>
      <c r="J569" s="79">
        <f t="shared" si="8"/>
        <v>0</v>
      </c>
    </row>
    <row r="570" spans="2:10" ht="16.5" x14ac:dyDescent="0.25">
      <c r="B570" s="49" t="e">
        <f>IF(ISBLANK('SQL Builder'!K545)=FALSE,(DATE(LEFT('SQL Builder'!K545,4),MID('SQL Builder'!K545,6,2),MID('SQL Builder'!K545,9,2))),NA())</f>
        <v>#N/A</v>
      </c>
      <c r="C570" s="50" t="str">
        <f>IF(ISBLANK('SQL Builder'!K545)=FALSE,'SQL Builder'!L545,"")</f>
        <v/>
      </c>
      <c r="D570" s="1" t="str">
        <f>IF(ISBLANK('SQL Builder'!K545)=FALSE,'SQL Builder'!O545,"")</f>
        <v/>
      </c>
      <c r="H570" s="43" t="str">
        <f>IF(ISBLANK('SQL Builder'!K544)=FALSE,H569+1,"")</f>
        <v/>
      </c>
      <c r="I570" s="1" t="str">
        <f>IF(ISBLANK('SQL Builder'!P545)=FALSE,'SQL Builder'!N545,"")</f>
        <v/>
      </c>
      <c r="J570" s="79">
        <f t="shared" si="8"/>
        <v>0</v>
      </c>
    </row>
    <row r="571" spans="2:10" ht="16.5" x14ac:dyDescent="0.25">
      <c r="B571" s="49" t="e">
        <f>IF(ISBLANK('SQL Builder'!K546)=FALSE,(DATE(LEFT('SQL Builder'!K546,4),MID('SQL Builder'!K546,6,2),MID('SQL Builder'!K546,9,2))),NA())</f>
        <v>#N/A</v>
      </c>
      <c r="C571" s="50" t="str">
        <f>IF(ISBLANK('SQL Builder'!K546)=FALSE,'SQL Builder'!L546,"")</f>
        <v/>
      </c>
      <c r="D571" s="1" t="str">
        <f>IF(ISBLANK('SQL Builder'!K546)=FALSE,'SQL Builder'!O546,"")</f>
        <v/>
      </c>
      <c r="H571" s="43" t="str">
        <f>IF(ISBLANK('SQL Builder'!K545)=FALSE,H570+1,"")</f>
        <v/>
      </c>
      <c r="I571" s="1" t="str">
        <f>IF(ISBLANK('SQL Builder'!P546)=FALSE,'SQL Builder'!N546,"")</f>
        <v/>
      </c>
      <c r="J571" s="79">
        <f t="shared" si="8"/>
        <v>0</v>
      </c>
    </row>
    <row r="572" spans="2:10" ht="16.5" x14ac:dyDescent="0.25">
      <c r="B572" s="49" t="e">
        <f>IF(ISBLANK('SQL Builder'!K547)=FALSE,(DATE(LEFT('SQL Builder'!K547,4),MID('SQL Builder'!K547,6,2),MID('SQL Builder'!K547,9,2))),NA())</f>
        <v>#N/A</v>
      </c>
      <c r="C572" s="50" t="str">
        <f>IF(ISBLANK('SQL Builder'!K547)=FALSE,'SQL Builder'!L547,"")</f>
        <v/>
      </c>
      <c r="D572" s="1" t="str">
        <f>IF(ISBLANK('SQL Builder'!K547)=FALSE,'SQL Builder'!O547,"")</f>
        <v/>
      </c>
      <c r="H572" s="43" t="str">
        <f>IF(ISBLANK('SQL Builder'!K546)=FALSE,H571+1,"")</f>
        <v/>
      </c>
      <c r="I572" s="1" t="str">
        <f>IF(ISBLANK('SQL Builder'!P547)=FALSE,'SQL Builder'!N547,"")</f>
        <v/>
      </c>
      <c r="J572" s="79">
        <f t="shared" si="8"/>
        <v>0</v>
      </c>
    </row>
    <row r="573" spans="2:10" ht="16.5" x14ac:dyDescent="0.25">
      <c r="B573" s="49" t="e">
        <f>IF(ISBLANK('SQL Builder'!K548)=FALSE,(DATE(LEFT('SQL Builder'!K548,4),MID('SQL Builder'!K548,6,2),MID('SQL Builder'!K548,9,2))),NA())</f>
        <v>#N/A</v>
      </c>
      <c r="C573" s="50" t="str">
        <f>IF(ISBLANK('SQL Builder'!K548)=FALSE,'SQL Builder'!L548,"")</f>
        <v/>
      </c>
      <c r="D573" s="1" t="str">
        <f>IF(ISBLANK('SQL Builder'!K548)=FALSE,'SQL Builder'!O548,"")</f>
        <v/>
      </c>
      <c r="H573" s="43" t="str">
        <f>IF(ISBLANK('SQL Builder'!K547)=FALSE,H572+1,"")</f>
        <v/>
      </c>
      <c r="I573" s="1" t="str">
        <f>IF(ISBLANK('SQL Builder'!P548)=FALSE,'SQL Builder'!N548,"")</f>
        <v/>
      </c>
      <c r="J573" s="79">
        <f t="shared" si="8"/>
        <v>0</v>
      </c>
    </row>
    <row r="574" spans="2:10" ht="16.5" x14ac:dyDescent="0.25">
      <c r="B574" s="49" t="e">
        <f>IF(ISBLANK('SQL Builder'!K549)=FALSE,(DATE(LEFT('SQL Builder'!K549,4),MID('SQL Builder'!K549,6,2),MID('SQL Builder'!K549,9,2))),NA())</f>
        <v>#N/A</v>
      </c>
      <c r="C574" s="50" t="str">
        <f>IF(ISBLANK('SQL Builder'!K549)=FALSE,'SQL Builder'!L549,"")</f>
        <v/>
      </c>
      <c r="D574" s="1" t="str">
        <f>IF(ISBLANK('SQL Builder'!K549)=FALSE,'SQL Builder'!O549,"")</f>
        <v/>
      </c>
      <c r="H574" s="43" t="str">
        <f>IF(ISBLANK('SQL Builder'!K548)=FALSE,H573+1,"")</f>
        <v/>
      </c>
      <c r="I574" s="1" t="str">
        <f>IF(ISBLANK('SQL Builder'!P549)=FALSE,'SQL Builder'!N549,"")</f>
        <v/>
      </c>
      <c r="J574" s="79">
        <f t="shared" si="8"/>
        <v>0</v>
      </c>
    </row>
    <row r="575" spans="2:10" ht="16.5" x14ac:dyDescent="0.25">
      <c r="B575" s="49" t="e">
        <f>IF(ISBLANK('SQL Builder'!K550)=FALSE,(DATE(LEFT('SQL Builder'!K550,4),MID('SQL Builder'!K550,6,2),MID('SQL Builder'!K550,9,2))),NA())</f>
        <v>#N/A</v>
      </c>
      <c r="C575" s="50" t="str">
        <f>IF(ISBLANK('SQL Builder'!K550)=FALSE,'SQL Builder'!L550,"")</f>
        <v/>
      </c>
      <c r="D575" s="1" t="str">
        <f>IF(ISBLANK('SQL Builder'!K550)=FALSE,'SQL Builder'!O550,"")</f>
        <v/>
      </c>
      <c r="H575" s="43" t="str">
        <f>IF(ISBLANK('SQL Builder'!K549)=FALSE,H574+1,"")</f>
        <v/>
      </c>
      <c r="I575" s="1" t="str">
        <f>IF(ISBLANK('SQL Builder'!P550)=FALSE,'SQL Builder'!N550,"")</f>
        <v/>
      </c>
      <c r="J575" s="79">
        <f t="shared" si="8"/>
        <v>0</v>
      </c>
    </row>
    <row r="576" spans="2:10" ht="16.5" x14ac:dyDescent="0.25">
      <c r="B576" s="49" t="e">
        <f>IF(ISBLANK('SQL Builder'!K551)=FALSE,(DATE(LEFT('SQL Builder'!K551,4),MID('SQL Builder'!K551,6,2),MID('SQL Builder'!K551,9,2))),NA())</f>
        <v>#N/A</v>
      </c>
      <c r="C576" s="50" t="str">
        <f>IF(ISBLANK('SQL Builder'!K551)=FALSE,'SQL Builder'!L551,"")</f>
        <v/>
      </c>
      <c r="D576" s="1" t="str">
        <f>IF(ISBLANK('SQL Builder'!K551)=FALSE,'SQL Builder'!O551,"")</f>
        <v/>
      </c>
      <c r="H576" s="43" t="str">
        <f>IF(ISBLANK('SQL Builder'!K550)=FALSE,H575+1,"")</f>
        <v/>
      </c>
      <c r="I576" s="1" t="str">
        <f>IF(ISBLANK('SQL Builder'!P551)=FALSE,'SQL Builder'!N551,"")</f>
        <v/>
      </c>
      <c r="J576" s="79">
        <f t="shared" si="8"/>
        <v>0</v>
      </c>
    </row>
    <row r="577" spans="2:10" ht="16.5" x14ac:dyDescent="0.25">
      <c r="B577" s="49" t="e">
        <f>IF(ISBLANK('SQL Builder'!K552)=FALSE,(DATE(LEFT('SQL Builder'!K552,4),MID('SQL Builder'!K552,6,2),MID('SQL Builder'!K552,9,2))),NA())</f>
        <v>#N/A</v>
      </c>
      <c r="C577" s="50" t="str">
        <f>IF(ISBLANK('SQL Builder'!K552)=FALSE,'SQL Builder'!L552,"")</f>
        <v/>
      </c>
      <c r="D577" s="1" t="str">
        <f>IF(ISBLANK('SQL Builder'!K552)=FALSE,'SQL Builder'!O552,"")</f>
        <v/>
      </c>
      <c r="H577" s="43" t="str">
        <f>IF(ISBLANK('SQL Builder'!K551)=FALSE,H576+1,"")</f>
        <v/>
      </c>
      <c r="I577" s="1" t="str">
        <f>IF(ISBLANK('SQL Builder'!P552)=FALSE,'SQL Builder'!N552,"")</f>
        <v/>
      </c>
      <c r="J577" s="79">
        <f t="shared" si="8"/>
        <v>0</v>
      </c>
    </row>
    <row r="578" spans="2:10" ht="16.5" x14ac:dyDescent="0.25">
      <c r="B578" s="49" t="e">
        <f>IF(ISBLANK('SQL Builder'!K553)=FALSE,(DATE(LEFT('SQL Builder'!K553,4),MID('SQL Builder'!K553,6,2),MID('SQL Builder'!K553,9,2))),NA())</f>
        <v>#N/A</v>
      </c>
      <c r="C578" s="50" t="str">
        <f>IF(ISBLANK('SQL Builder'!K553)=FALSE,'SQL Builder'!L553,"")</f>
        <v/>
      </c>
      <c r="D578" s="1" t="str">
        <f>IF(ISBLANK('SQL Builder'!K553)=FALSE,'SQL Builder'!O553,"")</f>
        <v/>
      </c>
      <c r="H578" s="43" t="str">
        <f>IF(ISBLANK('SQL Builder'!K552)=FALSE,H577+1,"")</f>
        <v/>
      </c>
      <c r="I578" s="1" t="str">
        <f>IF(ISBLANK('SQL Builder'!P553)=FALSE,'SQL Builder'!N553,"")</f>
        <v/>
      </c>
      <c r="J578" s="79">
        <f t="shared" si="8"/>
        <v>0</v>
      </c>
    </row>
    <row r="579" spans="2:10" ht="16.5" x14ac:dyDescent="0.25">
      <c r="B579" s="49" t="e">
        <f>IF(ISBLANK('SQL Builder'!K554)=FALSE,(DATE(LEFT('SQL Builder'!K554,4),MID('SQL Builder'!K554,6,2),MID('SQL Builder'!K554,9,2))),NA())</f>
        <v>#N/A</v>
      </c>
      <c r="C579" s="50" t="str">
        <f>IF(ISBLANK('SQL Builder'!K554)=FALSE,'SQL Builder'!L554,"")</f>
        <v/>
      </c>
      <c r="D579" s="1" t="str">
        <f>IF(ISBLANK('SQL Builder'!K554)=FALSE,'SQL Builder'!O554,"")</f>
        <v/>
      </c>
      <c r="H579" s="43" t="str">
        <f>IF(ISBLANK('SQL Builder'!K553)=FALSE,H578+1,"")</f>
        <v/>
      </c>
      <c r="I579" s="1" t="str">
        <f>IF(ISBLANK('SQL Builder'!P554)=FALSE,'SQL Builder'!N554,"")</f>
        <v/>
      </c>
      <c r="J579" s="79">
        <f t="shared" si="8"/>
        <v>0</v>
      </c>
    </row>
    <row r="580" spans="2:10" ht="16.5" x14ac:dyDescent="0.25">
      <c r="B580" s="49" t="e">
        <f>IF(ISBLANK('SQL Builder'!K555)=FALSE,(DATE(LEFT('SQL Builder'!K555,4),MID('SQL Builder'!K555,6,2),MID('SQL Builder'!K555,9,2))),NA())</f>
        <v>#N/A</v>
      </c>
      <c r="C580" s="50" t="str">
        <f>IF(ISBLANK('SQL Builder'!K555)=FALSE,'SQL Builder'!L555,"")</f>
        <v/>
      </c>
      <c r="D580" s="1" t="str">
        <f>IF(ISBLANK('SQL Builder'!K555)=FALSE,'SQL Builder'!O555,"")</f>
        <v/>
      </c>
      <c r="H580" s="43" t="str">
        <f>IF(ISBLANK('SQL Builder'!K554)=FALSE,H579+1,"")</f>
        <v/>
      </c>
      <c r="I580" s="1" t="str">
        <f>IF(ISBLANK('SQL Builder'!P555)=FALSE,'SQL Builder'!N555,"")</f>
        <v/>
      </c>
      <c r="J580" s="79">
        <f t="shared" si="8"/>
        <v>0</v>
      </c>
    </row>
    <row r="581" spans="2:10" ht="16.5" x14ac:dyDescent="0.25">
      <c r="B581" s="49" t="e">
        <f>IF(ISBLANK('SQL Builder'!K556)=FALSE,(DATE(LEFT('SQL Builder'!K556,4),MID('SQL Builder'!K556,6,2),MID('SQL Builder'!K556,9,2))),NA())</f>
        <v>#N/A</v>
      </c>
      <c r="C581" s="50" t="str">
        <f>IF(ISBLANK('SQL Builder'!K556)=FALSE,'SQL Builder'!L556,"")</f>
        <v/>
      </c>
      <c r="D581" s="1" t="str">
        <f>IF(ISBLANK('SQL Builder'!K556)=FALSE,'SQL Builder'!O556,"")</f>
        <v/>
      </c>
      <c r="H581" s="43" t="str">
        <f>IF(ISBLANK('SQL Builder'!K555)=FALSE,H580+1,"")</f>
        <v/>
      </c>
      <c r="I581" s="1" t="str">
        <f>IF(ISBLANK('SQL Builder'!P556)=FALSE,'SQL Builder'!N556,"")</f>
        <v/>
      </c>
      <c r="J581" s="79">
        <f t="shared" si="8"/>
        <v>0</v>
      </c>
    </row>
    <row r="582" spans="2:10" ht="16.5" x14ac:dyDescent="0.25">
      <c r="B582" s="49" t="e">
        <f>IF(ISBLANK('SQL Builder'!K557)=FALSE,(DATE(LEFT('SQL Builder'!K557,4),MID('SQL Builder'!K557,6,2),MID('SQL Builder'!K557,9,2))),NA())</f>
        <v>#N/A</v>
      </c>
      <c r="C582" s="50" t="str">
        <f>IF(ISBLANK('SQL Builder'!K557)=FALSE,'SQL Builder'!L557,"")</f>
        <v/>
      </c>
      <c r="D582" s="1" t="str">
        <f>IF(ISBLANK('SQL Builder'!K557)=FALSE,'SQL Builder'!O557,"")</f>
        <v/>
      </c>
      <c r="H582" s="43" t="str">
        <f>IF(ISBLANK('SQL Builder'!K556)=FALSE,H581+1,"")</f>
        <v/>
      </c>
      <c r="I582" s="1" t="str">
        <f>IF(ISBLANK('SQL Builder'!P557)=FALSE,'SQL Builder'!N557,"")</f>
        <v/>
      </c>
      <c r="J582" s="79">
        <f t="shared" si="8"/>
        <v>0</v>
      </c>
    </row>
    <row r="583" spans="2:10" ht="16.5" x14ac:dyDescent="0.25">
      <c r="B583" s="49" t="e">
        <f>IF(ISBLANK('SQL Builder'!K558)=FALSE,(DATE(LEFT('SQL Builder'!K558,4),MID('SQL Builder'!K558,6,2),MID('SQL Builder'!K558,9,2))),NA())</f>
        <v>#N/A</v>
      </c>
      <c r="C583" s="50" t="str">
        <f>IF(ISBLANK('SQL Builder'!K558)=FALSE,'SQL Builder'!L558,"")</f>
        <v/>
      </c>
      <c r="D583" s="1" t="str">
        <f>IF(ISBLANK('SQL Builder'!K558)=FALSE,'SQL Builder'!O558,"")</f>
        <v/>
      </c>
      <c r="H583" s="43" t="str">
        <f>IF(ISBLANK('SQL Builder'!K557)=FALSE,H582+1,"")</f>
        <v/>
      </c>
      <c r="I583" s="1" t="str">
        <f>IF(ISBLANK('SQL Builder'!P558)=FALSE,'SQL Builder'!N558,"")</f>
        <v/>
      </c>
      <c r="J583" s="79">
        <f t="shared" si="8"/>
        <v>0</v>
      </c>
    </row>
    <row r="584" spans="2:10" ht="16.5" x14ac:dyDescent="0.25">
      <c r="B584" s="49" t="e">
        <f>IF(ISBLANK('SQL Builder'!K559)=FALSE,(DATE(LEFT('SQL Builder'!K559,4),MID('SQL Builder'!K559,6,2),MID('SQL Builder'!K559,9,2))),NA())</f>
        <v>#N/A</v>
      </c>
      <c r="C584" s="50" t="str">
        <f>IF(ISBLANK('SQL Builder'!K559)=FALSE,'SQL Builder'!L559,"")</f>
        <v/>
      </c>
      <c r="D584" s="1" t="str">
        <f>IF(ISBLANK('SQL Builder'!K559)=FALSE,'SQL Builder'!O559,"")</f>
        <v/>
      </c>
      <c r="H584" s="43" t="str">
        <f>IF(ISBLANK('SQL Builder'!K558)=FALSE,H583+1,"")</f>
        <v/>
      </c>
      <c r="I584" s="1" t="str">
        <f>IF(ISBLANK('SQL Builder'!P559)=FALSE,'SQL Builder'!N559,"")</f>
        <v/>
      </c>
      <c r="J584" s="79">
        <f t="shared" si="8"/>
        <v>0</v>
      </c>
    </row>
    <row r="585" spans="2:10" ht="16.5" x14ac:dyDescent="0.25">
      <c r="B585" s="49" t="e">
        <f>IF(ISBLANK('SQL Builder'!K560)=FALSE,(DATE(LEFT('SQL Builder'!K560,4),MID('SQL Builder'!K560,6,2),MID('SQL Builder'!K560,9,2))),NA())</f>
        <v>#N/A</v>
      </c>
      <c r="C585" s="50" t="str">
        <f>IF(ISBLANK('SQL Builder'!K560)=FALSE,'SQL Builder'!L560,"")</f>
        <v/>
      </c>
      <c r="D585" s="1" t="str">
        <f>IF(ISBLANK('SQL Builder'!K560)=FALSE,'SQL Builder'!O560,"")</f>
        <v/>
      </c>
      <c r="H585" s="43" t="str">
        <f>IF(ISBLANK('SQL Builder'!K559)=FALSE,H584+1,"")</f>
        <v/>
      </c>
      <c r="I585" s="1" t="str">
        <f>IF(ISBLANK('SQL Builder'!P560)=FALSE,'SQL Builder'!N560,"")</f>
        <v/>
      </c>
      <c r="J585" s="79">
        <f t="shared" si="8"/>
        <v>0</v>
      </c>
    </row>
    <row r="586" spans="2:10" ht="16.5" x14ac:dyDescent="0.25">
      <c r="B586" s="49" t="e">
        <f>IF(ISBLANK('SQL Builder'!K561)=FALSE,(DATE(LEFT('SQL Builder'!K561,4),MID('SQL Builder'!K561,6,2),MID('SQL Builder'!K561,9,2))),NA())</f>
        <v>#N/A</v>
      </c>
      <c r="C586" s="50" t="str">
        <f>IF(ISBLANK('SQL Builder'!K561)=FALSE,'SQL Builder'!L561,"")</f>
        <v/>
      </c>
      <c r="D586" s="1" t="str">
        <f>IF(ISBLANK('SQL Builder'!K561)=FALSE,'SQL Builder'!O561,"")</f>
        <v/>
      </c>
      <c r="H586" s="43" t="str">
        <f>IF(ISBLANK('SQL Builder'!K560)=FALSE,H585+1,"")</f>
        <v/>
      </c>
      <c r="I586" s="1" t="str">
        <f>IF(ISBLANK('SQL Builder'!P561)=FALSE,'SQL Builder'!N561,"")</f>
        <v/>
      </c>
      <c r="J586" s="79">
        <f t="shared" si="8"/>
        <v>0</v>
      </c>
    </row>
    <row r="587" spans="2:10" ht="16.5" x14ac:dyDescent="0.25">
      <c r="B587" s="49" t="e">
        <f>IF(ISBLANK('SQL Builder'!K562)=FALSE,(DATE(LEFT('SQL Builder'!K562,4),MID('SQL Builder'!K562,6,2),MID('SQL Builder'!K562,9,2))),NA())</f>
        <v>#N/A</v>
      </c>
      <c r="C587" s="50" t="str">
        <f>IF(ISBLANK('SQL Builder'!K562)=FALSE,'SQL Builder'!L562,"")</f>
        <v/>
      </c>
      <c r="D587" s="1" t="str">
        <f>IF(ISBLANK('SQL Builder'!K562)=FALSE,'SQL Builder'!O562,"")</f>
        <v/>
      </c>
      <c r="H587" s="43" t="str">
        <f>IF(ISBLANK('SQL Builder'!K561)=FALSE,H586+1,"")</f>
        <v/>
      </c>
      <c r="I587" s="1" t="str">
        <f>IF(ISBLANK('SQL Builder'!P562)=FALSE,'SQL Builder'!N562,"")</f>
        <v/>
      </c>
      <c r="J587" s="79">
        <f t="shared" si="8"/>
        <v>0</v>
      </c>
    </row>
    <row r="588" spans="2:10" ht="16.5" x14ac:dyDescent="0.25">
      <c r="B588" s="49" t="e">
        <f>IF(ISBLANK('SQL Builder'!K563)=FALSE,(DATE(LEFT('SQL Builder'!K563,4),MID('SQL Builder'!K563,6,2),MID('SQL Builder'!K563,9,2))),NA())</f>
        <v>#N/A</v>
      </c>
      <c r="C588" s="50" t="str">
        <f>IF(ISBLANK('SQL Builder'!K563)=FALSE,'SQL Builder'!L563,"")</f>
        <v/>
      </c>
      <c r="D588" s="1" t="str">
        <f>IF(ISBLANK('SQL Builder'!K563)=FALSE,'SQL Builder'!O563,"")</f>
        <v/>
      </c>
      <c r="H588" s="43" t="str">
        <f>IF(ISBLANK('SQL Builder'!K562)=FALSE,H587+1,"")</f>
        <v/>
      </c>
      <c r="I588" s="1" t="str">
        <f>IF(ISBLANK('SQL Builder'!P563)=FALSE,'SQL Builder'!N563,"")</f>
        <v/>
      </c>
      <c r="J588" s="79">
        <f t="shared" si="8"/>
        <v>0</v>
      </c>
    </row>
    <row r="589" spans="2:10" ht="16.5" x14ac:dyDescent="0.25">
      <c r="B589" s="49" t="e">
        <f>IF(ISBLANK('SQL Builder'!K564)=FALSE,(DATE(LEFT('SQL Builder'!K564,4),MID('SQL Builder'!K564,6,2),MID('SQL Builder'!K564,9,2))),NA())</f>
        <v>#N/A</v>
      </c>
      <c r="C589" s="50" t="str">
        <f>IF(ISBLANK('SQL Builder'!K564)=FALSE,'SQL Builder'!L564,"")</f>
        <v/>
      </c>
      <c r="D589" s="1" t="str">
        <f>IF(ISBLANK('SQL Builder'!K564)=FALSE,'SQL Builder'!O564,"")</f>
        <v/>
      </c>
      <c r="H589" s="43" t="str">
        <f>IF(ISBLANK('SQL Builder'!K563)=FALSE,H588+1,"")</f>
        <v/>
      </c>
      <c r="I589" s="1" t="str">
        <f>IF(ISBLANK('SQL Builder'!P564)=FALSE,'SQL Builder'!N564,"")</f>
        <v/>
      </c>
      <c r="J589" s="79">
        <f t="shared" si="8"/>
        <v>0</v>
      </c>
    </row>
    <row r="590" spans="2:10" ht="16.5" x14ac:dyDescent="0.25">
      <c r="B590" s="49" t="e">
        <f>IF(ISBLANK('SQL Builder'!K565)=FALSE,(DATE(LEFT('SQL Builder'!K565,4),MID('SQL Builder'!K565,6,2),MID('SQL Builder'!K565,9,2))),NA())</f>
        <v>#N/A</v>
      </c>
      <c r="C590" s="50" t="str">
        <f>IF(ISBLANK('SQL Builder'!K565)=FALSE,'SQL Builder'!L565,"")</f>
        <v/>
      </c>
      <c r="D590" s="1" t="str">
        <f>IF(ISBLANK('SQL Builder'!K565)=FALSE,'SQL Builder'!O565,"")</f>
        <v/>
      </c>
      <c r="H590" s="43" t="str">
        <f>IF(ISBLANK('SQL Builder'!K564)=FALSE,H589+1,"")</f>
        <v/>
      </c>
      <c r="I590" s="1" t="str">
        <f>IF(ISBLANK('SQL Builder'!P565)=FALSE,'SQL Builder'!N565,"")</f>
        <v/>
      </c>
      <c r="J590" s="79">
        <f t="shared" si="8"/>
        <v>0</v>
      </c>
    </row>
    <row r="591" spans="2:10" ht="16.5" x14ac:dyDescent="0.25">
      <c r="B591" s="49" t="e">
        <f>IF(ISBLANK('SQL Builder'!K566)=FALSE,(DATE(LEFT('SQL Builder'!K566,4),MID('SQL Builder'!K566,6,2),MID('SQL Builder'!K566,9,2))),NA())</f>
        <v>#N/A</v>
      </c>
      <c r="C591" s="50" t="str">
        <f>IF(ISBLANK('SQL Builder'!K566)=FALSE,'SQL Builder'!L566,"")</f>
        <v/>
      </c>
      <c r="D591" s="1" t="str">
        <f>IF(ISBLANK('SQL Builder'!K566)=FALSE,'SQL Builder'!O566,"")</f>
        <v/>
      </c>
      <c r="H591" s="43" t="str">
        <f>IF(ISBLANK('SQL Builder'!K565)=FALSE,H590+1,"")</f>
        <v/>
      </c>
      <c r="I591" s="1" t="str">
        <f>IF(ISBLANK('SQL Builder'!P566)=FALSE,'SQL Builder'!N566,"")</f>
        <v/>
      </c>
      <c r="J591" s="79">
        <f t="shared" si="8"/>
        <v>0</v>
      </c>
    </row>
    <row r="592" spans="2:10" ht="16.5" x14ac:dyDescent="0.25">
      <c r="B592" s="49" t="e">
        <f>IF(ISBLANK('SQL Builder'!K567)=FALSE,(DATE(LEFT('SQL Builder'!K567,4),MID('SQL Builder'!K567,6,2),MID('SQL Builder'!K567,9,2))),NA())</f>
        <v>#N/A</v>
      </c>
      <c r="C592" s="50" t="str">
        <f>IF(ISBLANK('SQL Builder'!K567)=FALSE,'SQL Builder'!L567,"")</f>
        <v/>
      </c>
      <c r="D592" s="1" t="str">
        <f>IF(ISBLANK('SQL Builder'!K567)=FALSE,'SQL Builder'!O567,"")</f>
        <v/>
      </c>
      <c r="H592" s="43" t="str">
        <f>IF(ISBLANK('SQL Builder'!K566)=FALSE,H591+1,"")</f>
        <v/>
      </c>
      <c r="I592" s="1" t="str">
        <f>IF(ISBLANK('SQL Builder'!P567)=FALSE,'SQL Builder'!N567,"")</f>
        <v/>
      </c>
      <c r="J592" s="79">
        <f t="shared" si="8"/>
        <v>0</v>
      </c>
    </row>
    <row r="593" spans="2:10" ht="16.5" x14ac:dyDescent="0.25">
      <c r="B593" s="49" t="e">
        <f>IF(ISBLANK('SQL Builder'!K568)=FALSE,(DATE(LEFT('SQL Builder'!K568,4),MID('SQL Builder'!K568,6,2),MID('SQL Builder'!K568,9,2))),NA())</f>
        <v>#N/A</v>
      </c>
      <c r="C593" s="50" t="str">
        <f>IF(ISBLANK('SQL Builder'!K568)=FALSE,'SQL Builder'!L568,"")</f>
        <v/>
      </c>
      <c r="D593" s="1" t="str">
        <f>IF(ISBLANK('SQL Builder'!K568)=FALSE,'SQL Builder'!O568,"")</f>
        <v/>
      </c>
      <c r="H593" s="43" t="str">
        <f>IF(ISBLANK('SQL Builder'!K567)=FALSE,H592+1,"")</f>
        <v/>
      </c>
      <c r="I593" s="1" t="str">
        <f>IF(ISBLANK('SQL Builder'!P568)=FALSE,'SQL Builder'!N568,"")</f>
        <v/>
      </c>
      <c r="J593" s="79">
        <f t="shared" si="8"/>
        <v>0</v>
      </c>
    </row>
    <row r="594" spans="2:10" ht="16.5" x14ac:dyDescent="0.25">
      <c r="B594" s="49" t="e">
        <f>IF(ISBLANK('SQL Builder'!K569)=FALSE,(DATE(LEFT('SQL Builder'!K569,4),MID('SQL Builder'!K569,6,2),MID('SQL Builder'!K569,9,2))),NA())</f>
        <v>#N/A</v>
      </c>
      <c r="C594" s="50" t="str">
        <f>IF(ISBLANK('SQL Builder'!K569)=FALSE,'SQL Builder'!L569,"")</f>
        <v/>
      </c>
      <c r="D594" s="1" t="str">
        <f>IF(ISBLANK('SQL Builder'!K569)=FALSE,'SQL Builder'!O569,"")</f>
        <v/>
      </c>
      <c r="H594" s="43" t="str">
        <f>IF(ISBLANK('SQL Builder'!K568)=FALSE,H593+1,"")</f>
        <v/>
      </c>
      <c r="I594" s="1" t="str">
        <f>IF(ISBLANK('SQL Builder'!P569)=FALSE,'SQL Builder'!N569,"")</f>
        <v/>
      </c>
      <c r="J594" s="79">
        <f t="shared" si="8"/>
        <v>0</v>
      </c>
    </row>
    <row r="595" spans="2:10" ht="16.5" x14ac:dyDescent="0.25">
      <c r="B595" s="49" t="e">
        <f>IF(ISBLANK('SQL Builder'!K570)=FALSE,(DATE(LEFT('SQL Builder'!K570,4),MID('SQL Builder'!K570,6,2),MID('SQL Builder'!K570,9,2))),NA())</f>
        <v>#N/A</v>
      </c>
      <c r="C595" s="50" t="str">
        <f>IF(ISBLANK('SQL Builder'!K570)=FALSE,'SQL Builder'!L570,"")</f>
        <v/>
      </c>
      <c r="D595" s="1" t="str">
        <f>IF(ISBLANK('SQL Builder'!K570)=FALSE,'SQL Builder'!O570,"")</f>
        <v/>
      </c>
      <c r="H595" s="43" t="str">
        <f>IF(ISBLANK('SQL Builder'!K569)=FALSE,H594+1,"")</f>
        <v/>
      </c>
      <c r="I595" s="1" t="str">
        <f>IF(ISBLANK('SQL Builder'!P570)=FALSE,'SQL Builder'!N570,"")</f>
        <v/>
      </c>
      <c r="J595" s="79">
        <f t="shared" si="8"/>
        <v>0</v>
      </c>
    </row>
    <row r="596" spans="2:10" ht="16.5" x14ac:dyDescent="0.25">
      <c r="B596" s="49" t="e">
        <f>IF(ISBLANK('SQL Builder'!K571)=FALSE,(DATE(LEFT('SQL Builder'!K571,4),MID('SQL Builder'!K571,6,2),MID('SQL Builder'!K571,9,2))),NA())</f>
        <v>#N/A</v>
      </c>
      <c r="C596" s="50" t="str">
        <f>IF(ISBLANK('SQL Builder'!K571)=FALSE,'SQL Builder'!L571,"")</f>
        <v/>
      </c>
      <c r="D596" s="1" t="str">
        <f>IF(ISBLANK('SQL Builder'!K571)=FALSE,'SQL Builder'!O571,"")</f>
        <v/>
      </c>
      <c r="H596" s="43" t="str">
        <f>IF(ISBLANK('SQL Builder'!K570)=FALSE,H595+1,"")</f>
        <v/>
      </c>
      <c r="I596" s="1" t="str">
        <f>IF(ISBLANK('SQL Builder'!P571)=FALSE,'SQL Builder'!N571,"")</f>
        <v/>
      </c>
      <c r="J596" s="79">
        <f t="shared" si="8"/>
        <v>0</v>
      </c>
    </row>
    <row r="597" spans="2:10" ht="16.5" x14ac:dyDescent="0.25">
      <c r="B597" s="49" t="e">
        <f>IF(ISBLANK('SQL Builder'!K572)=FALSE,(DATE(LEFT('SQL Builder'!K572,4),MID('SQL Builder'!K572,6,2),MID('SQL Builder'!K572,9,2))),NA())</f>
        <v>#N/A</v>
      </c>
      <c r="C597" s="50" t="str">
        <f>IF(ISBLANK('SQL Builder'!K572)=FALSE,'SQL Builder'!L572,"")</f>
        <v/>
      </c>
      <c r="D597" s="1" t="str">
        <f>IF(ISBLANK('SQL Builder'!K572)=FALSE,'SQL Builder'!O572,"")</f>
        <v/>
      </c>
      <c r="H597" s="43" t="str">
        <f>IF(ISBLANK('SQL Builder'!K571)=FALSE,H596+1,"")</f>
        <v/>
      </c>
      <c r="I597" s="1" t="str">
        <f>IF(ISBLANK('SQL Builder'!P572)=FALSE,'SQL Builder'!N572,"")</f>
        <v/>
      </c>
      <c r="J597" s="79">
        <f t="shared" si="8"/>
        <v>0</v>
      </c>
    </row>
    <row r="598" spans="2:10" ht="16.5" x14ac:dyDescent="0.25">
      <c r="B598" s="49" t="e">
        <f>IF(ISBLANK('SQL Builder'!K573)=FALSE,(DATE(LEFT('SQL Builder'!K573,4),MID('SQL Builder'!K573,6,2),MID('SQL Builder'!K573,9,2))),NA())</f>
        <v>#N/A</v>
      </c>
      <c r="C598" s="50" t="str">
        <f>IF(ISBLANK('SQL Builder'!K573)=FALSE,'SQL Builder'!L573,"")</f>
        <v/>
      </c>
      <c r="D598" s="1" t="str">
        <f>IF(ISBLANK('SQL Builder'!K573)=FALSE,'SQL Builder'!O573,"")</f>
        <v/>
      </c>
      <c r="H598" s="43" t="str">
        <f>IF(ISBLANK('SQL Builder'!K572)=FALSE,H597+1,"")</f>
        <v/>
      </c>
      <c r="I598" s="1" t="str">
        <f>IF(ISBLANK('SQL Builder'!P573)=FALSE,'SQL Builder'!N573,"")</f>
        <v/>
      </c>
      <c r="J598" s="79">
        <f t="shared" si="8"/>
        <v>0</v>
      </c>
    </row>
    <row r="599" spans="2:10" ht="16.5" x14ac:dyDescent="0.25">
      <c r="B599" s="49" t="e">
        <f>IF(ISBLANK('SQL Builder'!K574)=FALSE,(DATE(LEFT('SQL Builder'!K574,4),MID('SQL Builder'!K574,6,2),MID('SQL Builder'!K574,9,2))),NA())</f>
        <v>#N/A</v>
      </c>
      <c r="C599" s="50" t="str">
        <f>IF(ISBLANK('SQL Builder'!K574)=FALSE,'SQL Builder'!L574,"")</f>
        <v/>
      </c>
      <c r="D599" s="1" t="str">
        <f>IF(ISBLANK('SQL Builder'!K574)=FALSE,'SQL Builder'!O574,"")</f>
        <v/>
      </c>
      <c r="H599" s="43" t="str">
        <f>IF(ISBLANK('SQL Builder'!K573)=FALSE,H598+1,"")</f>
        <v/>
      </c>
      <c r="I599" s="1" t="str">
        <f>IF(ISBLANK('SQL Builder'!P574)=FALSE,'SQL Builder'!N574,"")</f>
        <v/>
      </c>
      <c r="J599" s="79">
        <f t="shared" si="8"/>
        <v>0</v>
      </c>
    </row>
    <row r="600" spans="2:10" ht="16.5" x14ac:dyDescent="0.25">
      <c r="B600" s="49" t="e">
        <f>IF(ISBLANK('SQL Builder'!K575)=FALSE,(DATE(LEFT('SQL Builder'!K575,4),MID('SQL Builder'!K575,6,2),MID('SQL Builder'!K575,9,2))),NA())</f>
        <v>#N/A</v>
      </c>
      <c r="C600" s="50" t="str">
        <f>IF(ISBLANK('SQL Builder'!K575)=FALSE,'SQL Builder'!L575,"")</f>
        <v/>
      </c>
      <c r="D600" s="1" t="str">
        <f>IF(ISBLANK('SQL Builder'!K575)=FALSE,'SQL Builder'!O575,"")</f>
        <v/>
      </c>
      <c r="H600" s="43" t="str">
        <f>IF(ISBLANK('SQL Builder'!K574)=FALSE,H599+1,"")</f>
        <v/>
      </c>
      <c r="I600" s="1" t="str">
        <f>IF(ISBLANK('SQL Builder'!P575)=FALSE,'SQL Builder'!N575,"")</f>
        <v/>
      </c>
      <c r="J600" s="79">
        <f t="shared" si="8"/>
        <v>0</v>
      </c>
    </row>
    <row r="601" spans="2:10" ht="16.5" x14ac:dyDescent="0.25">
      <c r="B601" s="49" t="e">
        <f>IF(ISBLANK('SQL Builder'!K576)=FALSE,(DATE(LEFT('SQL Builder'!K576,4),MID('SQL Builder'!K576,6,2),MID('SQL Builder'!K576,9,2))),NA())</f>
        <v>#N/A</v>
      </c>
      <c r="C601" s="50" t="str">
        <f>IF(ISBLANK('SQL Builder'!K576)=FALSE,'SQL Builder'!L576,"")</f>
        <v/>
      </c>
      <c r="D601" s="1" t="str">
        <f>IF(ISBLANK('SQL Builder'!K576)=FALSE,'SQL Builder'!O576,"")</f>
        <v/>
      </c>
      <c r="H601" s="43" t="str">
        <f>IF(ISBLANK('SQL Builder'!K575)=FALSE,H600+1,"")</f>
        <v/>
      </c>
      <c r="I601" s="1" t="str">
        <f>IF(ISBLANK('SQL Builder'!P576)=FALSE,'SQL Builder'!N576,"")</f>
        <v/>
      </c>
      <c r="J601" s="79">
        <f t="shared" si="8"/>
        <v>0</v>
      </c>
    </row>
    <row r="602" spans="2:10" ht="16.5" x14ac:dyDescent="0.25">
      <c r="B602" s="49" t="e">
        <f>IF(ISBLANK('SQL Builder'!K577)=FALSE,(DATE(LEFT('SQL Builder'!K577,4),MID('SQL Builder'!K577,6,2),MID('SQL Builder'!K577,9,2))),NA())</f>
        <v>#N/A</v>
      </c>
      <c r="C602" s="50" t="str">
        <f>IF(ISBLANK('SQL Builder'!K577)=FALSE,'SQL Builder'!L577,"")</f>
        <v/>
      </c>
      <c r="D602" s="1" t="str">
        <f>IF(ISBLANK('SQL Builder'!K577)=FALSE,'SQL Builder'!O577,"")</f>
        <v/>
      </c>
      <c r="H602" s="43" t="str">
        <f>IF(ISBLANK('SQL Builder'!K576)=FALSE,H601+1,"")</f>
        <v/>
      </c>
      <c r="I602" s="1" t="str">
        <f>IF(ISBLANK('SQL Builder'!P577)=FALSE,'SQL Builder'!N577,"")</f>
        <v/>
      </c>
      <c r="J602" s="79">
        <f t="shared" si="8"/>
        <v>0</v>
      </c>
    </row>
    <row r="603" spans="2:10" ht="16.5" x14ac:dyDescent="0.25">
      <c r="B603" s="49" t="e">
        <f>IF(ISBLANK('SQL Builder'!K578)=FALSE,(DATE(LEFT('SQL Builder'!K578,4),MID('SQL Builder'!K578,6,2),MID('SQL Builder'!K578,9,2))),NA())</f>
        <v>#N/A</v>
      </c>
      <c r="C603" s="50" t="str">
        <f>IF(ISBLANK('SQL Builder'!K578)=FALSE,'SQL Builder'!L578,"")</f>
        <v/>
      </c>
      <c r="D603" s="1" t="str">
        <f>IF(ISBLANK('SQL Builder'!K578)=FALSE,'SQL Builder'!O578,"")</f>
        <v/>
      </c>
      <c r="H603" s="43" t="str">
        <f>IF(ISBLANK('SQL Builder'!K577)=FALSE,H602+1,"")</f>
        <v/>
      </c>
      <c r="I603" s="1" t="str">
        <f>IF(ISBLANK('SQL Builder'!P578)=FALSE,'SQL Builder'!N578,"")</f>
        <v/>
      </c>
      <c r="J603" s="79">
        <f t="shared" si="8"/>
        <v>0</v>
      </c>
    </row>
    <row r="604" spans="2:10" ht="16.5" x14ac:dyDescent="0.25">
      <c r="B604" s="49" t="e">
        <f>IF(ISBLANK('SQL Builder'!K579)=FALSE,(DATE(LEFT('SQL Builder'!K579,4),MID('SQL Builder'!K579,6,2),MID('SQL Builder'!K579,9,2))),NA())</f>
        <v>#N/A</v>
      </c>
      <c r="C604" s="50" t="str">
        <f>IF(ISBLANK('SQL Builder'!K579)=FALSE,'SQL Builder'!L579,"")</f>
        <v/>
      </c>
      <c r="D604" s="1" t="str">
        <f>IF(ISBLANK('SQL Builder'!K579)=FALSE,'SQL Builder'!O579,"")</f>
        <v/>
      </c>
      <c r="H604" s="43" t="str">
        <f>IF(ISBLANK('SQL Builder'!K578)=FALSE,H603+1,"")</f>
        <v/>
      </c>
      <c r="I604" s="1" t="str">
        <f>IF(ISBLANK('SQL Builder'!P579)=FALSE,'SQL Builder'!N579,"")</f>
        <v/>
      </c>
      <c r="J604" s="79">
        <f t="shared" si="8"/>
        <v>0</v>
      </c>
    </row>
    <row r="605" spans="2:10" ht="16.5" x14ac:dyDescent="0.25">
      <c r="B605" s="49" t="e">
        <f>IF(ISBLANK('SQL Builder'!K580)=FALSE,(DATE(LEFT('SQL Builder'!K580,4),MID('SQL Builder'!K580,6,2),MID('SQL Builder'!K580,9,2))),NA())</f>
        <v>#N/A</v>
      </c>
      <c r="C605" s="50" t="str">
        <f>IF(ISBLANK('SQL Builder'!K580)=FALSE,'SQL Builder'!L580,"")</f>
        <v/>
      </c>
      <c r="D605" s="1" t="str">
        <f>IF(ISBLANK('SQL Builder'!K580)=FALSE,'SQL Builder'!O580,"")</f>
        <v/>
      </c>
      <c r="H605" s="43" t="str">
        <f>IF(ISBLANK('SQL Builder'!K579)=FALSE,H604+1,"")</f>
        <v/>
      </c>
      <c r="I605" s="1" t="str">
        <f>IF(ISBLANK('SQL Builder'!P580)=FALSE,'SQL Builder'!N580,"")</f>
        <v/>
      </c>
      <c r="J605" s="79">
        <f t="shared" si="8"/>
        <v>0</v>
      </c>
    </row>
    <row r="606" spans="2:10" ht="16.5" x14ac:dyDescent="0.25">
      <c r="B606" s="49" t="e">
        <f>IF(ISBLANK('SQL Builder'!K581)=FALSE,(DATE(LEFT('SQL Builder'!K581,4),MID('SQL Builder'!K581,6,2),MID('SQL Builder'!K581,9,2))),NA())</f>
        <v>#N/A</v>
      </c>
      <c r="C606" s="50" t="str">
        <f>IF(ISBLANK('SQL Builder'!K581)=FALSE,'SQL Builder'!L581,"")</f>
        <v/>
      </c>
      <c r="D606" s="1" t="str">
        <f>IF(ISBLANK('SQL Builder'!K581)=FALSE,'SQL Builder'!O581,"")</f>
        <v/>
      </c>
      <c r="H606" s="43" t="str">
        <f>IF(ISBLANK('SQL Builder'!K580)=FALSE,H605+1,"")</f>
        <v/>
      </c>
      <c r="I606" s="1" t="str">
        <f>IF(ISBLANK('SQL Builder'!P581)=FALSE,'SQL Builder'!N581,"")</f>
        <v/>
      </c>
      <c r="J606" s="79">
        <f t="shared" si="8"/>
        <v>0</v>
      </c>
    </row>
    <row r="607" spans="2:10" ht="16.5" x14ac:dyDescent="0.25">
      <c r="B607" s="49" t="e">
        <f>IF(ISBLANK('SQL Builder'!K582)=FALSE,(DATE(LEFT('SQL Builder'!K582,4),MID('SQL Builder'!K582,6,2),MID('SQL Builder'!K582,9,2))),NA())</f>
        <v>#N/A</v>
      </c>
      <c r="C607" s="50" t="str">
        <f>IF(ISBLANK('SQL Builder'!K582)=FALSE,'SQL Builder'!L582,"")</f>
        <v/>
      </c>
      <c r="D607" s="1" t="str">
        <f>IF(ISBLANK('SQL Builder'!K582)=FALSE,'SQL Builder'!O582,"")</f>
        <v/>
      </c>
      <c r="H607" s="43" t="str">
        <f>IF(ISBLANK('SQL Builder'!K581)=FALSE,H606+1,"")</f>
        <v/>
      </c>
      <c r="I607" s="1" t="str">
        <f>IF(ISBLANK('SQL Builder'!P582)=FALSE,'SQL Builder'!N582,"")</f>
        <v/>
      </c>
      <c r="J607" s="79">
        <f t="shared" ref="J607:J670" si="9">IF(I607="",0,IF(I607=C$5,2,1))</f>
        <v>0</v>
      </c>
    </row>
    <row r="608" spans="2:10" ht="16.5" x14ac:dyDescent="0.25">
      <c r="B608" s="49" t="e">
        <f>IF(ISBLANK('SQL Builder'!K583)=FALSE,(DATE(LEFT('SQL Builder'!K583,4),MID('SQL Builder'!K583,6,2),MID('SQL Builder'!K583,9,2))),NA())</f>
        <v>#N/A</v>
      </c>
      <c r="C608" s="50" t="str">
        <f>IF(ISBLANK('SQL Builder'!K583)=FALSE,'SQL Builder'!L583,"")</f>
        <v/>
      </c>
      <c r="D608" s="1" t="str">
        <f>IF(ISBLANK('SQL Builder'!K583)=FALSE,'SQL Builder'!O583,"")</f>
        <v/>
      </c>
      <c r="H608" s="43" t="str">
        <f>IF(ISBLANK('SQL Builder'!K582)=FALSE,H607+1,"")</f>
        <v/>
      </c>
      <c r="I608" s="1" t="str">
        <f>IF(ISBLANK('SQL Builder'!P583)=FALSE,'SQL Builder'!N583,"")</f>
        <v/>
      </c>
      <c r="J608" s="79">
        <f t="shared" si="9"/>
        <v>0</v>
      </c>
    </row>
    <row r="609" spans="2:10" ht="16.5" x14ac:dyDescent="0.25">
      <c r="B609" s="49" t="e">
        <f>IF(ISBLANK('SQL Builder'!K584)=FALSE,(DATE(LEFT('SQL Builder'!K584,4),MID('SQL Builder'!K584,6,2),MID('SQL Builder'!K584,9,2))),NA())</f>
        <v>#N/A</v>
      </c>
      <c r="C609" s="50" t="str">
        <f>IF(ISBLANK('SQL Builder'!K584)=FALSE,'SQL Builder'!L584,"")</f>
        <v/>
      </c>
      <c r="D609" s="1" t="str">
        <f>IF(ISBLANK('SQL Builder'!K584)=FALSE,'SQL Builder'!O584,"")</f>
        <v/>
      </c>
      <c r="H609" s="43" t="str">
        <f>IF(ISBLANK('SQL Builder'!K583)=FALSE,H608+1,"")</f>
        <v/>
      </c>
      <c r="I609" s="1" t="str">
        <f>IF(ISBLANK('SQL Builder'!P584)=FALSE,'SQL Builder'!N584,"")</f>
        <v/>
      </c>
      <c r="J609" s="79">
        <f t="shared" si="9"/>
        <v>0</v>
      </c>
    </row>
    <row r="610" spans="2:10" ht="16.5" x14ac:dyDescent="0.25">
      <c r="B610" s="49" t="e">
        <f>IF(ISBLANK('SQL Builder'!K585)=FALSE,(DATE(LEFT('SQL Builder'!K585,4),MID('SQL Builder'!K585,6,2),MID('SQL Builder'!K585,9,2))),NA())</f>
        <v>#N/A</v>
      </c>
      <c r="C610" s="50" t="str">
        <f>IF(ISBLANK('SQL Builder'!K585)=FALSE,'SQL Builder'!L585,"")</f>
        <v/>
      </c>
      <c r="D610" s="1" t="str">
        <f>IF(ISBLANK('SQL Builder'!K585)=FALSE,'SQL Builder'!O585,"")</f>
        <v/>
      </c>
      <c r="H610" s="43" t="str">
        <f>IF(ISBLANK('SQL Builder'!K584)=FALSE,H609+1,"")</f>
        <v/>
      </c>
      <c r="I610" s="1" t="str">
        <f>IF(ISBLANK('SQL Builder'!P585)=FALSE,'SQL Builder'!N585,"")</f>
        <v/>
      </c>
      <c r="J610" s="79">
        <f t="shared" si="9"/>
        <v>0</v>
      </c>
    </row>
    <row r="611" spans="2:10" ht="16.5" x14ac:dyDescent="0.25">
      <c r="B611" s="49" t="e">
        <f>IF(ISBLANK('SQL Builder'!K586)=FALSE,(DATE(LEFT('SQL Builder'!K586,4),MID('SQL Builder'!K586,6,2),MID('SQL Builder'!K586,9,2))),NA())</f>
        <v>#N/A</v>
      </c>
      <c r="C611" s="50" t="str">
        <f>IF(ISBLANK('SQL Builder'!K586)=FALSE,'SQL Builder'!L586,"")</f>
        <v/>
      </c>
      <c r="D611" s="1" t="str">
        <f>IF(ISBLANK('SQL Builder'!K586)=FALSE,'SQL Builder'!O586,"")</f>
        <v/>
      </c>
      <c r="H611" s="43" t="str">
        <f>IF(ISBLANK('SQL Builder'!K585)=FALSE,H610+1,"")</f>
        <v/>
      </c>
      <c r="I611" s="1" t="str">
        <f>IF(ISBLANK('SQL Builder'!P586)=FALSE,'SQL Builder'!N586,"")</f>
        <v/>
      </c>
      <c r="J611" s="79">
        <f t="shared" si="9"/>
        <v>0</v>
      </c>
    </row>
    <row r="612" spans="2:10" ht="16.5" x14ac:dyDescent="0.25">
      <c r="B612" s="49" t="e">
        <f>IF(ISBLANK('SQL Builder'!K587)=FALSE,(DATE(LEFT('SQL Builder'!K587,4),MID('SQL Builder'!K587,6,2),MID('SQL Builder'!K587,9,2))),NA())</f>
        <v>#N/A</v>
      </c>
      <c r="C612" s="50" t="str">
        <f>IF(ISBLANK('SQL Builder'!K587)=FALSE,'SQL Builder'!L587,"")</f>
        <v/>
      </c>
      <c r="D612" s="1" t="str">
        <f>IF(ISBLANK('SQL Builder'!K587)=FALSE,'SQL Builder'!O587,"")</f>
        <v/>
      </c>
      <c r="H612" s="43" t="str">
        <f>IF(ISBLANK('SQL Builder'!K586)=FALSE,H611+1,"")</f>
        <v/>
      </c>
      <c r="I612" s="1" t="str">
        <f>IF(ISBLANK('SQL Builder'!P587)=FALSE,'SQL Builder'!N587,"")</f>
        <v/>
      </c>
      <c r="J612" s="79">
        <f t="shared" si="9"/>
        <v>0</v>
      </c>
    </row>
    <row r="613" spans="2:10" ht="16.5" x14ac:dyDescent="0.25">
      <c r="B613" s="49" t="e">
        <f>IF(ISBLANK('SQL Builder'!K588)=FALSE,(DATE(LEFT('SQL Builder'!K588,4),MID('SQL Builder'!K588,6,2),MID('SQL Builder'!K588,9,2))),NA())</f>
        <v>#N/A</v>
      </c>
      <c r="C613" s="50" t="str">
        <f>IF(ISBLANK('SQL Builder'!K588)=FALSE,'SQL Builder'!L588,"")</f>
        <v/>
      </c>
      <c r="D613" s="1" t="str">
        <f>IF(ISBLANK('SQL Builder'!K588)=FALSE,'SQL Builder'!O588,"")</f>
        <v/>
      </c>
      <c r="H613" s="43" t="str">
        <f>IF(ISBLANK('SQL Builder'!K587)=FALSE,H612+1,"")</f>
        <v/>
      </c>
      <c r="I613" s="1" t="str">
        <f>IF(ISBLANK('SQL Builder'!P588)=FALSE,'SQL Builder'!N588,"")</f>
        <v/>
      </c>
      <c r="J613" s="79">
        <f t="shared" si="9"/>
        <v>0</v>
      </c>
    </row>
    <row r="614" spans="2:10" ht="16.5" x14ac:dyDescent="0.25">
      <c r="B614" s="49" t="e">
        <f>IF(ISBLANK('SQL Builder'!K589)=FALSE,(DATE(LEFT('SQL Builder'!K589,4),MID('SQL Builder'!K589,6,2),MID('SQL Builder'!K589,9,2))),NA())</f>
        <v>#N/A</v>
      </c>
      <c r="C614" s="50" t="str">
        <f>IF(ISBLANK('SQL Builder'!K589)=FALSE,'SQL Builder'!L589,"")</f>
        <v/>
      </c>
      <c r="D614" s="1" t="str">
        <f>IF(ISBLANK('SQL Builder'!K589)=FALSE,'SQL Builder'!O589,"")</f>
        <v/>
      </c>
      <c r="H614" s="43" t="str">
        <f>IF(ISBLANK('SQL Builder'!K588)=FALSE,H613+1,"")</f>
        <v/>
      </c>
      <c r="I614" s="1" t="str">
        <f>IF(ISBLANK('SQL Builder'!P589)=FALSE,'SQL Builder'!N589,"")</f>
        <v/>
      </c>
      <c r="J614" s="79">
        <f t="shared" si="9"/>
        <v>0</v>
      </c>
    </row>
    <row r="615" spans="2:10" ht="16.5" x14ac:dyDescent="0.25">
      <c r="B615" s="49" t="e">
        <f>IF(ISBLANK('SQL Builder'!K590)=FALSE,(DATE(LEFT('SQL Builder'!K590,4),MID('SQL Builder'!K590,6,2),MID('SQL Builder'!K590,9,2))),NA())</f>
        <v>#N/A</v>
      </c>
      <c r="C615" s="50" t="str">
        <f>IF(ISBLANK('SQL Builder'!K590)=FALSE,'SQL Builder'!L590,"")</f>
        <v/>
      </c>
      <c r="D615" s="1" t="str">
        <f>IF(ISBLANK('SQL Builder'!K590)=FALSE,'SQL Builder'!O590,"")</f>
        <v/>
      </c>
      <c r="H615" s="43" t="str">
        <f>IF(ISBLANK('SQL Builder'!K589)=FALSE,H614+1,"")</f>
        <v/>
      </c>
      <c r="I615" s="1" t="str">
        <f>IF(ISBLANK('SQL Builder'!P590)=FALSE,'SQL Builder'!N590,"")</f>
        <v/>
      </c>
      <c r="J615" s="79">
        <f t="shared" si="9"/>
        <v>0</v>
      </c>
    </row>
    <row r="616" spans="2:10" ht="16.5" x14ac:dyDescent="0.25">
      <c r="B616" s="49" t="e">
        <f>IF(ISBLANK('SQL Builder'!K591)=FALSE,(DATE(LEFT('SQL Builder'!K591,4),MID('SQL Builder'!K591,6,2),MID('SQL Builder'!K591,9,2))),NA())</f>
        <v>#N/A</v>
      </c>
      <c r="C616" s="50" t="str">
        <f>IF(ISBLANK('SQL Builder'!K591)=FALSE,'SQL Builder'!L591,"")</f>
        <v/>
      </c>
      <c r="D616" s="1" t="str">
        <f>IF(ISBLANK('SQL Builder'!K591)=FALSE,'SQL Builder'!O591,"")</f>
        <v/>
      </c>
      <c r="H616" s="43" t="str">
        <f>IF(ISBLANK('SQL Builder'!K590)=FALSE,H615+1,"")</f>
        <v/>
      </c>
      <c r="I616" s="1" t="str">
        <f>IF(ISBLANK('SQL Builder'!P591)=FALSE,'SQL Builder'!N591,"")</f>
        <v/>
      </c>
      <c r="J616" s="79">
        <f t="shared" si="9"/>
        <v>0</v>
      </c>
    </row>
    <row r="617" spans="2:10" ht="16.5" x14ac:dyDescent="0.25">
      <c r="B617" s="49" t="e">
        <f>IF(ISBLANK('SQL Builder'!K592)=FALSE,(DATE(LEFT('SQL Builder'!K592,4),MID('SQL Builder'!K592,6,2),MID('SQL Builder'!K592,9,2))),NA())</f>
        <v>#N/A</v>
      </c>
      <c r="C617" s="50" t="str">
        <f>IF(ISBLANK('SQL Builder'!K592)=FALSE,'SQL Builder'!L592,"")</f>
        <v/>
      </c>
      <c r="D617" s="1" t="str">
        <f>IF(ISBLANK('SQL Builder'!K592)=FALSE,'SQL Builder'!O592,"")</f>
        <v/>
      </c>
      <c r="H617" s="43" t="str">
        <f>IF(ISBLANK('SQL Builder'!K591)=FALSE,H616+1,"")</f>
        <v/>
      </c>
      <c r="I617" s="1" t="str">
        <f>IF(ISBLANK('SQL Builder'!P592)=FALSE,'SQL Builder'!N592,"")</f>
        <v/>
      </c>
      <c r="J617" s="79">
        <f t="shared" si="9"/>
        <v>0</v>
      </c>
    </row>
    <row r="618" spans="2:10" ht="16.5" x14ac:dyDescent="0.25">
      <c r="B618" s="49" t="e">
        <f>IF(ISBLANK('SQL Builder'!K593)=FALSE,(DATE(LEFT('SQL Builder'!K593,4),MID('SQL Builder'!K593,6,2),MID('SQL Builder'!K593,9,2))),NA())</f>
        <v>#N/A</v>
      </c>
      <c r="C618" s="50" t="str">
        <f>IF(ISBLANK('SQL Builder'!K593)=FALSE,'SQL Builder'!L593,"")</f>
        <v/>
      </c>
      <c r="D618" s="1" t="str">
        <f>IF(ISBLANK('SQL Builder'!K593)=FALSE,'SQL Builder'!O593,"")</f>
        <v/>
      </c>
      <c r="H618" s="43" t="str">
        <f>IF(ISBLANK('SQL Builder'!K592)=FALSE,H617+1,"")</f>
        <v/>
      </c>
      <c r="I618" s="1" t="str">
        <f>IF(ISBLANK('SQL Builder'!P593)=FALSE,'SQL Builder'!N593,"")</f>
        <v/>
      </c>
      <c r="J618" s="79">
        <f t="shared" si="9"/>
        <v>0</v>
      </c>
    </row>
    <row r="619" spans="2:10" ht="16.5" x14ac:dyDescent="0.25">
      <c r="B619" s="49" t="e">
        <f>IF(ISBLANK('SQL Builder'!K594)=FALSE,(DATE(LEFT('SQL Builder'!K594,4),MID('SQL Builder'!K594,6,2),MID('SQL Builder'!K594,9,2))),NA())</f>
        <v>#N/A</v>
      </c>
      <c r="C619" s="50" t="str">
        <f>IF(ISBLANK('SQL Builder'!K594)=FALSE,'SQL Builder'!L594,"")</f>
        <v/>
      </c>
      <c r="D619" s="1" t="str">
        <f>IF(ISBLANK('SQL Builder'!K594)=FALSE,'SQL Builder'!O594,"")</f>
        <v/>
      </c>
      <c r="H619" s="43" t="str">
        <f>IF(ISBLANK('SQL Builder'!K593)=FALSE,H618+1,"")</f>
        <v/>
      </c>
      <c r="I619" s="1" t="str">
        <f>IF(ISBLANK('SQL Builder'!P594)=FALSE,'SQL Builder'!N594,"")</f>
        <v/>
      </c>
      <c r="J619" s="79">
        <f t="shared" si="9"/>
        <v>0</v>
      </c>
    </row>
    <row r="620" spans="2:10" ht="16.5" x14ac:dyDescent="0.25">
      <c r="B620" s="49" t="e">
        <f>IF(ISBLANK('SQL Builder'!K595)=FALSE,(DATE(LEFT('SQL Builder'!K595,4),MID('SQL Builder'!K595,6,2),MID('SQL Builder'!K595,9,2))),NA())</f>
        <v>#N/A</v>
      </c>
      <c r="C620" s="50" t="str">
        <f>IF(ISBLANK('SQL Builder'!K595)=FALSE,'SQL Builder'!L595,"")</f>
        <v/>
      </c>
      <c r="D620" s="1" t="str">
        <f>IF(ISBLANK('SQL Builder'!K595)=FALSE,'SQL Builder'!O595,"")</f>
        <v/>
      </c>
      <c r="H620" s="43" t="str">
        <f>IF(ISBLANK('SQL Builder'!K594)=FALSE,H619+1,"")</f>
        <v/>
      </c>
      <c r="I620" s="1" t="str">
        <f>IF(ISBLANK('SQL Builder'!P595)=FALSE,'SQL Builder'!N595,"")</f>
        <v/>
      </c>
      <c r="J620" s="79">
        <f t="shared" si="9"/>
        <v>0</v>
      </c>
    </row>
    <row r="621" spans="2:10" ht="16.5" x14ac:dyDescent="0.25">
      <c r="B621" s="49" t="e">
        <f>IF(ISBLANK('SQL Builder'!K596)=FALSE,(DATE(LEFT('SQL Builder'!K596,4),MID('SQL Builder'!K596,6,2),MID('SQL Builder'!K596,9,2))),NA())</f>
        <v>#N/A</v>
      </c>
      <c r="C621" s="50" t="str">
        <f>IF(ISBLANK('SQL Builder'!K596)=FALSE,'SQL Builder'!L596,"")</f>
        <v/>
      </c>
      <c r="D621" s="1" t="str">
        <f>IF(ISBLANK('SQL Builder'!K596)=FALSE,'SQL Builder'!O596,"")</f>
        <v/>
      </c>
      <c r="H621" s="43" t="str">
        <f>IF(ISBLANK('SQL Builder'!K595)=FALSE,H620+1,"")</f>
        <v/>
      </c>
      <c r="I621" s="1" t="str">
        <f>IF(ISBLANK('SQL Builder'!P596)=FALSE,'SQL Builder'!N596,"")</f>
        <v/>
      </c>
      <c r="J621" s="79">
        <f t="shared" si="9"/>
        <v>0</v>
      </c>
    </row>
    <row r="622" spans="2:10" ht="16.5" x14ac:dyDescent="0.25">
      <c r="B622" s="49" t="e">
        <f>IF(ISBLANK('SQL Builder'!K597)=FALSE,(DATE(LEFT('SQL Builder'!K597,4),MID('SQL Builder'!K597,6,2),MID('SQL Builder'!K597,9,2))),NA())</f>
        <v>#N/A</v>
      </c>
      <c r="C622" s="50" t="str">
        <f>IF(ISBLANK('SQL Builder'!K597)=FALSE,'SQL Builder'!L597,"")</f>
        <v/>
      </c>
      <c r="D622" s="1" t="str">
        <f>IF(ISBLANK('SQL Builder'!K597)=FALSE,'SQL Builder'!O597,"")</f>
        <v/>
      </c>
      <c r="H622" s="43" t="str">
        <f>IF(ISBLANK('SQL Builder'!K596)=FALSE,H621+1,"")</f>
        <v/>
      </c>
      <c r="I622" s="1" t="str">
        <f>IF(ISBLANK('SQL Builder'!P597)=FALSE,'SQL Builder'!N597,"")</f>
        <v/>
      </c>
      <c r="J622" s="79">
        <f t="shared" si="9"/>
        <v>0</v>
      </c>
    </row>
    <row r="623" spans="2:10" ht="16.5" x14ac:dyDescent="0.25">
      <c r="B623" s="49" t="e">
        <f>IF(ISBLANK('SQL Builder'!K598)=FALSE,(DATE(LEFT('SQL Builder'!K598,4),MID('SQL Builder'!K598,6,2),MID('SQL Builder'!K598,9,2))),NA())</f>
        <v>#N/A</v>
      </c>
      <c r="C623" s="50" t="str">
        <f>IF(ISBLANK('SQL Builder'!K598)=FALSE,'SQL Builder'!L598,"")</f>
        <v/>
      </c>
      <c r="D623" s="1" t="str">
        <f>IF(ISBLANK('SQL Builder'!K598)=FALSE,'SQL Builder'!O598,"")</f>
        <v/>
      </c>
      <c r="H623" s="43" t="str">
        <f>IF(ISBLANK('SQL Builder'!K597)=FALSE,H622+1,"")</f>
        <v/>
      </c>
      <c r="I623" s="1" t="str">
        <f>IF(ISBLANK('SQL Builder'!P598)=FALSE,'SQL Builder'!N598,"")</f>
        <v/>
      </c>
      <c r="J623" s="79">
        <f t="shared" si="9"/>
        <v>0</v>
      </c>
    </row>
    <row r="624" spans="2:10" ht="16.5" x14ac:dyDescent="0.25">
      <c r="B624" s="49" t="e">
        <f>IF(ISBLANK('SQL Builder'!K599)=FALSE,(DATE(LEFT('SQL Builder'!K599,4),MID('SQL Builder'!K599,6,2),MID('SQL Builder'!K599,9,2))),NA())</f>
        <v>#N/A</v>
      </c>
      <c r="C624" s="50" t="str">
        <f>IF(ISBLANK('SQL Builder'!K599)=FALSE,'SQL Builder'!L599,"")</f>
        <v/>
      </c>
      <c r="D624" s="1" t="str">
        <f>IF(ISBLANK('SQL Builder'!K599)=FALSE,'SQL Builder'!O599,"")</f>
        <v/>
      </c>
      <c r="H624" s="43" t="str">
        <f>IF(ISBLANK('SQL Builder'!K598)=FALSE,H623+1,"")</f>
        <v/>
      </c>
      <c r="I624" s="1" t="str">
        <f>IF(ISBLANK('SQL Builder'!P599)=FALSE,'SQL Builder'!N599,"")</f>
        <v/>
      </c>
      <c r="J624" s="79">
        <f t="shared" si="9"/>
        <v>0</v>
      </c>
    </row>
    <row r="625" spans="2:10" ht="16.5" x14ac:dyDescent="0.25">
      <c r="B625" s="49" t="e">
        <f>IF(ISBLANK('SQL Builder'!K600)=FALSE,(DATE(LEFT('SQL Builder'!K600,4),MID('SQL Builder'!K600,6,2),MID('SQL Builder'!K600,9,2))),NA())</f>
        <v>#N/A</v>
      </c>
      <c r="C625" s="50" t="str">
        <f>IF(ISBLANK('SQL Builder'!K600)=FALSE,'SQL Builder'!L600,"")</f>
        <v/>
      </c>
      <c r="D625" s="1" t="str">
        <f>IF(ISBLANK('SQL Builder'!K600)=FALSE,'SQL Builder'!O600,"")</f>
        <v/>
      </c>
      <c r="H625" s="43" t="str">
        <f>IF(ISBLANK('SQL Builder'!K599)=FALSE,H624+1,"")</f>
        <v/>
      </c>
      <c r="I625" s="1" t="str">
        <f>IF(ISBLANK('SQL Builder'!P600)=FALSE,'SQL Builder'!N600,"")</f>
        <v/>
      </c>
      <c r="J625" s="79">
        <f t="shared" si="9"/>
        <v>0</v>
      </c>
    </row>
    <row r="626" spans="2:10" ht="16.5" x14ac:dyDescent="0.25">
      <c r="B626" s="49" t="e">
        <f>IF(ISBLANK('SQL Builder'!K601)=FALSE,(DATE(LEFT('SQL Builder'!K601,4),MID('SQL Builder'!K601,6,2),MID('SQL Builder'!K601,9,2))),NA())</f>
        <v>#N/A</v>
      </c>
      <c r="C626" s="50" t="str">
        <f>IF(ISBLANK('SQL Builder'!K601)=FALSE,'SQL Builder'!L601,"")</f>
        <v/>
      </c>
      <c r="D626" s="1" t="str">
        <f>IF(ISBLANK('SQL Builder'!K601)=FALSE,'SQL Builder'!O601,"")</f>
        <v/>
      </c>
      <c r="H626" s="43" t="str">
        <f>IF(ISBLANK('SQL Builder'!K600)=FALSE,H625+1,"")</f>
        <v/>
      </c>
      <c r="I626" s="1" t="str">
        <f>IF(ISBLANK('SQL Builder'!P601)=FALSE,'SQL Builder'!N601,"")</f>
        <v/>
      </c>
      <c r="J626" s="79">
        <f t="shared" si="9"/>
        <v>0</v>
      </c>
    </row>
    <row r="627" spans="2:10" ht="16.5" x14ac:dyDescent="0.25">
      <c r="B627" s="49" t="e">
        <f>IF(ISBLANK('SQL Builder'!K602)=FALSE,(DATE(LEFT('SQL Builder'!K602,4),MID('SQL Builder'!K602,6,2),MID('SQL Builder'!K602,9,2))),NA())</f>
        <v>#N/A</v>
      </c>
      <c r="C627" s="50" t="str">
        <f>IF(ISBLANK('SQL Builder'!K602)=FALSE,'SQL Builder'!L602,"")</f>
        <v/>
      </c>
      <c r="D627" s="1" t="str">
        <f>IF(ISBLANK('SQL Builder'!K602)=FALSE,'SQL Builder'!O602,"")</f>
        <v/>
      </c>
      <c r="H627" s="43" t="str">
        <f>IF(ISBLANK('SQL Builder'!K601)=FALSE,H626+1,"")</f>
        <v/>
      </c>
      <c r="I627" s="1" t="str">
        <f>IF(ISBLANK('SQL Builder'!P602)=FALSE,'SQL Builder'!N602,"")</f>
        <v/>
      </c>
      <c r="J627" s="79">
        <f t="shared" si="9"/>
        <v>0</v>
      </c>
    </row>
    <row r="628" spans="2:10" ht="16.5" x14ac:dyDescent="0.25">
      <c r="B628" s="49" t="e">
        <f>IF(ISBLANK('SQL Builder'!K603)=FALSE,(DATE(LEFT('SQL Builder'!K603,4),MID('SQL Builder'!K603,6,2),MID('SQL Builder'!K603,9,2))),NA())</f>
        <v>#N/A</v>
      </c>
      <c r="C628" s="50" t="str">
        <f>IF(ISBLANK('SQL Builder'!K603)=FALSE,'SQL Builder'!L603,"")</f>
        <v/>
      </c>
      <c r="D628" s="1" t="str">
        <f>IF(ISBLANK('SQL Builder'!K603)=FALSE,'SQL Builder'!O603,"")</f>
        <v/>
      </c>
      <c r="H628" s="43" t="str">
        <f>IF(ISBLANK('SQL Builder'!K602)=FALSE,H627+1,"")</f>
        <v/>
      </c>
      <c r="I628" s="1" t="str">
        <f>IF(ISBLANK('SQL Builder'!P603)=FALSE,'SQL Builder'!N603,"")</f>
        <v/>
      </c>
      <c r="J628" s="79">
        <f t="shared" si="9"/>
        <v>0</v>
      </c>
    </row>
    <row r="629" spans="2:10" ht="16.5" x14ac:dyDescent="0.25">
      <c r="B629" s="49" t="e">
        <f>IF(ISBLANK('SQL Builder'!K604)=FALSE,(DATE(LEFT('SQL Builder'!K604,4),MID('SQL Builder'!K604,6,2),MID('SQL Builder'!K604,9,2))),NA())</f>
        <v>#N/A</v>
      </c>
      <c r="C629" s="50" t="str">
        <f>IF(ISBLANK('SQL Builder'!K604)=FALSE,'SQL Builder'!L604,"")</f>
        <v/>
      </c>
      <c r="D629" s="1" t="str">
        <f>IF(ISBLANK('SQL Builder'!K604)=FALSE,'SQL Builder'!O604,"")</f>
        <v/>
      </c>
      <c r="H629" s="43" t="str">
        <f>IF(ISBLANK('SQL Builder'!K603)=FALSE,H628+1,"")</f>
        <v/>
      </c>
      <c r="I629" s="1" t="str">
        <f>IF(ISBLANK('SQL Builder'!P604)=FALSE,'SQL Builder'!N604,"")</f>
        <v/>
      </c>
      <c r="J629" s="79">
        <f t="shared" si="9"/>
        <v>0</v>
      </c>
    </row>
    <row r="630" spans="2:10" ht="16.5" x14ac:dyDescent="0.25">
      <c r="B630" s="49" t="e">
        <f>IF(ISBLANK('SQL Builder'!K605)=FALSE,(DATE(LEFT('SQL Builder'!K605,4),MID('SQL Builder'!K605,6,2),MID('SQL Builder'!K605,9,2))),NA())</f>
        <v>#N/A</v>
      </c>
      <c r="C630" s="50" t="str">
        <f>IF(ISBLANK('SQL Builder'!K605)=FALSE,'SQL Builder'!L605,"")</f>
        <v/>
      </c>
      <c r="D630" s="1" t="str">
        <f>IF(ISBLANK('SQL Builder'!K605)=FALSE,'SQL Builder'!O605,"")</f>
        <v/>
      </c>
      <c r="H630" s="43" t="str">
        <f>IF(ISBLANK('SQL Builder'!K604)=FALSE,H629+1,"")</f>
        <v/>
      </c>
      <c r="I630" s="1" t="str">
        <f>IF(ISBLANK('SQL Builder'!P605)=FALSE,'SQL Builder'!N605,"")</f>
        <v/>
      </c>
      <c r="J630" s="79">
        <f t="shared" si="9"/>
        <v>0</v>
      </c>
    </row>
    <row r="631" spans="2:10" ht="16.5" x14ac:dyDescent="0.25">
      <c r="B631" s="49" t="e">
        <f>IF(ISBLANK('SQL Builder'!K606)=FALSE,(DATE(LEFT('SQL Builder'!K606,4),MID('SQL Builder'!K606,6,2),MID('SQL Builder'!K606,9,2))),NA())</f>
        <v>#N/A</v>
      </c>
      <c r="C631" s="50" t="str">
        <f>IF(ISBLANK('SQL Builder'!K606)=FALSE,'SQL Builder'!L606,"")</f>
        <v/>
      </c>
      <c r="D631" s="1" t="str">
        <f>IF(ISBLANK('SQL Builder'!K606)=FALSE,'SQL Builder'!O606,"")</f>
        <v/>
      </c>
      <c r="H631" s="43" t="str">
        <f>IF(ISBLANK('SQL Builder'!K605)=FALSE,H630+1,"")</f>
        <v/>
      </c>
      <c r="I631" s="1" t="str">
        <f>IF(ISBLANK('SQL Builder'!P606)=FALSE,'SQL Builder'!N606,"")</f>
        <v/>
      </c>
      <c r="J631" s="79">
        <f t="shared" si="9"/>
        <v>0</v>
      </c>
    </row>
    <row r="632" spans="2:10" ht="16.5" x14ac:dyDescent="0.25">
      <c r="B632" s="49" t="e">
        <f>IF(ISBLANK('SQL Builder'!K607)=FALSE,(DATE(LEFT('SQL Builder'!K607,4),MID('SQL Builder'!K607,6,2),MID('SQL Builder'!K607,9,2))),NA())</f>
        <v>#N/A</v>
      </c>
      <c r="C632" s="50" t="str">
        <f>IF(ISBLANK('SQL Builder'!K607)=FALSE,'SQL Builder'!L607,"")</f>
        <v/>
      </c>
      <c r="D632" s="1" t="str">
        <f>IF(ISBLANK('SQL Builder'!K607)=FALSE,'SQL Builder'!O607,"")</f>
        <v/>
      </c>
      <c r="H632" s="43" t="str">
        <f>IF(ISBLANK('SQL Builder'!K606)=FALSE,H631+1,"")</f>
        <v/>
      </c>
      <c r="I632" s="1" t="str">
        <f>IF(ISBLANK('SQL Builder'!P607)=FALSE,'SQL Builder'!N607,"")</f>
        <v/>
      </c>
      <c r="J632" s="79">
        <f t="shared" si="9"/>
        <v>0</v>
      </c>
    </row>
    <row r="633" spans="2:10" ht="16.5" x14ac:dyDescent="0.25">
      <c r="B633" s="49" t="e">
        <f>IF(ISBLANK('SQL Builder'!K608)=FALSE,(DATE(LEFT('SQL Builder'!K608,4),MID('SQL Builder'!K608,6,2),MID('SQL Builder'!K608,9,2))),NA())</f>
        <v>#N/A</v>
      </c>
      <c r="C633" s="50" t="str">
        <f>IF(ISBLANK('SQL Builder'!K608)=FALSE,'SQL Builder'!L608,"")</f>
        <v/>
      </c>
      <c r="D633" s="1" t="str">
        <f>IF(ISBLANK('SQL Builder'!K608)=FALSE,'SQL Builder'!O608,"")</f>
        <v/>
      </c>
      <c r="H633" s="43" t="str">
        <f>IF(ISBLANK('SQL Builder'!K607)=FALSE,H632+1,"")</f>
        <v/>
      </c>
      <c r="I633" s="1" t="str">
        <f>IF(ISBLANK('SQL Builder'!P608)=FALSE,'SQL Builder'!N608,"")</f>
        <v/>
      </c>
      <c r="J633" s="79">
        <f t="shared" si="9"/>
        <v>0</v>
      </c>
    </row>
    <row r="634" spans="2:10" ht="16.5" x14ac:dyDescent="0.25">
      <c r="B634" s="49" t="e">
        <f>IF(ISBLANK('SQL Builder'!K609)=FALSE,(DATE(LEFT('SQL Builder'!K609,4),MID('SQL Builder'!K609,6,2),MID('SQL Builder'!K609,9,2))),NA())</f>
        <v>#N/A</v>
      </c>
      <c r="C634" s="50" t="str">
        <f>IF(ISBLANK('SQL Builder'!K609)=FALSE,'SQL Builder'!L609,"")</f>
        <v/>
      </c>
      <c r="D634" s="1" t="str">
        <f>IF(ISBLANK('SQL Builder'!K609)=FALSE,'SQL Builder'!O609,"")</f>
        <v/>
      </c>
      <c r="H634" s="43" t="str">
        <f>IF(ISBLANK('SQL Builder'!K608)=FALSE,H633+1,"")</f>
        <v/>
      </c>
      <c r="I634" s="1" t="str">
        <f>IF(ISBLANK('SQL Builder'!P609)=FALSE,'SQL Builder'!N609,"")</f>
        <v/>
      </c>
      <c r="J634" s="79">
        <f t="shared" si="9"/>
        <v>0</v>
      </c>
    </row>
    <row r="635" spans="2:10" ht="16.5" x14ac:dyDescent="0.25">
      <c r="B635" s="49" t="e">
        <f>IF(ISBLANK('SQL Builder'!K610)=FALSE,(DATE(LEFT('SQL Builder'!K610,4),MID('SQL Builder'!K610,6,2),MID('SQL Builder'!K610,9,2))),NA())</f>
        <v>#N/A</v>
      </c>
      <c r="C635" s="50" t="str">
        <f>IF(ISBLANK('SQL Builder'!K610)=FALSE,'SQL Builder'!L610,"")</f>
        <v/>
      </c>
      <c r="D635" s="1" t="str">
        <f>IF(ISBLANK('SQL Builder'!K610)=FALSE,'SQL Builder'!O610,"")</f>
        <v/>
      </c>
      <c r="H635" s="43" t="str">
        <f>IF(ISBLANK('SQL Builder'!K609)=FALSE,H634+1,"")</f>
        <v/>
      </c>
      <c r="I635" s="1" t="str">
        <f>IF(ISBLANK('SQL Builder'!P610)=FALSE,'SQL Builder'!N610,"")</f>
        <v/>
      </c>
      <c r="J635" s="79">
        <f t="shared" si="9"/>
        <v>0</v>
      </c>
    </row>
    <row r="636" spans="2:10" ht="16.5" x14ac:dyDescent="0.25">
      <c r="B636" s="49" t="e">
        <f>IF(ISBLANK('SQL Builder'!K611)=FALSE,(DATE(LEFT('SQL Builder'!K611,4),MID('SQL Builder'!K611,6,2),MID('SQL Builder'!K611,9,2))),NA())</f>
        <v>#N/A</v>
      </c>
      <c r="C636" s="50" t="str">
        <f>IF(ISBLANK('SQL Builder'!K611)=FALSE,'SQL Builder'!L611,"")</f>
        <v/>
      </c>
      <c r="D636" s="1" t="str">
        <f>IF(ISBLANK('SQL Builder'!K611)=FALSE,'SQL Builder'!O611,"")</f>
        <v/>
      </c>
      <c r="H636" s="43" t="str">
        <f>IF(ISBLANK('SQL Builder'!K610)=FALSE,H635+1,"")</f>
        <v/>
      </c>
      <c r="I636" s="1" t="str">
        <f>IF(ISBLANK('SQL Builder'!P611)=FALSE,'SQL Builder'!N611,"")</f>
        <v/>
      </c>
      <c r="J636" s="79">
        <f t="shared" si="9"/>
        <v>0</v>
      </c>
    </row>
    <row r="637" spans="2:10" ht="16.5" x14ac:dyDescent="0.25">
      <c r="B637" s="49" t="e">
        <f>IF(ISBLANK('SQL Builder'!K612)=FALSE,(DATE(LEFT('SQL Builder'!K612,4),MID('SQL Builder'!K612,6,2),MID('SQL Builder'!K612,9,2))),NA())</f>
        <v>#N/A</v>
      </c>
      <c r="C637" s="50" t="str">
        <f>IF(ISBLANK('SQL Builder'!K612)=FALSE,'SQL Builder'!L612,"")</f>
        <v/>
      </c>
      <c r="D637" s="1" t="str">
        <f>IF(ISBLANK('SQL Builder'!K612)=FALSE,'SQL Builder'!O612,"")</f>
        <v/>
      </c>
      <c r="H637" s="43" t="str">
        <f>IF(ISBLANK('SQL Builder'!K611)=FALSE,H636+1,"")</f>
        <v/>
      </c>
      <c r="I637" s="1" t="str">
        <f>IF(ISBLANK('SQL Builder'!P612)=FALSE,'SQL Builder'!N612,"")</f>
        <v/>
      </c>
      <c r="J637" s="79">
        <f t="shared" si="9"/>
        <v>0</v>
      </c>
    </row>
    <row r="638" spans="2:10" ht="16.5" x14ac:dyDescent="0.25">
      <c r="B638" s="49" t="e">
        <f>IF(ISBLANK('SQL Builder'!K613)=FALSE,(DATE(LEFT('SQL Builder'!K613,4),MID('SQL Builder'!K613,6,2),MID('SQL Builder'!K613,9,2))),NA())</f>
        <v>#N/A</v>
      </c>
      <c r="C638" s="50" t="str">
        <f>IF(ISBLANK('SQL Builder'!K613)=FALSE,'SQL Builder'!L613,"")</f>
        <v/>
      </c>
      <c r="D638" s="1" t="str">
        <f>IF(ISBLANK('SQL Builder'!K613)=FALSE,'SQL Builder'!O613,"")</f>
        <v/>
      </c>
      <c r="H638" s="43" t="str">
        <f>IF(ISBLANK('SQL Builder'!K612)=FALSE,H637+1,"")</f>
        <v/>
      </c>
      <c r="I638" s="1" t="str">
        <f>IF(ISBLANK('SQL Builder'!P613)=FALSE,'SQL Builder'!N613,"")</f>
        <v/>
      </c>
      <c r="J638" s="79">
        <f t="shared" si="9"/>
        <v>0</v>
      </c>
    </row>
    <row r="639" spans="2:10" ht="16.5" x14ac:dyDescent="0.25">
      <c r="B639" s="49" t="e">
        <f>IF(ISBLANK('SQL Builder'!K614)=FALSE,(DATE(LEFT('SQL Builder'!K614,4),MID('SQL Builder'!K614,6,2),MID('SQL Builder'!K614,9,2))),NA())</f>
        <v>#N/A</v>
      </c>
      <c r="C639" s="50" t="str">
        <f>IF(ISBLANK('SQL Builder'!K614)=FALSE,'SQL Builder'!L614,"")</f>
        <v/>
      </c>
      <c r="D639" s="1" t="str">
        <f>IF(ISBLANK('SQL Builder'!K614)=FALSE,'SQL Builder'!O614,"")</f>
        <v/>
      </c>
      <c r="H639" s="43" t="str">
        <f>IF(ISBLANK('SQL Builder'!K613)=FALSE,H638+1,"")</f>
        <v/>
      </c>
      <c r="I639" s="1" t="str">
        <f>IF(ISBLANK('SQL Builder'!P614)=FALSE,'SQL Builder'!N614,"")</f>
        <v/>
      </c>
      <c r="J639" s="79">
        <f t="shared" si="9"/>
        <v>0</v>
      </c>
    </row>
    <row r="640" spans="2:10" ht="16.5" x14ac:dyDescent="0.25">
      <c r="B640" s="49" t="e">
        <f>IF(ISBLANK('SQL Builder'!K615)=FALSE,(DATE(LEFT('SQL Builder'!K615,4),MID('SQL Builder'!K615,6,2),MID('SQL Builder'!K615,9,2))),NA())</f>
        <v>#N/A</v>
      </c>
      <c r="C640" s="50" t="str">
        <f>IF(ISBLANK('SQL Builder'!K615)=FALSE,'SQL Builder'!L615,"")</f>
        <v/>
      </c>
      <c r="D640" s="1" t="str">
        <f>IF(ISBLANK('SQL Builder'!K615)=FALSE,'SQL Builder'!O615,"")</f>
        <v/>
      </c>
      <c r="H640" s="43" t="str">
        <f>IF(ISBLANK('SQL Builder'!K614)=FALSE,H639+1,"")</f>
        <v/>
      </c>
      <c r="I640" s="1" t="str">
        <f>IF(ISBLANK('SQL Builder'!P615)=FALSE,'SQL Builder'!N615,"")</f>
        <v/>
      </c>
      <c r="J640" s="79">
        <f t="shared" si="9"/>
        <v>0</v>
      </c>
    </row>
    <row r="641" spans="2:10" ht="16.5" x14ac:dyDescent="0.25">
      <c r="B641" s="49" t="e">
        <f>IF(ISBLANK('SQL Builder'!K616)=FALSE,(DATE(LEFT('SQL Builder'!K616,4),MID('SQL Builder'!K616,6,2),MID('SQL Builder'!K616,9,2))),NA())</f>
        <v>#N/A</v>
      </c>
      <c r="C641" s="50" t="str">
        <f>IF(ISBLANK('SQL Builder'!K616)=FALSE,'SQL Builder'!L616,"")</f>
        <v/>
      </c>
      <c r="D641" s="1" t="str">
        <f>IF(ISBLANK('SQL Builder'!K616)=FALSE,'SQL Builder'!O616,"")</f>
        <v/>
      </c>
      <c r="H641" s="43" t="str">
        <f>IF(ISBLANK('SQL Builder'!K615)=FALSE,H640+1,"")</f>
        <v/>
      </c>
      <c r="I641" s="1" t="str">
        <f>IF(ISBLANK('SQL Builder'!P616)=FALSE,'SQL Builder'!N616,"")</f>
        <v/>
      </c>
      <c r="J641" s="79">
        <f t="shared" si="9"/>
        <v>0</v>
      </c>
    </row>
    <row r="642" spans="2:10" ht="16.5" x14ac:dyDescent="0.25">
      <c r="B642" s="49" t="e">
        <f>IF(ISBLANK('SQL Builder'!K617)=FALSE,(DATE(LEFT('SQL Builder'!K617,4),MID('SQL Builder'!K617,6,2),MID('SQL Builder'!K617,9,2))),NA())</f>
        <v>#N/A</v>
      </c>
      <c r="C642" s="50" t="str">
        <f>IF(ISBLANK('SQL Builder'!K617)=FALSE,'SQL Builder'!L617,"")</f>
        <v/>
      </c>
      <c r="D642" s="1" t="str">
        <f>IF(ISBLANK('SQL Builder'!K617)=FALSE,'SQL Builder'!O617,"")</f>
        <v/>
      </c>
      <c r="H642" s="43" t="str">
        <f>IF(ISBLANK('SQL Builder'!K616)=FALSE,H641+1,"")</f>
        <v/>
      </c>
      <c r="I642" s="1" t="str">
        <f>IF(ISBLANK('SQL Builder'!P617)=FALSE,'SQL Builder'!N617,"")</f>
        <v/>
      </c>
      <c r="J642" s="79">
        <f t="shared" si="9"/>
        <v>0</v>
      </c>
    </row>
    <row r="643" spans="2:10" ht="16.5" x14ac:dyDescent="0.25">
      <c r="B643" s="49" t="e">
        <f>IF(ISBLANK('SQL Builder'!K618)=FALSE,(DATE(LEFT('SQL Builder'!K618,4),MID('SQL Builder'!K618,6,2),MID('SQL Builder'!K618,9,2))),NA())</f>
        <v>#N/A</v>
      </c>
      <c r="C643" s="50" t="str">
        <f>IF(ISBLANK('SQL Builder'!K618)=FALSE,'SQL Builder'!L618,"")</f>
        <v/>
      </c>
      <c r="D643" s="1" t="str">
        <f>IF(ISBLANK('SQL Builder'!K618)=FALSE,'SQL Builder'!O618,"")</f>
        <v/>
      </c>
      <c r="H643" s="43" t="str">
        <f>IF(ISBLANK('SQL Builder'!K617)=FALSE,H642+1,"")</f>
        <v/>
      </c>
      <c r="I643" s="1" t="str">
        <f>IF(ISBLANK('SQL Builder'!P618)=FALSE,'SQL Builder'!N618,"")</f>
        <v/>
      </c>
      <c r="J643" s="79">
        <f t="shared" si="9"/>
        <v>0</v>
      </c>
    </row>
    <row r="644" spans="2:10" ht="16.5" x14ac:dyDescent="0.25">
      <c r="B644" s="49" t="e">
        <f>IF(ISBLANK('SQL Builder'!K619)=FALSE,(DATE(LEFT('SQL Builder'!K619,4),MID('SQL Builder'!K619,6,2),MID('SQL Builder'!K619,9,2))),NA())</f>
        <v>#N/A</v>
      </c>
      <c r="C644" s="50" t="str">
        <f>IF(ISBLANK('SQL Builder'!K619)=FALSE,'SQL Builder'!L619,"")</f>
        <v/>
      </c>
      <c r="D644" s="1" t="str">
        <f>IF(ISBLANK('SQL Builder'!K619)=FALSE,'SQL Builder'!O619,"")</f>
        <v/>
      </c>
      <c r="H644" s="43" t="str">
        <f>IF(ISBLANK('SQL Builder'!K618)=FALSE,H643+1,"")</f>
        <v/>
      </c>
      <c r="I644" s="1" t="str">
        <f>IF(ISBLANK('SQL Builder'!P619)=FALSE,'SQL Builder'!N619,"")</f>
        <v/>
      </c>
      <c r="J644" s="79">
        <f t="shared" si="9"/>
        <v>0</v>
      </c>
    </row>
    <row r="645" spans="2:10" ht="16.5" x14ac:dyDescent="0.25">
      <c r="B645" s="49" t="e">
        <f>IF(ISBLANK('SQL Builder'!K620)=FALSE,(DATE(LEFT('SQL Builder'!K620,4),MID('SQL Builder'!K620,6,2),MID('SQL Builder'!K620,9,2))),NA())</f>
        <v>#N/A</v>
      </c>
      <c r="C645" s="50" t="str">
        <f>IF(ISBLANK('SQL Builder'!K620)=FALSE,'SQL Builder'!L620,"")</f>
        <v/>
      </c>
      <c r="D645" s="1" t="str">
        <f>IF(ISBLANK('SQL Builder'!K620)=FALSE,'SQL Builder'!O620,"")</f>
        <v/>
      </c>
      <c r="H645" s="43" t="str">
        <f>IF(ISBLANK('SQL Builder'!K619)=FALSE,H644+1,"")</f>
        <v/>
      </c>
      <c r="I645" s="1" t="str">
        <f>IF(ISBLANK('SQL Builder'!P620)=FALSE,'SQL Builder'!N620,"")</f>
        <v/>
      </c>
      <c r="J645" s="79">
        <f t="shared" si="9"/>
        <v>0</v>
      </c>
    </row>
    <row r="646" spans="2:10" ht="16.5" x14ac:dyDescent="0.25">
      <c r="B646" s="49" t="e">
        <f>IF(ISBLANK('SQL Builder'!K621)=FALSE,(DATE(LEFT('SQL Builder'!K621,4),MID('SQL Builder'!K621,6,2),MID('SQL Builder'!K621,9,2))),NA())</f>
        <v>#N/A</v>
      </c>
      <c r="C646" s="50" t="str">
        <f>IF(ISBLANK('SQL Builder'!K621)=FALSE,'SQL Builder'!L621,"")</f>
        <v/>
      </c>
      <c r="D646" s="1" t="str">
        <f>IF(ISBLANK('SQL Builder'!K621)=FALSE,'SQL Builder'!O621,"")</f>
        <v/>
      </c>
      <c r="H646" s="43" t="str">
        <f>IF(ISBLANK('SQL Builder'!K620)=FALSE,H645+1,"")</f>
        <v/>
      </c>
      <c r="I646" s="1" t="str">
        <f>IF(ISBLANK('SQL Builder'!P621)=FALSE,'SQL Builder'!N621,"")</f>
        <v/>
      </c>
      <c r="J646" s="79">
        <f t="shared" si="9"/>
        <v>0</v>
      </c>
    </row>
    <row r="647" spans="2:10" ht="16.5" x14ac:dyDescent="0.25">
      <c r="B647" s="49" t="e">
        <f>IF(ISBLANK('SQL Builder'!K622)=FALSE,(DATE(LEFT('SQL Builder'!K622,4),MID('SQL Builder'!K622,6,2),MID('SQL Builder'!K622,9,2))),NA())</f>
        <v>#N/A</v>
      </c>
      <c r="C647" s="50" t="str">
        <f>IF(ISBLANK('SQL Builder'!K622)=FALSE,'SQL Builder'!L622,"")</f>
        <v/>
      </c>
      <c r="D647" s="1" t="str">
        <f>IF(ISBLANK('SQL Builder'!K622)=FALSE,'SQL Builder'!O622,"")</f>
        <v/>
      </c>
      <c r="H647" s="43" t="str">
        <f>IF(ISBLANK('SQL Builder'!K621)=FALSE,H646+1,"")</f>
        <v/>
      </c>
      <c r="I647" s="1" t="str">
        <f>IF(ISBLANK('SQL Builder'!P622)=FALSE,'SQL Builder'!N622,"")</f>
        <v/>
      </c>
      <c r="J647" s="79">
        <f t="shared" si="9"/>
        <v>0</v>
      </c>
    </row>
    <row r="648" spans="2:10" ht="16.5" x14ac:dyDescent="0.25">
      <c r="B648" s="49" t="e">
        <f>IF(ISBLANK('SQL Builder'!K623)=FALSE,(DATE(LEFT('SQL Builder'!K623,4),MID('SQL Builder'!K623,6,2),MID('SQL Builder'!K623,9,2))),NA())</f>
        <v>#N/A</v>
      </c>
      <c r="C648" s="50" t="str">
        <f>IF(ISBLANK('SQL Builder'!K623)=FALSE,'SQL Builder'!L623,"")</f>
        <v/>
      </c>
      <c r="D648" s="1" t="str">
        <f>IF(ISBLANK('SQL Builder'!K623)=FALSE,'SQL Builder'!O623,"")</f>
        <v/>
      </c>
      <c r="H648" s="43" t="str">
        <f>IF(ISBLANK('SQL Builder'!K622)=FALSE,H647+1,"")</f>
        <v/>
      </c>
      <c r="I648" s="1" t="str">
        <f>IF(ISBLANK('SQL Builder'!P623)=FALSE,'SQL Builder'!N623,"")</f>
        <v/>
      </c>
      <c r="J648" s="79">
        <f t="shared" si="9"/>
        <v>0</v>
      </c>
    </row>
    <row r="649" spans="2:10" ht="16.5" x14ac:dyDescent="0.25">
      <c r="B649" s="49" t="e">
        <f>IF(ISBLANK('SQL Builder'!K624)=FALSE,(DATE(LEFT('SQL Builder'!K624,4),MID('SQL Builder'!K624,6,2),MID('SQL Builder'!K624,9,2))),NA())</f>
        <v>#N/A</v>
      </c>
      <c r="C649" s="50" t="str">
        <f>IF(ISBLANK('SQL Builder'!K624)=FALSE,'SQL Builder'!L624,"")</f>
        <v/>
      </c>
      <c r="D649" s="1" t="str">
        <f>IF(ISBLANK('SQL Builder'!K624)=FALSE,'SQL Builder'!O624,"")</f>
        <v/>
      </c>
      <c r="H649" s="43" t="str">
        <f>IF(ISBLANK('SQL Builder'!K623)=FALSE,H648+1,"")</f>
        <v/>
      </c>
      <c r="I649" s="1" t="str">
        <f>IF(ISBLANK('SQL Builder'!P624)=FALSE,'SQL Builder'!N624,"")</f>
        <v/>
      </c>
      <c r="J649" s="79">
        <f t="shared" si="9"/>
        <v>0</v>
      </c>
    </row>
    <row r="650" spans="2:10" ht="16.5" x14ac:dyDescent="0.25">
      <c r="B650" s="49" t="e">
        <f>IF(ISBLANK('SQL Builder'!K625)=FALSE,(DATE(LEFT('SQL Builder'!K625,4),MID('SQL Builder'!K625,6,2),MID('SQL Builder'!K625,9,2))),NA())</f>
        <v>#N/A</v>
      </c>
      <c r="C650" s="50" t="str">
        <f>IF(ISBLANK('SQL Builder'!K625)=FALSE,'SQL Builder'!L625,"")</f>
        <v/>
      </c>
      <c r="D650" s="1" t="str">
        <f>IF(ISBLANK('SQL Builder'!K625)=FALSE,'SQL Builder'!O625,"")</f>
        <v/>
      </c>
      <c r="H650" s="43" t="str">
        <f>IF(ISBLANK('SQL Builder'!K624)=FALSE,H649+1,"")</f>
        <v/>
      </c>
      <c r="I650" s="1" t="str">
        <f>IF(ISBLANK('SQL Builder'!P625)=FALSE,'SQL Builder'!N625,"")</f>
        <v/>
      </c>
      <c r="J650" s="79">
        <f t="shared" si="9"/>
        <v>0</v>
      </c>
    </row>
    <row r="651" spans="2:10" ht="16.5" x14ac:dyDescent="0.25">
      <c r="B651" s="49" t="e">
        <f>IF(ISBLANK('SQL Builder'!K626)=FALSE,(DATE(LEFT('SQL Builder'!K626,4),MID('SQL Builder'!K626,6,2),MID('SQL Builder'!K626,9,2))),NA())</f>
        <v>#N/A</v>
      </c>
      <c r="C651" s="50" t="str">
        <f>IF(ISBLANK('SQL Builder'!K626)=FALSE,'SQL Builder'!L626,"")</f>
        <v/>
      </c>
      <c r="D651" s="1" t="str">
        <f>IF(ISBLANK('SQL Builder'!K626)=FALSE,'SQL Builder'!O626,"")</f>
        <v/>
      </c>
      <c r="H651" s="43" t="str">
        <f>IF(ISBLANK('SQL Builder'!K625)=FALSE,H650+1,"")</f>
        <v/>
      </c>
      <c r="I651" s="1" t="str">
        <f>IF(ISBLANK('SQL Builder'!P626)=FALSE,'SQL Builder'!N626,"")</f>
        <v/>
      </c>
      <c r="J651" s="79">
        <f t="shared" si="9"/>
        <v>0</v>
      </c>
    </row>
    <row r="652" spans="2:10" ht="16.5" x14ac:dyDescent="0.25">
      <c r="B652" s="49" t="e">
        <f>IF(ISBLANK('SQL Builder'!K627)=FALSE,(DATE(LEFT('SQL Builder'!K627,4),MID('SQL Builder'!K627,6,2),MID('SQL Builder'!K627,9,2))),NA())</f>
        <v>#N/A</v>
      </c>
      <c r="C652" s="50" t="str">
        <f>IF(ISBLANK('SQL Builder'!K627)=FALSE,'SQL Builder'!L627,"")</f>
        <v/>
      </c>
      <c r="D652" s="1" t="str">
        <f>IF(ISBLANK('SQL Builder'!K627)=FALSE,'SQL Builder'!O627,"")</f>
        <v/>
      </c>
      <c r="H652" s="43" t="str">
        <f>IF(ISBLANK('SQL Builder'!K626)=FALSE,H651+1,"")</f>
        <v/>
      </c>
      <c r="I652" s="1" t="str">
        <f>IF(ISBLANK('SQL Builder'!P627)=FALSE,'SQL Builder'!N627,"")</f>
        <v/>
      </c>
      <c r="J652" s="79">
        <f t="shared" si="9"/>
        <v>0</v>
      </c>
    </row>
    <row r="653" spans="2:10" ht="16.5" x14ac:dyDescent="0.25">
      <c r="B653" s="49" t="e">
        <f>IF(ISBLANK('SQL Builder'!K628)=FALSE,(DATE(LEFT('SQL Builder'!K628,4),MID('SQL Builder'!K628,6,2),MID('SQL Builder'!K628,9,2))),NA())</f>
        <v>#N/A</v>
      </c>
      <c r="C653" s="50" t="str">
        <f>IF(ISBLANK('SQL Builder'!K628)=FALSE,'SQL Builder'!L628,"")</f>
        <v/>
      </c>
      <c r="D653" s="1" t="str">
        <f>IF(ISBLANK('SQL Builder'!K628)=FALSE,'SQL Builder'!O628,"")</f>
        <v/>
      </c>
      <c r="H653" s="43" t="str">
        <f>IF(ISBLANK('SQL Builder'!K627)=FALSE,H652+1,"")</f>
        <v/>
      </c>
      <c r="I653" s="1" t="str">
        <f>IF(ISBLANK('SQL Builder'!P628)=FALSE,'SQL Builder'!N628,"")</f>
        <v/>
      </c>
      <c r="J653" s="79">
        <f t="shared" si="9"/>
        <v>0</v>
      </c>
    </row>
    <row r="654" spans="2:10" ht="16.5" x14ac:dyDescent="0.25">
      <c r="B654" s="49" t="e">
        <f>IF(ISBLANK('SQL Builder'!K629)=FALSE,(DATE(LEFT('SQL Builder'!K629,4),MID('SQL Builder'!K629,6,2),MID('SQL Builder'!K629,9,2))),NA())</f>
        <v>#N/A</v>
      </c>
      <c r="C654" s="50" t="str">
        <f>IF(ISBLANK('SQL Builder'!K629)=FALSE,'SQL Builder'!L629,"")</f>
        <v/>
      </c>
      <c r="D654" s="1" t="str">
        <f>IF(ISBLANK('SQL Builder'!K629)=FALSE,'SQL Builder'!O629,"")</f>
        <v/>
      </c>
      <c r="H654" s="43" t="str">
        <f>IF(ISBLANK('SQL Builder'!K628)=FALSE,H653+1,"")</f>
        <v/>
      </c>
      <c r="I654" s="1" t="str">
        <f>IF(ISBLANK('SQL Builder'!P629)=FALSE,'SQL Builder'!N629,"")</f>
        <v/>
      </c>
      <c r="J654" s="79">
        <f t="shared" si="9"/>
        <v>0</v>
      </c>
    </row>
    <row r="655" spans="2:10" ht="16.5" x14ac:dyDescent="0.25">
      <c r="B655" s="49" t="e">
        <f>IF(ISBLANK('SQL Builder'!K630)=FALSE,(DATE(LEFT('SQL Builder'!K630,4),MID('SQL Builder'!K630,6,2),MID('SQL Builder'!K630,9,2))),NA())</f>
        <v>#N/A</v>
      </c>
      <c r="C655" s="50" t="str">
        <f>IF(ISBLANK('SQL Builder'!K630)=FALSE,'SQL Builder'!L630,"")</f>
        <v/>
      </c>
      <c r="D655" s="1" t="str">
        <f>IF(ISBLANK('SQL Builder'!K630)=FALSE,'SQL Builder'!O630,"")</f>
        <v/>
      </c>
      <c r="H655" s="43" t="str">
        <f>IF(ISBLANK('SQL Builder'!K629)=FALSE,H654+1,"")</f>
        <v/>
      </c>
      <c r="I655" s="1" t="str">
        <f>IF(ISBLANK('SQL Builder'!P630)=FALSE,'SQL Builder'!N630,"")</f>
        <v/>
      </c>
      <c r="J655" s="79">
        <f t="shared" si="9"/>
        <v>0</v>
      </c>
    </row>
    <row r="656" spans="2:10" ht="16.5" x14ac:dyDescent="0.25">
      <c r="B656" s="49" t="e">
        <f>IF(ISBLANK('SQL Builder'!K631)=FALSE,(DATE(LEFT('SQL Builder'!K631,4),MID('SQL Builder'!K631,6,2),MID('SQL Builder'!K631,9,2))),NA())</f>
        <v>#N/A</v>
      </c>
      <c r="C656" s="50" t="str">
        <f>IF(ISBLANK('SQL Builder'!K631)=FALSE,'SQL Builder'!L631,"")</f>
        <v/>
      </c>
      <c r="D656" s="1" t="str">
        <f>IF(ISBLANK('SQL Builder'!K631)=FALSE,'SQL Builder'!O631,"")</f>
        <v/>
      </c>
      <c r="H656" s="43" t="str">
        <f>IF(ISBLANK('SQL Builder'!K630)=FALSE,H655+1,"")</f>
        <v/>
      </c>
      <c r="I656" s="1" t="str">
        <f>IF(ISBLANK('SQL Builder'!P631)=FALSE,'SQL Builder'!N631,"")</f>
        <v/>
      </c>
      <c r="J656" s="79">
        <f t="shared" si="9"/>
        <v>0</v>
      </c>
    </row>
    <row r="657" spans="2:10" ht="16.5" x14ac:dyDescent="0.25">
      <c r="B657" s="49" t="e">
        <f>IF(ISBLANK('SQL Builder'!K632)=FALSE,(DATE(LEFT('SQL Builder'!K632,4),MID('SQL Builder'!K632,6,2),MID('SQL Builder'!K632,9,2))),NA())</f>
        <v>#N/A</v>
      </c>
      <c r="C657" s="50" t="str">
        <f>IF(ISBLANK('SQL Builder'!K632)=FALSE,'SQL Builder'!L632,"")</f>
        <v/>
      </c>
      <c r="D657" s="1" t="str">
        <f>IF(ISBLANK('SQL Builder'!K632)=FALSE,'SQL Builder'!O632,"")</f>
        <v/>
      </c>
      <c r="H657" s="43" t="str">
        <f>IF(ISBLANK('SQL Builder'!K631)=FALSE,H656+1,"")</f>
        <v/>
      </c>
      <c r="I657" s="1" t="str">
        <f>IF(ISBLANK('SQL Builder'!P632)=FALSE,'SQL Builder'!N632,"")</f>
        <v/>
      </c>
      <c r="J657" s="79">
        <f t="shared" si="9"/>
        <v>0</v>
      </c>
    </row>
    <row r="658" spans="2:10" ht="16.5" x14ac:dyDescent="0.25">
      <c r="B658" s="49" t="e">
        <f>IF(ISBLANK('SQL Builder'!K633)=FALSE,(DATE(LEFT('SQL Builder'!K633,4),MID('SQL Builder'!K633,6,2),MID('SQL Builder'!K633,9,2))),NA())</f>
        <v>#N/A</v>
      </c>
      <c r="C658" s="50" t="str">
        <f>IF(ISBLANK('SQL Builder'!K633)=FALSE,'SQL Builder'!L633,"")</f>
        <v/>
      </c>
      <c r="D658" s="1" t="str">
        <f>IF(ISBLANK('SQL Builder'!K633)=FALSE,'SQL Builder'!O633,"")</f>
        <v/>
      </c>
      <c r="H658" s="43" t="str">
        <f>IF(ISBLANK('SQL Builder'!K632)=FALSE,H657+1,"")</f>
        <v/>
      </c>
      <c r="I658" s="1" t="str">
        <f>IF(ISBLANK('SQL Builder'!P633)=FALSE,'SQL Builder'!N633,"")</f>
        <v/>
      </c>
      <c r="J658" s="79">
        <f t="shared" si="9"/>
        <v>0</v>
      </c>
    </row>
    <row r="659" spans="2:10" ht="16.5" x14ac:dyDescent="0.25">
      <c r="B659" s="49" t="e">
        <f>IF(ISBLANK('SQL Builder'!K634)=FALSE,(DATE(LEFT('SQL Builder'!K634,4),MID('SQL Builder'!K634,6,2),MID('SQL Builder'!K634,9,2))),NA())</f>
        <v>#N/A</v>
      </c>
      <c r="C659" s="50" t="str">
        <f>IF(ISBLANK('SQL Builder'!K634)=FALSE,'SQL Builder'!L634,"")</f>
        <v/>
      </c>
      <c r="D659" s="1" t="str">
        <f>IF(ISBLANK('SQL Builder'!K634)=FALSE,'SQL Builder'!O634,"")</f>
        <v/>
      </c>
      <c r="H659" s="43" t="str">
        <f>IF(ISBLANK('SQL Builder'!K633)=FALSE,H658+1,"")</f>
        <v/>
      </c>
      <c r="I659" s="1" t="str">
        <f>IF(ISBLANK('SQL Builder'!P634)=FALSE,'SQL Builder'!N634,"")</f>
        <v/>
      </c>
      <c r="J659" s="79">
        <f t="shared" si="9"/>
        <v>0</v>
      </c>
    </row>
    <row r="660" spans="2:10" ht="16.5" x14ac:dyDescent="0.25">
      <c r="B660" s="49" t="e">
        <f>IF(ISBLANK('SQL Builder'!K635)=FALSE,(DATE(LEFT('SQL Builder'!K635,4),MID('SQL Builder'!K635,6,2),MID('SQL Builder'!K635,9,2))),NA())</f>
        <v>#N/A</v>
      </c>
      <c r="C660" s="50" t="str">
        <f>IF(ISBLANK('SQL Builder'!K635)=FALSE,'SQL Builder'!L635,"")</f>
        <v/>
      </c>
      <c r="D660" s="1" t="str">
        <f>IF(ISBLANK('SQL Builder'!K635)=FALSE,'SQL Builder'!O635,"")</f>
        <v/>
      </c>
      <c r="H660" s="43" t="str">
        <f>IF(ISBLANK('SQL Builder'!K634)=FALSE,H659+1,"")</f>
        <v/>
      </c>
      <c r="I660" s="1" t="str">
        <f>IF(ISBLANK('SQL Builder'!P635)=FALSE,'SQL Builder'!N635,"")</f>
        <v/>
      </c>
      <c r="J660" s="79">
        <f t="shared" si="9"/>
        <v>0</v>
      </c>
    </row>
    <row r="661" spans="2:10" ht="16.5" x14ac:dyDescent="0.25">
      <c r="B661" s="49" t="e">
        <f>IF(ISBLANK('SQL Builder'!K636)=FALSE,(DATE(LEFT('SQL Builder'!K636,4),MID('SQL Builder'!K636,6,2),MID('SQL Builder'!K636,9,2))),NA())</f>
        <v>#N/A</v>
      </c>
      <c r="C661" s="50" t="str">
        <f>IF(ISBLANK('SQL Builder'!K636)=FALSE,'SQL Builder'!L636,"")</f>
        <v/>
      </c>
      <c r="D661" s="1" t="str">
        <f>IF(ISBLANK('SQL Builder'!K636)=FALSE,'SQL Builder'!O636,"")</f>
        <v/>
      </c>
      <c r="H661" s="43" t="str">
        <f>IF(ISBLANK('SQL Builder'!K635)=FALSE,H660+1,"")</f>
        <v/>
      </c>
      <c r="I661" s="1" t="str">
        <f>IF(ISBLANK('SQL Builder'!P636)=FALSE,'SQL Builder'!N636,"")</f>
        <v/>
      </c>
      <c r="J661" s="79">
        <f t="shared" si="9"/>
        <v>0</v>
      </c>
    </row>
    <row r="662" spans="2:10" ht="16.5" x14ac:dyDescent="0.25">
      <c r="B662" s="49" t="e">
        <f>IF(ISBLANK('SQL Builder'!K637)=FALSE,(DATE(LEFT('SQL Builder'!K637,4),MID('SQL Builder'!K637,6,2),MID('SQL Builder'!K637,9,2))),NA())</f>
        <v>#N/A</v>
      </c>
      <c r="C662" s="50" t="str">
        <f>IF(ISBLANK('SQL Builder'!K637)=FALSE,'SQL Builder'!L637,"")</f>
        <v/>
      </c>
      <c r="D662" s="1" t="str">
        <f>IF(ISBLANK('SQL Builder'!K637)=FALSE,'SQL Builder'!O637,"")</f>
        <v/>
      </c>
      <c r="H662" s="43" t="str">
        <f>IF(ISBLANK('SQL Builder'!K636)=FALSE,H661+1,"")</f>
        <v/>
      </c>
      <c r="I662" s="1" t="str">
        <f>IF(ISBLANK('SQL Builder'!P637)=FALSE,'SQL Builder'!N637,"")</f>
        <v/>
      </c>
      <c r="J662" s="79">
        <f t="shared" si="9"/>
        <v>0</v>
      </c>
    </row>
    <row r="663" spans="2:10" ht="16.5" x14ac:dyDescent="0.25">
      <c r="B663" s="49" t="e">
        <f>IF(ISBLANK('SQL Builder'!K638)=FALSE,(DATE(LEFT('SQL Builder'!K638,4),MID('SQL Builder'!K638,6,2),MID('SQL Builder'!K638,9,2))),NA())</f>
        <v>#N/A</v>
      </c>
      <c r="C663" s="50" t="str">
        <f>IF(ISBLANK('SQL Builder'!K638)=FALSE,'SQL Builder'!L638,"")</f>
        <v/>
      </c>
      <c r="D663" s="1" t="str">
        <f>IF(ISBLANK('SQL Builder'!K638)=FALSE,'SQL Builder'!O638,"")</f>
        <v/>
      </c>
      <c r="H663" s="43" t="str">
        <f>IF(ISBLANK('SQL Builder'!K637)=FALSE,H662+1,"")</f>
        <v/>
      </c>
      <c r="I663" s="1" t="str">
        <f>IF(ISBLANK('SQL Builder'!P638)=FALSE,'SQL Builder'!N638,"")</f>
        <v/>
      </c>
      <c r="J663" s="79">
        <f t="shared" si="9"/>
        <v>0</v>
      </c>
    </row>
    <row r="664" spans="2:10" ht="16.5" x14ac:dyDescent="0.25">
      <c r="B664" s="49" t="e">
        <f>IF(ISBLANK('SQL Builder'!K639)=FALSE,(DATE(LEFT('SQL Builder'!K639,4),MID('SQL Builder'!K639,6,2),MID('SQL Builder'!K639,9,2))),NA())</f>
        <v>#N/A</v>
      </c>
      <c r="C664" s="50" t="str">
        <f>IF(ISBLANK('SQL Builder'!K639)=FALSE,'SQL Builder'!L639,"")</f>
        <v/>
      </c>
      <c r="D664" s="1" t="str">
        <f>IF(ISBLANK('SQL Builder'!K639)=FALSE,'SQL Builder'!O639,"")</f>
        <v/>
      </c>
      <c r="H664" s="43" t="str">
        <f>IF(ISBLANK('SQL Builder'!K638)=FALSE,H663+1,"")</f>
        <v/>
      </c>
      <c r="I664" s="1" t="str">
        <f>IF(ISBLANK('SQL Builder'!P639)=FALSE,'SQL Builder'!N639,"")</f>
        <v/>
      </c>
      <c r="J664" s="79">
        <f t="shared" si="9"/>
        <v>0</v>
      </c>
    </row>
    <row r="665" spans="2:10" ht="16.5" x14ac:dyDescent="0.25">
      <c r="B665" s="49" t="e">
        <f>IF(ISBLANK('SQL Builder'!K640)=FALSE,(DATE(LEFT('SQL Builder'!K640,4),MID('SQL Builder'!K640,6,2),MID('SQL Builder'!K640,9,2))),NA())</f>
        <v>#N/A</v>
      </c>
      <c r="C665" s="50" t="str">
        <f>IF(ISBLANK('SQL Builder'!K640)=FALSE,'SQL Builder'!L640,"")</f>
        <v/>
      </c>
      <c r="D665" s="1" t="str">
        <f>IF(ISBLANK('SQL Builder'!K640)=FALSE,'SQL Builder'!O640,"")</f>
        <v/>
      </c>
      <c r="H665" s="43" t="str">
        <f>IF(ISBLANK('SQL Builder'!K639)=FALSE,H664+1,"")</f>
        <v/>
      </c>
      <c r="I665" s="1" t="str">
        <f>IF(ISBLANK('SQL Builder'!P640)=FALSE,'SQL Builder'!N640,"")</f>
        <v/>
      </c>
      <c r="J665" s="79">
        <f t="shared" si="9"/>
        <v>0</v>
      </c>
    </row>
    <row r="666" spans="2:10" ht="16.5" x14ac:dyDescent="0.25">
      <c r="B666" s="49" t="e">
        <f>IF(ISBLANK('SQL Builder'!K641)=FALSE,(DATE(LEFT('SQL Builder'!K641,4),MID('SQL Builder'!K641,6,2),MID('SQL Builder'!K641,9,2))),NA())</f>
        <v>#N/A</v>
      </c>
      <c r="C666" s="50" t="str">
        <f>IF(ISBLANK('SQL Builder'!K641)=FALSE,'SQL Builder'!L641,"")</f>
        <v/>
      </c>
      <c r="D666" s="1" t="str">
        <f>IF(ISBLANK('SQL Builder'!K641)=FALSE,'SQL Builder'!O641,"")</f>
        <v/>
      </c>
      <c r="H666" s="43" t="str">
        <f>IF(ISBLANK('SQL Builder'!K640)=FALSE,H665+1,"")</f>
        <v/>
      </c>
      <c r="I666" s="1" t="str">
        <f>IF(ISBLANK('SQL Builder'!P641)=FALSE,'SQL Builder'!N641,"")</f>
        <v/>
      </c>
      <c r="J666" s="79">
        <f t="shared" si="9"/>
        <v>0</v>
      </c>
    </row>
    <row r="667" spans="2:10" ht="16.5" x14ac:dyDescent="0.25">
      <c r="B667" s="49" t="e">
        <f>IF(ISBLANK('SQL Builder'!K642)=FALSE,(DATE(LEFT('SQL Builder'!K642,4),MID('SQL Builder'!K642,6,2),MID('SQL Builder'!K642,9,2))),NA())</f>
        <v>#N/A</v>
      </c>
      <c r="C667" s="50" t="str">
        <f>IF(ISBLANK('SQL Builder'!K642)=FALSE,'SQL Builder'!L642,"")</f>
        <v/>
      </c>
      <c r="D667" s="1" t="str">
        <f>IF(ISBLANK('SQL Builder'!K642)=FALSE,'SQL Builder'!O642,"")</f>
        <v/>
      </c>
      <c r="H667" s="43" t="str">
        <f>IF(ISBLANK('SQL Builder'!K641)=FALSE,H666+1,"")</f>
        <v/>
      </c>
      <c r="I667" s="1" t="str">
        <f>IF(ISBLANK('SQL Builder'!P642)=FALSE,'SQL Builder'!N642,"")</f>
        <v/>
      </c>
      <c r="J667" s="79">
        <f t="shared" si="9"/>
        <v>0</v>
      </c>
    </row>
    <row r="668" spans="2:10" ht="16.5" x14ac:dyDescent="0.25">
      <c r="B668" s="49" t="e">
        <f>IF(ISBLANK('SQL Builder'!K643)=FALSE,(DATE(LEFT('SQL Builder'!K643,4),MID('SQL Builder'!K643,6,2),MID('SQL Builder'!K643,9,2))),NA())</f>
        <v>#N/A</v>
      </c>
      <c r="C668" s="50" t="str">
        <f>IF(ISBLANK('SQL Builder'!K643)=FALSE,'SQL Builder'!L643,"")</f>
        <v/>
      </c>
      <c r="D668" s="1" t="str">
        <f>IF(ISBLANK('SQL Builder'!K643)=FALSE,'SQL Builder'!O643,"")</f>
        <v/>
      </c>
      <c r="H668" s="43" t="str">
        <f>IF(ISBLANK('SQL Builder'!K642)=FALSE,H667+1,"")</f>
        <v/>
      </c>
      <c r="I668" s="1" t="str">
        <f>IF(ISBLANK('SQL Builder'!P643)=FALSE,'SQL Builder'!N643,"")</f>
        <v/>
      </c>
      <c r="J668" s="79">
        <f t="shared" si="9"/>
        <v>0</v>
      </c>
    </row>
    <row r="669" spans="2:10" ht="16.5" x14ac:dyDescent="0.25">
      <c r="B669" s="49" t="e">
        <f>IF(ISBLANK('SQL Builder'!K644)=FALSE,(DATE(LEFT('SQL Builder'!K644,4),MID('SQL Builder'!K644,6,2),MID('SQL Builder'!K644,9,2))),NA())</f>
        <v>#N/A</v>
      </c>
      <c r="C669" s="50" t="str">
        <f>IF(ISBLANK('SQL Builder'!K644)=FALSE,'SQL Builder'!L644,"")</f>
        <v/>
      </c>
      <c r="D669" s="1" t="str">
        <f>IF(ISBLANK('SQL Builder'!K644)=FALSE,'SQL Builder'!O644,"")</f>
        <v/>
      </c>
      <c r="H669" s="43" t="str">
        <f>IF(ISBLANK('SQL Builder'!K643)=FALSE,H668+1,"")</f>
        <v/>
      </c>
      <c r="I669" s="1" t="str">
        <f>IF(ISBLANK('SQL Builder'!P644)=FALSE,'SQL Builder'!N644,"")</f>
        <v/>
      </c>
      <c r="J669" s="79">
        <f t="shared" si="9"/>
        <v>0</v>
      </c>
    </row>
    <row r="670" spans="2:10" ht="16.5" x14ac:dyDescent="0.25">
      <c r="B670" s="49" t="e">
        <f>IF(ISBLANK('SQL Builder'!K645)=FALSE,(DATE(LEFT('SQL Builder'!K645,4),MID('SQL Builder'!K645,6,2),MID('SQL Builder'!K645,9,2))),NA())</f>
        <v>#N/A</v>
      </c>
      <c r="C670" s="50" t="str">
        <f>IF(ISBLANK('SQL Builder'!K645)=FALSE,'SQL Builder'!L645,"")</f>
        <v/>
      </c>
      <c r="D670" s="1" t="str">
        <f>IF(ISBLANK('SQL Builder'!K645)=FALSE,'SQL Builder'!O645,"")</f>
        <v/>
      </c>
      <c r="H670" s="43" t="str">
        <f>IF(ISBLANK('SQL Builder'!K644)=FALSE,H669+1,"")</f>
        <v/>
      </c>
      <c r="I670" s="1" t="str">
        <f>IF(ISBLANK('SQL Builder'!P645)=FALSE,'SQL Builder'!N645,"")</f>
        <v/>
      </c>
      <c r="J670" s="79">
        <f t="shared" si="9"/>
        <v>0</v>
      </c>
    </row>
    <row r="671" spans="2:10" ht="16.5" x14ac:dyDescent="0.25">
      <c r="B671" s="49" t="e">
        <f>IF(ISBLANK('SQL Builder'!K646)=FALSE,(DATE(LEFT('SQL Builder'!K646,4),MID('SQL Builder'!K646,6,2),MID('SQL Builder'!K646,9,2))),NA())</f>
        <v>#N/A</v>
      </c>
      <c r="C671" s="50" t="str">
        <f>IF(ISBLANK('SQL Builder'!K646)=FALSE,'SQL Builder'!L646,"")</f>
        <v/>
      </c>
      <c r="D671" s="1" t="str">
        <f>IF(ISBLANK('SQL Builder'!K646)=FALSE,'SQL Builder'!O646,"")</f>
        <v/>
      </c>
      <c r="H671" s="43" t="str">
        <f>IF(ISBLANK('SQL Builder'!K645)=FALSE,H670+1,"")</f>
        <v/>
      </c>
      <c r="I671" s="1" t="str">
        <f>IF(ISBLANK('SQL Builder'!P646)=FALSE,'SQL Builder'!N646,"")</f>
        <v/>
      </c>
      <c r="J671" s="79">
        <f t="shared" ref="J671:J734" si="10">IF(I671="",0,IF(I671=C$5,2,1))</f>
        <v>0</v>
      </c>
    </row>
    <row r="672" spans="2:10" ht="16.5" x14ac:dyDescent="0.25">
      <c r="B672" s="49" t="e">
        <f>IF(ISBLANK('SQL Builder'!K647)=FALSE,(DATE(LEFT('SQL Builder'!K647,4),MID('SQL Builder'!K647,6,2),MID('SQL Builder'!K647,9,2))),NA())</f>
        <v>#N/A</v>
      </c>
      <c r="C672" s="50" t="str">
        <f>IF(ISBLANK('SQL Builder'!K647)=FALSE,'SQL Builder'!L647,"")</f>
        <v/>
      </c>
      <c r="D672" s="1" t="str">
        <f>IF(ISBLANK('SQL Builder'!K647)=FALSE,'SQL Builder'!O647,"")</f>
        <v/>
      </c>
      <c r="H672" s="43" t="str">
        <f>IF(ISBLANK('SQL Builder'!K646)=FALSE,H671+1,"")</f>
        <v/>
      </c>
      <c r="I672" s="1" t="str">
        <f>IF(ISBLANK('SQL Builder'!P647)=FALSE,'SQL Builder'!N647,"")</f>
        <v/>
      </c>
      <c r="J672" s="79">
        <f t="shared" si="10"/>
        <v>0</v>
      </c>
    </row>
    <row r="673" spans="2:10" ht="16.5" x14ac:dyDescent="0.25">
      <c r="B673" s="49" t="e">
        <f>IF(ISBLANK('SQL Builder'!K648)=FALSE,(DATE(LEFT('SQL Builder'!K648,4),MID('SQL Builder'!K648,6,2),MID('SQL Builder'!K648,9,2))),NA())</f>
        <v>#N/A</v>
      </c>
      <c r="C673" s="50" t="str">
        <f>IF(ISBLANK('SQL Builder'!K648)=FALSE,'SQL Builder'!L648,"")</f>
        <v/>
      </c>
      <c r="D673" s="1" t="str">
        <f>IF(ISBLANK('SQL Builder'!K648)=FALSE,'SQL Builder'!O648,"")</f>
        <v/>
      </c>
      <c r="H673" s="43" t="str">
        <f>IF(ISBLANK('SQL Builder'!K647)=FALSE,H672+1,"")</f>
        <v/>
      </c>
      <c r="I673" s="1" t="str">
        <f>IF(ISBLANK('SQL Builder'!P648)=FALSE,'SQL Builder'!N648,"")</f>
        <v/>
      </c>
      <c r="J673" s="79">
        <f t="shared" si="10"/>
        <v>0</v>
      </c>
    </row>
    <row r="674" spans="2:10" ht="16.5" x14ac:dyDescent="0.25">
      <c r="B674" s="49" t="e">
        <f>IF(ISBLANK('SQL Builder'!K649)=FALSE,(DATE(LEFT('SQL Builder'!K649,4),MID('SQL Builder'!K649,6,2),MID('SQL Builder'!K649,9,2))),NA())</f>
        <v>#N/A</v>
      </c>
      <c r="C674" s="50" t="str">
        <f>IF(ISBLANK('SQL Builder'!K649)=FALSE,'SQL Builder'!L649,"")</f>
        <v/>
      </c>
      <c r="D674" s="1" t="str">
        <f>IF(ISBLANK('SQL Builder'!K649)=FALSE,'SQL Builder'!O649,"")</f>
        <v/>
      </c>
      <c r="H674" s="43" t="str">
        <f>IF(ISBLANK('SQL Builder'!K648)=FALSE,H673+1,"")</f>
        <v/>
      </c>
      <c r="I674" s="1" t="str">
        <f>IF(ISBLANK('SQL Builder'!P649)=FALSE,'SQL Builder'!N649,"")</f>
        <v/>
      </c>
      <c r="J674" s="79">
        <f t="shared" si="10"/>
        <v>0</v>
      </c>
    </row>
    <row r="675" spans="2:10" ht="16.5" x14ac:dyDescent="0.25">
      <c r="B675" s="49" t="e">
        <f>IF(ISBLANK('SQL Builder'!K650)=FALSE,(DATE(LEFT('SQL Builder'!K650,4),MID('SQL Builder'!K650,6,2),MID('SQL Builder'!K650,9,2))),NA())</f>
        <v>#N/A</v>
      </c>
      <c r="C675" s="50" t="str">
        <f>IF(ISBLANK('SQL Builder'!K650)=FALSE,'SQL Builder'!L650,"")</f>
        <v/>
      </c>
      <c r="D675" s="1" t="str">
        <f>IF(ISBLANK('SQL Builder'!K650)=FALSE,'SQL Builder'!O650,"")</f>
        <v/>
      </c>
      <c r="H675" s="43" t="str">
        <f>IF(ISBLANK('SQL Builder'!K649)=FALSE,H674+1,"")</f>
        <v/>
      </c>
      <c r="I675" s="1" t="str">
        <f>IF(ISBLANK('SQL Builder'!P650)=FALSE,'SQL Builder'!N650,"")</f>
        <v/>
      </c>
      <c r="J675" s="79">
        <f t="shared" si="10"/>
        <v>0</v>
      </c>
    </row>
    <row r="676" spans="2:10" ht="16.5" x14ac:dyDescent="0.25">
      <c r="B676" s="49" t="e">
        <f>IF(ISBLANK('SQL Builder'!K651)=FALSE,(DATE(LEFT('SQL Builder'!K651,4),MID('SQL Builder'!K651,6,2),MID('SQL Builder'!K651,9,2))),NA())</f>
        <v>#N/A</v>
      </c>
      <c r="C676" s="50" t="str">
        <f>IF(ISBLANK('SQL Builder'!K651)=FALSE,'SQL Builder'!L651,"")</f>
        <v/>
      </c>
      <c r="D676" s="1" t="str">
        <f>IF(ISBLANK('SQL Builder'!K651)=FALSE,'SQL Builder'!O651,"")</f>
        <v/>
      </c>
      <c r="H676" s="43" t="str">
        <f>IF(ISBLANK('SQL Builder'!K650)=FALSE,H675+1,"")</f>
        <v/>
      </c>
      <c r="I676" s="1" t="str">
        <f>IF(ISBLANK('SQL Builder'!P651)=FALSE,'SQL Builder'!N651,"")</f>
        <v/>
      </c>
      <c r="J676" s="79">
        <f t="shared" si="10"/>
        <v>0</v>
      </c>
    </row>
    <row r="677" spans="2:10" ht="16.5" x14ac:dyDescent="0.25">
      <c r="B677" s="49" t="e">
        <f>IF(ISBLANK('SQL Builder'!K652)=FALSE,(DATE(LEFT('SQL Builder'!K652,4),MID('SQL Builder'!K652,6,2),MID('SQL Builder'!K652,9,2))),NA())</f>
        <v>#N/A</v>
      </c>
      <c r="C677" s="50" t="str">
        <f>IF(ISBLANK('SQL Builder'!K652)=FALSE,'SQL Builder'!L652,"")</f>
        <v/>
      </c>
      <c r="D677" s="1" t="str">
        <f>IF(ISBLANK('SQL Builder'!K652)=FALSE,'SQL Builder'!O652,"")</f>
        <v/>
      </c>
      <c r="H677" s="43" t="str">
        <f>IF(ISBLANK('SQL Builder'!K651)=FALSE,H676+1,"")</f>
        <v/>
      </c>
      <c r="I677" s="1" t="str">
        <f>IF(ISBLANK('SQL Builder'!P652)=FALSE,'SQL Builder'!N652,"")</f>
        <v/>
      </c>
      <c r="J677" s="79">
        <f t="shared" si="10"/>
        <v>0</v>
      </c>
    </row>
    <row r="678" spans="2:10" ht="16.5" x14ac:dyDescent="0.25">
      <c r="B678" s="49" t="e">
        <f>IF(ISBLANK('SQL Builder'!K653)=FALSE,(DATE(LEFT('SQL Builder'!K653,4),MID('SQL Builder'!K653,6,2),MID('SQL Builder'!K653,9,2))),NA())</f>
        <v>#N/A</v>
      </c>
      <c r="C678" s="50" t="str">
        <f>IF(ISBLANK('SQL Builder'!K653)=FALSE,'SQL Builder'!L653,"")</f>
        <v/>
      </c>
      <c r="D678" s="1" t="str">
        <f>IF(ISBLANK('SQL Builder'!K653)=FALSE,'SQL Builder'!O653,"")</f>
        <v/>
      </c>
      <c r="H678" s="43" t="str">
        <f>IF(ISBLANK('SQL Builder'!K652)=FALSE,H677+1,"")</f>
        <v/>
      </c>
      <c r="I678" s="1" t="str">
        <f>IF(ISBLANK('SQL Builder'!P653)=FALSE,'SQL Builder'!N653,"")</f>
        <v/>
      </c>
      <c r="J678" s="79">
        <f t="shared" si="10"/>
        <v>0</v>
      </c>
    </row>
    <row r="679" spans="2:10" ht="16.5" x14ac:dyDescent="0.25">
      <c r="B679" s="49" t="e">
        <f>IF(ISBLANK('SQL Builder'!K654)=FALSE,(DATE(LEFT('SQL Builder'!K654,4),MID('SQL Builder'!K654,6,2),MID('SQL Builder'!K654,9,2))),NA())</f>
        <v>#N/A</v>
      </c>
      <c r="C679" s="50" t="str">
        <f>IF(ISBLANK('SQL Builder'!K654)=FALSE,'SQL Builder'!L654,"")</f>
        <v/>
      </c>
      <c r="D679" s="1" t="str">
        <f>IF(ISBLANK('SQL Builder'!K654)=FALSE,'SQL Builder'!O654,"")</f>
        <v/>
      </c>
      <c r="H679" s="43" t="str">
        <f>IF(ISBLANK('SQL Builder'!K653)=FALSE,H678+1,"")</f>
        <v/>
      </c>
      <c r="I679" s="1" t="str">
        <f>IF(ISBLANK('SQL Builder'!P654)=FALSE,'SQL Builder'!N654,"")</f>
        <v/>
      </c>
      <c r="J679" s="79">
        <f t="shared" si="10"/>
        <v>0</v>
      </c>
    </row>
    <row r="680" spans="2:10" ht="16.5" x14ac:dyDescent="0.25">
      <c r="B680" s="49" t="e">
        <f>IF(ISBLANK('SQL Builder'!K655)=FALSE,(DATE(LEFT('SQL Builder'!K655,4),MID('SQL Builder'!K655,6,2),MID('SQL Builder'!K655,9,2))),NA())</f>
        <v>#N/A</v>
      </c>
      <c r="C680" s="50" t="str">
        <f>IF(ISBLANK('SQL Builder'!K655)=FALSE,'SQL Builder'!L655,"")</f>
        <v/>
      </c>
      <c r="D680" s="1" t="str">
        <f>IF(ISBLANK('SQL Builder'!K655)=FALSE,'SQL Builder'!O655,"")</f>
        <v/>
      </c>
      <c r="H680" s="43" t="str">
        <f>IF(ISBLANK('SQL Builder'!K654)=FALSE,H679+1,"")</f>
        <v/>
      </c>
      <c r="I680" s="1" t="str">
        <f>IF(ISBLANK('SQL Builder'!P655)=FALSE,'SQL Builder'!N655,"")</f>
        <v/>
      </c>
      <c r="J680" s="79">
        <f t="shared" si="10"/>
        <v>0</v>
      </c>
    </row>
    <row r="681" spans="2:10" ht="16.5" x14ac:dyDescent="0.25">
      <c r="B681" s="49" t="e">
        <f>IF(ISBLANK('SQL Builder'!K656)=FALSE,(DATE(LEFT('SQL Builder'!K656,4),MID('SQL Builder'!K656,6,2),MID('SQL Builder'!K656,9,2))),NA())</f>
        <v>#N/A</v>
      </c>
      <c r="C681" s="50" t="str">
        <f>IF(ISBLANK('SQL Builder'!K656)=FALSE,'SQL Builder'!L656,"")</f>
        <v/>
      </c>
      <c r="D681" s="1" t="str">
        <f>IF(ISBLANK('SQL Builder'!K656)=FALSE,'SQL Builder'!O656,"")</f>
        <v/>
      </c>
      <c r="H681" s="43" t="str">
        <f>IF(ISBLANK('SQL Builder'!K655)=FALSE,H680+1,"")</f>
        <v/>
      </c>
      <c r="I681" s="1" t="str">
        <f>IF(ISBLANK('SQL Builder'!P656)=FALSE,'SQL Builder'!N656,"")</f>
        <v/>
      </c>
      <c r="J681" s="79">
        <f t="shared" si="10"/>
        <v>0</v>
      </c>
    </row>
    <row r="682" spans="2:10" ht="16.5" x14ac:dyDescent="0.25">
      <c r="B682" s="49" t="e">
        <f>IF(ISBLANK('SQL Builder'!K657)=FALSE,(DATE(LEFT('SQL Builder'!K657,4),MID('SQL Builder'!K657,6,2),MID('SQL Builder'!K657,9,2))),NA())</f>
        <v>#N/A</v>
      </c>
      <c r="C682" s="50" t="str">
        <f>IF(ISBLANK('SQL Builder'!K657)=FALSE,'SQL Builder'!L657,"")</f>
        <v/>
      </c>
      <c r="D682" s="1" t="str">
        <f>IF(ISBLANK('SQL Builder'!K657)=FALSE,'SQL Builder'!O657,"")</f>
        <v/>
      </c>
      <c r="H682" s="43" t="str">
        <f>IF(ISBLANK('SQL Builder'!K656)=FALSE,H681+1,"")</f>
        <v/>
      </c>
      <c r="I682" s="1" t="str">
        <f>IF(ISBLANK('SQL Builder'!P657)=FALSE,'SQL Builder'!N657,"")</f>
        <v/>
      </c>
      <c r="J682" s="79">
        <f t="shared" si="10"/>
        <v>0</v>
      </c>
    </row>
    <row r="683" spans="2:10" ht="16.5" x14ac:dyDescent="0.25">
      <c r="B683" s="49" t="e">
        <f>IF(ISBLANK('SQL Builder'!K658)=FALSE,(DATE(LEFT('SQL Builder'!K658,4),MID('SQL Builder'!K658,6,2),MID('SQL Builder'!K658,9,2))),NA())</f>
        <v>#N/A</v>
      </c>
      <c r="C683" s="50" t="str">
        <f>IF(ISBLANK('SQL Builder'!K658)=FALSE,'SQL Builder'!L658,"")</f>
        <v/>
      </c>
      <c r="D683" s="1" t="str">
        <f>IF(ISBLANK('SQL Builder'!K658)=FALSE,'SQL Builder'!O658,"")</f>
        <v/>
      </c>
      <c r="H683" s="43" t="str">
        <f>IF(ISBLANK('SQL Builder'!K657)=FALSE,H682+1,"")</f>
        <v/>
      </c>
      <c r="I683" s="1" t="str">
        <f>IF(ISBLANK('SQL Builder'!P658)=FALSE,'SQL Builder'!N658,"")</f>
        <v/>
      </c>
      <c r="J683" s="79">
        <f t="shared" si="10"/>
        <v>0</v>
      </c>
    </row>
    <row r="684" spans="2:10" ht="16.5" x14ac:dyDescent="0.25">
      <c r="B684" s="49" t="e">
        <f>IF(ISBLANK('SQL Builder'!K659)=FALSE,(DATE(LEFT('SQL Builder'!K659,4),MID('SQL Builder'!K659,6,2),MID('SQL Builder'!K659,9,2))),NA())</f>
        <v>#N/A</v>
      </c>
      <c r="C684" s="50" t="str">
        <f>IF(ISBLANK('SQL Builder'!K659)=FALSE,'SQL Builder'!L659,"")</f>
        <v/>
      </c>
      <c r="D684" s="1" t="str">
        <f>IF(ISBLANK('SQL Builder'!K659)=FALSE,'SQL Builder'!O659,"")</f>
        <v/>
      </c>
      <c r="H684" s="43" t="str">
        <f>IF(ISBLANK('SQL Builder'!K658)=FALSE,H683+1,"")</f>
        <v/>
      </c>
      <c r="I684" s="1" t="str">
        <f>IF(ISBLANK('SQL Builder'!P659)=FALSE,'SQL Builder'!N659,"")</f>
        <v/>
      </c>
      <c r="J684" s="79">
        <f t="shared" si="10"/>
        <v>0</v>
      </c>
    </row>
    <row r="685" spans="2:10" ht="16.5" x14ac:dyDescent="0.25">
      <c r="B685" s="49" t="e">
        <f>IF(ISBLANK('SQL Builder'!K660)=FALSE,(DATE(LEFT('SQL Builder'!K660,4),MID('SQL Builder'!K660,6,2),MID('SQL Builder'!K660,9,2))),NA())</f>
        <v>#N/A</v>
      </c>
      <c r="C685" s="50" t="str">
        <f>IF(ISBLANK('SQL Builder'!K660)=FALSE,'SQL Builder'!L660,"")</f>
        <v/>
      </c>
      <c r="D685" s="1" t="str">
        <f>IF(ISBLANK('SQL Builder'!K660)=FALSE,'SQL Builder'!O660,"")</f>
        <v/>
      </c>
      <c r="H685" s="43" t="str">
        <f>IF(ISBLANK('SQL Builder'!K659)=FALSE,H684+1,"")</f>
        <v/>
      </c>
      <c r="I685" s="1" t="str">
        <f>IF(ISBLANK('SQL Builder'!P660)=FALSE,'SQL Builder'!N660,"")</f>
        <v/>
      </c>
      <c r="J685" s="79">
        <f t="shared" si="10"/>
        <v>0</v>
      </c>
    </row>
    <row r="686" spans="2:10" ht="16.5" x14ac:dyDescent="0.25">
      <c r="B686" s="49" t="e">
        <f>IF(ISBLANK('SQL Builder'!K661)=FALSE,(DATE(LEFT('SQL Builder'!K661,4),MID('SQL Builder'!K661,6,2),MID('SQL Builder'!K661,9,2))),NA())</f>
        <v>#N/A</v>
      </c>
      <c r="C686" s="50" t="str">
        <f>IF(ISBLANK('SQL Builder'!K661)=FALSE,'SQL Builder'!L661,"")</f>
        <v/>
      </c>
      <c r="D686" s="1" t="str">
        <f>IF(ISBLANK('SQL Builder'!K661)=FALSE,'SQL Builder'!O661,"")</f>
        <v/>
      </c>
      <c r="H686" s="43" t="str">
        <f>IF(ISBLANK('SQL Builder'!K660)=FALSE,H685+1,"")</f>
        <v/>
      </c>
      <c r="I686" s="1" t="str">
        <f>IF(ISBLANK('SQL Builder'!P661)=FALSE,'SQL Builder'!N661,"")</f>
        <v/>
      </c>
      <c r="J686" s="79">
        <f t="shared" si="10"/>
        <v>0</v>
      </c>
    </row>
    <row r="687" spans="2:10" ht="16.5" x14ac:dyDescent="0.25">
      <c r="B687" s="49" t="e">
        <f>IF(ISBLANK('SQL Builder'!K662)=FALSE,(DATE(LEFT('SQL Builder'!K662,4),MID('SQL Builder'!K662,6,2),MID('SQL Builder'!K662,9,2))),NA())</f>
        <v>#N/A</v>
      </c>
      <c r="C687" s="50" t="str">
        <f>IF(ISBLANK('SQL Builder'!K662)=FALSE,'SQL Builder'!L662,"")</f>
        <v/>
      </c>
      <c r="D687" s="1" t="str">
        <f>IF(ISBLANK('SQL Builder'!K662)=FALSE,'SQL Builder'!O662,"")</f>
        <v/>
      </c>
      <c r="H687" s="43" t="str">
        <f>IF(ISBLANK('SQL Builder'!K661)=FALSE,H686+1,"")</f>
        <v/>
      </c>
      <c r="I687" s="1" t="str">
        <f>IF(ISBLANK('SQL Builder'!P662)=FALSE,'SQL Builder'!N662,"")</f>
        <v/>
      </c>
      <c r="J687" s="79">
        <f t="shared" si="10"/>
        <v>0</v>
      </c>
    </row>
    <row r="688" spans="2:10" ht="16.5" x14ac:dyDescent="0.25">
      <c r="B688" s="49" t="e">
        <f>IF(ISBLANK('SQL Builder'!K663)=FALSE,(DATE(LEFT('SQL Builder'!K663,4),MID('SQL Builder'!K663,6,2),MID('SQL Builder'!K663,9,2))),NA())</f>
        <v>#N/A</v>
      </c>
      <c r="C688" s="50" t="str">
        <f>IF(ISBLANK('SQL Builder'!K663)=FALSE,'SQL Builder'!L663,"")</f>
        <v/>
      </c>
      <c r="D688" s="1" t="str">
        <f>IF(ISBLANK('SQL Builder'!K663)=FALSE,'SQL Builder'!O663,"")</f>
        <v/>
      </c>
      <c r="H688" s="43" t="str">
        <f>IF(ISBLANK('SQL Builder'!K662)=FALSE,H687+1,"")</f>
        <v/>
      </c>
      <c r="I688" s="1" t="str">
        <f>IF(ISBLANK('SQL Builder'!P663)=FALSE,'SQL Builder'!N663,"")</f>
        <v/>
      </c>
      <c r="J688" s="79">
        <f t="shared" si="10"/>
        <v>0</v>
      </c>
    </row>
    <row r="689" spans="2:10" ht="16.5" x14ac:dyDescent="0.25">
      <c r="B689" s="49" t="e">
        <f>IF(ISBLANK('SQL Builder'!K664)=FALSE,(DATE(LEFT('SQL Builder'!K664,4),MID('SQL Builder'!K664,6,2),MID('SQL Builder'!K664,9,2))),NA())</f>
        <v>#N/A</v>
      </c>
      <c r="C689" s="50" t="str">
        <f>IF(ISBLANK('SQL Builder'!K664)=FALSE,'SQL Builder'!L664,"")</f>
        <v/>
      </c>
      <c r="D689" s="1" t="str">
        <f>IF(ISBLANK('SQL Builder'!K664)=FALSE,'SQL Builder'!O664,"")</f>
        <v/>
      </c>
      <c r="H689" s="43" t="str">
        <f>IF(ISBLANK('SQL Builder'!K663)=FALSE,H688+1,"")</f>
        <v/>
      </c>
      <c r="I689" s="1" t="str">
        <f>IF(ISBLANK('SQL Builder'!P664)=FALSE,'SQL Builder'!N664,"")</f>
        <v/>
      </c>
      <c r="J689" s="79">
        <f t="shared" si="10"/>
        <v>0</v>
      </c>
    </row>
    <row r="690" spans="2:10" ht="16.5" x14ac:dyDescent="0.25">
      <c r="B690" s="49" t="e">
        <f>IF(ISBLANK('SQL Builder'!K665)=FALSE,(DATE(LEFT('SQL Builder'!K665,4),MID('SQL Builder'!K665,6,2),MID('SQL Builder'!K665,9,2))),NA())</f>
        <v>#N/A</v>
      </c>
      <c r="C690" s="50" t="str">
        <f>IF(ISBLANK('SQL Builder'!K665)=FALSE,'SQL Builder'!L665,"")</f>
        <v/>
      </c>
      <c r="D690" s="1" t="str">
        <f>IF(ISBLANK('SQL Builder'!K665)=FALSE,'SQL Builder'!O665,"")</f>
        <v/>
      </c>
      <c r="H690" s="43" t="str">
        <f>IF(ISBLANK('SQL Builder'!K664)=FALSE,H689+1,"")</f>
        <v/>
      </c>
      <c r="I690" s="1" t="str">
        <f>IF(ISBLANK('SQL Builder'!P665)=FALSE,'SQL Builder'!N665,"")</f>
        <v/>
      </c>
      <c r="J690" s="79">
        <f t="shared" si="10"/>
        <v>0</v>
      </c>
    </row>
    <row r="691" spans="2:10" ht="16.5" x14ac:dyDescent="0.25">
      <c r="B691" s="49" t="e">
        <f>IF(ISBLANK('SQL Builder'!K666)=FALSE,(DATE(LEFT('SQL Builder'!K666,4),MID('SQL Builder'!K666,6,2),MID('SQL Builder'!K666,9,2))),NA())</f>
        <v>#N/A</v>
      </c>
      <c r="C691" s="50" t="str">
        <f>IF(ISBLANK('SQL Builder'!K666)=FALSE,'SQL Builder'!L666,"")</f>
        <v/>
      </c>
      <c r="D691" s="1" t="str">
        <f>IF(ISBLANK('SQL Builder'!K666)=FALSE,'SQL Builder'!O666,"")</f>
        <v/>
      </c>
      <c r="H691" s="43" t="str">
        <f>IF(ISBLANK('SQL Builder'!K665)=FALSE,H690+1,"")</f>
        <v/>
      </c>
      <c r="I691" s="1" t="str">
        <f>IF(ISBLANK('SQL Builder'!P666)=FALSE,'SQL Builder'!N666,"")</f>
        <v/>
      </c>
      <c r="J691" s="79">
        <f t="shared" si="10"/>
        <v>0</v>
      </c>
    </row>
    <row r="692" spans="2:10" ht="16.5" x14ac:dyDescent="0.25">
      <c r="B692" s="49" t="e">
        <f>IF(ISBLANK('SQL Builder'!K667)=FALSE,(DATE(LEFT('SQL Builder'!K667,4),MID('SQL Builder'!K667,6,2),MID('SQL Builder'!K667,9,2))),NA())</f>
        <v>#N/A</v>
      </c>
      <c r="C692" s="50" t="str">
        <f>IF(ISBLANK('SQL Builder'!K667)=FALSE,'SQL Builder'!L667,"")</f>
        <v/>
      </c>
      <c r="D692" s="1" t="str">
        <f>IF(ISBLANK('SQL Builder'!K667)=FALSE,'SQL Builder'!O667,"")</f>
        <v/>
      </c>
      <c r="H692" s="43" t="str">
        <f>IF(ISBLANK('SQL Builder'!K666)=FALSE,H691+1,"")</f>
        <v/>
      </c>
      <c r="I692" s="1" t="str">
        <f>IF(ISBLANK('SQL Builder'!P667)=FALSE,'SQL Builder'!N667,"")</f>
        <v/>
      </c>
      <c r="J692" s="79">
        <f t="shared" si="10"/>
        <v>0</v>
      </c>
    </row>
    <row r="693" spans="2:10" ht="16.5" x14ac:dyDescent="0.25">
      <c r="B693" s="49" t="e">
        <f>IF(ISBLANK('SQL Builder'!K668)=FALSE,(DATE(LEFT('SQL Builder'!K668,4),MID('SQL Builder'!K668,6,2),MID('SQL Builder'!K668,9,2))),NA())</f>
        <v>#N/A</v>
      </c>
      <c r="C693" s="50" t="str">
        <f>IF(ISBLANK('SQL Builder'!K668)=FALSE,'SQL Builder'!L668,"")</f>
        <v/>
      </c>
      <c r="D693" s="1" t="str">
        <f>IF(ISBLANK('SQL Builder'!K668)=FALSE,'SQL Builder'!O668,"")</f>
        <v/>
      </c>
      <c r="H693" s="43" t="str">
        <f>IF(ISBLANK('SQL Builder'!K667)=FALSE,H692+1,"")</f>
        <v/>
      </c>
      <c r="I693" s="1" t="str">
        <f>IF(ISBLANK('SQL Builder'!P668)=FALSE,'SQL Builder'!N668,"")</f>
        <v/>
      </c>
      <c r="J693" s="79">
        <f t="shared" si="10"/>
        <v>0</v>
      </c>
    </row>
    <row r="694" spans="2:10" ht="16.5" x14ac:dyDescent="0.25">
      <c r="B694" s="49" t="e">
        <f>IF(ISBLANK('SQL Builder'!K669)=FALSE,(DATE(LEFT('SQL Builder'!K669,4),MID('SQL Builder'!K669,6,2),MID('SQL Builder'!K669,9,2))),NA())</f>
        <v>#N/A</v>
      </c>
      <c r="C694" s="50" t="str">
        <f>IF(ISBLANK('SQL Builder'!K669)=FALSE,'SQL Builder'!L669,"")</f>
        <v/>
      </c>
      <c r="D694" s="1" t="str">
        <f>IF(ISBLANK('SQL Builder'!K669)=FALSE,'SQL Builder'!O669,"")</f>
        <v/>
      </c>
      <c r="H694" s="43" t="str">
        <f>IF(ISBLANK('SQL Builder'!K668)=FALSE,H693+1,"")</f>
        <v/>
      </c>
      <c r="I694" s="1" t="str">
        <f>IF(ISBLANK('SQL Builder'!P669)=FALSE,'SQL Builder'!N669,"")</f>
        <v/>
      </c>
      <c r="J694" s="79">
        <f t="shared" si="10"/>
        <v>0</v>
      </c>
    </row>
    <row r="695" spans="2:10" ht="16.5" x14ac:dyDescent="0.25">
      <c r="B695" s="49" t="e">
        <f>IF(ISBLANK('SQL Builder'!K670)=FALSE,(DATE(LEFT('SQL Builder'!K670,4),MID('SQL Builder'!K670,6,2),MID('SQL Builder'!K670,9,2))),NA())</f>
        <v>#N/A</v>
      </c>
      <c r="C695" s="50" t="str">
        <f>IF(ISBLANK('SQL Builder'!K670)=FALSE,'SQL Builder'!L670,"")</f>
        <v/>
      </c>
      <c r="D695" s="1" t="str">
        <f>IF(ISBLANK('SQL Builder'!K670)=FALSE,'SQL Builder'!O670,"")</f>
        <v/>
      </c>
      <c r="H695" s="43" t="str">
        <f>IF(ISBLANK('SQL Builder'!K669)=FALSE,H694+1,"")</f>
        <v/>
      </c>
      <c r="I695" s="1" t="str">
        <f>IF(ISBLANK('SQL Builder'!P670)=FALSE,'SQL Builder'!N670,"")</f>
        <v/>
      </c>
      <c r="J695" s="79">
        <f t="shared" si="10"/>
        <v>0</v>
      </c>
    </row>
    <row r="696" spans="2:10" ht="16.5" x14ac:dyDescent="0.25">
      <c r="B696" s="49" t="e">
        <f>IF(ISBLANK('SQL Builder'!K671)=FALSE,(DATE(LEFT('SQL Builder'!K671,4),MID('SQL Builder'!K671,6,2),MID('SQL Builder'!K671,9,2))),NA())</f>
        <v>#N/A</v>
      </c>
      <c r="C696" s="50" t="str">
        <f>IF(ISBLANK('SQL Builder'!K671)=FALSE,'SQL Builder'!L671,"")</f>
        <v/>
      </c>
      <c r="D696" s="1" t="str">
        <f>IF(ISBLANK('SQL Builder'!K671)=FALSE,'SQL Builder'!O671,"")</f>
        <v/>
      </c>
      <c r="H696" s="43" t="str">
        <f>IF(ISBLANK('SQL Builder'!K670)=FALSE,H695+1,"")</f>
        <v/>
      </c>
      <c r="I696" s="1" t="str">
        <f>IF(ISBLANK('SQL Builder'!P671)=FALSE,'SQL Builder'!N671,"")</f>
        <v/>
      </c>
      <c r="J696" s="79">
        <f t="shared" si="10"/>
        <v>0</v>
      </c>
    </row>
    <row r="697" spans="2:10" ht="16.5" x14ac:dyDescent="0.25">
      <c r="B697" s="49" t="e">
        <f>IF(ISBLANK('SQL Builder'!K672)=FALSE,(DATE(LEFT('SQL Builder'!K672,4),MID('SQL Builder'!K672,6,2),MID('SQL Builder'!K672,9,2))),NA())</f>
        <v>#N/A</v>
      </c>
      <c r="C697" s="50" t="str">
        <f>IF(ISBLANK('SQL Builder'!K672)=FALSE,'SQL Builder'!L672,"")</f>
        <v/>
      </c>
      <c r="D697" s="1" t="str">
        <f>IF(ISBLANK('SQL Builder'!K672)=FALSE,'SQL Builder'!O672,"")</f>
        <v/>
      </c>
      <c r="H697" s="43" t="str">
        <f>IF(ISBLANK('SQL Builder'!K671)=FALSE,H696+1,"")</f>
        <v/>
      </c>
      <c r="I697" s="1" t="str">
        <f>IF(ISBLANK('SQL Builder'!P672)=FALSE,'SQL Builder'!N672,"")</f>
        <v/>
      </c>
      <c r="J697" s="79">
        <f t="shared" si="10"/>
        <v>0</v>
      </c>
    </row>
    <row r="698" spans="2:10" ht="16.5" x14ac:dyDescent="0.25">
      <c r="B698" s="49" t="e">
        <f>IF(ISBLANK('SQL Builder'!K673)=FALSE,(DATE(LEFT('SQL Builder'!K673,4),MID('SQL Builder'!K673,6,2),MID('SQL Builder'!K673,9,2))),NA())</f>
        <v>#N/A</v>
      </c>
      <c r="C698" s="50" t="str">
        <f>IF(ISBLANK('SQL Builder'!K673)=FALSE,'SQL Builder'!L673,"")</f>
        <v/>
      </c>
      <c r="D698" s="1" t="str">
        <f>IF(ISBLANK('SQL Builder'!K673)=FALSE,'SQL Builder'!O673,"")</f>
        <v/>
      </c>
      <c r="H698" s="43" t="str">
        <f>IF(ISBLANK('SQL Builder'!K672)=FALSE,H697+1,"")</f>
        <v/>
      </c>
      <c r="I698" s="1" t="str">
        <f>IF(ISBLANK('SQL Builder'!P673)=FALSE,'SQL Builder'!N673,"")</f>
        <v/>
      </c>
      <c r="J698" s="79">
        <f t="shared" si="10"/>
        <v>0</v>
      </c>
    </row>
    <row r="699" spans="2:10" ht="16.5" x14ac:dyDescent="0.25">
      <c r="B699" s="49" t="e">
        <f>IF(ISBLANK('SQL Builder'!K674)=FALSE,(DATE(LEFT('SQL Builder'!K674,4),MID('SQL Builder'!K674,6,2),MID('SQL Builder'!K674,9,2))),NA())</f>
        <v>#N/A</v>
      </c>
      <c r="C699" s="50" t="str">
        <f>IF(ISBLANK('SQL Builder'!K674)=FALSE,'SQL Builder'!L674,"")</f>
        <v/>
      </c>
      <c r="D699" s="1" t="str">
        <f>IF(ISBLANK('SQL Builder'!K674)=FALSE,'SQL Builder'!O674,"")</f>
        <v/>
      </c>
      <c r="H699" s="43" t="str">
        <f>IF(ISBLANK('SQL Builder'!K673)=FALSE,H698+1,"")</f>
        <v/>
      </c>
      <c r="I699" s="1" t="str">
        <f>IF(ISBLANK('SQL Builder'!P674)=FALSE,'SQL Builder'!N674,"")</f>
        <v/>
      </c>
      <c r="J699" s="79">
        <f t="shared" si="10"/>
        <v>0</v>
      </c>
    </row>
    <row r="700" spans="2:10" ht="16.5" x14ac:dyDescent="0.25">
      <c r="B700" s="49" t="e">
        <f>IF(ISBLANK('SQL Builder'!K675)=FALSE,(DATE(LEFT('SQL Builder'!K675,4),MID('SQL Builder'!K675,6,2),MID('SQL Builder'!K675,9,2))),NA())</f>
        <v>#N/A</v>
      </c>
      <c r="C700" s="50" t="str">
        <f>IF(ISBLANK('SQL Builder'!K675)=FALSE,'SQL Builder'!L675,"")</f>
        <v/>
      </c>
      <c r="D700" s="1" t="str">
        <f>IF(ISBLANK('SQL Builder'!K675)=FALSE,'SQL Builder'!O675,"")</f>
        <v/>
      </c>
      <c r="H700" s="43" t="str">
        <f>IF(ISBLANK('SQL Builder'!K674)=FALSE,H699+1,"")</f>
        <v/>
      </c>
      <c r="I700" s="1" t="str">
        <f>IF(ISBLANK('SQL Builder'!P675)=FALSE,'SQL Builder'!N675,"")</f>
        <v/>
      </c>
      <c r="J700" s="79">
        <f t="shared" si="10"/>
        <v>0</v>
      </c>
    </row>
    <row r="701" spans="2:10" ht="16.5" x14ac:dyDescent="0.25">
      <c r="B701" s="49" t="e">
        <f>IF(ISBLANK('SQL Builder'!K676)=FALSE,(DATE(LEFT('SQL Builder'!K676,4),MID('SQL Builder'!K676,6,2),MID('SQL Builder'!K676,9,2))),NA())</f>
        <v>#N/A</v>
      </c>
      <c r="C701" s="50" t="str">
        <f>IF(ISBLANK('SQL Builder'!K676)=FALSE,'SQL Builder'!L676,"")</f>
        <v/>
      </c>
      <c r="D701" s="1" t="str">
        <f>IF(ISBLANK('SQL Builder'!K676)=FALSE,'SQL Builder'!O676,"")</f>
        <v/>
      </c>
      <c r="H701" s="43" t="str">
        <f>IF(ISBLANK('SQL Builder'!K675)=FALSE,H700+1,"")</f>
        <v/>
      </c>
      <c r="I701" s="1" t="str">
        <f>IF(ISBLANK('SQL Builder'!P676)=FALSE,'SQL Builder'!N676,"")</f>
        <v/>
      </c>
      <c r="J701" s="79">
        <f t="shared" si="10"/>
        <v>0</v>
      </c>
    </row>
    <row r="702" spans="2:10" ht="16.5" x14ac:dyDescent="0.25">
      <c r="B702" s="49" t="e">
        <f>IF(ISBLANK('SQL Builder'!K677)=FALSE,(DATE(LEFT('SQL Builder'!K677,4),MID('SQL Builder'!K677,6,2),MID('SQL Builder'!K677,9,2))),NA())</f>
        <v>#N/A</v>
      </c>
      <c r="C702" s="50" t="str">
        <f>IF(ISBLANK('SQL Builder'!K677)=FALSE,'SQL Builder'!L677,"")</f>
        <v/>
      </c>
      <c r="D702" s="1" t="str">
        <f>IF(ISBLANK('SQL Builder'!K677)=FALSE,'SQL Builder'!O677,"")</f>
        <v/>
      </c>
      <c r="H702" s="43" t="str">
        <f>IF(ISBLANK('SQL Builder'!K676)=FALSE,H701+1,"")</f>
        <v/>
      </c>
      <c r="I702" s="1" t="str">
        <f>IF(ISBLANK('SQL Builder'!P677)=FALSE,'SQL Builder'!N677,"")</f>
        <v/>
      </c>
      <c r="J702" s="79">
        <f t="shared" si="10"/>
        <v>0</v>
      </c>
    </row>
    <row r="703" spans="2:10" ht="16.5" x14ac:dyDescent="0.25">
      <c r="B703" s="49" t="e">
        <f>IF(ISBLANK('SQL Builder'!K678)=FALSE,(DATE(LEFT('SQL Builder'!K678,4),MID('SQL Builder'!K678,6,2),MID('SQL Builder'!K678,9,2))),NA())</f>
        <v>#N/A</v>
      </c>
      <c r="C703" s="50" t="str">
        <f>IF(ISBLANK('SQL Builder'!K678)=FALSE,'SQL Builder'!L678,"")</f>
        <v/>
      </c>
      <c r="D703" s="1" t="str">
        <f>IF(ISBLANK('SQL Builder'!K678)=FALSE,'SQL Builder'!O678,"")</f>
        <v/>
      </c>
      <c r="H703" s="43" t="str">
        <f>IF(ISBLANK('SQL Builder'!K677)=FALSE,H702+1,"")</f>
        <v/>
      </c>
      <c r="I703" s="1" t="str">
        <f>IF(ISBLANK('SQL Builder'!P678)=FALSE,'SQL Builder'!N678,"")</f>
        <v/>
      </c>
      <c r="J703" s="79">
        <f t="shared" si="10"/>
        <v>0</v>
      </c>
    </row>
    <row r="704" spans="2:10" ht="16.5" x14ac:dyDescent="0.25">
      <c r="B704" s="49" t="e">
        <f>IF(ISBLANK('SQL Builder'!K679)=FALSE,(DATE(LEFT('SQL Builder'!K679,4),MID('SQL Builder'!K679,6,2),MID('SQL Builder'!K679,9,2))),NA())</f>
        <v>#N/A</v>
      </c>
      <c r="C704" s="50" t="str">
        <f>IF(ISBLANK('SQL Builder'!K679)=FALSE,'SQL Builder'!L679,"")</f>
        <v/>
      </c>
      <c r="D704" s="1" t="str">
        <f>IF(ISBLANK('SQL Builder'!K679)=FALSE,'SQL Builder'!O679,"")</f>
        <v/>
      </c>
      <c r="H704" s="43" t="str">
        <f>IF(ISBLANK('SQL Builder'!K678)=FALSE,H703+1,"")</f>
        <v/>
      </c>
      <c r="I704" s="1" t="str">
        <f>IF(ISBLANK('SQL Builder'!P679)=FALSE,'SQL Builder'!N679,"")</f>
        <v/>
      </c>
      <c r="J704" s="79">
        <f t="shared" si="10"/>
        <v>0</v>
      </c>
    </row>
    <row r="705" spans="2:10" ht="16.5" x14ac:dyDescent="0.25">
      <c r="B705" s="49" t="e">
        <f>IF(ISBLANK('SQL Builder'!K680)=FALSE,(DATE(LEFT('SQL Builder'!K680,4),MID('SQL Builder'!K680,6,2),MID('SQL Builder'!K680,9,2))),NA())</f>
        <v>#N/A</v>
      </c>
      <c r="C705" s="50" t="str">
        <f>IF(ISBLANK('SQL Builder'!K680)=FALSE,'SQL Builder'!L680,"")</f>
        <v/>
      </c>
      <c r="D705" s="1" t="str">
        <f>IF(ISBLANK('SQL Builder'!K680)=FALSE,'SQL Builder'!O680,"")</f>
        <v/>
      </c>
      <c r="H705" s="43" t="str">
        <f>IF(ISBLANK('SQL Builder'!K679)=FALSE,H704+1,"")</f>
        <v/>
      </c>
      <c r="I705" s="1" t="str">
        <f>IF(ISBLANK('SQL Builder'!P680)=FALSE,'SQL Builder'!N680,"")</f>
        <v/>
      </c>
      <c r="J705" s="79">
        <f t="shared" si="10"/>
        <v>0</v>
      </c>
    </row>
    <row r="706" spans="2:10" ht="16.5" x14ac:dyDescent="0.25">
      <c r="B706" s="49" t="e">
        <f>IF(ISBLANK('SQL Builder'!K681)=FALSE,(DATE(LEFT('SQL Builder'!K681,4),MID('SQL Builder'!K681,6,2),MID('SQL Builder'!K681,9,2))),NA())</f>
        <v>#N/A</v>
      </c>
      <c r="C706" s="50" t="str">
        <f>IF(ISBLANK('SQL Builder'!K681)=FALSE,'SQL Builder'!L681,"")</f>
        <v/>
      </c>
      <c r="D706" s="1" t="str">
        <f>IF(ISBLANK('SQL Builder'!K681)=FALSE,'SQL Builder'!O681,"")</f>
        <v/>
      </c>
      <c r="H706" s="43" t="str">
        <f>IF(ISBLANK('SQL Builder'!K680)=FALSE,H705+1,"")</f>
        <v/>
      </c>
      <c r="I706" s="1" t="str">
        <f>IF(ISBLANK('SQL Builder'!P681)=FALSE,'SQL Builder'!N681,"")</f>
        <v/>
      </c>
      <c r="J706" s="79">
        <f t="shared" si="10"/>
        <v>0</v>
      </c>
    </row>
    <row r="707" spans="2:10" ht="16.5" x14ac:dyDescent="0.25">
      <c r="B707" s="49" t="e">
        <f>IF(ISBLANK('SQL Builder'!K682)=FALSE,(DATE(LEFT('SQL Builder'!K682,4),MID('SQL Builder'!K682,6,2),MID('SQL Builder'!K682,9,2))),NA())</f>
        <v>#N/A</v>
      </c>
      <c r="C707" s="50" t="str">
        <f>IF(ISBLANK('SQL Builder'!K682)=FALSE,'SQL Builder'!L682,"")</f>
        <v/>
      </c>
      <c r="D707" s="1" t="str">
        <f>IF(ISBLANK('SQL Builder'!K682)=FALSE,'SQL Builder'!O682,"")</f>
        <v/>
      </c>
      <c r="H707" s="43" t="str">
        <f>IF(ISBLANK('SQL Builder'!K681)=FALSE,H706+1,"")</f>
        <v/>
      </c>
      <c r="I707" s="1" t="str">
        <f>IF(ISBLANK('SQL Builder'!P682)=FALSE,'SQL Builder'!N682,"")</f>
        <v/>
      </c>
      <c r="J707" s="79">
        <f t="shared" si="10"/>
        <v>0</v>
      </c>
    </row>
    <row r="708" spans="2:10" ht="16.5" x14ac:dyDescent="0.25">
      <c r="B708" s="49" t="e">
        <f>IF(ISBLANK('SQL Builder'!K683)=FALSE,(DATE(LEFT('SQL Builder'!K683,4),MID('SQL Builder'!K683,6,2),MID('SQL Builder'!K683,9,2))),NA())</f>
        <v>#N/A</v>
      </c>
      <c r="C708" s="50" t="str">
        <f>IF(ISBLANK('SQL Builder'!K683)=FALSE,'SQL Builder'!L683,"")</f>
        <v/>
      </c>
      <c r="D708" s="1" t="str">
        <f>IF(ISBLANK('SQL Builder'!K683)=FALSE,'SQL Builder'!O683,"")</f>
        <v/>
      </c>
      <c r="H708" s="43" t="str">
        <f>IF(ISBLANK('SQL Builder'!K682)=FALSE,H707+1,"")</f>
        <v/>
      </c>
      <c r="I708" s="1" t="str">
        <f>IF(ISBLANK('SQL Builder'!P683)=FALSE,'SQL Builder'!N683,"")</f>
        <v/>
      </c>
      <c r="J708" s="79">
        <f t="shared" si="10"/>
        <v>0</v>
      </c>
    </row>
    <row r="709" spans="2:10" ht="16.5" x14ac:dyDescent="0.25">
      <c r="B709" s="49" t="e">
        <f>IF(ISBLANK('SQL Builder'!K684)=FALSE,(DATE(LEFT('SQL Builder'!K684,4),MID('SQL Builder'!K684,6,2),MID('SQL Builder'!K684,9,2))),NA())</f>
        <v>#N/A</v>
      </c>
      <c r="C709" s="50" t="str">
        <f>IF(ISBLANK('SQL Builder'!K684)=FALSE,'SQL Builder'!L684,"")</f>
        <v/>
      </c>
      <c r="D709" s="1" t="str">
        <f>IF(ISBLANK('SQL Builder'!K684)=FALSE,'SQL Builder'!O684,"")</f>
        <v/>
      </c>
      <c r="H709" s="43" t="str">
        <f>IF(ISBLANK('SQL Builder'!K683)=FALSE,H708+1,"")</f>
        <v/>
      </c>
      <c r="I709" s="1" t="str">
        <f>IF(ISBLANK('SQL Builder'!P684)=FALSE,'SQL Builder'!N684,"")</f>
        <v/>
      </c>
      <c r="J709" s="79">
        <f t="shared" si="10"/>
        <v>0</v>
      </c>
    </row>
    <row r="710" spans="2:10" ht="16.5" x14ac:dyDescent="0.25">
      <c r="B710" s="49" t="e">
        <f>IF(ISBLANK('SQL Builder'!K685)=FALSE,(DATE(LEFT('SQL Builder'!K685,4),MID('SQL Builder'!K685,6,2),MID('SQL Builder'!K685,9,2))),NA())</f>
        <v>#N/A</v>
      </c>
      <c r="C710" s="50" t="str">
        <f>IF(ISBLANK('SQL Builder'!K685)=FALSE,'SQL Builder'!L685,"")</f>
        <v/>
      </c>
      <c r="D710" s="1" t="str">
        <f>IF(ISBLANK('SQL Builder'!K685)=FALSE,'SQL Builder'!O685,"")</f>
        <v/>
      </c>
      <c r="H710" s="43" t="str">
        <f>IF(ISBLANK('SQL Builder'!K684)=FALSE,H709+1,"")</f>
        <v/>
      </c>
      <c r="I710" s="1" t="str">
        <f>IF(ISBLANK('SQL Builder'!P685)=FALSE,'SQL Builder'!N685,"")</f>
        <v/>
      </c>
      <c r="J710" s="79">
        <f t="shared" si="10"/>
        <v>0</v>
      </c>
    </row>
    <row r="711" spans="2:10" ht="16.5" x14ac:dyDescent="0.25">
      <c r="B711" s="49" t="e">
        <f>IF(ISBLANK('SQL Builder'!K686)=FALSE,(DATE(LEFT('SQL Builder'!K686,4),MID('SQL Builder'!K686,6,2),MID('SQL Builder'!K686,9,2))),NA())</f>
        <v>#N/A</v>
      </c>
      <c r="C711" s="50" t="str">
        <f>IF(ISBLANK('SQL Builder'!K686)=FALSE,'SQL Builder'!L686,"")</f>
        <v/>
      </c>
      <c r="D711" s="1" t="str">
        <f>IF(ISBLANK('SQL Builder'!K686)=FALSE,'SQL Builder'!O686,"")</f>
        <v/>
      </c>
      <c r="H711" s="43" t="str">
        <f>IF(ISBLANK('SQL Builder'!K685)=FALSE,H710+1,"")</f>
        <v/>
      </c>
      <c r="I711" s="1" t="str">
        <f>IF(ISBLANK('SQL Builder'!P686)=FALSE,'SQL Builder'!N686,"")</f>
        <v/>
      </c>
      <c r="J711" s="79">
        <f t="shared" si="10"/>
        <v>0</v>
      </c>
    </row>
    <row r="712" spans="2:10" ht="16.5" x14ac:dyDescent="0.25">
      <c r="B712" s="49" t="e">
        <f>IF(ISBLANK('SQL Builder'!K687)=FALSE,(DATE(LEFT('SQL Builder'!K687,4),MID('SQL Builder'!K687,6,2),MID('SQL Builder'!K687,9,2))),NA())</f>
        <v>#N/A</v>
      </c>
      <c r="C712" s="50" t="str">
        <f>IF(ISBLANK('SQL Builder'!K687)=FALSE,'SQL Builder'!L687,"")</f>
        <v/>
      </c>
      <c r="D712" s="1" t="str">
        <f>IF(ISBLANK('SQL Builder'!K687)=FALSE,'SQL Builder'!O687,"")</f>
        <v/>
      </c>
      <c r="H712" s="43" t="str">
        <f>IF(ISBLANK('SQL Builder'!K686)=FALSE,H711+1,"")</f>
        <v/>
      </c>
      <c r="I712" s="1" t="str">
        <f>IF(ISBLANK('SQL Builder'!P687)=FALSE,'SQL Builder'!N687,"")</f>
        <v/>
      </c>
      <c r="J712" s="79">
        <f t="shared" si="10"/>
        <v>0</v>
      </c>
    </row>
    <row r="713" spans="2:10" ht="16.5" x14ac:dyDescent="0.25">
      <c r="B713" s="49" t="e">
        <f>IF(ISBLANK('SQL Builder'!K688)=FALSE,(DATE(LEFT('SQL Builder'!K688,4),MID('SQL Builder'!K688,6,2),MID('SQL Builder'!K688,9,2))),NA())</f>
        <v>#N/A</v>
      </c>
      <c r="C713" s="50" t="str">
        <f>IF(ISBLANK('SQL Builder'!K688)=FALSE,'SQL Builder'!L688,"")</f>
        <v/>
      </c>
      <c r="D713" s="1" t="str">
        <f>IF(ISBLANK('SQL Builder'!K688)=FALSE,'SQL Builder'!O688,"")</f>
        <v/>
      </c>
      <c r="H713" s="43" t="str">
        <f>IF(ISBLANK('SQL Builder'!K687)=FALSE,H712+1,"")</f>
        <v/>
      </c>
      <c r="I713" s="1" t="str">
        <f>IF(ISBLANK('SQL Builder'!P688)=FALSE,'SQL Builder'!N688,"")</f>
        <v/>
      </c>
      <c r="J713" s="79">
        <f t="shared" si="10"/>
        <v>0</v>
      </c>
    </row>
    <row r="714" spans="2:10" ht="16.5" x14ac:dyDescent="0.25">
      <c r="B714" s="49" t="e">
        <f>IF(ISBLANK('SQL Builder'!K689)=FALSE,(DATE(LEFT('SQL Builder'!K689,4),MID('SQL Builder'!K689,6,2),MID('SQL Builder'!K689,9,2))),NA())</f>
        <v>#N/A</v>
      </c>
      <c r="C714" s="50" t="str">
        <f>IF(ISBLANK('SQL Builder'!K689)=FALSE,'SQL Builder'!L689,"")</f>
        <v/>
      </c>
      <c r="D714" s="1" t="str">
        <f>IF(ISBLANK('SQL Builder'!K689)=FALSE,'SQL Builder'!O689,"")</f>
        <v/>
      </c>
      <c r="H714" s="43" t="str">
        <f>IF(ISBLANK('SQL Builder'!K688)=FALSE,H713+1,"")</f>
        <v/>
      </c>
      <c r="I714" s="1" t="str">
        <f>IF(ISBLANK('SQL Builder'!P689)=FALSE,'SQL Builder'!N689,"")</f>
        <v/>
      </c>
      <c r="J714" s="79">
        <f t="shared" si="10"/>
        <v>0</v>
      </c>
    </row>
    <row r="715" spans="2:10" ht="16.5" x14ac:dyDescent="0.25">
      <c r="B715" s="49" t="e">
        <f>IF(ISBLANK('SQL Builder'!K690)=FALSE,(DATE(LEFT('SQL Builder'!K690,4),MID('SQL Builder'!K690,6,2),MID('SQL Builder'!K690,9,2))),NA())</f>
        <v>#N/A</v>
      </c>
      <c r="C715" s="50" t="str">
        <f>IF(ISBLANK('SQL Builder'!K690)=FALSE,'SQL Builder'!L690,"")</f>
        <v/>
      </c>
      <c r="D715" s="1" t="str">
        <f>IF(ISBLANK('SQL Builder'!K690)=FALSE,'SQL Builder'!O690,"")</f>
        <v/>
      </c>
      <c r="H715" s="43" t="str">
        <f>IF(ISBLANK('SQL Builder'!K689)=FALSE,H714+1,"")</f>
        <v/>
      </c>
      <c r="I715" s="1" t="str">
        <f>IF(ISBLANK('SQL Builder'!P690)=FALSE,'SQL Builder'!N690,"")</f>
        <v/>
      </c>
      <c r="J715" s="79">
        <f t="shared" si="10"/>
        <v>0</v>
      </c>
    </row>
    <row r="716" spans="2:10" ht="16.5" x14ac:dyDescent="0.25">
      <c r="B716" s="49" t="e">
        <f>IF(ISBLANK('SQL Builder'!K691)=FALSE,(DATE(LEFT('SQL Builder'!K691,4),MID('SQL Builder'!K691,6,2),MID('SQL Builder'!K691,9,2))),NA())</f>
        <v>#N/A</v>
      </c>
      <c r="C716" s="50" t="str">
        <f>IF(ISBLANK('SQL Builder'!K691)=FALSE,'SQL Builder'!L691,"")</f>
        <v/>
      </c>
      <c r="D716" s="1" t="str">
        <f>IF(ISBLANK('SQL Builder'!K691)=FALSE,'SQL Builder'!O691,"")</f>
        <v/>
      </c>
      <c r="H716" s="43" t="str">
        <f>IF(ISBLANK('SQL Builder'!K690)=FALSE,H715+1,"")</f>
        <v/>
      </c>
      <c r="I716" s="1" t="str">
        <f>IF(ISBLANK('SQL Builder'!P691)=FALSE,'SQL Builder'!N691,"")</f>
        <v/>
      </c>
      <c r="J716" s="79">
        <f t="shared" si="10"/>
        <v>0</v>
      </c>
    </row>
    <row r="717" spans="2:10" ht="16.5" x14ac:dyDescent="0.25">
      <c r="B717" s="49" t="e">
        <f>IF(ISBLANK('SQL Builder'!K692)=FALSE,(DATE(LEFT('SQL Builder'!K692,4),MID('SQL Builder'!K692,6,2),MID('SQL Builder'!K692,9,2))),NA())</f>
        <v>#N/A</v>
      </c>
      <c r="C717" s="50" t="str">
        <f>IF(ISBLANK('SQL Builder'!K692)=FALSE,'SQL Builder'!L692,"")</f>
        <v/>
      </c>
      <c r="D717" s="1" t="str">
        <f>IF(ISBLANK('SQL Builder'!K692)=FALSE,'SQL Builder'!O692,"")</f>
        <v/>
      </c>
      <c r="H717" s="43" t="str">
        <f>IF(ISBLANK('SQL Builder'!K691)=FALSE,H716+1,"")</f>
        <v/>
      </c>
      <c r="I717" s="1" t="str">
        <f>IF(ISBLANK('SQL Builder'!P692)=FALSE,'SQL Builder'!N692,"")</f>
        <v/>
      </c>
      <c r="J717" s="79">
        <f t="shared" si="10"/>
        <v>0</v>
      </c>
    </row>
    <row r="718" spans="2:10" ht="16.5" x14ac:dyDescent="0.25">
      <c r="B718" s="49" t="e">
        <f>IF(ISBLANK('SQL Builder'!K693)=FALSE,(DATE(LEFT('SQL Builder'!K693,4),MID('SQL Builder'!K693,6,2),MID('SQL Builder'!K693,9,2))),NA())</f>
        <v>#N/A</v>
      </c>
      <c r="C718" s="50" t="str">
        <f>IF(ISBLANK('SQL Builder'!K693)=FALSE,'SQL Builder'!L693,"")</f>
        <v/>
      </c>
      <c r="D718" s="1" t="str">
        <f>IF(ISBLANK('SQL Builder'!K693)=FALSE,'SQL Builder'!O693,"")</f>
        <v/>
      </c>
      <c r="H718" s="43" t="str">
        <f>IF(ISBLANK('SQL Builder'!K692)=FALSE,H717+1,"")</f>
        <v/>
      </c>
      <c r="I718" s="1" t="str">
        <f>IF(ISBLANK('SQL Builder'!P693)=FALSE,'SQL Builder'!N693,"")</f>
        <v/>
      </c>
      <c r="J718" s="79">
        <f t="shared" si="10"/>
        <v>0</v>
      </c>
    </row>
    <row r="719" spans="2:10" ht="16.5" x14ac:dyDescent="0.25">
      <c r="B719" s="49" t="e">
        <f>IF(ISBLANK('SQL Builder'!K694)=FALSE,(DATE(LEFT('SQL Builder'!K694,4),MID('SQL Builder'!K694,6,2),MID('SQL Builder'!K694,9,2))),NA())</f>
        <v>#N/A</v>
      </c>
      <c r="C719" s="50" t="str">
        <f>IF(ISBLANK('SQL Builder'!K694)=FALSE,'SQL Builder'!L694,"")</f>
        <v/>
      </c>
      <c r="D719" s="1" t="str">
        <f>IF(ISBLANK('SQL Builder'!K694)=FALSE,'SQL Builder'!O694,"")</f>
        <v/>
      </c>
      <c r="H719" s="43" t="str">
        <f>IF(ISBLANK('SQL Builder'!K693)=FALSE,H718+1,"")</f>
        <v/>
      </c>
      <c r="I719" s="1" t="str">
        <f>IF(ISBLANK('SQL Builder'!P694)=FALSE,'SQL Builder'!N694,"")</f>
        <v/>
      </c>
      <c r="J719" s="79">
        <f t="shared" si="10"/>
        <v>0</v>
      </c>
    </row>
    <row r="720" spans="2:10" ht="16.5" x14ac:dyDescent="0.25">
      <c r="B720" s="49" t="e">
        <f>IF(ISBLANK('SQL Builder'!K695)=FALSE,(DATE(LEFT('SQL Builder'!K695,4),MID('SQL Builder'!K695,6,2),MID('SQL Builder'!K695,9,2))),NA())</f>
        <v>#N/A</v>
      </c>
      <c r="C720" s="50" t="str">
        <f>IF(ISBLANK('SQL Builder'!K695)=FALSE,'SQL Builder'!L695,"")</f>
        <v/>
      </c>
      <c r="D720" s="1" t="str">
        <f>IF(ISBLANK('SQL Builder'!K695)=FALSE,'SQL Builder'!O695,"")</f>
        <v/>
      </c>
      <c r="H720" s="43" t="str">
        <f>IF(ISBLANK('SQL Builder'!K694)=FALSE,H719+1,"")</f>
        <v/>
      </c>
      <c r="I720" s="1" t="str">
        <f>IF(ISBLANK('SQL Builder'!P695)=FALSE,'SQL Builder'!N695,"")</f>
        <v/>
      </c>
      <c r="J720" s="79">
        <f t="shared" si="10"/>
        <v>0</v>
      </c>
    </row>
    <row r="721" spans="2:10" ht="16.5" x14ac:dyDescent="0.25">
      <c r="B721" s="49" t="e">
        <f>IF(ISBLANK('SQL Builder'!K696)=FALSE,(DATE(LEFT('SQL Builder'!K696,4),MID('SQL Builder'!K696,6,2),MID('SQL Builder'!K696,9,2))),NA())</f>
        <v>#N/A</v>
      </c>
      <c r="C721" s="50" t="str">
        <f>IF(ISBLANK('SQL Builder'!K696)=FALSE,'SQL Builder'!L696,"")</f>
        <v/>
      </c>
      <c r="D721" s="1" t="str">
        <f>IF(ISBLANK('SQL Builder'!K696)=FALSE,'SQL Builder'!O696,"")</f>
        <v/>
      </c>
      <c r="H721" s="43" t="str">
        <f>IF(ISBLANK('SQL Builder'!K695)=FALSE,H720+1,"")</f>
        <v/>
      </c>
      <c r="I721" s="1" t="str">
        <f>IF(ISBLANK('SQL Builder'!P696)=FALSE,'SQL Builder'!N696,"")</f>
        <v/>
      </c>
      <c r="J721" s="79">
        <f t="shared" si="10"/>
        <v>0</v>
      </c>
    </row>
    <row r="722" spans="2:10" ht="16.5" x14ac:dyDescent="0.25">
      <c r="B722" s="49" t="e">
        <f>IF(ISBLANK('SQL Builder'!K697)=FALSE,(DATE(LEFT('SQL Builder'!K697,4),MID('SQL Builder'!K697,6,2),MID('SQL Builder'!K697,9,2))),NA())</f>
        <v>#N/A</v>
      </c>
      <c r="C722" s="50" t="str">
        <f>IF(ISBLANK('SQL Builder'!K697)=FALSE,'SQL Builder'!L697,"")</f>
        <v/>
      </c>
      <c r="D722" s="1" t="str">
        <f>IF(ISBLANK('SQL Builder'!K697)=FALSE,'SQL Builder'!O697,"")</f>
        <v/>
      </c>
      <c r="H722" s="43" t="str">
        <f>IF(ISBLANK('SQL Builder'!K696)=FALSE,H721+1,"")</f>
        <v/>
      </c>
      <c r="I722" s="1" t="str">
        <f>IF(ISBLANK('SQL Builder'!P697)=FALSE,'SQL Builder'!N697,"")</f>
        <v/>
      </c>
      <c r="J722" s="79">
        <f t="shared" si="10"/>
        <v>0</v>
      </c>
    </row>
    <row r="723" spans="2:10" ht="16.5" x14ac:dyDescent="0.25">
      <c r="B723" s="49" t="e">
        <f>IF(ISBLANK('SQL Builder'!K698)=FALSE,(DATE(LEFT('SQL Builder'!K698,4),MID('SQL Builder'!K698,6,2),MID('SQL Builder'!K698,9,2))),NA())</f>
        <v>#N/A</v>
      </c>
      <c r="C723" s="50" t="str">
        <f>IF(ISBLANK('SQL Builder'!K698)=FALSE,'SQL Builder'!L698,"")</f>
        <v/>
      </c>
      <c r="D723" s="1" t="str">
        <f>IF(ISBLANK('SQL Builder'!K698)=FALSE,'SQL Builder'!O698,"")</f>
        <v/>
      </c>
      <c r="H723" s="43" t="str">
        <f>IF(ISBLANK('SQL Builder'!K697)=FALSE,H722+1,"")</f>
        <v/>
      </c>
      <c r="I723" s="1" t="str">
        <f>IF(ISBLANK('SQL Builder'!P698)=FALSE,'SQL Builder'!N698,"")</f>
        <v/>
      </c>
      <c r="J723" s="79">
        <f t="shared" si="10"/>
        <v>0</v>
      </c>
    </row>
    <row r="724" spans="2:10" ht="16.5" x14ac:dyDescent="0.25">
      <c r="B724" s="49" t="e">
        <f>IF(ISBLANK('SQL Builder'!K699)=FALSE,(DATE(LEFT('SQL Builder'!K699,4),MID('SQL Builder'!K699,6,2),MID('SQL Builder'!K699,9,2))),NA())</f>
        <v>#N/A</v>
      </c>
      <c r="C724" s="50" t="str">
        <f>IF(ISBLANK('SQL Builder'!K699)=FALSE,'SQL Builder'!L699,"")</f>
        <v/>
      </c>
      <c r="D724" s="1" t="str">
        <f>IF(ISBLANK('SQL Builder'!K699)=FALSE,'SQL Builder'!O699,"")</f>
        <v/>
      </c>
      <c r="H724" s="43" t="str">
        <f>IF(ISBLANK('SQL Builder'!K698)=FALSE,H723+1,"")</f>
        <v/>
      </c>
      <c r="I724" s="1" t="str">
        <f>IF(ISBLANK('SQL Builder'!P699)=FALSE,'SQL Builder'!N699,"")</f>
        <v/>
      </c>
      <c r="J724" s="79">
        <f t="shared" si="10"/>
        <v>0</v>
      </c>
    </row>
    <row r="725" spans="2:10" ht="16.5" x14ac:dyDescent="0.25">
      <c r="B725" s="49" t="e">
        <f>IF(ISBLANK('SQL Builder'!K700)=FALSE,(DATE(LEFT('SQL Builder'!K700,4),MID('SQL Builder'!K700,6,2),MID('SQL Builder'!K700,9,2))),NA())</f>
        <v>#N/A</v>
      </c>
      <c r="C725" s="50" t="str">
        <f>IF(ISBLANK('SQL Builder'!K700)=FALSE,'SQL Builder'!L700,"")</f>
        <v/>
      </c>
      <c r="D725" s="1" t="str">
        <f>IF(ISBLANK('SQL Builder'!K700)=FALSE,'SQL Builder'!O700,"")</f>
        <v/>
      </c>
      <c r="H725" s="43" t="str">
        <f>IF(ISBLANK('SQL Builder'!K699)=FALSE,H724+1,"")</f>
        <v/>
      </c>
      <c r="I725" s="1" t="str">
        <f>IF(ISBLANK('SQL Builder'!P700)=FALSE,'SQL Builder'!N700,"")</f>
        <v/>
      </c>
      <c r="J725" s="79">
        <f t="shared" si="10"/>
        <v>0</v>
      </c>
    </row>
    <row r="726" spans="2:10" ht="16.5" x14ac:dyDescent="0.25">
      <c r="B726" s="49" t="e">
        <f>IF(ISBLANK('SQL Builder'!K701)=FALSE,(DATE(LEFT('SQL Builder'!K701,4),MID('SQL Builder'!K701,6,2),MID('SQL Builder'!K701,9,2))),NA())</f>
        <v>#N/A</v>
      </c>
      <c r="C726" s="50" t="str">
        <f>IF(ISBLANK('SQL Builder'!K701)=FALSE,'SQL Builder'!L701,"")</f>
        <v/>
      </c>
      <c r="D726" s="1" t="str">
        <f>IF(ISBLANK('SQL Builder'!K701)=FALSE,'SQL Builder'!O701,"")</f>
        <v/>
      </c>
      <c r="H726" s="43" t="str">
        <f>IF(ISBLANK('SQL Builder'!K700)=FALSE,H725+1,"")</f>
        <v/>
      </c>
      <c r="I726" s="1" t="str">
        <f>IF(ISBLANK('SQL Builder'!P701)=FALSE,'SQL Builder'!N701,"")</f>
        <v/>
      </c>
      <c r="J726" s="79">
        <f t="shared" si="10"/>
        <v>0</v>
      </c>
    </row>
    <row r="727" spans="2:10" ht="16.5" x14ac:dyDescent="0.25">
      <c r="B727" s="49" t="e">
        <f>IF(ISBLANK('SQL Builder'!K702)=FALSE,(DATE(LEFT('SQL Builder'!K702,4),MID('SQL Builder'!K702,6,2),MID('SQL Builder'!K702,9,2))),NA())</f>
        <v>#N/A</v>
      </c>
      <c r="C727" s="50" t="str">
        <f>IF(ISBLANK('SQL Builder'!K702)=FALSE,'SQL Builder'!L702,"")</f>
        <v/>
      </c>
      <c r="D727" s="1" t="str">
        <f>IF(ISBLANK('SQL Builder'!K702)=FALSE,'SQL Builder'!O702,"")</f>
        <v/>
      </c>
      <c r="H727" s="43" t="str">
        <f>IF(ISBLANK('SQL Builder'!K701)=FALSE,H726+1,"")</f>
        <v/>
      </c>
      <c r="I727" s="1" t="str">
        <f>IF(ISBLANK('SQL Builder'!P702)=FALSE,'SQL Builder'!N702,"")</f>
        <v/>
      </c>
      <c r="J727" s="79">
        <f t="shared" si="10"/>
        <v>0</v>
      </c>
    </row>
    <row r="728" spans="2:10" ht="16.5" x14ac:dyDescent="0.25">
      <c r="B728" s="49" t="e">
        <f>IF(ISBLANK('SQL Builder'!K703)=FALSE,(DATE(LEFT('SQL Builder'!K703,4),MID('SQL Builder'!K703,6,2),MID('SQL Builder'!K703,9,2))),NA())</f>
        <v>#N/A</v>
      </c>
      <c r="C728" s="50" t="str">
        <f>IF(ISBLANK('SQL Builder'!K703)=FALSE,'SQL Builder'!L703,"")</f>
        <v/>
      </c>
      <c r="D728" s="1" t="str">
        <f>IF(ISBLANK('SQL Builder'!K703)=FALSE,'SQL Builder'!O703,"")</f>
        <v/>
      </c>
      <c r="H728" s="43" t="str">
        <f>IF(ISBLANK('SQL Builder'!K702)=FALSE,H727+1,"")</f>
        <v/>
      </c>
      <c r="I728" s="1" t="str">
        <f>IF(ISBLANK('SQL Builder'!P703)=FALSE,'SQL Builder'!N703,"")</f>
        <v/>
      </c>
      <c r="J728" s="79">
        <f t="shared" si="10"/>
        <v>0</v>
      </c>
    </row>
    <row r="729" spans="2:10" ht="16.5" x14ac:dyDescent="0.25">
      <c r="B729" s="49" t="e">
        <f>IF(ISBLANK('SQL Builder'!K704)=FALSE,(DATE(LEFT('SQL Builder'!K704,4),MID('SQL Builder'!K704,6,2),MID('SQL Builder'!K704,9,2))),NA())</f>
        <v>#N/A</v>
      </c>
      <c r="C729" s="50" t="str">
        <f>IF(ISBLANK('SQL Builder'!K704)=FALSE,'SQL Builder'!L704,"")</f>
        <v/>
      </c>
      <c r="D729" s="1" t="str">
        <f>IF(ISBLANK('SQL Builder'!K704)=FALSE,'SQL Builder'!O704,"")</f>
        <v/>
      </c>
      <c r="H729" s="43" t="str">
        <f>IF(ISBLANK('SQL Builder'!K703)=FALSE,H728+1,"")</f>
        <v/>
      </c>
      <c r="I729" s="1" t="str">
        <f>IF(ISBLANK('SQL Builder'!P704)=FALSE,'SQL Builder'!N704,"")</f>
        <v/>
      </c>
      <c r="J729" s="79">
        <f t="shared" si="10"/>
        <v>0</v>
      </c>
    </row>
    <row r="730" spans="2:10" ht="16.5" x14ac:dyDescent="0.25">
      <c r="B730" s="49" t="e">
        <f>IF(ISBLANK('SQL Builder'!K705)=FALSE,(DATE(LEFT('SQL Builder'!K705,4),MID('SQL Builder'!K705,6,2),MID('SQL Builder'!K705,9,2))),NA())</f>
        <v>#N/A</v>
      </c>
      <c r="C730" s="50" t="str">
        <f>IF(ISBLANK('SQL Builder'!K705)=FALSE,'SQL Builder'!L705,"")</f>
        <v/>
      </c>
      <c r="D730" s="1" t="str">
        <f>IF(ISBLANK('SQL Builder'!K705)=FALSE,'SQL Builder'!O705,"")</f>
        <v/>
      </c>
      <c r="H730" s="43" t="str">
        <f>IF(ISBLANK('SQL Builder'!K704)=FALSE,H729+1,"")</f>
        <v/>
      </c>
      <c r="I730" s="1" t="str">
        <f>IF(ISBLANK('SQL Builder'!P705)=FALSE,'SQL Builder'!N705,"")</f>
        <v/>
      </c>
      <c r="J730" s="79">
        <f t="shared" si="10"/>
        <v>0</v>
      </c>
    </row>
    <row r="731" spans="2:10" ht="16.5" x14ac:dyDescent="0.25">
      <c r="B731" s="49" t="e">
        <f>IF(ISBLANK('SQL Builder'!K706)=FALSE,(DATE(LEFT('SQL Builder'!K706,4),MID('SQL Builder'!K706,6,2),MID('SQL Builder'!K706,9,2))),NA())</f>
        <v>#N/A</v>
      </c>
      <c r="C731" s="50" t="str">
        <f>IF(ISBLANK('SQL Builder'!K706)=FALSE,'SQL Builder'!L706,"")</f>
        <v/>
      </c>
      <c r="D731" s="1" t="str">
        <f>IF(ISBLANK('SQL Builder'!K706)=FALSE,'SQL Builder'!O706,"")</f>
        <v/>
      </c>
      <c r="H731" s="43" t="str">
        <f>IF(ISBLANK('SQL Builder'!K705)=FALSE,H730+1,"")</f>
        <v/>
      </c>
      <c r="I731" s="1" t="str">
        <f>IF(ISBLANK('SQL Builder'!P706)=FALSE,'SQL Builder'!N706,"")</f>
        <v/>
      </c>
      <c r="J731" s="79">
        <f t="shared" si="10"/>
        <v>0</v>
      </c>
    </row>
    <row r="732" spans="2:10" ht="16.5" x14ac:dyDescent="0.25">
      <c r="B732" s="49" t="e">
        <f>IF(ISBLANK('SQL Builder'!K707)=FALSE,(DATE(LEFT('SQL Builder'!K707,4),MID('SQL Builder'!K707,6,2),MID('SQL Builder'!K707,9,2))),NA())</f>
        <v>#N/A</v>
      </c>
      <c r="C732" s="50" t="str">
        <f>IF(ISBLANK('SQL Builder'!K707)=FALSE,'SQL Builder'!L707,"")</f>
        <v/>
      </c>
      <c r="D732" s="1" t="str">
        <f>IF(ISBLANK('SQL Builder'!K707)=FALSE,'SQL Builder'!O707,"")</f>
        <v/>
      </c>
      <c r="H732" s="43" t="str">
        <f>IF(ISBLANK('SQL Builder'!K706)=FALSE,H731+1,"")</f>
        <v/>
      </c>
      <c r="I732" s="1" t="str">
        <f>IF(ISBLANK('SQL Builder'!P707)=FALSE,'SQL Builder'!N707,"")</f>
        <v/>
      </c>
      <c r="J732" s="79">
        <f t="shared" si="10"/>
        <v>0</v>
      </c>
    </row>
    <row r="733" spans="2:10" ht="16.5" x14ac:dyDescent="0.25">
      <c r="B733" s="49" t="e">
        <f>IF(ISBLANK('SQL Builder'!K708)=FALSE,(DATE(LEFT('SQL Builder'!K708,4),MID('SQL Builder'!K708,6,2),MID('SQL Builder'!K708,9,2))),NA())</f>
        <v>#N/A</v>
      </c>
      <c r="C733" s="50" t="str">
        <f>IF(ISBLANK('SQL Builder'!K708)=FALSE,'SQL Builder'!L708,"")</f>
        <v/>
      </c>
      <c r="D733" s="1" t="str">
        <f>IF(ISBLANK('SQL Builder'!K708)=FALSE,'SQL Builder'!O708,"")</f>
        <v/>
      </c>
      <c r="H733" s="43" t="str">
        <f>IF(ISBLANK('SQL Builder'!K707)=FALSE,H732+1,"")</f>
        <v/>
      </c>
      <c r="I733" s="1" t="str">
        <f>IF(ISBLANK('SQL Builder'!P708)=FALSE,'SQL Builder'!N708,"")</f>
        <v/>
      </c>
      <c r="J733" s="79">
        <f t="shared" si="10"/>
        <v>0</v>
      </c>
    </row>
    <row r="734" spans="2:10" ht="16.5" x14ac:dyDescent="0.25">
      <c r="B734" s="49" t="e">
        <f>IF(ISBLANK('SQL Builder'!K709)=FALSE,(DATE(LEFT('SQL Builder'!K709,4),MID('SQL Builder'!K709,6,2),MID('SQL Builder'!K709,9,2))),NA())</f>
        <v>#N/A</v>
      </c>
      <c r="C734" s="50" t="str">
        <f>IF(ISBLANK('SQL Builder'!K709)=FALSE,'SQL Builder'!L709,"")</f>
        <v/>
      </c>
      <c r="D734" s="1" t="str">
        <f>IF(ISBLANK('SQL Builder'!K709)=FALSE,'SQL Builder'!O709,"")</f>
        <v/>
      </c>
      <c r="H734" s="43" t="str">
        <f>IF(ISBLANK('SQL Builder'!K708)=FALSE,H733+1,"")</f>
        <v/>
      </c>
      <c r="I734" s="1" t="str">
        <f>IF(ISBLANK('SQL Builder'!P709)=FALSE,'SQL Builder'!N709,"")</f>
        <v/>
      </c>
      <c r="J734" s="79">
        <f t="shared" si="10"/>
        <v>0</v>
      </c>
    </row>
    <row r="735" spans="2:10" ht="16.5" x14ac:dyDescent="0.25">
      <c r="B735" s="49" t="e">
        <f>IF(ISBLANK('SQL Builder'!K710)=FALSE,(DATE(LEFT('SQL Builder'!K710,4),MID('SQL Builder'!K710,6,2),MID('SQL Builder'!K710,9,2))),NA())</f>
        <v>#N/A</v>
      </c>
      <c r="C735" s="50" t="str">
        <f>IF(ISBLANK('SQL Builder'!K710)=FALSE,'SQL Builder'!L710,"")</f>
        <v/>
      </c>
      <c r="D735" s="1" t="str">
        <f>IF(ISBLANK('SQL Builder'!K710)=FALSE,'SQL Builder'!O710,"")</f>
        <v/>
      </c>
      <c r="H735" s="43" t="str">
        <f>IF(ISBLANK('SQL Builder'!K709)=FALSE,H734+1,"")</f>
        <v/>
      </c>
      <c r="I735" s="1" t="str">
        <f>IF(ISBLANK('SQL Builder'!P710)=FALSE,'SQL Builder'!N710,"")</f>
        <v/>
      </c>
      <c r="J735" s="79">
        <f t="shared" ref="J735:J798" si="11">IF(I735="",0,IF(I735=C$5,2,1))</f>
        <v>0</v>
      </c>
    </row>
    <row r="736" spans="2:10" ht="16.5" x14ac:dyDescent="0.25">
      <c r="B736" s="49" t="e">
        <f>IF(ISBLANK('SQL Builder'!K711)=FALSE,(DATE(LEFT('SQL Builder'!K711,4),MID('SQL Builder'!K711,6,2),MID('SQL Builder'!K711,9,2))),NA())</f>
        <v>#N/A</v>
      </c>
      <c r="C736" s="50" t="str">
        <f>IF(ISBLANK('SQL Builder'!K711)=FALSE,'SQL Builder'!L711,"")</f>
        <v/>
      </c>
      <c r="D736" s="1" t="str">
        <f>IF(ISBLANK('SQL Builder'!K711)=FALSE,'SQL Builder'!O711,"")</f>
        <v/>
      </c>
      <c r="H736" s="43" t="str">
        <f>IF(ISBLANK('SQL Builder'!K710)=FALSE,H735+1,"")</f>
        <v/>
      </c>
      <c r="I736" s="1" t="str">
        <f>IF(ISBLANK('SQL Builder'!P711)=FALSE,'SQL Builder'!N711,"")</f>
        <v/>
      </c>
      <c r="J736" s="79">
        <f t="shared" si="11"/>
        <v>0</v>
      </c>
    </row>
    <row r="737" spans="2:10" ht="16.5" x14ac:dyDescent="0.25">
      <c r="B737" s="49" t="e">
        <f>IF(ISBLANK('SQL Builder'!K712)=FALSE,(DATE(LEFT('SQL Builder'!K712,4),MID('SQL Builder'!K712,6,2),MID('SQL Builder'!K712,9,2))),NA())</f>
        <v>#N/A</v>
      </c>
      <c r="C737" s="50" t="str">
        <f>IF(ISBLANK('SQL Builder'!K712)=FALSE,'SQL Builder'!L712,"")</f>
        <v/>
      </c>
      <c r="D737" s="1" t="str">
        <f>IF(ISBLANK('SQL Builder'!K712)=FALSE,'SQL Builder'!O712,"")</f>
        <v/>
      </c>
      <c r="H737" s="43" t="str">
        <f>IF(ISBLANK('SQL Builder'!K711)=FALSE,H736+1,"")</f>
        <v/>
      </c>
      <c r="I737" s="1" t="str">
        <f>IF(ISBLANK('SQL Builder'!P712)=FALSE,'SQL Builder'!N712,"")</f>
        <v/>
      </c>
      <c r="J737" s="79">
        <f t="shared" si="11"/>
        <v>0</v>
      </c>
    </row>
    <row r="738" spans="2:10" ht="16.5" x14ac:dyDescent="0.25">
      <c r="B738" s="49" t="e">
        <f>IF(ISBLANK('SQL Builder'!K713)=FALSE,(DATE(LEFT('SQL Builder'!K713,4),MID('SQL Builder'!K713,6,2),MID('SQL Builder'!K713,9,2))),NA())</f>
        <v>#N/A</v>
      </c>
      <c r="C738" s="50" t="str">
        <f>IF(ISBLANK('SQL Builder'!K713)=FALSE,'SQL Builder'!L713,"")</f>
        <v/>
      </c>
      <c r="D738" s="1" t="str">
        <f>IF(ISBLANK('SQL Builder'!K713)=FALSE,'SQL Builder'!O713,"")</f>
        <v/>
      </c>
      <c r="H738" s="43" t="str">
        <f>IF(ISBLANK('SQL Builder'!K712)=FALSE,H737+1,"")</f>
        <v/>
      </c>
      <c r="I738" s="1" t="str">
        <f>IF(ISBLANK('SQL Builder'!P713)=FALSE,'SQL Builder'!N713,"")</f>
        <v/>
      </c>
      <c r="J738" s="79">
        <f t="shared" si="11"/>
        <v>0</v>
      </c>
    </row>
    <row r="739" spans="2:10" ht="16.5" x14ac:dyDescent="0.25">
      <c r="B739" s="49" t="e">
        <f>IF(ISBLANK('SQL Builder'!K714)=FALSE,(DATE(LEFT('SQL Builder'!K714,4),MID('SQL Builder'!K714,6,2),MID('SQL Builder'!K714,9,2))),NA())</f>
        <v>#N/A</v>
      </c>
      <c r="C739" s="50" t="str">
        <f>IF(ISBLANK('SQL Builder'!K714)=FALSE,'SQL Builder'!L714,"")</f>
        <v/>
      </c>
      <c r="D739" s="1" t="str">
        <f>IF(ISBLANK('SQL Builder'!K714)=FALSE,'SQL Builder'!O714,"")</f>
        <v/>
      </c>
      <c r="H739" s="43" t="str">
        <f>IF(ISBLANK('SQL Builder'!K713)=FALSE,H738+1,"")</f>
        <v/>
      </c>
      <c r="I739" s="1" t="str">
        <f>IF(ISBLANK('SQL Builder'!P714)=FALSE,'SQL Builder'!N714,"")</f>
        <v/>
      </c>
      <c r="J739" s="79">
        <f t="shared" si="11"/>
        <v>0</v>
      </c>
    </row>
    <row r="740" spans="2:10" ht="16.5" x14ac:dyDescent="0.25">
      <c r="B740" s="49" t="e">
        <f>IF(ISBLANK('SQL Builder'!K715)=FALSE,(DATE(LEFT('SQL Builder'!K715,4),MID('SQL Builder'!K715,6,2),MID('SQL Builder'!K715,9,2))),NA())</f>
        <v>#N/A</v>
      </c>
      <c r="C740" s="50" t="str">
        <f>IF(ISBLANK('SQL Builder'!K715)=FALSE,'SQL Builder'!L715,"")</f>
        <v/>
      </c>
      <c r="D740" s="1" t="str">
        <f>IF(ISBLANK('SQL Builder'!K715)=FALSE,'SQL Builder'!O715,"")</f>
        <v/>
      </c>
      <c r="H740" s="43" t="str">
        <f>IF(ISBLANK('SQL Builder'!K714)=FALSE,H739+1,"")</f>
        <v/>
      </c>
      <c r="I740" s="1" t="str">
        <f>IF(ISBLANK('SQL Builder'!P715)=FALSE,'SQL Builder'!N715,"")</f>
        <v/>
      </c>
      <c r="J740" s="79">
        <f t="shared" si="11"/>
        <v>0</v>
      </c>
    </row>
    <row r="741" spans="2:10" ht="16.5" x14ac:dyDescent="0.25">
      <c r="B741" s="49" t="e">
        <f>IF(ISBLANK('SQL Builder'!K716)=FALSE,(DATE(LEFT('SQL Builder'!K716,4),MID('SQL Builder'!K716,6,2),MID('SQL Builder'!K716,9,2))),NA())</f>
        <v>#N/A</v>
      </c>
      <c r="C741" s="50" t="str">
        <f>IF(ISBLANK('SQL Builder'!K716)=FALSE,'SQL Builder'!L716,"")</f>
        <v/>
      </c>
      <c r="D741" s="1" t="str">
        <f>IF(ISBLANK('SQL Builder'!K716)=FALSE,'SQL Builder'!O716,"")</f>
        <v/>
      </c>
      <c r="H741" s="43" t="str">
        <f>IF(ISBLANK('SQL Builder'!K715)=FALSE,H740+1,"")</f>
        <v/>
      </c>
      <c r="I741" s="1" t="str">
        <f>IF(ISBLANK('SQL Builder'!P716)=FALSE,'SQL Builder'!N716,"")</f>
        <v/>
      </c>
      <c r="J741" s="79">
        <f t="shared" si="11"/>
        <v>0</v>
      </c>
    </row>
    <row r="742" spans="2:10" ht="16.5" x14ac:dyDescent="0.25">
      <c r="B742" s="49" t="e">
        <f>IF(ISBLANK('SQL Builder'!K717)=FALSE,(DATE(LEFT('SQL Builder'!K717,4),MID('SQL Builder'!K717,6,2),MID('SQL Builder'!K717,9,2))),NA())</f>
        <v>#N/A</v>
      </c>
      <c r="C742" s="50" t="str">
        <f>IF(ISBLANK('SQL Builder'!K717)=FALSE,'SQL Builder'!L717,"")</f>
        <v/>
      </c>
      <c r="D742" s="1" t="str">
        <f>IF(ISBLANK('SQL Builder'!K717)=FALSE,'SQL Builder'!O717,"")</f>
        <v/>
      </c>
      <c r="H742" s="43" t="str">
        <f>IF(ISBLANK('SQL Builder'!K716)=FALSE,H741+1,"")</f>
        <v/>
      </c>
      <c r="I742" s="1" t="str">
        <f>IF(ISBLANK('SQL Builder'!P717)=FALSE,'SQL Builder'!N717,"")</f>
        <v/>
      </c>
      <c r="J742" s="79">
        <f t="shared" si="11"/>
        <v>0</v>
      </c>
    </row>
    <row r="743" spans="2:10" ht="16.5" x14ac:dyDescent="0.25">
      <c r="B743" s="49" t="e">
        <f>IF(ISBLANK('SQL Builder'!K718)=FALSE,(DATE(LEFT('SQL Builder'!K718,4),MID('SQL Builder'!K718,6,2),MID('SQL Builder'!K718,9,2))),NA())</f>
        <v>#N/A</v>
      </c>
      <c r="C743" s="50" t="str">
        <f>IF(ISBLANK('SQL Builder'!K718)=FALSE,'SQL Builder'!L718,"")</f>
        <v/>
      </c>
      <c r="D743" s="1" t="str">
        <f>IF(ISBLANK('SQL Builder'!K718)=FALSE,'SQL Builder'!O718,"")</f>
        <v/>
      </c>
      <c r="H743" s="43" t="str">
        <f>IF(ISBLANK('SQL Builder'!K717)=FALSE,H742+1,"")</f>
        <v/>
      </c>
      <c r="I743" s="1" t="str">
        <f>IF(ISBLANK('SQL Builder'!P718)=FALSE,'SQL Builder'!N718,"")</f>
        <v/>
      </c>
      <c r="J743" s="79">
        <f t="shared" si="11"/>
        <v>0</v>
      </c>
    </row>
    <row r="744" spans="2:10" ht="16.5" x14ac:dyDescent="0.25">
      <c r="B744" s="49" t="e">
        <f>IF(ISBLANK('SQL Builder'!K719)=FALSE,(DATE(LEFT('SQL Builder'!K719,4),MID('SQL Builder'!K719,6,2),MID('SQL Builder'!K719,9,2))),NA())</f>
        <v>#N/A</v>
      </c>
      <c r="C744" s="50" t="str">
        <f>IF(ISBLANK('SQL Builder'!K719)=FALSE,'SQL Builder'!L719,"")</f>
        <v/>
      </c>
      <c r="D744" s="1" t="str">
        <f>IF(ISBLANK('SQL Builder'!K719)=FALSE,'SQL Builder'!O719,"")</f>
        <v/>
      </c>
      <c r="H744" s="43" t="str">
        <f>IF(ISBLANK('SQL Builder'!K718)=FALSE,H743+1,"")</f>
        <v/>
      </c>
      <c r="I744" s="1" t="str">
        <f>IF(ISBLANK('SQL Builder'!P719)=FALSE,'SQL Builder'!N719,"")</f>
        <v/>
      </c>
      <c r="J744" s="79">
        <f t="shared" si="11"/>
        <v>0</v>
      </c>
    </row>
    <row r="745" spans="2:10" ht="16.5" x14ac:dyDescent="0.25">
      <c r="B745" s="49" t="e">
        <f>IF(ISBLANK('SQL Builder'!K720)=FALSE,(DATE(LEFT('SQL Builder'!K720,4),MID('SQL Builder'!K720,6,2),MID('SQL Builder'!K720,9,2))),NA())</f>
        <v>#N/A</v>
      </c>
      <c r="C745" s="50" t="str">
        <f>IF(ISBLANK('SQL Builder'!K720)=FALSE,'SQL Builder'!L720,"")</f>
        <v/>
      </c>
      <c r="D745" s="1" t="str">
        <f>IF(ISBLANK('SQL Builder'!K720)=FALSE,'SQL Builder'!O720,"")</f>
        <v/>
      </c>
      <c r="H745" s="43" t="str">
        <f>IF(ISBLANK('SQL Builder'!K719)=FALSE,H744+1,"")</f>
        <v/>
      </c>
      <c r="I745" s="1" t="str">
        <f>IF(ISBLANK('SQL Builder'!P720)=FALSE,'SQL Builder'!N720,"")</f>
        <v/>
      </c>
      <c r="J745" s="79">
        <f t="shared" si="11"/>
        <v>0</v>
      </c>
    </row>
    <row r="746" spans="2:10" ht="16.5" x14ac:dyDescent="0.25">
      <c r="B746" s="49" t="e">
        <f>IF(ISBLANK('SQL Builder'!K721)=FALSE,(DATE(LEFT('SQL Builder'!K721,4),MID('SQL Builder'!K721,6,2),MID('SQL Builder'!K721,9,2))),NA())</f>
        <v>#N/A</v>
      </c>
      <c r="C746" s="50" t="str">
        <f>IF(ISBLANK('SQL Builder'!K721)=FALSE,'SQL Builder'!L721,"")</f>
        <v/>
      </c>
      <c r="D746" s="1" t="str">
        <f>IF(ISBLANK('SQL Builder'!K721)=FALSE,'SQL Builder'!O721,"")</f>
        <v/>
      </c>
      <c r="H746" s="43" t="str">
        <f>IF(ISBLANK('SQL Builder'!K720)=FALSE,H745+1,"")</f>
        <v/>
      </c>
      <c r="I746" s="1" t="str">
        <f>IF(ISBLANK('SQL Builder'!P721)=FALSE,'SQL Builder'!N721,"")</f>
        <v/>
      </c>
      <c r="J746" s="79">
        <f t="shared" si="11"/>
        <v>0</v>
      </c>
    </row>
    <row r="747" spans="2:10" ht="16.5" x14ac:dyDescent="0.25">
      <c r="B747" s="49" t="e">
        <f>IF(ISBLANK('SQL Builder'!K722)=FALSE,(DATE(LEFT('SQL Builder'!K722,4),MID('SQL Builder'!K722,6,2),MID('SQL Builder'!K722,9,2))),NA())</f>
        <v>#N/A</v>
      </c>
      <c r="C747" s="50" t="str">
        <f>IF(ISBLANK('SQL Builder'!K722)=FALSE,'SQL Builder'!L722,"")</f>
        <v/>
      </c>
      <c r="D747" s="1" t="str">
        <f>IF(ISBLANK('SQL Builder'!K722)=FALSE,'SQL Builder'!O722,"")</f>
        <v/>
      </c>
      <c r="H747" s="43" t="str">
        <f>IF(ISBLANK('SQL Builder'!K721)=FALSE,H746+1,"")</f>
        <v/>
      </c>
      <c r="I747" s="1" t="str">
        <f>IF(ISBLANK('SQL Builder'!P722)=FALSE,'SQL Builder'!N722,"")</f>
        <v/>
      </c>
      <c r="J747" s="79">
        <f t="shared" si="11"/>
        <v>0</v>
      </c>
    </row>
    <row r="748" spans="2:10" ht="16.5" x14ac:dyDescent="0.25">
      <c r="B748" s="49" t="e">
        <f>IF(ISBLANK('SQL Builder'!K723)=FALSE,(DATE(LEFT('SQL Builder'!K723,4),MID('SQL Builder'!K723,6,2),MID('SQL Builder'!K723,9,2))),NA())</f>
        <v>#N/A</v>
      </c>
      <c r="C748" s="50" t="str">
        <f>IF(ISBLANK('SQL Builder'!K723)=FALSE,'SQL Builder'!L723,"")</f>
        <v/>
      </c>
      <c r="D748" s="1" t="str">
        <f>IF(ISBLANK('SQL Builder'!K723)=FALSE,'SQL Builder'!O723,"")</f>
        <v/>
      </c>
      <c r="H748" s="43" t="str">
        <f>IF(ISBLANK('SQL Builder'!K722)=FALSE,H747+1,"")</f>
        <v/>
      </c>
      <c r="I748" s="1" t="str">
        <f>IF(ISBLANK('SQL Builder'!P723)=FALSE,'SQL Builder'!N723,"")</f>
        <v/>
      </c>
      <c r="J748" s="79">
        <f t="shared" si="11"/>
        <v>0</v>
      </c>
    </row>
    <row r="749" spans="2:10" ht="16.5" x14ac:dyDescent="0.25">
      <c r="B749" s="49" t="e">
        <f>IF(ISBLANK('SQL Builder'!K724)=FALSE,(DATE(LEFT('SQL Builder'!K724,4),MID('SQL Builder'!K724,6,2),MID('SQL Builder'!K724,9,2))),NA())</f>
        <v>#N/A</v>
      </c>
      <c r="C749" s="50" t="str">
        <f>IF(ISBLANK('SQL Builder'!K724)=FALSE,'SQL Builder'!L724,"")</f>
        <v/>
      </c>
      <c r="D749" s="1" t="str">
        <f>IF(ISBLANK('SQL Builder'!K724)=FALSE,'SQL Builder'!O724,"")</f>
        <v/>
      </c>
      <c r="H749" s="43" t="str">
        <f>IF(ISBLANK('SQL Builder'!K723)=FALSE,H748+1,"")</f>
        <v/>
      </c>
      <c r="I749" s="1" t="str">
        <f>IF(ISBLANK('SQL Builder'!P724)=FALSE,'SQL Builder'!N724,"")</f>
        <v/>
      </c>
      <c r="J749" s="79">
        <f t="shared" si="11"/>
        <v>0</v>
      </c>
    </row>
    <row r="750" spans="2:10" ht="16.5" x14ac:dyDescent="0.25">
      <c r="B750" s="49" t="e">
        <f>IF(ISBLANK('SQL Builder'!K725)=FALSE,(DATE(LEFT('SQL Builder'!K725,4),MID('SQL Builder'!K725,6,2),MID('SQL Builder'!K725,9,2))),NA())</f>
        <v>#N/A</v>
      </c>
      <c r="C750" s="50" t="str">
        <f>IF(ISBLANK('SQL Builder'!K725)=FALSE,'SQL Builder'!L725,"")</f>
        <v/>
      </c>
      <c r="D750" s="1" t="str">
        <f>IF(ISBLANK('SQL Builder'!K725)=FALSE,'SQL Builder'!O725,"")</f>
        <v/>
      </c>
      <c r="H750" s="43" t="str">
        <f>IF(ISBLANK('SQL Builder'!K724)=FALSE,H749+1,"")</f>
        <v/>
      </c>
      <c r="I750" s="1" t="str">
        <f>IF(ISBLANK('SQL Builder'!P725)=FALSE,'SQL Builder'!N725,"")</f>
        <v/>
      </c>
      <c r="J750" s="79">
        <f t="shared" si="11"/>
        <v>0</v>
      </c>
    </row>
    <row r="751" spans="2:10" ht="16.5" x14ac:dyDescent="0.25">
      <c r="B751" s="49" t="e">
        <f>IF(ISBLANK('SQL Builder'!K726)=FALSE,(DATE(LEFT('SQL Builder'!K726,4),MID('SQL Builder'!K726,6,2),MID('SQL Builder'!K726,9,2))),NA())</f>
        <v>#N/A</v>
      </c>
      <c r="C751" s="50" t="str">
        <f>IF(ISBLANK('SQL Builder'!K726)=FALSE,'SQL Builder'!L726,"")</f>
        <v/>
      </c>
      <c r="D751" s="1" t="str">
        <f>IF(ISBLANK('SQL Builder'!K726)=FALSE,'SQL Builder'!O726,"")</f>
        <v/>
      </c>
      <c r="H751" s="43" t="str">
        <f>IF(ISBLANK('SQL Builder'!K725)=FALSE,H750+1,"")</f>
        <v/>
      </c>
      <c r="I751" s="1" t="str">
        <f>IF(ISBLANK('SQL Builder'!P726)=FALSE,'SQL Builder'!N726,"")</f>
        <v/>
      </c>
      <c r="J751" s="79">
        <f t="shared" si="11"/>
        <v>0</v>
      </c>
    </row>
    <row r="752" spans="2:10" ht="16.5" x14ac:dyDescent="0.25">
      <c r="B752" s="49" t="e">
        <f>IF(ISBLANK('SQL Builder'!K727)=FALSE,(DATE(LEFT('SQL Builder'!K727,4),MID('SQL Builder'!K727,6,2),MID('SQL Builder'!K727,9,2))),NA())</f>
        <v>#N/A</v>
      </c>
      <c r="C752" s="50" t="str">
        <f>IF(ISBLANK('SQL Builder'!K727)=FALSE,'SQL Builder'!L727,"")</f>
        <v/>
      </c>
      <c r="D752" s="1" t="str">
        <f>IF(ISBLANK('SQL Builder'!K727)=FALSE,'SQL Builder'!O727,"")</f>
        <v/>
      </c>
      <c r="H752" s="43" t="str">
        <f>IF(ISBLANK('SQL Builder'!K726)=FALSE,H751+1,"")</f>
        <v/>
      </c>
      <c r="I752" s="1" t="str">
        <f>IF(ISBLANK('SQL Builder'!P727)=FALSE,'SQL Builder'!N727,"")</f>
        <v/>
      </c>
      <c r="J752" s="79">
        <f t="shared" si="11"/>
        <v>0</v>
      </c>
    </row>
    <row r="753" spans="2:10" ht="16.5" x14ac:dyDescent="0.25">
      <c r="B753" s="49" t="e">
        <f>IF(ISBLANK('SQL Builder'!K728)=FALSE,(DATE(LEFT('SQL Builder'!K728,4),MID('SQL Builder'!K728,6,2),MID('SQL Builder'!K728,9,2))),NA())</f>
        <v>#N/A</v>
      </c>
      <c r="C753" s="50" t="str">
        <f>IF(ISBLANK('SQL Builder'!K728)=FALSE,'SQL Builder'!L728,"")</f>
        <v/>
      </c>
      <c r="D753" s="1" t="str">
        <f>IF(ISBLANK('SQL Builder'!K728)=FALSE,'SQL Builder'!O728,"")</f>
        <v/>
      </c>
      <c r="H753" s="43" t="str">
        <f>IF(ISBLANK('SQL Builder'!K727)=FALSE,H752+1,"")</f>
        <v/>
      </c>
      <c r="I753" s="1" t="str">
        <f>IF(ISBLANK('SQL Builder'!P728)=FALSE,'SQL Builder'!N728,"")</f>
        <v/>
      </c>
      <c r="J753" s="79">
        <f t="shared" si="11"/>
        <v>0</v>
      </c>
    </row>
    <row r="754" spans="2:10" ht="16.5" x14ac:dyDescent="0.25">
      <c r="B754" s="49" t="e">
        <f>IF(ISBLANK('SQL Builder'!K729)=FALSE,(DATE(LEFT('SQL Builder'!K729,4),MID('SQL Builder'!K729,6,2),MID('SQL Builder'!K729,9,2))),NA())</f>
        <v>#N/A</v>
      </c>
      <c r="C754" s="50" t="str">
        <f>IF(ISBLANK('SQL Builder'!K729)=FALSE,'SQL Builder'!L729,"")</f>
        <v/>
      </c>
      <c r="D754" s="1" t="str">
        <f>IF(ISBLANK('SQL Builder'!K729)=FALSE,'SQL Builder'!O729,"")</f>
        <v/>
      </c>
      <c r="H754" s="43" t="str">
        <f>IF(ISBLANK('SQL Builder'!K728)=FALSE,H753+1,"")</f>
        <v/>
      </c>
      <c r="I754" s="1" t="str">
        <f>IF(ISBLANK('SQL Builder'!P729)=FALSE,'SQL Builder'!N729,"")</f>
        <v/>
      </c>
      <c r="J754" s="79">
        <f t="shared" si="11"/>
        <v>0</v>
      </c>
    </row>
    <row r="755" spans="2:10" ht="16.5" x14ac:dyDescent="0.25">
      <c r="B755" s="49" t="e">
        <f>IF(ISBLANK('SQL Builder'!K730)=FALSE,(DATE(LEFT('SQL Builder'!K730,4),MID('SQL Builder'!K730,6,2),MID('SQL Builder'!K730,9,2))),NA())</f>
        <v>#N/A</v>
      </c>
      <c r="C755" s="50" t="str">
        <f>IF(ISBLANK('SQL Builder'!K730)=FALSE,'SQL Builder'!L730,"")</f>
        <v/>
      </c>
      <c r="D755" s="1" t="str">
        <f>IF(ISBLANK('SQL Builder'!K730)=FALSE,'SQL Builder'!O730,"")</f>
        <v/>
      </c>
      <c r="H755" s="43" t="str">
        <f>IF(ISBLANK('SQL Builder'!K729)=FALSE,H754+1,"")</f>
        <v/>
      </c>
      <c r="I755" s="1" t="str">
        <f>IF(ISBLANK('SQL Builder'!P730)=FALSE,'SQL Builder'!N730,"")</f>
        <v/>
      </c>
      <c r="J755" s="79">
        <f t="shared" si="11"/>
        <v>0</v>
      </c>
    </row>
    <row r="756" spans="2:10" ht="16.5" x14ac:dyDescent="0.25">
      <c r="B756" s="49" t="e">
        <f>IF(ISBLANK('SQL Builder'!K731)=FALSE,(DATE(LEFT('SQL Builder'!K731,4),MID('SQL Builder'!K731,6,2),MID('SQL Builder'!K731,9,2))),NA())</f>
        <v>#N/A</v>
      </c>
      <c r="C756" s="50" t="str">
        <f>IF(ISBLANK('SQL Builder'!K731)=FALSE,'SQL Builder'!L731,"")</f>
        <v/>
      </c>
      <c r="D756" s="1" t="str">
        <f>IF(ISBLANK('SQL Builder'!K731)=FALSE,'SQL Builder'!O731,"")</f>
        <v/>
      </c>
      <c r="H756" s="43" t="str">
        <f>IF(ISBLANK('SQL Builder'!K730)=FALSE,H755+1,"")</f>
        <v/>
      </c>
      <c r="I756" s="1" t="str">
        <f>IF(ISBLANK('SQL Builder'!P731)=FALSE,'SQL Builder'!N731,"")</f>
        <v/>
      </c>
      <c r="J756" s="79">
        <f t="shared" si="11"/>
        <v>0</v>
      </c>
    </row>
    <row r="757" spans="2:10" ht="16.5" x14ac:dyDescent="0.25">
      <c r="B757" s="49" t="e">
        <f>IF(ISBLANK('SQL Builder'!K732)=FALSE,(DATE(LEFT('SQL Builder'!K732,4),MID('SQL Builder'!K732,6,2),MID('SQL Builder'!K732,9,2))),NA())</f>
        <v>#N/A</v>
      </c>
      <c r="C757" s="50" t="str">
        <f>IF(ISBLANK('SQL Builder'!K732)=FALSE,'SQL Builder'!L732,"")</f>
        <v/>
      </c>
      <c r="D757" s="1" t="str">
        <f>IF(ISBLANK('SQL Builder'!K732)=FALSE,'SQL Builder'!O732,"")</f>
        <v/>
      </c>
      <c r="H757" s="43" t="str">
        <f>IF(ISBLANK('SQL Builder'!K731)=FALSE,H756+1,"")</f>
        <v/>
      </c>
      <c r="I757" s="1" t="str">
        <f>IF(ISBLANK('SQL Builder'!P732)=FALSE,'SQL Builder'!N732,"")</f>
        <v/>
      </c>
      <c r="J757" s="79">
        <f t="shared" si="11"/>
        <v>0</v>
      </c>
    </row>
    <row r="758" spans="2:10" ht="16.5" x14ac:dyDescent="0.25">
      <c r="B758" s="49" t="e">
        <f>IF(ISBLANK('SQL Builder'!K733)=FALSE,(DATE(LEFT('SQL Builder'!K733,4),MID('SQL Builder'!K733,6,2),MID('SQL Builder'!K733,9,2))),NA())</f>
        <v>#N/A</v>
      </c>
      <c r="C758" s="50" t="str">
        <f>IF(ISBLANK('SQL Builder'!K733)=FALSE,'SQL Builder'!L733,"")</f>
        <v/>
      </c>
      <c r="D758" s="1" t="str">
        <f>IF(ISBLANK('SQL Builder'!K733)=FALSE,'SQL Builder'!O733,"")</f>
        <v/>
      </c>
      <c r="H758" s="43" t="str">
        <f>IF(ISBLANK('SQL Builder'!K732)=FALSE,H757+1,"")</f>
        <v/>
      </c>
      <c r="I758" s="1" t="str">
        <f>IF(ISBLANK('SQL Builder'!P733)=FALSE,'SQL Builder'!N733,"")</f>
        <v/>
      </c>
      <c r="J758" s="79">
        <f t="shared" si="11"/>
        <v>0</v>
      </c>
    </row>
    <row r="759" spans="2:10" ht="16.5" x14ac:dyDescent="0.25">
      <c r="B759" s="49" t="e">
        <f>IF(ISBLANK('SQL Builder'!K734)=FALSE,(DATE(LEFT('SQL Builder'!K734,4),MID('SQL Builder'!K734,6,2),MID('SQL Builder'!K734,9,2))),NA())</f>
        <v>#N/A</v>
      </c>
      <c r="C759" s="50" t="str">
        <f>IF(ISBLANK('SQL Builder'!K734)=FALSE,'SQL Builder'!L734,"")</f>
        <v/>
      </c>
      <c r="D759" s="1" t="str">
        <f>IF(ISBLANK('SQL Builder'!K734)=FALSE,'SQL Builder'!O734,"")</f>
        <v/>
      </c>
      <c r="H759" s="43" t="str">
        <f>IF(ISBLANK('SQL Builder'!K733)=FALSE,H758+1,"")</f>
        <v/>
      </c>
      <c r="I759" s="1" t="str">
        <f>IF(ISBLANK('SQL Builder'!P734)=FALSE,'SQL Builder'!N734,"")</f>
        <v/>
      </c>
      <c r="J759" s="79">
        <f t="shared" si="11"/>
        <v>0</v>
      </c>
    </row>
    <row r="760" spans="2:10" ht="16.5" x14ac:dyDescent="0.25">
      <c r="B760" s="49" t="e">
        <f>IF(ISBLANK('SQL Builder'!K735)=FALSE,(DATE(LEFT('SQL Builder'!K735,4),MID('SQL Builder'!K735,6,2),MID('SQL Builder'!K735,9,2))),NA())</f>
        <v>#N/A</v>
      </c>
      <c r="C760" s="50" t="str">
        <f>IF(ISBLANK('SQL Builder'!K735)=FALSE,'SQL Builder'!L735,"")</f>
        <v/>
      </c>
      <c r="D760" s="1" t="str">
        <f>IF(ISBLANK('SQL Builder'!K735)=FALSE,'SQL Builder'!O735,"")</f>
        <v/>
      </c>
      <c r="H760" s="43" t="str">
        <f>IF(ISBLANK('SQL Builder'!K734)=FALSE,H759+1,"")</f>
        <v/>
      </c>
      <c r="I760" s="1" t="str">
        <f>IF(ISBLANK('SQL Builder'!P735)=FALSE,'SQL Builder'!N735,"")</f>
        <v/>
      </c>
      <c r="J760" s="79">
        <f t="shared" si="11"/>
        <v>0</v>
      </c>
    </row>
    <row r="761" spans="2:10" ht="16.5" x14ac:dyDescent="0.25">
      <c r="B761" s="49" t="e">
        <f>IF(ISBLANK('SQL Builder'!K736)=FALSE,(DATE(LEFT('SQL Builder'!K736,4),MID('SQL Builder'!K736,6,2),MID('SQL Builder'!K736,9,2))),NA())</f>
        <v>#N/A</v>
      </c>
      <c r="C761" s="50" t="str">
        <f>IF(ISBLANK('SQL Builder'!K736)=FALSE,'SQL Builder'!L736,"")</f>
        <v/>
      </c>
      <c r="D761" s="1" t="str">
        <f>IF(ISBLANK('SQL Builder'!K736)=FALSE,'SQL Builder'!O736,"")</f>
        <v/>
      </c>
      <c r="H761" s="43" t="str">
        <f>IF(ISBLANK('SQL Builder'!K735)=FALSE,H760+1,"")</f>
        <v/>
      </c>
      <c r="I761" s="1" t="str">
        <f>IF(ISBLANK('SQL Builder'!P736)=FALSE,'SQL Builder'!N736,"")</f>
        <v/>
      </c>
      <c r="J761" s="79">
        <f t="shared" si="11"/>
        <v>0</v>
      </c>
    </row>
    <row r="762" spans="2:10" ht="16.5" x14ac:dyDescent="0.25">
      <c r="B762" s="49" t="e">
        <f>IF(ISBLANK('SQL Builder'!K737)=FALSE,(DATE(LEFT('SQL Builder'!K737,4),MID('SQL Builder'!K737,6,2),MID('SQL Builder'!K737,9,2))),NA())</f>
        <v>#N/A</v>
      </c>
      <c r="C762" s="50" t="str">
        <f>IF(ISBLANK('SQL Builder'!K737)=FALSE,'SQL Builder'!L737,"")</f>
        <v/>
      </c>
      <c r="D762" s="1" t="str">
        <f>IF(ISBLANK('SQL Builder'!K737)=FALSE,'SQL Builder'!O737,"")</f>
        <v/>
      </c>
      <c r="H762" s="43" t="str">
        <f>IF(ISBLANK('SQL Builder'!K736)=FALSE,H761+1,"")</f>
        <v/>
      </c>
      <c r="I762" s="1" t="str">
        <f>IF(ISBLANK('SQL Builder'!P737)=FALSE,'SQL Builder'!N737,"")</f>
        <v/>
      </c>
      <c r="J762" s="79">
        <f t="shared" si="11"/>
        <v>0</v>
      </c>
    </row>
    <row r="763" spans="2:10" ht="16.5" x14ac:dyDescent="0.25">
      <c r="B763" s="49" t="e">
        <f>IF(ISBLANK('SQL Builder'!K738)=FALSE,(DATE(LEFT('SQL Builder'!K738,4),MID('SQL Builder'!K738,6,2),MID('SQL Builder'!K738,9,2))),NA())</f>
        <v>#N/A</v>
      </c>
      <c r="C763" s="50" t="str">
        <f>IF(ISBLANK('SQL Builder'!K738)=FALSE,'SQL Builder'!L738,"")</f>
        <v/>
      </c>
      <c r="D763" s="1" t="str">
        <f>IF(ISBLANK('SQL Builder'!K738)=FALSE,'SQL Builder'!O738,"")</f>
        <v/>
      </c>
      <c r="H763" s="43" t="str">
        <f>IF(ISBLANK('SQL Builder'!K737)=FALSE,H762+1,"")</f>
        <v/>
      </c>
      <c r="I763" s="1" t="str">
        <f>IF(ISBLANK('SQL Builder'!P738)=FALSE,'SQL Builder'!N738,"")</f>
        <v/>
      </c>
      <c r="J763" s="79">
        <f t="shared" si="11"/>
        <v>0</v>
      </c>
    </row>
    <row r="764" spans="2:10" ht="16.5" x14ac:dyDescent="0.25">
      <c r="B764" s="49" t="e">
        <f>IF(ISBLANK('SQL Builder'!K739)=FALSE,(DATE(LEFT('SQL Builder'!K739,4),MID('SQL Builder'!K739,6,2),MID('SQL Builder'!K739,9,2))),NA())</f>
        <v>#N/A</v>
      </c>
      <c r="C764" s="50" t="str">
        <f>IF(ISBLANK('SQL Builder'!K739)=FALSE,'SQL Builder'!L739,"")</f>
        <v/>
      </c>
      <c r="D764" s="1" t="str">
        <f>IF(ISBLANK('SQL Builder'!K739)=FALSE,'SQL Builder'!O739,"")</f>
        <v/>
      </c>
      <c r="H764" s="43" t="str">
        <f>IF(ISBLANK('SQL Builder'!K738)=FALSE,H763+1,"")</f>
        <v/>
      </c>
      <c r="I764" s="1" t="str">
        <f>IF(ISBLANK('SQL Builder'!P739)=FALSE,'SQL Builder'!N739,"")</f>
        <v/>
      </c>
      <c r="J764" s="79">
        <f t="shared" si="11"/>
        <v>0</v>
      </c>
    </row>
    <row r="765" spans="2:10" ht="16.5" x14ac:dyDescent="0.25">
      <c r="B765" s="49" t="e">
        <f>IF(ISBLANK('SQL Builder'!K740)=FALSE,(DATE(LEFT('SQL Builder'!K740,4),MID('SQL Builder'!K740,6,2),MID('SQL Builder'!K740,9,2))),NA())</f>
        <v>#N/A</v>
      </c>
      <c r="C765" s="50" t="str">
        <f>IF(ISBLANK('SQL Builder'!K740)=FALSE,'SQL Builder'!L740,"")</f>
        <v/>
      </c>
      <c r="D765" s="1" t="str">
        <f>IF(ISBLANK('SQL Builder'!K740)=FALSE,'SQL Builder'!O740,"")</f>
        <v/>
      </c>
      <c r="H765" s="43" t="str">
        <f>IF(ISBLANK('SQL Builder'!K739)=FALSE,H764+1,"")</f>
        <v/>
      </c>
      <c r="I765" s="1" t="str">
        <f>IF(ISBLANK('SQL Builder'!P740)=FALSE,'SQL Builder'!N740,"")</f>
        <v/>
      </c>
      <c r="J765" s="79">
        <f t="shared" si="11"/>
        <v>0</v>
      </c>
    </row>
    <row r="766" spans="2:10" ht="16.5" x14ac:dyDescent="0.25">
      <c r="B766" s="49" t="e">
        <f>IF(ISBLANK('SQL Builder'!K741)=FALSE,(DATE(LEFT('SQL Builder'!K741,4),MID('SQL Builder'!K741,6,2),MID('SQL Builder'!K741,9,2))),NA())</f>
        <v>#N/A</v>
      </c>
      <c r="C766" s="50" t="str">
        <f>IF(ISBLANK('SQL Builder'!K741)=FALSE,'SQL Builder'!L741,"")</f>
        <v/>
      </c>
      <c r="D766" s="1" t="str">
        <f>IF(ISBLANK('SQL Builder'!K741)=FALSE,'SQL Builder'!O741,"")</f>
        <v/>
      </c>
      <c r="H766" s="43" t="str">
        <f>IF(ISBLANK('SQL Builder'!K740)=FALSE,H765+1,"")</f>
        <v/>
      </c>
      <c r="I766" s="1" t="str">
        <f>IF(ISBLANK('SQL Builder'!P741)=FALSE,'SQL Builder'!N741,"")</f>
        <v/>
      </c>
      <c r="J766" s="79">
        <f t="shared" si="11"/>
        <v>0</v>
      </c>
    </row>
    <row r="767" spans="2:10" ht="16.5" x14ac:dyDescent="0.25">
      <c r="B767" s="49" t="e">
        <f>IF(ISBLANK('SQL Builder'!K742)=FALSE,(DATE(LEFT('SQL Builder'!K742,4),MID('SQL Builder'!K742,6,2),MID('SQL Builder'!K742,9,2))),NA())</f>
        <v>#N/A</v>
      </c>
      <c r="C767" s="50" t="str">
        <f>IF(ISBLANK('SQL Builder'!K742)=FALSE,'SQL Builder'!L742,"")</f>
        <v/>
      </c>
      <c r="D767" s="1" t="str">
        <f>IF(ISBLANK('SQL Builder'!K742)=FALSE,'SQL Builder'!O742,"")</f>
        <v/>
      </c>
      <c r="H767" s="43" t="str">
        <f>IF(ISBLANK('SQL Builder'!K741)=FALSE,H766+1,"")</f>
        <v/>
      </c>
      <c r="I767" s="1" t="str">
        <f>IF(ISBLANK('SQL Builder'!P742)=FALSE,'SQL Builder'!N742,"")</f>
        <v/>
      </c>
      <c r="J767" s="79">
        <f t="shared" si="11"/>
        <v>0</v>
      </c>
    </row>
    <row r="768" spans="2:10" ht="16.5" x14ac:dyDescent="0.25">
      <c r="B768" s="49" t="e">
        <f>IF(ISBLANK('SQL Builder'!K743)=FALSE,(DATE(LEFT('SQL Builder'!K743,4),MID('SQL Builder'!K743,6,2),MID('SQL Builder'!K743,9,2))),NA())</f>
        <v>#N/A</v>
      </c>
      <c r="C768" s="50" t="str">
        <f>IF(ISBLANK('SQL Builder'!K743)=FALSE,'SQL Builder'!L743,"")</f>
        <v/>
      </c>
      <c r="D768" s="1" t="str">
        <f>IF(ISBLANK('SQL Builder'!K743)=FALSE,'SQL Builder'!O743,"")</f>
        <v/>
      </c>
      <c r="H768" s="43" t="str">
        <f>IF(ISBLANK('SQL Builder'!K742)=FALSE,H767+1,"")</f>
        <v/>
      </c>
      <c r="I768" s="1" t="str">
        <f>IF(ISBLANK('SQL Builder'!P743)=FALSE,'SQL Builder'!N743,"")</f>
        <v/>
      </c>
      <c r="J768" s="79">
        <f t="shared" si="11"/>
        <v>0</v>
      </c>
    </row>
    <row r="769" spans="2:10" ht="16.5" x14ac:dyDescent="0.25">
      <c r="B769" s="49" t="e">
        <f>IF(ISBLANK('SQL Builder'!K744)=FALSE,(DATE(LEFT('SQL Builder'!K744,4),MID('SQL Builder'!K744,6,2),MID('SQL Builder'!K744,9,2))),NA())</f>
        <v>#N/A</v>
      </c>
      <c r="C769" s="50" t="str">
        <f>IF(ISBLANK('SQL Builder'!K744)=FALSE,'SQL Builder'!L744,"")</f>
        <v/>
      </c>
      <c r="D769" s="1" t="str">
        <f>IF(ISBLANK('SQL Builder'!K744)=FALSE,'SQL Builder'!O744,"")</f>
        <v/>
      </c>
      <c r="H769" s="43" t="str">
        <f>IF(ISBLANK('SQL Builder'!K743)=FALSE,H768+1,"")</f>
        <v/>
      </c>
      <c r="I769" s="1" t="str">
        <f>IF(ISBLANK('SQL Builder'!P744)=FALSE,'SQL Builder'!N744,"")</f>
        <v/>
      </c>
      <c r="J769" s="79">
        <f t="shared" si="11"/>
        <v>0</v>
      </c>
    </row>
    <row r="770" spans="2:10" ht="16.5" x14ac:dyDescent="0.25">
      <c r="B770" s="49" t="e">
        <f>IF(ISBLANK('SQL Builder'!K745)=FALSE,(DATE(LEFT('SQL Builder'!K745,4),MID('SQL Builder'!K745,6,2),MID('SQL Builder'!K745,9,2))),NA())</f>
        <v>#N/A</v>
      </c>
      <c r="C770" s="50" t="str">
        <f>IF(ISBLANK('SQL Builder'!K745)=FALSE,'SQL Builder'!L745,"")</f>
        <v/>
      </c>
      <c r="D770" s="1" t="str">
        <f>IF(ISBLANK('SQL Builder'!K745)=FALSE,'SQL Builder'!O745,"")</f>
        <v/>
      </c>
      <c r="H770" s="43" t="str">
        <f>IF(ISBLANK('SQL Builder'!K744)=FALSE,H769+1,"")</f>
        <v/>
      </c>
      <c r="I770" s="1" t="str">
        <f>IF(ISBLANK('SQL Builder'!P745)=FALSE,'SQL Builder'!N745,"")</f>
        <v/>
      </c>
      <c r="J770" s="79">
        <f t="shared" si="11"/>
        <v>0</v>
      </c>
    </row>
    <row r="771" spans="2:10" ht="16.5" x14ac:dyDescent="0.25">
      <c r="B771" s="49" t="e">
        <f>IF(ISBLANK('SQL Builder'!K746)=FALSE,(DATE(LEFT('SQL Builder'!K746,4),MID('SQL Builder'!K746,6,2),MID('SQL Builder'!K746,9,2))),NA())</f>
        <v>#N/A</v>
      </c>
      <c r="C771" s="50" t="str">
        <f>IF(ISBLANK('SQL Builder'!K746)=FALSE,'SQL Builder'!L746,"")</f>
        <v/>
      </c>
      <c r="D771" s="1" t="str">
        <f>IF(ISBLANK('SQL Builder'!K746)=FALSE,'SQL Builder'!O746,"")</f>
        <v/>
      </c>
      <c r="H771" s="43" t="str">
        <f>IF(ISBLANK('SQL Builder'!K745)=FALSE,H770+1,"")</f>
        <v/>
      </c>
      <c r="I771" s="1" t="str">
        <f>IF(ISBLANK('SQL Builder'!P746)=FALSE,'SQL Builder'!N746,"")</f>
        <v/>
      </c>
      <c r="J771" s="79">
        <f t="shared" si="11"/>
        <v>0</v>
      </c>
    </row>
    <row r="772" spans="2:10" ht="16.5" x14ac:dyDescent="0.25">
      <c r="B772" s="49" t="e">
        <f>IF(ISBLANK('SQL Builder'!K747)=FALSE,(DATE(LEFT('SQL Builder'!K747,4),MID('SQL Builder'!K747,6,2),MID('SQL Builder'!K747,9,2))),NA())</f>
        <v>#N/A</v>
      </c>
      <c r="C772" s="50" t="str">
        <f>IF(ISBLANK('SQL Builder'!K747)=FALSE,'SQL Builder'!L747,"")</f>
        <v/>
      </c>
      <c r="D772" s="1" t="str">
        <f>IF(ISBLANK('SQL Builder'!K747)=FALSE,'SQL Builder'!O747,"")</f>
        <v/>
      </c>
      <c r="H772" s="43" t="str">
        <f>IF(ISBLANK('SQL Builder'!K746)=FALSE,H771+1,"")</f>
        <v/>
      </c>
      <c r="I772" s="1" t="str">
        <f>IF(ISBLANK('SQL Builder'!P747)=FALSE,'SQL Builder'!N747,"")</f>
        <v/>
      </c>
      <c r="J772" s="79">
        <f t="shared" si="11"/>
        <v>0</v>
      </c>
    </row>
    <row r="773" spans="2:10" ht="16.5" x14ac:dyDescent="0.25">
      <c r="B773" s="49" t="e">
        <f>IF(ISBLANK('SQL Builder'!K748)=FALSE,(DATE(LEFT('SQL Builder'!K748,4),MID('SQL Builder'!K748,6,2),MID('SQL Builder'!K748,9,2))),NA())</f>
        <v>#N/A</v>
      </c>
      <c r="C773" s="50" t="str">
        <f>IF(ISBLANK('SQL Builder'!K748)=FALSE,'SQL Builder'!L748,"")</f>
        <v/>
      </c>
      <c r="D773" s="1" t="str">
        <f>IF(ISBLANK('SQL Builder'!K748)=FALSE,'SQL Builder'!O748,"")</f>
        <v/>
      </c>
      <c r="H773" s="43" t="str">
        <f>IF(ISBLANK('SQL Builder'!K747)=FALSE,H772+1,"")</f>
        <v/>
      </c>
      <c r="I773" s="1" t="str">
        <f>IF(ISBLANK('SQL Builder'!P748)=FALSE,'SQL Builder'!N748,"")</f>
        <v/>
      </c>
      <c r="J773" s="79">
        <f t="shared" si="11"/>
        <v>0</v>
      </c>
    </row>
    <row r="774" spans="2:10" ht="16.5" x14ac:dyDescent="0.25">
      <c r="B774" s="49" t="e">
        <f>IF(ISBLANK('SQL Builder'!K749)=FALSE,(DATE(LEFT('SQL Builder'!K749,4),MID('SQL Builder'!K749,6,2),MID('SQL Builder'!K749,9,2))),NA())</f>
        <v>#N/A</v>
      </c>
      <c r="C774" s="50" t="str">
        <f>IF(ISBLANK('SQL Builder'!K749)=FALSE,'SQL Builder'!L749,"")</f>
        <v/>
      </c>
      <c r="D774" s="1" t="str">
        <f>IF(ISBLANK('SQL Builder'!K749)=FALSE,'SQL Builder'!O749,"")</f>
        <v/>
      </c>
      <c r="H774" s="43" t="str">
        <f>IF(ISBLANK('SQL Builder'!K748)=FALSE,H773+1,"")</f>
        <v/>
      </c>
      <c r="I774" s="1" t="str">
        <f>IF(ISBLANK('SQL Builder'!P749)=FALSE,'SQL Builder'!N749,"")</f>
        <v/>
      </c>
      <c r="J774" s="79">
        <f t="shared" si="11"/>
        <v>0</v>
      </c>
    </row>
    <row r="775" spans="2:10" ht="16.5" x14ac:dyDescent="0.25">
      <c r="B775" s="49" t="e">
        <f>IF(ISBLANK('SQL Builder'!K750)=FALSE,(DATE(LEFT('SQL Builder'!K750,4),MID('SQL Builder'!K750,6,2),MID('SQL Builder'!K750,9,2))),NA())</f>
        <v>#N/A</v>
      </c>
      <c r="C775" s="50" t="str">
        <f>IF(ISBLANK('SQL Builder'!K750)=FALSE,'SQL Builder'!L750,"")</f>
        <v/>
      </c>
      <c r="D775" s="1" t="str">
        <f>IF(ISBLANK('SQL Builder'!K750)=FALSE,'SQL Builder'!O750,"")</f>
        <v/>
      </c>
      <c r="H775" s="43" t="str">
        <f>IF(ISBLANK('SQL Builder'!K749)=FALSE,H774+1,"")</f>
        <v/>
      </c>
      <c r="I775" s="1" t="str">
        <f>IF(ISBLANK('SQL Builder'!P750)=FALSE,'SQL Builder'!N750,"")</f>
        <v/>
      </c>
      <c r="J775" s="79">
        <f t="shared" si="11"/>
        <v>0</v>
      </c>
    </row>
    <row r="776" spans="2:10" ht="16.5" x14ac:dyDescent="0.25">
      <c r="B776" s="49" t="e">
        <f>IF(ISBLANK('SQL Builder'!K751)=FALSE,(DATE(LEFT('SQL Builder'!K751,4),MID('SQL Builder'!K751,6,2),MID('SQL Builder'!K751,9,2))),NA())</f>
        <v>#N/A</v>
      </c>
      <c r="C776" s="50" t="str">
        <f>IF(ISBLANK('SQL Builder'!K751)=FALSE,'SQL Builder'!L751,"")</f>
        <v/>
      </c>
      <c r="D776" s="1" t="str">
        <f>IF(ISBLANK('SQL Builder'!K751)=FALSE,'SQL Builder'!O751,"")</f>
        <v/>
      </c>
      <c r="H776" s="43" t="str">
        <f>IF(ISBLANK('SQL Builder'!K750)=FALSE,H775+1,"")</f>
        <v/>
      </c>
      <c r="I776" s="1" t="str">
        <f>IF(ISBLANK('SQL Builder'!P751)=FALSE,'SQL Builder'!N751,"")</f>
        <v/>
      </c>
      <c r="J776" s="79">
        <f t="shared" si="11"/>
        <v>0</v>
      </c>
    </row>
    <row r="777" spans="2:10" ht="16.5" x14ac:dyDescent="0.25">
      <c r="B777" s="49" t="e">
        <f>IF(ISBLANK('SQL Builder'!K752)=FALSE,(DATE(LEFT('SQL Builder'!K752,4),MID('SQL Builder'!K752,6,2),MID('SQL Builder'!K752,9,2))),NA())</f>
        <v>#N/A</v>
      </c>
      <c r="C777" s="50" t="str">
        <f>IF(ISBLANK('SQL Builder'!K752)=FALSE,'SQL Builder'!L752,"")</f>
        <v/>
      </c>
      <c r="D777" s="1" t="str">
        <f>IF(ISBLANK('SQL Builder'!K752)=FALSE,'SQL Builder'!O752,"")</f>
        <v/>
      </c>
      <c r="H777" s="43" t="str">
        <f>IF(ISBLANK('SQL Builder'!K751)=FALSE,H776+1,"")</f>
        <v/>
      </c>
      <c r="I777" s="1" t="str">
        <f>IF(ISBLANK('SQL Builder'!P752)=FALSE,'SQL Builder'!N752,"")</f>
        <v/>
      </c>
      <c r="J777" s="79">
        <f t="shared" si="11"/>
        <v>0</v>
      </c>
    </row>
    <row r="778" spans="2:10" ht="16.5" x14ac:dyDescent="0.25">
      <c r="B778" s="49" t="e">
        <f>IF(ISBLANK('SQL Builder'!K753)=FALSE,(DATE(LEFT('SQL Builder'!K753,4),MID('SQL Builder'!K753,6,2),MID('SQL Builder'!K753,9,2))),NA())</f>
        <v>#N/A</v>
      </c>
      <c r="C778" s="50" t="str">
        <f>IF(ISBLANK('SQL Builder'!K753)=FALSE,'SQL Builder'!L753,"")</f>
        <v/>
      </c>
      <c r="D778" s="1" t="str">
        <f>IF(ISBLANK('SQL Builder'!K753)=FALSE,'SQL Builder'!O753,"")</f>
        <v/>
      </c>
      <c r="H778" s="43" t="str">
        <f>IF(ISBLANK('SQL Builder'!K752)=FALSE,H777+1,"")</f>
        <v/>
      </c>
      <c r="I778" s="1" t="str">
        <f>IF(ISBLANK('SQL Builder'!P753)=FALSE,'SQL Builder'!N753,"")</f>
        <v/>
      </c>
      <c r="J778" s="79">
        <f t="shared" si="11"/>
        <v>0</v>
      </c>
    </row>
    <row r="779" spans="2:10" ht="16.5" x14ac:dyDescent="0.25">
      <c r="B779" s="49" t="e">
        <f>IF(ISBLANK('SQL Builder'!K754)=FALSE,(DATE(LEFT('SQL Builder'!K754,4),MID('SQL Builder'!K754,6,2),MID('SQL Builder'!K754,9,2))),NA())</f>
        <v>#N/A</v>
      </c>
      <c r="C779" s="50" t="str">
        <f>IF(ISBLANK('SQL Builder'!K754)=FALSE,'SQL Builder'!L754,"")</f>
        <v/>
      </c>
      <c r="D779" s="1" t="str">
        <f>IF(ISBLANK('SQL Builder'!K754)=FALSE,'SQL Builder'!O754,"")</f>
        <v/>
      </c>
      <c r="H779" s="43" t="str">
        <f>IF(ISBLANK('SQL Builder'!K753)=FALSE,H778+1,"")</f>
        <v/>
      </c>
      <c r="I779" s="1" t="str">
        <f>IF(ISBLANK('SQL Builder'!P754)=FALSE,'SQL Builder'!N754,"")</f>
        <v/>
      </c>
      <c r="J779" s="79">
        <f t="shared" si="11"/>
        <v>0</v>
      </c>
    </row>
    <row r="780" spans="2:10" ht="16.5" x14ac:dyDescent="0.25">
      <c r="B780" s="49" t="e">
        <f>IF(ISBLANK('SQL Builder'!K755)=FALSE,(DATE(LEFT('SQL Builder'!K755,4),MID('SQL Builder'!K755,6,2),MID('SQL Builder'!K755,9,2))),NA())</f>
        <v>#N/A</v>
      </c>
      <c r="C780" s="50" t="str">
        <f>IF(ISBLANK('SQL Builder'!K755)=FALSE,'SQL Builder'!L755,"")</f>
        <v/>
      </c>
      <c r="D780" s="1" t="str">
        <f>IF(ISBLANK('SQL Builder'!K755)=FALSE,'SQL Builder'!O755,"")</f>
        <v/>
      </c>
      <c r="H780" s="43" t="str">
        <f>IF(ISBLANK('SQL Builder'!K754)=FALSE,H779+1,"")</f>
        <v/>
      </c>
      <c r="I780" s="1" t="str">
        <f>IF(ISBLANK('SQL Builder'!P755)=FALSE,'SQL Builder'!N755,"")</f>
        <v/>
      </c>
      <c r="J780" s="79">
        <f t="shared" si="11"/>
        <v>0</v>
      </c>
    </row>
    <row r="781" spans="2:10" ht="16.5" x14ac:dyDescent="0.25">
      <c r="B781" s="49" t="e">
        <f>IF(ISBLANK('SQL Builder'!K756)=FALSE,(DATE(LEFT('SQL Builder'!K756,4),MID('SQL Builder'!K756,6,2),MID('SQL Builder'!K756,9,2))),NA())</f>
        <v>#N/A</v>
      </c>
      <c r="C781" s="50" t="str">
        <f>IF(ISBLANK('SQL Builder'!K756)=FALSE,'SQL Builder'!L756,"")</f>
        <v/>
      </c>
      <c r="D781" s="1" t="str">
        <f>IF(ISBLANK('SQL Builder'!K756)=FALSE,'SQL Builder'!O756,"")</f>
        <v/>
      </c>
      <c r="H781" s="43" t="str">
        <f>IF(ISBLANK('SQL Builder'!K755)=FALSE,H780+1,"")</f>
        <v/>
      </c>
      <c r="I781" s="1" t="str">
        <f>IF(ISBLANK('SQL Builder'!P756)=FALSE,'SQL Builder'!N756,"")</f>
        <v/>
      </c>
      <c r="J781" s="79">
        <f t="shared" si="11"/>
        <v>0</v>
      </c>
    </row>
    <row r="782" spans="2:10" ht="16.5" x14ac:dyDescent="0.25">
      <c r="B782" s="49" t="e">
        <f>IF(ISBLANK('SQL Builder'!K757)=FALSE,(DATE(LEFT('SQL Builder'!K757,4),MID('SQL Builder'!K757,6,2),MID('SQL Builder'!K757,9,2))),NA())</f>
        <v>#N/A</v>
      </c>
      <c r="C782" s="50" t="str">
        <f>IF(ISBLANK('SQL Builder'!K757)=FALSE,'SQL Builder'!L757,"")</f>
        <v/>
      </c>
      <c r="D782" s="1" t="str">
        <f>IF(ISBLANK('SQL Builder'!K757)=FALSE,'SQL Builder'!O757,"")</f>
        <v/>
      </c>
      <c r="H782" s="43" t="str">
        <f>IF(ISBLANK('SQL Builder'!K756)=FALSE,H781+1,"")</f>
        <v/>
      </c>
      <c r="I782" s="1" t="str">
        <f>IF(ISBLANK('SQL Builder'!P757)=FALSE,'SQL Builder'!N757,"")</f>
        <v/>
      </c>
      <c r="J782" s="79">
        <f t="shared" si="11"/>
        <v>0</v>
      </c>
    </row>
    <row r="783" spans="2:10" ht="16.5" x14ac:dyDescent="0.25">
      <c r="B783" s="49" t="e">
        <f>IF(ISBLANK('SQL Builder'!K758)=FALSE,(DATE(LEFT('SQL Builder'!K758,4),MID('SQL Builder'!K758,6,2),MID('SQL Builder'!K758,9,2))),NA())</f>
        <v>#N/A</v>
      </c>
      <c r="C783" s="50" t="str">
        <f>IF(ISBLANK('SQL Builder'!K758)=FALSE,'SQL Builder'!L758,"")</f>
        <v/>
      </c>
      <c r="D783" s="1" t="str">
        <f>IF(ISBLANK('SQL Builder'!K758)=FALSE,'SQL Builder'!O758,"")</f>
        <v/>
      </c>
      <c r="H783" s="43" t="str">
        <f>IF(ISBLANK('SQL Builder'!K757)=FALSE,H782+1,"")</f>
        <v/>
      </c>
      <c r="I783" s="1" t="str">
        <f>IF(ISBLANK('SQL Builder'!P758)=FALSE,'SQL Builder'!N758,"")</f>
        <v/>
      </c>
      <c r="J783" s="79">
        <f t="shared" si="11"/>
        <v>0</v>
      </c>
    </row>
    <row r="784" spans="2:10" ht="16.5" x14ac:dyDescent="0.25">
      <c r="B784" s="49" t="e">
        <f>IF(ISBLANK('SQL Builder'!K759)=FALSE,(DATE(LEFT('SQL Builder'!K759,4),MID('SQL Builder'!K759,6,2),MID('SQL Builder'!K759,9,2))),NA())</f>
        <v>#N/A</v>
      </c>
      <c r="C784" s="50" t="str">
        <f>IF(ISBLANK('SQL Builder'!K759)=FALSE,'SQL Builder'!L759,"")</f>
        <v/>
      </c>
      <c r="D784" s="1" t="str">
        <f>IF(ISBLANK('SQL Builder'!K759)=FALSE,'SQL Builder'!O759,"")</f>
        <v/>
      </c>
      <c r="H784" s="43" t="str">
        <f>IF(ISBLANK('SQL Builder'!K758)=FALSE,H783+1,"")</f>
        <v/>
      </c>
      <c r="I784" s="1" t="str">
        <f>IF(ISBLANK('SQL Builder'!P759)=FALSE,'SQL Builder'!N759,"")</f>
        <v/>
      </c>
      <c r="J784" s="79">
        <f t="shared" si="11"/>
        <v>0</v>
      </c>
    </row>
    <row r="785" spans="2:10" ht="16.5" x14ac:dyDescent="0.25">
      <c r="B785" s="49" t="e">
        <f>IF(ISBLANK('SQL Builder'!K760)=FALSE,(DATE(LEFT('SQL Builder'!K760,4),MID('SQL Builder'!K760,6,2),MID('SQL Builder'!K760,9,2))),NA())</f>
        <v>#N/A</v>
      </c>
      <c r="C785" s="50" t="str">
        <f>IF(ISBLANK('SQL Builder'!K760)=FALSE,'SQL Builder'!L760,"")</f>
        <v/>
      </c>
      <c r="D785" s="1" t="str">
        <f>IF(ISBLANK('SQL Builder'!K760)=FALSE,'SQL Builder'!O760,"")</f>
        <v/>
      </c>
      <c r="H785" s="43" t="str">
        <f>IF(ISBLANK('SQL Builder'!K759)=FALSE,H784+1,"")</f>
        <v/>
      </c>
      <c r="I785" s="1" t="str">
        <f>IF(ISBLANK('SQL Builder'!P760)=FALSE,'SQL Builder'!N760,"")</f>
        <v/>
      </c>
      <c r="J785" s="79">
        <f t="shared" si="11"/>
        <v>0</v>
      </c>
    </row>
    <row r="786" spans="2:10" ht="16.5" x14ac:dyDescent="0.25">
      <c r="B786" s="49" t="e">
        <f>IF(ISBLANK('SQL Builder'!K761)=FALSE,(DATE(LEFT('SQL Builder'!K761,4),MID('SQL Builder'!K761,6,2),MID('SQL Builder'!K761,9,2))),NA())</f>
        <v>#N/A</v>
      </c>
      <c r="C786" s="50" t="str">
        <f>IF(ISBLANK('SQL Builder'!K761)=FALSE,'SQL Builder'!L761,"")</f>
        <v/>
      </c>
      <c r="D786" s="1" t="str">
        <f>IF(ISBLANK('SQL Builder'!K761)=FALSE,'SQL Builder'!O761,"")</f>
        <v/>
      </c>
      <c r="H786" s="43" t="str">
        <f>IF(ISBLANK('SQL Builder'!K760)=FALSE,H785+1,"")</f>
        <v/>
      </c>
      <c r="I786" s="1" t="str">
        <f>IF(ISBLANK('SQL Builder'!P761)=FALSE,'SQL Builder'!N761,"")</f>
        <v/>
      </c>
      <c r="J786" s="79">
        <f t="shared" si="11"/>
        <v>0</v>
      </c>
    </row>
    <row r="787" spans="2:10" ht="16.5" x14ac:dyDescent="0.25">
      <c r="B787" s="49" t="e">
        <f>IF(ISBLANK('SQL Builder'!K762)=FALSE,(DATE(LEFT('SQL Builder'!K762,4),MID('SQL Builder'!K762,6,2),MID('SQL Builder'!K762,9,2))),NA())</f>
        <v>#N/A</v>
      </c>
      <c r="C787" s="50" t="str">
        <f>IF(ISBLANK('SQL Builder'!K762)=FALSE,'SQL Builder'!L762,"")</f>
        <v/>
      </c>
      <c r="D787" s="1" t="str">
        <f>IF(ISBLANK('SQL Builder'!K762)=FALSE,'SQL Builder'!O762,"")</f>
        <v/>
      </c>
      <c r="H787" s="43" t="str">
        <f>IF(ISBLANK('SQL Builder'!K761)=FALSE,H786+1,"")</f>
        <v/>
      </c>
      <c r="I787" s="1" t="str">
        <f>IF(ISBLANK('SQL Builder'!P762)=FALSE,'SQL Builder'!N762,"")</f>
        <v/>
      </c>
      <c r="J787" s="79">
        <f t="shared" si="11"/>
        <v>0</v>
      </c>
    </row>
    <row r="788" spans="2:10" ht="16.5" x14ac:dyDescent="0.25">
      <c r="B788" s="49" t="e">
        <f>IF(ISBLANK('SQL Builder'!K763)=FALSE,(DATE(LEFT('SQL Builder'!K763,4),MID('SQL Builder'!K763,6,2),MID('SQL Builder'!K763,9,2))),NA())</f>
        <v>#N/A</v>
      </c>
      <c r="C788" s="50" t="str">
        <f>IF(ISBLANK('SQL Builder'!K763)=FALSE,'SQL Builder'!L763,"")</f>
        <v/>
      </c>
      <c r="D788" s="1" t="str">
        <f>IF(ISBLANK('SQL Builder'!K763)=FALSE,'SQL Builder'!O763,"")</f>
        <v/>
      </c>
      <c r="H788" s="43" t="str">
        <f>IF(ISBLANK('SQL Builder'!K762)=FALSE,H787+1,"")</f>
        <v/>
      </c>
      <c r="I788" s="1" t="str">
        <f>IF(ISBLANK('SQL Builder'!P763)=FALSE,'SQL Builder'!N763,"")</f>
        <v/>
      </c>
      <c r="J788" s="79">
        <f t="shared" si="11"/>
        <v>0</v>
      </c>
    </row>
    <row r="789" spans="2:10" ht="16.5" x14ac:dyDescent="0.25">
      <c r="B789" s="49" t="e">
        <f>IF(ISBLANK('SQL Builder'!K764)=FALSE,(DATE(LEFT('SQL Builder'!K764,4),MID('SQL Builder'!K764,6,2),MID('SQL Builder'!K764,9,2))),NA())</f>
        <v>#N/A</v>
      </c>
      <c r="C789" s="50" t="str">
        <f>IF(ISBLANK('SQL Builder'!K764)=FALSE,'SQL Builder'!L764,"")</f>
        <v/>
      </c>
      <c r="D789" s="1" t="str">
        <f>IF(ISBLANK('SQL Builder'!K764)=FALSE,'SQL Builder'!O764,"")</f>
        <v/>
      </c>
      <c r="H789" s="43" t="str">
        <f>IF(ISBLANK('SQL Builder'!K763)=FALSE,H788+1,"")</f>
        <v/>
      </c>
      <c r="I789" s="1" t="str">
        <f>IF(ISBLANK('SQL Builder'!P764)=FALSE,'SQL Builder'!N764,"")</f>
        <v/>
      </c>
      <c r="J789" s="79">
        <f t="shared" si="11"/>
        <v>0</v>
      </c>
    </row>
    <row r="790" spans="2:10" ht="16.5" x14ac:dyDescent="0.25">
      <c r="B790" s="49" t="e">
        <f>IF(ISBLANK('SQL Builder'!K765)=FALSE,(DATE(LEFT('SQL Builder'!K765,4),MID('SQL Builder'!K765,6,2),MID('SQL Builder'!K765,9,2))),NA())</f>
        <v>#N/A</v>
      </c>
      <c r="C790" s="50" t="str">
        <f>IF(ISBLANK('SQL Builder'!K765)=FALSE,'SQL Builder'!L765,"")</f>
        <v/>
      </c>
      <c r="D790" s="1" t="str">
        <f>IF(ISBLANK('SQL Builder'!K765)=FALSE,'SQL Builder'!O765,"")</f>
        <v/>
      </c>
      <c r="H790" s="43" t="str">
        <f>IF(ISBLANK('SQL Builder'!K764)=FALSE,H789+1,"")</f>
        <v/>
      </c>
      <c r="I790" s="1" t="str">
        <f>IF(ISBLANK('SQL Builder'!P765)=FALSE,'SQL Builder'!N765,"")</f>
        <v/>
      </c>
      <c r="J790" s="79">
        <f t="shared" si="11"/>
        <v>0</v>
      </c>
    </row>
    <row r="791" spans="2:10" ht="16.5" x14ac:dyDescent="0.25">
      <c r="B791" s="49" t="e">
        <f>IF(ISBLANK('SQL Builder'!K766)=FALSE,(DATE(LEFT('SQL Builder'!K766,4),MID('SQL Builder'!K766,6,2),MID('SQL Builder'!K766,9,2))),NA())</f>
        <v>#N/A</v>
      </c>
      <c r="C791" s="50" t="str">
        <f>IF(ISBLANK('SQL Builder'!K766)=FALSE,'SQL Builder'!L766,"")</f>
        <v/>
      </c>
      <c r="D791" s="1" t="str">
        <f>IF(ISBLANK('SQL Builder'!K766)=FALSE,'SQL Builder'!O766,"")</f>
        <v/>
      </c>
      <c r="H791" s="43" t="str">
        <f>IF(ISBLANK('SQL Builder'!K765)=FALSE,H790+1,"")</f>
        <v/>
      </c>
      <c r="I791" s="1" t="str">
        <f>IF(ISBLANK('SQL Builder'!P766)=FALSE,'SQL Builder'!N766,"")</f>
        <v/>
      </c>
      <c r="J791" s="79">
        <f t="shared" si="11"/>
        <v>0</v>
      </c>
    </row>
    <row r="792" spans="2:10" ht="16.5" x14ac:dyDescent="0.25">
      <c r="B792" s="49" t="e">
        <f>IF(ISBLANK('SQL Builder'!K767)=FALSE,(DATE(LEFT('SQL Builder'!K767,4),MID('SQL Builder'!K767,6,2),MID('SQL Builder'!K767,9,2))),NA())</f>
        <v>#N/A</v>
      </c>
      <c r="C792" s="50" t="str">
        <f>IF(ISBLANK('SQL Builder'!K767)=FALSE,'SQL Builder'!L767,"")</f>
        <v/>
      </c>
      <c r="D792" s="1" t="str">
        <f>IF(ISBLANK('SQL Builder'!K767)=FALSE,'SQL Builder'!O767,"")</f>
        <v/>
      </c>
      <c r="H792" s="43" t="str">
        <f>IF(ISBLANK('SQL Builder'!K766)=FALSE,H791+1,"")</f>
        <v/>
      </c>
      <c r="I792" s="1" t="str">
        <f>IF(ISBLANK('SQL Builder'!P767)=FALSE,'SQL Builder'!N767,"")</f>
        <v/>
      </c>
      <c r="J792" s="79">
        <f t="shared" si="11"/>
        <v>0</v>
      </c>
    </row>
    <row r="793" spans="2:10" ht="16.5" x14ac:dyDescent="0.25">
      <c r="B793" s="49" t="e">
        <f>IF(ISBLANK('SQL Builder'!K768)=FALSE,(DATE(LEFT('SQL Builder'!K768,4),MID('SQL Builder'!K768,6,2),MID('SQL Builder'!K768,9,2))),NA())</f>
        <v>#N/A</v>
      </c>
      <c r="C793" s="50" t="str">
        <f>IF(ISBLANK('SQL Builder'!K768)=FALSE,'SQL Builder'!L768,"")</f>
        <v/>
      </c>
      <c r="D793" s="1" t="str">
        <f>IF(ISBLANK('SQL Builder'!K768)=FALSE,'SQL Builder'!O768,"")</f>
        <v/>
      </c>
      <c r="H793" s="43" t="str">
        <f>IF(ISBLANK('SQL Builder'!K767)=FALSE,H792+1,"")</f>
        <v/>
      </c>
      <c r="I793" s="1" t="str">
        <f>IF(ISBLANK('SQL Builder'!P768)=FALSE,'SQL Builder'!N768,"")</f>
        <v/>
      </c>
      <c r="J793" s="79">
        <f t="shared" si="11"/>
        <v>0</v>
      </c>
    </row>
    <row r="794" spans="2:10" ht="16.5" x14ac:dyDescent="0.25">
      <c r="B794" s="49" t="e">
        <f>IF(ISBLANK('SQL Builder'!K769)=FALSE,(DATE(LEFT('SQL Builder'!K769,4),MID('SQL Builder'!K769,6,2),MID('SQL Builder'!K769,9,2))),NA())</f>
        <v>#N/A</v>
      </c>
      <c r="C794" s="50" t="str">
        <f>IF(ISBLANK('SQL Builder'!K769)=FALSE,'SQL Builder'!L769,"")</f>
        <v/>
      </c>
      <c r="D794" s="1" t="str">
        <f>IF(ISBLANK('SQL Builder'!K769)=FALSE,'SQL Builder'!O769,"")</f>
        <v/>
      </c>
      <c r="H794" s="43" t="str">
        <f>IF(ISBLANK('SQL Builder'!K768)=FALSE,H793+1,"")</f>
        <v/>
      </c>
      <c r="I794" s="1" t="str">
        <f>IF(ISBLANK('SQL Builder'!P769)=FALSE,'SQL Builder'!N769,"")</f>
        <v/>
      </c>
      <c r="J794" s="79">
        <f t="shared" si="11"/>
        <v>0</v>
      </c>
    </row>
    <row r="795" spans="2:10" ht="16.5" x14ac:dyDescent="0.25">
      <c r="B795" s="49" t="e">
        <f>IF(ISBLANK('SQL Builder'!K770)=FALSE,(DATE(LEFT('SQL Builder'!K770,4),MID('SQL Builder'!K770,6,2),MID('SQL Builder'!K770,9,2))),NA())</f>
        <v>#N/A</v>
      </c>
      <c r="C795" s="50" t="str">
        <f>IF(ISBLANK('SQL Builder'!K770)=FALSE,'SQL Builder'!L770,"")</f>
        <v/>
      </c>
      <c r="D795" s="1" t="str">
        <f>IF(ISBLANK('SQL Builder'!K770)=FALSE,'SQL Builder'!O770,"")</f>
        <v/>
      </c>
      <c r="H795" s="43" t="str">
        <f>IF(ISBLANK('SQL Builder'!K769)=FALSE,H794+1,"")</f>
        <v/>
      </c>
      <c r="I795" s="1" t="str">
        <f>IF(ISBLANK('SQL Builder'!P770)=FALSE,'SQL Builder'!N770,"")</f>
        <v/>
      </c>
      <c r="J795" s="79">
        <f t="shared" si="11"/>
        <v>0</v>
      </c>
    </row>
    <row r="796" spans="2:10" ht="16.5" x14ac:dyDescent="0.25">
      <c r="B796" s="49" t="e">
        <f>IF(ISBLANK('SQL Builder'!K771)=FALSE,(DATE(LEFT('SQL Builder'!K771,4),MID('SQL Builder'!K771,6,2),MID('SQL Builder'!K771,9,2))),NA())</f>
        <v>#N/A</v>
      </c>
      <c r="C796" s="50" t="str">
        <f>IF(ISBLANK('SQL Builder'!K771)=FALSE,'SQL Builder'!L771,"")</f>
        <v/>
      </c>
      <c r="D796" s="1" t="str">
        <f>IF(ISBLANK('SQL Builder'!K771)=FALSE,'SQL Builder'!O771,"")</f>
        <v/>
      </c>
      <c r="H796" s="43" t="str">
        <f>IF(ISBLANK('SQL Builder'!K770)=FALSE,H795+1,"")</f>
        <v/>
      </c>
      <c r="I796" s="1" t="str">
        <f>IF(ISBLANK('SQL Builder'!P771)=FALSE,'SQL Builder'!N771,"")</f>
        <v/>
      </c>
      <c r="J796" s="79">
        <f t="shared" si="11"/>
        <v>0</v>
      </c>
    </row>
    <row r="797" spans="2:10" ht="16.5" x14ac:dyDescent="0.25">
      <c r="B797" s="49" t="e">
        <f>IF(ISBLANK('SQL Builder'!K772)=FALSE,(DATE(LEFT('SQL Builder'!K772,4),MID('SQL Builder'!K772,6,2),MID('SQL Builder'!K772,9,2))),NA())</f>
        <v>#N/A</v>
      </c>
      <c r="C797" s="50" t="str">
        <f>IF(ISBLANK('SQL Builder'!K772)=FALSE,'SQL Builder'!L772,"")</f>
        <v/>
      </c>
      <c r="D797" s="1" t="str">
        <f>IF(ISBLANK('SQL Builder'!K772)=FALSE,'SQL Builder'!O772,"")</f>
        <v/>
      </c>
      <c r="H797" s="43" t="str">
        <f>IF(ISBLANK('SQL Builder'!K771)=FALSE,H796+1,"")</f>
        <v/>
      </c>
      <c r="I797" s="1" t="str">
        <f>IF(ISBLANK('SQL Builder'!P772)=FALSE,'SQL Builder'!N772,"")</f>
        <v/>
      </c>
      <c r="J797" s="79">
        <f t="shared" si="11"/>
        <v>0</v>
      </c>
    </row>
    <row r="798" spans="2:10" ht="16.5" x14ac:dyDescent="0.25">
      <c r="B798" s="49" t="e">
        <f>IF(ISBLANK('SQL Builder'!K773)=FALSE,(DATE(LEFT('SQL Builder'!K773,4),MID('SQL Builder'!K773,6,2),MID('SQL Builder'!K773,9,2))),NA())</f>
        <v>#N/A</v>
      </c>
      <c r="C798" s="50" t="str">
        <f>IF(ISBLANK('SQL Builder'!K773)=FALSE,'SQL Builder'!L773,"")</f>
        <v/>
      </c>
      <c r="D798" s="1" t="str">
        <f>IF(ISBLANK('SQL Builder'!K773)=FALSE,'SQL Builder'!O773,"")</f>
        <v/>
      </c>
      <c r="H798" s="43" t="str">
        <f>IF(ISBLANK('SQL Builder'!K772)=FALSE,H797+1,"")</f>
        <v/>
      </c>
      <c r="I798" s="1" t="str">
        <f>IF(ISBLANK('SQL Builder'!P773)=FALSE,'SQL Builder'!N773,"")</f>
        <v/>
      </c>
      <c r="J798" s="79">
        <f t="shared" si="11"/>
        <v>0</v>
      </c>
    </row>
    <row r="799" spans="2:10" ht="16.5" x14ac:dyDescent="0.25">
      <c r="B799" s="49" t="e">
        <f>IF(ISBLANK('SQL Builder'!K774)=FALSE,(DATE(LEFT('SQL Builder'!K774,4),MID('SQL Builder'!K774,6,2),MID('SQL Builder'!K774,9,2))),NA())</f>
        <v>#N/A</v>
      </c>
      <c r="C799" s="50" t="str">
        <f>IF(ISBLANK('SQL Builder'!K774)=FALSE,'SQL Builder'!L774,"")</f>
        <v/>
      </c>
      <c r="D799" s="1" t="str">
        <f>IF(ISBLANK('SQL Builder'!K774)=FALSE,'SQL Builder'!O774,"")</f>
        <v/>
      </c>
      <c r="H799" s="43" t="str">
        <f>IF(ISBLANK('SQL Builder'!K773)=FALSE,H798+1,"")</f>
        <v/>
      </c>
      <c r="I799" s="1" t="str">
        <f>IF(ISBLANK('SQL Builder'!P774)=FALSE,'SQL Builder'!N774,"")</f>
        <v/>
      </c>
      <c r="J799" s="79">
        <f t="shared" ref="J799:J862" si="12">IF(I799="",0,IF(I799=C$5,2,1))</f>
        <v>0</v>
      </c>
    </row>
    <row r="800" spans="2:10" ht="16.5" x14ac:dyDescent="0.25">
      <c r="B800" s="49" t="e">
        <f>IF(ISBLANK('SQL Builder'!K775)=FALSE,(DATE(LEFT('SQL Builder'!K775,4),MID('SQL Builder'!K775,6,2),MID('SQL Builder'!K775,9,2))),NA())</f>
        <v>#N/A</v>
      </c>
      <c r="C800" s="50" t="str">
        <f>IF(ISBLANK('SQL Builder'!K775)=FALSE,'SQL Builder'!L775,"")</f>
        <v/>
      </c>
      <c r="D800" s="1" t="str">
        <f>IF(ISBLANK('SQL Builder'!K775)=FALSE,'SQL Builder'!O775,"")</f>
        <v/>
      </c>
      <c r="H800" s="43" t="str">
        <f>IF(ISBLANK('SQL Builder'!K774)=FALSE,H799+1,"")</f>
        <v/>
      </c>
      <c r="I800" s="1" t="str">
        <f>IF(ISBLANK('SQL Builder'!P775)=FALSE,'SQL Builder'!N775,"")</f>
        <v/>
      </c>
      <c r="J800" s="79">
        <f t="shared" si="12"/>
        <v>0</v>
      </c>
    </row>
    <row r="801" spans="2:10" ht="16.5" x14ac:dyDescent="0.25">
      <c r="B801" s="49" t="e">
        <f>IF(ISBLANK('SQL Builder'!K776)=FALSE,(DATE(LEFT('SQL Builder'!K776,4),MID('SQL Builder'!K776,6,2),MID('SQL Builder'!K776,9,2))),NA())</f>
        <v>#N/A</v>
      </c>
      <c r="C801" s="50" t="str">
        <f>IF(ISBLANK('SQL Builder'!K776)=FALSE,'SQL Builder'!L776,"")</f>
        <v/>
      </c>
      <c r="D801" s="1" t="str">
        <f>IF(ISBLANK('SQL Builder'!K776)=FALSE,'SQL Builder'!O776,"")</f>
        <v/>
      </c>
      <c r="H801" s="43" t="str">
        <f>IF(ISBLANK('SQL Builder'!K775)=FALSE,H800+1,"")</f>
        <v/>
      </c>
      <c r="I801" s="1" t="str">
        <f>IF(ISBLANK('SQL Builder'!P776)=FALSE,'SQL Builder'!N776,"")</f>
        <v/>
      </c>
      <c r="J801" s="79">
        <f t="shared" si="12"/>
        <v>0</v>
      </c>
    </row>
    <row r="802" spans="2:10" ht="16.5" x14ac:dyDescent="0.25">
      <c r="B802" s="49" t="e">
        <f>IF(ISBLANK('SQL Builder'!K777)=FALSE,(DATE(LEFT('SQL Builder'!K777,4),MID('SQL Builder'!K777,6,2),MID('SQL Builder'!K777,9,2))),NA())</f>
        <v>#N/A</v>
      </c>
      <c r="C802" s="50" t="str">
        <f>IF(ISBLANK('SQL Builder'!K777)=FALSE,'SQL Builder'!L777,"")</f>
        <v/>
      </c>
      <c r="D802" s="1" t="str">
        <f>IF(ISBLANK('SQL Builder'!K777)=FALSE,'SQL Builder'!O777,"")</f>
        <v/>
      </c>
      <c r="H802" s="43" t="str">
        <f>IF(ISBLANK('SQL Builder'!K776)=FALSE,H801+1,"")</f>
        <v/>
      </c>
      <c r="I802" s="1" t="str">
        <f>IF(ISBLANK('SQL Builder'!P777)=FALSE,'SQL Builder'!N777,"")</f>
        <v/>
      </c>
      <c r="J802" s="79">
        <f t="shared" si="12"/>
        <v>0</v>
      </c>
    </row>
    <row r="803" spans="2:10" ht="16.5" x14ac:dyDescent="0.25">
      <c r="B803" s="49" t="e">
        <f>IF(ISBLANK('SQL Builder'!K778)=FALSE,(DATE(LEFT('SQL Builder'!K778,4),MID('SQL Builder'!K778,6,2),MID('SQL Builder'!K778,9,2))),NA())</f>
        <v>#N/A</v>
      </c>
      <c r="C803" s="50" t="str">
        <f>IF(ISBLANK('SQL Builder'!K778)=FALSE,'SQL Builder'!L778,"")</f>
        <v/>
      </c>
      <c r="D803" s="1" t="str">
        <f>IF(ISBLANK('SQL Builder'!K778)=FALSE,'SQL Builder'!O778,"")</f>
        <v/>
      </c>
      <c r="H803" s="43" t="str">
        <f>IF(ISBLANK('SQL Builder'!K777)=FALSE,H802+1,"")</f>
        <v/>
      </c>
      <c r="I803" s="1" t="str">
        <f>IF(ISBLANK('SQL Builder'!P778)=FALSE,'SQL Builder'!N778,"")</f>
        <v/>
      </c>
      <c r="J803" s="79">
        <f t="shared" si="12"/>
        <v>0</v>
      </c>
    </row>
    <row r="804" spans="2:10" ht="16.5" x14ac:dyDescent="0.25">
      <c r="B804" s="49" t="e">
        <f>IF(ISBLANK('SQL Builder'!K779)=FALSE,(DATE(LEFT('SQL Builder'!K779,4),MID('SQL Builder'!K779,6,2),MID('SQL Builder'!K779,9,2))),NA())</f>
        <v>#N/A</v>
      </c>
      <c r="C804" s="50" t="str">
        <f>IF(ISBLANK('SQL Builder'!K779)=FALSE,'SQL Builder'!L779,"")</f>
        <v/>
      </c>
      <c r="D804" s="1" t="str">
        <f>IF(ISBLANK('SQL Builder'!K779)=FALSE,'SQL Builder'!O779,"")</f>
        <v/>
      </c>
      <c r="H804" s="43" t="str">
        <f>IF(ISBLANK('SQL Builder'!K778)=FALSE,H803+1,"")</f>
        <v/>
      </c>
      <c r="I804" s="1" t="str">
        <f>IF(ISBLANK('SQL Builder'!P779)=FALSE,'SQL Builder'!N779,"")</f>
        <v/>
      </c>
      <c r="J804" s="79">
        <f t="shared" si="12"/>
        <v>0</v>
      </c>
    </row>
    <row r="805" spans="2:10" ht="16.5" x14ac:dyDescent="0.25">
      <c r="B805" s="49" t="e">
        <f>IF(ISBLANK('SQL Builder'!K780)=FALSE,(DATE(LEFT('SQL Builder'!K780,4),MID('SQL Builder'!K780,6,2),MID('SQL Builder'!K780,9,2))),NA())</f>
        <v>#N/A</v>
      </c>
      <c r="C805" s="50" t="str">
        <f>IF(ISBLANK('SQL Builder'!K780)=FALSE,'SQL Builder'!L780,"")</f>
        <v/>
      </c>
      <c r="D805" s="1" t="str">
        <f>IF(ISBLANK('SQL Builder'!K780)=FALSE,'SQL Builder'!O780,"")</f>
        <v/>
      </c>
      <c r="H805" s="43" t="str">
        <f>IF(ISBLANK('SQL Builder'!K779)=FALSE,H804+1,"")</f>
        <v/>
      </c>
      <c r="I805" s="1" t="str">
        <f>IF(ISBLANK('SQL Builder'!P780)=FALSE,'SQL Builder'!N780,"")</f>
        <v/>
      </c>
      <c r="J805" s="79">
        <f t="shared" si="12"/>
        <v>0</v>
      </c>
    </row>
    <row r="806" spans="2:10" ht="16.5" x14ac:dyDescent="0.25">
      <c r="B806" s="49" t="e">
        <f>IF(ISBLANK('SQL Builder'!K781)=FALSE,(DATE(LEFT('SQL Builder'!K781,4),MID('SQL Builder'!K781,6,2),MID('SQL Builder'!K781,9,2))),NA())</f>
        <v>#N/A</v>
      </c>
      <c r="C806" s="50" t="str">
        <f>IF(ISBLANK('SQL Builder'!K781)=FALSE,'SQL Builder'!L781,"")</f>
        <v/>
      </c>
      <c r="D806" s="1" t="str">
        <f>IF(ISBLANK('SQL Builder'!K781)=FALSE,'SQL Builder'!O781,"")</f>
        <v/>
      </c>
      <c r="H806" s="43" t="str">
        <f>IF(ISBLANK('SQL Builder'!K780)=FALSE,H805+1,"")</f>
        <v/>
      </c>
      <c r="I806" s="1" t="str">
        <f>IF(ISBLANK('SQL Builder'!P781)=FALSE,'SQL Builder'!N781,"")</f>
        <v/>
      </c>
      <c r="J806" s="79">
        <f t="shared" si="12"/>
        <v>0</v>
      </c>
    </row>
    <row r="807" spans="2:10" ht="16.5" x14ac:dyDescent="0.25">
      <c r="B807" s="49" t="e">
        <f>IF(ISBLANK('SQL Builder'!K782)=FALSE,(DATE(LEFT('SQL Builder'!K782,4),MID('SQL Builder'!K782,6,2),MID('SQL Builder'!K782,9,2))),NA())</f>
        <v>#N/A</v>
      </c>
      <c r="C807" s="50" t="str">
        <f>IF(ISBLANK('SQL Builder'!K782)=FALSE,'SQL Builder'!L782,"")</f>
        <v/>
      </c>
      <c r="D807" s="1" t="str">
        <f>IF(ISBLANK('SQL Builder'!K782)=FALSE,'SQL Builder'!O782,"")</f>
        <v/>
      </c>
      <c r="H807" s="43" t="str">
        <f>IF(ISBLANK('SQL Builder'!K781)=FALSE,H806+1,"")</f>
        <v/>
      </c>
      <c r="I807" s="1" t="str">
        <f>IF(ISBLANK('SQL Builder'!P782)=FALSE,'SQL Builder'!N782,"")</f>
        <v/>
      </c>
      <c r="J807" s="79">
        <f t="shared" si="12"/>
        <v>0</v>
      </c>
    </row>
    <row r="808" spans="2:10" ht="16.5" x14ac:dyDescent="0.25">
      <c r="B808" s="49" t="e">
        <f>IF(ISBLANK('SQL Builder'!K783)=FALSE,(DATE(LEFT('SQL Builder'!K783,4),MID('SQL Builder'!K783,6,2),MID('SQL Builder'!K783,9,2))),NA())</f>
        <v>#N/A</v>
      </c>
      <c r="C808" s="50" t="str">
        <f>IF(ISBLANK('SQL Builder'!K783)=FALSE,'SQL Builder'!L783,"")</f>
        <v/>
      </c>
      <c r="D808" s="1" t="str">
        <f>IF(ISBLANK('SQL Builder'!K783)=FALSE,'SQL Builder'!O783,"")</f>
        <v/>
      </c>
      <c r="H808" s="43" t="str">
        <f>IF(ISBLANK('SQL Builder'!K782)=FALSE,H807+1,"")</f>
        <v/>
      </c>
      <c r="I808" s="1" t="str">
        <f>IF(ISBLANK('SQL Builder'!P783)=FALSE,'SQL Builder'!N783,"")</f>
        <v/>
      </c>
      <c r="J808" s="79">
        <f t="shared" si="12"/>
        <v>0</v>
      </c>
    </row>
    <row r="809" spans="2:10" ht="16.5" x14ac:dyDescent="0.25">
      <c r="B809" s="49" t="e">
        <f>IF(ISBLANK('SQL Builder'!K784)=FALSE,(DATE(LEFT('SQL Builder'!K784,4),MID('SQL Builder'!K784,6,2),MID('SQL Builder'!K784,9,2))),NA())</f>
        <v>#N/A</v>
      </c>
      <c r="C809" s="50" t="str">
        <f>IF(ISBLANK('SQL Builder'!K784)=FALSE,'SQL Builder'!L784,"")</f>
        <v/>
      </c>
      <c r="D809" s="1" t="str">
        <f>IF(ISBLANK('SQL Builder'!K784)=FALSE,'SQL Builder'!O784,"")</f>
        <v/>
      </c>
      <c r="H809" s="43" t="str">
        <f>IF(ISBLANK('SQL Builder'!K783)=FALSE,H808+1,"")</f>
        <v/>
      </c>
      <c r="I809" s="1" t="str">
        <f>IF(ISBLANK('SQL Builder'!P784)=FALSE,'SQL Builder'!N784,"")</f>
        <v/>
      </c>
      <c r="J809" s="79">
        <f t="shared" si="12"/>
        <v>0</v>
      </c>
    </row>
    <row r="810" spans="2:10" ht="16.5" x14ac:dyDescent="0.25">
      <c r="B810" s="49" t="e">
        <f>IF(ISBLANK('SQL Builder'!K785)=FALSE,(DATE(LEFT('SQL Builder'!K785,4),MID('SQL Builder'!K785,6,2),MID('SQL Builder'!K785,9,2))),NA())</f>
        <v>#N/A</v>
      </c>
      <c r="C810" s="50" t="str">
        <f>IF(ISBLANK('SQL Builder'!K785)=FALSE,'SQL Builder'!L785,"")</f>
        <v/>
      </c>
      <c r="D810" s="1" t="str">
        <f>IF(ISBLANK('SQL Builder'!K785)=FALSE,'SQL Builder'!O785,"")</f>
        <v/>
      </c>
      <c r="H810" s="43" t="str">
        <f>IF(ISBLANK('SQL Builder'!K784)=FALSE,H809+1,"")</f>
        <v/>
      </c>
      <c r="I810" s="1" t="str">
        <f>IF(ISBLANK('SQL Builder'!P785)=FALSE,'SQL Builder'!N785,"")</f>
        <v/>
      </c>
      <c r="J810" s="79">
        <f t="shared" si="12"/>
        <v>0</v>
      </c>
    </row>
    <row r="811" spans="2:10" ht="16.5" x14ac:dyDescent="0.25">
      <c r="B811" s="49" t="e">
        <f>IF(ISBLANK('SQL Builder'!K786)=FALSE,(DATE(LEFT('SQL Builder'!K786,4),MID('SQL Builder'!K786,6,2),MID('SQL Builder'!K786,9,2))),NA())</f>
        <v>#N/A</v>
      </c>
      <c r="C811" s="50" t="str">
        <f>IF(ISBLANK('SQL Builder'!K786)=FALSE,'SQL Builder'!L786,"")</f>
        <v/>
      </c>
      <c r="D811" s="1" t="str">
        <f>IF(ISBLANK('SQL Builder'!K786)=FALSE,'SQL Builder'!O786,"")</f>
        <v/>
      </c>
      <c r="H811" s="43" t="str">
        <f>IF(ISBLANK('SQL Builder'!K785)=FALSE,H810+1,"")</f>
        <v/>
      </c>
      <c r="I811" s="1" t="str">
        <f>IF(ISBLANK('SQL Builder'!P786)=FALSE,'SQL Builder'!N786,"")</f>
        <v/>
      </c>
      <c r="J811" s="79">
        <f t="shared" si="12"/>
        <v>0</v>
      </c>
    </row>
    <row r="812" spans="2:10" ht="16.5" x14ac:dyDescent="0.25">
      <c r="B812" s="49" t="e">
        <f>IF(ISBLANK('SQL Builder'!K787)=FALSE,(DATE(LEFT('SQL Builder'!K787,4),MID('SQL Builder'!K787,6,2),MID('SQL Builder'!K787,9,2))),NA())</f>
        <v>#N/A</v>
      </c>
      <c r="C812" s="50" t="str">
        <f>IF(ISBLANK('SQL Builder'!K787)=FALSE,'SQL Builder'!L787,"")</f>
        <v/>
      </c>
      <c r="D812" s="1" t="str">
        <f>IF(ISBLANK('SQL Builder'!K787)=FALSE,'SQL Builder'!O787,"")</f>
        <v/>
      </c>
      <c r="H812" s="43" t="str">
        <f>IF(ISBLANK('SQL Builder'!K786)=FALSE,H811+1,"")</f>
        <v/>
      </c>
      <c r="I812" s="1" t="str">
        <f>IF(ISBLANK('SQL Builder'!P787)=FALSE,'SQL Builder'!N787,"")</f>
        <v/>
      </c>
      <c r="J812" s="79">
        <f t="shared" si="12"/>
        <v>0</v>
      </c>
    </row>
    <row r="813" spans="2:10" ht="16.5" x14ac:dyDescent="0.25">
      <c r="B813" s="49" t="e">
        <f>IF(ISBLANK('SQL Builder'!K788)=FALSE,(DATE(LEFT('SQL Builder'!K788,4),MID('SQL Builder'!K788,6,2),MID('SQL Builder'!K788,9,2))),NA())</f>
        <v>#N/A</v>
      </c>
      <c r="C813" s="50" t="str">
        <f>IF(ISBLANK('SQL Builder'!K788)=FALSE,'SQL Builder'!L788,"")</f>
        <v/>
      </c>
      <c r="D813" s="1" t="str">
        <f>IF(ISBLANK('SQL Builder'!K788)=FALSE,'SQL Builder'!O788,"")</f>
        <v/>
      </c>
      <c r="H813" s="43" t="str">
        <f>IF(ISBLANK('SQL Builder'!K787)=FALSE,H812+1,"")</f>
        <v/>
      </c>
      <c r="I813" s="1" t="str">
        <f>IF(ISBLANK('SQL Builder'!P788)=FALSE,'SQL Builder'!N788,"")</f>
        <v/>
      </c>
      <c r="J813" s="79">
        <f t="shared" si="12"/>
        <v>0</v>
      </c>
    </row>
    <row r="814" spans="2:10" ht="16.5" x14ac:dyDescent="0.25">
      <c r="B814" s="49" t="e">
        <f>IF(ISBLANK('SQL Builder'!K789)=FALSE,(DATE(LEFT('SQL Builder'!K789,4),MID('SQL Builder'!K789,6,2),MID('SQL Builder'!K789,9,2))),NA())</f>
        <v>#N/A</v>
      </c>
      <c r="C814" s="50" t="str">
        <f>IF(ISBLANK('SQL Builder'!K789)=FALSE,'SQL Builder'!L789,"")</f>
        <v/>
      </c>
      <c r="D814" s="1" t="str">
        <f>IF(ISBLANK('SQL Builder'!K789)=FALSE,'SQL Builder'!O789,"")</f>
        <v/>
      </c>
      <c r="H814" s="43" t="str">
        <f>IF(ISBLANK('SQL Builder'!K788)=FALSE,H813+1,"")</f>
        <v/>
      </c>
      <c r="I814" s="1" t="str">
        <f>IF(ISBLANK('SQL Builder'!P789)=FALSE,'SQL Builder'!N789,"")</f>
        <v/>
      </c>
      <c r="J814" s="79">
        <f t="shared" si="12"/>
        <v>0</v>
      </c>
    </row>
    <row r="815" spans="2:10" ht="16.5" x14ac:dyDescent="0.25">
      <c r="B815" s="49" t="e">
        <f>IF(ISBLANK('SQL Builder'!K790)=FALSE,(DATE(LEFT('SQL Builder'!K790,4),MID('SQL Builder'!K790,6,2),MID('SQL Builder'!K790,9,2))),NA())</f>
        <v>#N/A</v>
      </c>
      <c r="C815" s="50" t="str">
        <f>IF(ISBLANK('SQL Builder'!K790)=FALSE,'SQL Builder'!L790,"")</f>
        <v/>
      </c>
      <c r="D815" s="1" t="str">
        <f>IF(ISBLANK('SQL Builder'!K790)=FALSE,'SQL Builder'!O790,"")</f>
        <v/>
      </c>
      <c r="H815" s="43" t="str">
        <f>IF(ISBLANK('SQL Builder'!K789)=FALSE,H814+1,"")</f>
        <v/>
      </c>
      <c r="I815" s="1" t="str">
        <f>IF(ISBLANK('SQL Builder'!P790)=FALSE,'SQL Builder'!N790,"")</f>
        <v/>
      </c>
      <c r="J815" s="79">
        <f t="shared" si="12"/>
        <v>0</v>
      </c>
    </row>
    <row r="816" spans="2:10" ht="16.5" x14ac:dyDescent="0.25">
      <c r="B816" s="49" t="e">
        <f>IF(ISBLANK('SQL Builder'!K791)=FALSE,(DATE(LEFT('SQL Builder'!K791,4),MID('SQL Builder'!K791,6,2),MID('SQL Builder'!K791,9,2))),NA())</f>
        <v>#N/A</v>
      </c>
      <c r="C816" s="50" t="str">
        <f>IF(ISBLANK('SQL Builder'!K791)=FALSE,'SQL Builder'!L791,"")</f>
        <v/>
      </c>
      <c r="D816" s="1" t="str">
        <f>IF(ISBLANK('SQL Builder'!K791)=FALSE,'SQL Builder'!O791,"")</f>
        <v/>
      </c>
      <c r="H816" s="43" t="str">
        <f>IF(ISBLANK('SQL Builder'!K790)=FALSE,H815+1,"")</f>
        <v/>
      </c>
      <c r="I816" s="1" t="str">
        <f>IF(ISBLANK('SQL Builder'!P791)=FALSE,'SQL Builder'!N791,"")</f>
        <v/>
      </c>
      <c r="J816" s="79">
        <f t="shared" si="12"/>
        <v>0</v>
      </c>
    </row>
    <row r="817" spans="2:10" ht="16.5" x14ac:dyDescent="0.25">
      <c r="B817" s="49" t="e">
        <f>IF(ISBLANK('SQL Builder'!K792)=FALSE,(DATE(LEFT('SQL Builder'!K792,4),MID('SQL Builder'!K792,6,2),MID('SQL Builder'!K792,9,2))),NA())</f>
        <v>#N/A</v>
      </c>
      <c r="C817" s="50" t="str">
        <f>IF(ISBLANK('SQL Builder'!K792)=FALSE,'SQL Builder'!L792,"")</f>
        <v/>
      </c>
      <c r="D817" s="1" t="str">
        <f>IF(ISBLANK('SQL Builder'!K792)=FALSE,'SQL Builder'!O792,"")</f>
        <v/>
      </c>
      <c r="H817" s="43" t="str">
        <f>IF(ISBLANK('SQL Builder'!K791)=FALSE,H816+1,"")</f>
        <v/>
      </c>
      <c r="I817" s="1" t="str">
        <f>IF(ISBLANK('SQL Builder'!P792)=FALSE,'SQL Builder'!N792,"")</f>
        <v/>
      </c>
      <c r="J817" s="79">
        <f t="shared" si="12"/>
        <v>0</v>
      </c>
    </row>
    <row r="818" spans="2:10" ht="16.5" x14ac:dyDescent="0.25">
      <c r="B818" s="49" t="e">
        <f>IF(ISBLANK('SQL Builder'!K793)=FALSE,(DATE(LEFT('SQL Builder'!K793,4),MID('SQL Builder'!K793,6,2),MID('SQL Builder'!K793,9,2))),NA())</f>
        <v>#N/A</v>
      </c>
      <c r="C818" s="50" t="str">
        <f>IF(ISBLANK('SQL Builder'!K793)=FALSE,'SQL Builder'!L793,"")</f>
        <v/>
      </c>
      <c r="D818" s="1" t="str">
        <f>IF(ISBLANK('SQL Builder'!K793)=FALSE,'SQL Builder'!O793,"")</f>
        <v/>
      </c>
      <c r="H818" s="43" t="str">
        <f>IF(ISBLANK('SQL Builder'!K792)=FALSE,H817+1,"")</f>
        <v/>
      </c>
      <c r="I818" s="1" t="str">
        <f>IF(ISBLANK('SQL Builder'!P793)=FALSE,'SQL Builder'!N793,"")</f>
        <v/>
      </c>
      <c r="J818" s="79">
        <f t="shared" si="12"/>
        <v>0</v>
      </c>
    </row>
    <row r="819" spans="2:10" ht="16.5" x14ac:dyDescent="0.25">
      <c r="B819" s="49" t="e">
        <f>IF(ISBLANK('SQL Builder'!K794)=FALSE,(DATE(LEFT('SQL Builder'!K794,4),MID('SQL Builder'!K794,6,2),MID('SQL Builder'!K794,9,2))),NA())</f>
        <v>#N/A</v>
      </c>
      <c r="C819" s="50" t="str">
        <f>IF(ISBLANK('SQL Builder'!K794)=FALSE,'SQL Builder'!L794,"")</f>
        <v/>
      </c>
      <c r="D819" s="1" t="str">
        <f>IF(ISBLANK('SQL Builder'!K794)=FALSE,'SQL Builder'!O794,"")</f>
        <v/>
      </c>
      <c r="H819" s="43" t="str">
        <f>IF(ISBLANK('SQL Builder'!K793)=FALSE,H818+1,"")</f>
        <v/>
      </c>
      <c r="I819" s="1" t="str">
        <f>IF(ISBLANK('SQL Builder'!P794)=FALSE,'SQL Builder'!N794,"")</f>
        <v/>
      </c>
      <c r="J819" s="79">
        <f t="shared" si="12"/>
        <v>0</v>
      </c>
    </row>
    <row r="820" spans="2:10" ht="16.5" x14ac:dyDescent="0.25">
      <c r="B820" s="49" t="e">
        <f>IF(ISBLANK('SQL Builder'!K795)=FALSE,(DATE(LEFT('SQL Builder'!K795,4),MID('SQL Builder'!K795,6,2),MID('SQL Builder'!K795,9,2))),NA())</f>
        <v>#N/A</v>
      </c>
      <c r="C820" s="50" t="str">
        <f>IF(ISBLANK('SQL Builder'!K795)=FALSE,'SQL Builder'!L795,"")</f>
        <v/>
      </c>
      <c r="D820" s="1" t="str">
        <f>IF(ISBLANK('SQL Builder'!K795)=FALSE,'SQL Builder'!O795,"")</f>
        <v/>
      </c>
      <c r="H820" s="43" t="str">
        <f>IF(ISBLANK('SQL Builder'!K794)=FALSE,H819+1,"")</f>
        <v/>
      </c>
      <c r="I820" s="1" t="str">
        <f>IF(ISBLANK('SQL Builder'!P795)=FALSE,'SQL Builder'!N795,"")</f>
        <v/>
      </c>
      <c r="J820" s="79">
        <f t="shared" si="12"/>
        <v>0</v>
      </c>
    </row>
    <row r="821" spans="2:10" ht="16.5" x14ac:dyDescent="0.25">
      <c r="B821" s="49" t="e">
        <f>IF(ISBLANK('SQL Builder'!K796)=FALSE,(DATE(LEFT('SQL Builder'!K796,4),MID('SQL Builder'!K796,6,2),MID('SQL Builder'!K796,9,2))),NA())</f>
        <v>#N/A</v>
      </c>
      <c r="C821" s="50" t="str">
        <f>IF(ISBLANK('SQL Builder'!K796)=FALSE,'SQL Builder'!L796,"")</f>
        <v/>
      </c>
      <c r="D821" s="1" t="str">
        <f>IF(ISBLANK('SQL Builder'!K796)=FALSE,'SQL Builder'!O796,"")</f>
        <v/>
      </c>
      <c r="H821" s="43" t="str">
        <f>IF(ISBLANK('SQL Builder'!K795)=FALSE,H820+1,"")</f>
        <v/>
      </c>
      <c r="I821" s="1" t="str">
        <f>IF(ISBLANK('SQL Builder'!P796)=FALSE,'SQL Builder'!N796,"")</f>
        <v/>
      </c>
      <c r="J821" s="79">
        <f t="shared" si="12"/>
        <v>0</v>
      </c>
    </row>
    <row r="822" spans="2:10" ht="16.5" x14ac:dyDescent="0.25">
      <c r="B822" s="49" t="e">
        <f>IF(ISBLANK('SQL Builder'!K797)=FALSE,(DATE(LEFT('SQL Builder'!K797,4),MID('SQL Builder'!K797,6,2),MID('SQL Builder'!K797,9,2))),NA())</f>
        <v>#N/A</v>
      </c>
      <c r="C822" s="50" t="str">
        <f>IF(ISBLANK('SQL Builder'!K797)=FALSE,'SQL Builder'!L797,"")</f>
        <v/>
      </c>
      <c r="D822" s="1" t="str">
        <f>IF(ISBLANK('SQL Builder'!K797)=FALSE,'SQL Builder'!O797,"")</f>
        <v/>
      </c>
      <c r="H822" s="43" t="str">
        <f>IF(ISBLANK('SQL Builder'!K796)=FALSE,H821+1,"")</f>
        <v/>
      </c>
      <c r="I822" s="1" t="str">
        <f>IF(ISBLANK('SQL Builder'!P797)=FALSE,'SQL Builder'!N797,"")</f>
        <v/>
      </c>
      <c r="J822" s="79">
        <f t="shared" si="12"/>
        <v>0</v>
      </c>
    </row>
    <row r="823" spans="2:10" ht="16.5" x14ac:dyDescent="0.25">
      <c r="B823" s="49" t="e">
        <f>IF(ISBLANK('SQL Builder'!K798)=FALSE,(DATE(LEFT('SQL Builder'!K798,4),MID('SQL Builder'!K798,6,2),MID('SQL Builder'!K798,9,2))),NA())</f>
        <v>#N/A</v>
      </c>
      <c r="C823" s="50" t="str">
        <f>IF(ISBLANK('SQL Builder'!K798)=FALSE,'SQL Builder'!L798,"")</f>
        <v/>
      </c>
      <c r="D823" s="1" t="str">
        <f>IF(ISBLANK('SQL Builder'!K798)=FALSE,'SQL Builder'!O798,"")</f>
        <v/>
      </c>
      <c r="H823" s="43" t="str">
        <f>IF(ISBLANK('SQL Builder'!K797)=FALSE,H822+1,"")</f>
        <v/>
      </c>
      <c r="I823" s="1" t="str">
        <f>IF(ISBLANK('SQL Builder'!P798)=FALSE,'SQL Builder'!N798,"")</f>
        <v/>
      </c>
      <c r="J823" s="79">
        <f t="shared" si="12"/>
        <v>0</v>
      </c>
    </row>
    <row r="824" spans="2:10" ht="16.5" x14ac:dyDescent="0.25">
      <c r="B824" s="49" t="e">
        <f>IF(ISBLANK('SQL Builder'!K799)=FALSE,(DATE(LEFT('SQL Builder'!K799,4),MID('SQL Builder'!K799,6,2),MID('SQL Builder'!K799,9,2))),NA())</f>
        <v>#N/A</v>
      </c>
      <c r="C824" s="50" t="str">
        <f>IF(ISBLANK('SQL Builder'!K799)=FALSE,'SQL Builder'!L799,"")</f>
        <v/>
      </c>
      <c r="D824" s="1" t="str">
        <f>IF(ISBLANK('SQL Builder'!K799)=FALSE,'SQL Builder'!O799,"")</f>
        <v/>
      </c>
      <c r="H824" s="43" t="str">
        <f>IF(ISBLANK('SQL Builder'!K798)=FALSE,H823+1,"")</f>
        <v/>
      </c>
      <c r="I824" s="1" t="str">
        <f>IF(ISBLANK('SQL Builder'!P799)=FALSE,'SQL Builder'!N799,"")</f>
        <v/>
      </c>
      <c r="J824" s="79">
        <f t="shared" si="12"/>
        <v>0</v>
      </c>
    </row>
    <row r="825" spans="2:10" ht="16.5" x14ac:dyDescent="0.25">
      <c r="B825" s="49" t="e">
        <f>IF(ISBLANK('SQL Builder'!K800)=FALSE,(DATE(LEFT('SQL Builder'!K800,4),MID('SQL Builder'!K800,6,2),MID('SQL Builder'!K800,9,2))),NA())</f>
        <v>#N/A</v>
      </c>
      <c r="C825" s="50" t="str">
        <f>IF(ISBLANK('SQL Builder'!K800)=FALSE,'SQL Builder'!L800,"")</f>
        <v/>
      </c>
      <c r="D825" s="1" t="str">
        <f>IF(ISBLANK('SQL Builder'!K800)=FALSE,'SQL Builder'!O800,"")</f>
        <v/>
      </c>
      <c r="H825" s="43" t="str">
        <f>IF(ISBLANK('SQL Builder'!K799)=FALSE,H824+1,"")</f>
        <v/>
      </c>
      <c r="I825" s="1" t="str">
        <f>IF(ISBLANK('SQL Builder'!P800)=FALSE,'SQL Builder'!N800,"")</f>
        <v/>
      </c>
      <c r="J825" s="79">
        <f t="shared" si="12"/>
        <v>0</v>
      </c>
    </row>
    <row r="826" spans="2:10" ht="16.5" x14ac:dyDescent="0.25">
      <c r="B826" s="49" t="e">
        <f>IF(ISBLANK('SQL Builder'!K801)=FALSE,(DATE(LEFT('SQL Builder'!K801,4),MID('SQL Builder'!K801,6,2),MID('SQL Builder'!K801,9,2))),NA())</f>
        <v>#N/A</v>
      </c>
      <c r="C826" s="50" t="str">
        <f>IF(ISBLANK('SQL Builder'!K801)=FALSE,'SQL Builder'!L801,"")</f>
        <v/>
      </c>
      <c r="D826" s="1" t="str">
        <f>IF(ISBLANK('SQL Builder'!K801)=FALSE,'SQL Builder'!O801,"")</f>
        <v/>
      </c>
      <c r="H826" s="43" t="str">
        <f>IF(ISBLANK('SQL Builder'!K800)=FALSE,H825+1,"")</f>
        <v/>
      </c>
      <c r="I826" s="1" t="str">
        <f>IF(ISBLANK('SQL Builder'!P801)=FALSE,'SQL Builder'!N801,"")</f>
        <v/>
      </c>
      <c r="J826" s="79">
        <f t="shared" si="12"/>
        <v>0</v>
      </c>
    </row>
    <row r="827" spans="2:10" ht="16.5" x14ac:dyDescent="0.25">
      <c r="B827" s="49" t="e">
        <f>IF(ISBLANK('SQL Builder'!K802)=FALSE,(DATE(LEFT('SQL Builder'!K802,4),MID('SQL Builder'!K802,6,2),MID('SQL Builder'!K802,9,2))),NA())</f>
        <v>#N/A</v>
      </c>
      <c r="C827" s="50" t="str">
        <f>IF(ISBLANK('SQL Builder'!K802)=FALSE,'SQL Builder'!L802,"")</f>
        <v/>
      </c>
      <c r="D827" s="1" t="str">
        <f>IF(ISBLANK('SQL Builder'!K802)=FALSE,'SQL Builder'!O802,"")</f>
        <v/>
      </c>
      <c r="H827" s="43" t="str">
        <f>IF(ISBLANK('SQL Builder'!K801)=FALSE,H826+1,"")</f>
        <v/>
      </c>
      <c r="I827" s="1" t="str">
        <f>IF(ISBLANK('SQL Builder'!P802)=FALSE,'SQL Builder'!N802,"")</f>
        <v/>
      </c>
      <c r="J827" s="79">
        <f t="shared" si="12"/>
        <v>0</v>
      </c>
    </row>
    <row r="828" spans="2:10" ht="16.5" x14ac:dyDescent="0.25">
      <c r="B828" s="49" t="e">
        <f>IF(ISBLANK('SQL Builder'!K803)=FALSE,(DATE(LEFT('SQL Builder'!K803,4),MID('SQL Builder'!K803,6,2),MID('SQL Builder'!K803,9,2))),NA())</f>
        <v>#N/A</v>
      </c>
      <c r="C828" s="50" t="str">
        <f>IF(ISBLANK('SQL Builder'!K803)=FALSE,'SQL Builder'!L803,"")</f>
        <v/>
      </c>
      <c r="D828" s="1" t="str">
        <f>IF(ISBLANK('SQL Builder'!K803)=FALSE,'SQL Builder'!O803,"")</f>
        <v/>
      </c>
      <c r="H828" s="43" t="str">
        <f>IF(ISBLANK('SQL Builder'!K802)=FALSE,H827+1,"")</f>
        <v/>
      </c>
      <c r="I828" s="1" t="str">
        <f>IF(ISBLANK('SQL Builder'!P803)=FALSE,'SQL Builder'!N803,"")</f>
        <v/>
      </c>
      <c r="J828" s="79">
        <f t="shared" si="12"/>
        <v>0</v>
      </c>
    </row>
    <row r="829" spans="2:10" ht="16.5" x14ac:dyDescent="0.25">
      <c r="B829" s="49" t="e">
        <f>IF(ISBLANK('SQL Builder'!K804)=FALSE,(DATE(LEFT('SQL Builder'!K804,4),MID('SQL Builder'!K804,6,2),MID('SQL Builder'!K804,9,2))),NA())</f>
        <v>#N/A</v>
      </c>
      <c r="C829" s="50" t="str">
        <f>IF(ISBLANK('SQL Builder'!K804)=FALSE,'SQL Builder'!L804,"")</f>
        <v/>
      </c>
      <c r="D829" s="1" t="str">
        <f>IF(ISBLANK('SQL Builder'!K804)=FALSE,'SQL Builder'!O804,"")</f>
        <v/>
      </c>
      <c r="H829" s="43" t="str">
        <f>IF(ISBLANK('SQL Builder'!K803)=FALSE,H828+1,"")</f>
        <v/>
      </c>
      <c r="I829" s="1" t="str">
        <f>IF(ISBLANK('SQL Builder'!P804)=FALSE,'SQL Builder'!N804,"")</f>
        <v/>
      </c>
      <c r="J829" s="79">
        <f t="shared" si="12"/>
        <v>0</v>
      </c>
    </row>
    <row r="830" spans="2:10" ht="16.5" x14ac:dyDescent="0.25">
      <c r="B830" s="49" t="e">
        <f>IF(ISBLANK('SQL Builder'!K805)=FALSE,(DATE(LEFT('SQL Builder'!K805,4),MID('SQL Builder'!K805,6,2),MID('SQL Builder'!K805,9,2))),NA())</f>
        <v>#N/A</v>
      </c>
      <c r="C830" s="50" t="str">
        <f>IF(ISBLANK('SQL Builder'!K805)=FALSE,'SQL Builder'!L805,"")</f>
        <v/>
      </c>
      <c r="D830" s="1" t="str">
        <f>IF(ISBLANK('SQL Builder'!K805)=FALSE,'SQL Builder'!O805,"")</f>
        <v/>
      </c>
      <c r="H830" s="43" t="str">
        <f>IF(ISBLANK('SQL Builder'!K804)=FALSE,H829+1,"")</f>
        <v/>
      </c>
      <c r="I830" s="1" t="str">
        <f>IF(ISBLANK('SQL Builder'!P805)=FALSE,'SQL Builder'!N805,"")</f>
        <v/>
      </c>
      <c r="J830" s="79">
        <f t="shared" si="12"/>
        <v>0</v>
      </c>
    </row>
    <row r="831" spans="2:10" ht="16.5" x14ac:dyDescent="0.25">
      <c r="B831" s="49" t="e">
        <f>IF(ISBLANK('SQL Builder'!K806)=FALSE,(DATE(LEFT('SQL Builder'!K806,4),MID('SQL Builder'!K806,6,2),MID('SQL Builder'!K806,9,2))),NA())</f>
        <v>#N/A</v>
      </c>
      <c r="C831" s="50" t="str">
        <f>IF(ISBLANK('SQL Builder'!K806)=FALSE,'SQL Builder'!L806,"")</f>
        <v/>
      </c>
      <c r="D831" s="1" t="str">
        <f>IF(ISBLANK('SQL Builder'!K806)=FALSE,'SQL Builder'!O806,"")</f>
        <v/>
      </c>
      <c r="H831" s="43" t="str">
        <f>IF(ISBLANK('SQL Builder'!K805)=FALSE,H830+1,"")</f>
        <v/>
      </c>
      <c r="I831" s="1" t="str">
        <f>IF(ISBLANK('SQL Builder'!P806)=FALSE,'SQL Builder'!N806,"")</f>
        <v/>
      </c>
      <c r="J831" s="79">
        <f t="shared" si="12"/>
        <v>0</v>
      </c>
    </row>
    <row r="832" spans="2:10" ht="16.5" x14ac:dyDescent="0.25">
      <c r="B832" s="49" t="e">
        <f>IF(ISBLANK('SQL Builder'!K807)=FALSE,(DATE(LEFT('SQL Builder'!K807,4),MID('SQL Builder'!K807,6,2),MID('SQL Builder'!K807,9,2))),NA())</f>
        <v>#N/A</v>
      </c>
      <c r="C832" s="50" t="str">
        <f>IF(ISBLANK('SQL Builder'!K807)=FALSE,'SQL Builder'!L807,"")</f>
        <v/>
      </c>
      <c r="D832" s="1" t="str">
        <f>IF(ISBLANK('SQL Builder'!K807)=FALSE,'SQL Builder'!O807,"")</f>
        <v/>
      </c>
      <c r="H832" s="43" t="str">
        <f>IF(ISBLANK('SQL Builder'!K806)=FALSE,H831+1,"")</f>
        <v/>
      </c>
      <c r="I832" s="1" t="str">
        <f>IF(ISBLANK('SQL Builder'!P807)=FALSE,'SQL Builder'!N807,"")</f>
        <v/>
      </c>
      <c r="J832" s="79">
        <f t="shared" si="12"/>
        <v>0</v>
      </c>
    </row>
    <row r="833" spans="2:10" ht="16.5" x14ac:dyDescent="0.25">
      <c r="B833" s="49" t="e">
        <f>IF(ISBLANK('SQL Builder'!K808)=FALSE,(DATE(LEFT('SQL Builder'!K808,4),MID('SQL Builder'!K808,6,2),MID('SQL Builder'!K808,9,2))),NA())</f>
        <v>#N/A</v>
      </c>
      <c r="C833" s="50" t="str">
        <f>IF(ISBLANK('SQL Builder'!K808)=FALSE,'SQL Builder'!L808,"")</f>
        <v/>
      </c>
      <c r="D833" s="1" t="str">
        <f>IF(ISBLANK('SQL Builder'!K808)=FALSE,'SQL Builder'!O808,"")</f>
        <v/>
      </c>
      <c r="H833" s="43" t="str">
        <f>IF(ISBLANK('SQL Builder'!K807)=FALSE,H832+1,"")</f>
        <v/>
      </c>
      <c r="I833" s="1" t="str">
        <f>IF(ISBLANK('SQL Builder'!P808)=FALSE,'SQL Builder'!N808,"")</f>
        <v/>
      </c>
      <c r="J833" s="79">
        <f t="shared" si="12"/>
        <v>0</v>
      </c>
    </row>
    <row r="834" spans="2:10" ht="16.5" x14ac:dyDescent="0.25">
      <c r="B834" s="49" t="e">
        <f>IF(ISBLANK('SQL Builder'!K809)=FALSE,(DATE(LEFT('SQL Builder'!K809,4),MID('SQL Builder'!K809,6,2),MID('SQL Builder'!K809,9,2))),NA())</f>
        <v>#N/A</v>
      </c>
      <c r="C834" s="50" t="str">
        <f>IF(ISBLANK('SQL Builder'!K809)=FALSE,'SQL Builder'!L809,"")</f>
        <v/>
      </c>
      <c r="D834" s="1" t="str">
        <f>IF(ISBLANK('SQL Builder'!K809)=FALSE,'SQL Builder'!O809,"")</f>
        <v/>
      </c>
      <c r="H834" s="43" t="str">
        <f>IF(ISBLANK('SQL Builder'!K808)=FALSE,H833+1,"")</f>
        <v/>
      </c>
      <c r="I834" s="1" t="str">
        <f>IF(ISBLANK('SQL Builder'!P809)=FALSE,'SQL Builder'!N809,"")</f>
        <v/>
      </c>
      <c r="J834" s="79">
        <f t="shared" si="12"/>
        <v>0</v>
      </c>
    </row>
    <row r="835" spans="2:10" ht="16.5" x14ac:dyDescent="0.25">
      <c r="B835" s="49" t="e">
        <f>IF(ISBLANK('SQL Builder'!K810)=FALSE,(DATE(LEFT('SQL Builder'!K810,4),MID('SQL Builder'!K810,6,2),MID('SQL Builder'!K810,9,2))),NA())</f>
        <v>#N/A</v>
      </c>
      <c r="C835" s="50" t="str">
        <f>IF(ISBLANK('SQL Builder'!K810)=FALSE,'SQL Builder'!L810,"")</f>
        <v/>
      </c>
      <c r="D835" s="1" t="str">
        <f>IF(ISBLANK('SQL Builder'!K810)=FALSE,'SQL Builder'!O810,"")</f>
        <v/>
      </c>
      <c r="H835" s="43" t="str">
        <f>IF(ISBLANK('SQL Builder'!K809)=FALSE,H834+1,"")</f>
        <v/>
      </c>
      <c r="I835" s="1" t="str">
        <f>IF(ISBLANK('SQL Builder'!P810)=FALSE,'SQL Builder'!N810,"")</f>
        <v/>
      </c>
      <c r="J835" s="79">
        <f t="shared" si="12"/>
        <v>0</v>
      </c>
    </row>
    <row r="836" spans="2:10" ht="16.5" x14ac:dyDescent="0.25">
      <c r="B836" s="49" t="e">
        <f>IF(ISBLANK('SQL Builder'!K811)=FALSE,(DATE(LEFT('SQL Builder'!K811,4),MID('SQL Builder'!K811,6,2),MID('SQL Builder'!K811,9,2))),NA())</f>
        <v>#N/A</v>
      </c>
      <c r="C836" s="50" t="str">
        <f>IF(ISBLANK('SQL Builder'!K811)=FALSE,'SQL Builder'!L811,"")</f>
        <v/>
      </c>
      <c r="D836" s="1" t="str">
        <f>IF(ISBLANK('SQL Builder'!K811)=FALSE,'SQL Builder'!O811,"")</f>
        <v/>
      </c>
      <c r="H836" s="43" t="str">
        <f>IF(ISBLANK('SQL Builder'!K810)=FALSE,H835+1,"")</f>
        <v/>
      </c>
      <c r="I836" s="1" t="str">
        <f>IF(ISBLANK('SQL Builder'!P811)=FALSE,'SQL Builder'!N811,"")</f>
        <v/>
      </c>
      <c r="J836" s="79">
        <f t="shared" si="12"/>
        <v>0</v>
      </c>
    </row>
    <row r="837" spans="2:10" ht="16.5" x14ac:dyDescent="0.25">
      <c r="B837" s="49" t="e">
        <f>IF(ISBLANK('SQL Builder'!K812)=FALSE,(DATE(LEFT('SQL Builder'!K812,4),MID('SQL Builder'!K812,6,2),MID('SQL Builder'!K812,9,2))),NA())</f>
        <v>#N/A</v>
      </c>
      <c r="C837" s="50" t="str">
        <f>IF(ISBLANK('SQL Builder'!K812)=FALSE,'SQL Builder'!L812,"")</f>
        <v/>
      </c>
      <c r="D837" s="1" t="str">
        <f>IF(ISBLANK('SQL Builder'!K812)=FALSE,'SQL Builder'!O812,"")</f>
        <v/>
      </c>
      <c r="H837" s="43" t="str">
        <f>IF(ISBLANK('SQL Builder'!K811)=FALSE,H836+1,"")</f>
        <v/>
      </c>
      <c r="I837" s="1" t="str">
        <f>IF(ISBLANK('SQL Builder'!P812)=FALSE,'SQL Builder'!N812,"")</f>
        <v/>
      </c>
      <c r="J837" s="79">
        <f t="shared" si="12"/>
        <v>0</v>
      </c>
    </row>
    <row r="838" spans="2:10" ht="16.5" x14ac:dyDescent="0.25">
      <c r="B838" s="49" t="e">
        <f>IF(ISBLANK('SQL Builder'!K813)=FALSE,(DATE(LEFT('SQL Builder'!K813,4),MID('SQL Builder'!K813,6,2),MID('SQL Builder'!K813,9,2))),NA())</f>
        <v>#N/A</v>
      </c>
      <c r="C838" s="50" t="str">
        <f>IF(ISBLANK('SQL Builder'!K813)=FALSE,'SQL Builder'!L813,"")</f>
        <v/>
      </c>
      <c r="D838" s="1" t="str">
        <f>IF(ISBLANK('SQL Builder'!K813)=FALSE,'SQL Builder'!O813,"")</f>
        <v/>
      </c>
      <c r="H838" s="43" t="str">
        <f>IF(ISBLANK('SQL Builder'!K812)=FALSE,H837+1,"")</f>
        <v/>
      </c>
      <c r="I838" s="1" t="str">
        <f>IF(ISBLANK('SQL Builder'!P813)=FALSE,'SQL Builder'!N813,"")</f>
        <v/>
      </c>
      <c r="J838" s="79">
        <f t="shared" si="12"/>
        <v>0</v>
      </c>
    </row>
    <row r="839" spans="2:10" ht="16.5" x14ac:dyDescent="0.25">
      <c r="B839" s="49" t="e">
        <f>IF(ISBLANK('SQL Builder'!K814)=FALSE,(DATE(LEFT('SQL Builder'!K814,4),MID('SQL Builder'!K814,6,2),MID('SQL Builder'!K814,9,2))),NA())</f>
        <v>#N/A</v>
      </c>
      <c r="C839" s="50" t="str">
        <f>IF(ISBLANK('SQL Builder'!K814)=FALSE,'SQL Builder'!L814,"")</f>
        <v/>
      </c>
      <c r="D839" s="1" t="str">
        <f>IF(ISBLANK('SQL Builder'!K814)=FALSE,'SQL Builder'!O814,"")</f>
        <v/>
      </c>
      <c r="H839" s="43" t="str">
        <f>IF(ISBLANK('SQL Builder'!K813)=FALSE,H838+1,"")</f>
        <v/>
      </c>
      <c r="I839" s="1" t="str">
        <f>IF(ISBLANK('SQL Builder'!P814)=FALSE,'SQL Builder'!N814,"")</f>
        <v/>
      </c>
      <c r="J839" s="79">
        <f t="shared" si="12"/>
        <v>0</v>
      </c>
    </row>
    <row r="840" spans="2:10" ht="16.5" x14ac:dyDescent="0.25">
      <c r="B840" s="49" t="e">
        <f>IF(ISBLANK('SQL Builder'!K815)=FALSE,(DATE(LEFT('SQL Builder'!K815,4),MID('SQL Builder'!K815,6,2),MID('SQL Builder'!K815,9,2))),NA())</f>
        <v>#N/A</v>
      </c>
      <c r="C840" s="50" t="str">
        <f>IF(ISBLANK('SQL Builder'!K815)=FALSE,'SQL Builder'!L815,"")</f>
        <v/>
      </c>
      <c r="D840" s="1" t="str">
        <f>IF(ISBLANK('SQL Builder'!K815)=FALSE,'SQL Builder'!O815,"")</f>
        <v/>
      </c>
      <c r="H840" s="43" t="str">
        <f>IF(ISBLANK('SQL Builder'!K814)=FALSE,H839+1,"")</f>
        <v/>
      </c>
      <c r="I840" s="1" t="str">
        <f>IF(ISBLANK('SQL Builder'!P815)=FALSE,'SQL Builder'!N815,"")</f>
        <v/>
      </c>
      <c r="J840" s="79">
        <f t="shared" si="12"/>
        <v>0</v>
      </c>
    </row>
    <row r="841" spans="2:10" ht="16.5" x14ac:dyDescent="0.25">
      <c r="B841" s="49" t="e">
        <f>IF(ISBLANK('SQL Builder'!K816)=FALSE,(DATE(LEFT('SQL Builder'!K816,4),MID('SQL Builder'!K816,6,2),MID('SQL Builder'!K816,9,2))),NA())</f>
        <v>#N/A</v>
      </c>
      <c r="C841" s="50" t="str">
        <f>IF(ISBLANK('SQL Builder'!K816)=FALSE,'SQL Builder'!L816,"")</f>
        <v/>
      </c>
      <c r="D841" s="1" t="str">
        <f>IF(ISBLANK('SQL Builder'!K816)=FALSE,'SQL Builder'!O816,"")</f>
        <v/>
      </c>
      <c r="H841" s="43" t="str">
        <f>IF(ISBLANK('SQL Builder'!K815)=FALSE,H840+1,"")</f>
        <v/>
      </c>
      <c r="I841" s="1" t="str">
        <f>IF(ISBLANK('SQL Builder'!P816)=FALSE,'SQL Builder'!N816,"")</f>
        <v/>
      </c>
      <c r="J841" s="79">
        <f t="shared" si="12"/>
        <v>0</v>
      </c>
    </row>
    <row r="842" spans="2:10" ht="16.5" x14ac:dyDescent="0.25">
      <c r="B842" s="49" t="e">
        <f>IF(ISBLANK('SQL Builder'!K817)=FALSE,(DATE(LEFT('SQL Builder'!K817,4),MID('SQL Builder'!K817,6,2),MID('SQL Builder'!K817,9,2))),NA())</f>
        <v>#N/A</v>
      </c>
      <c r="C842" s="50" t="str">
        <f>IF(ISBLANK('SQL Builder'!K817)=FALSE,'SQL Builder'!L817,"")</f>
        <v/>
      </c>
      <c r="D842" s="1" t="str">
        <f>IF(ISBLANK('SQL Builder'!K817)=FALSE,'SQL Builder'!O817,"")</f>
        <v/>
      </c>
      <c r="H842" s="43" t="str">
        <f>IF(ISBLANK('SQL Builder'!K816)=FALSE,H841+1,"")</f>
        <v/>
      </c>
      <c r="I842" s="1" t="str">
        <f>IF(ISBLANK('SQL Builder'!P817)=FALSE,'SQL Builder'!N817,"")</f>
        <v/>
      </c>
      <c r="J842" s="79">
        <f t="shared" si="12"/>
        <v>0</v>
      </c>
    </row>
    <row r="843" spans="2:10" ht="16.5" x14ac:dyDescent="0.25">
      <c r="B843" s="49" t="e">
        <f>IF(ISBLANK('SQL Builder'!K818)=FALSE,(DATE(LEFT('SQL Builder'!K818,4),MID('SQL Builder'!K818,6,2),MID('SQL Builder'!K818,9,2))),NA())</f>
        <v>#N/A</v>
      </c>
      <c r="C843" s="50" t="str">
        <f>IF(ISBLANK('SQL Builder'!K818)=FALSE,'SQL Builder'!L818,"")</f>
        <v/>
      </c>
      <c r="D843" s="1" t="str">
        <f>IF(ISBLANK('SQL Builder'!K818)=FALSE,'SQL Builder'!O818,"")</f>
        <v/>
      </c>
      <c r="H843" s="43" t="str">
        <f>IF(ISBLANK('SQL Builder'!K817)=FALSE,H842+1,"")</f>
        <v/>
      </c>
      <c r="I843" s="1" t="str">
        <f>IF(ISBLANK('SQL Builder'!P818)=FALSE,'SQL Builder'!N818,"")</f>
        <v/>
      </c>
      <c r="J843" s="79">
        <f t="shared" si="12"/>
        <v>0</v>
      </c>
    </row>
    <row r="844" spans="2:10" ht="16.5" x14ac:dyDescent="0.25">
      <c r="B844" s="49" t="e">
        <f>IF(ISBLANK('SQL Builder'!K819)=FALSE,(DATE(LEFT('SQL Builder'!K819,4),MID('SQL Builder'!K819,6,2),MID('SQL Builder'!K819,9,2))),NA())</f>
        <v>#N/A</v>
      </c>
      <c r="C844" s="50" t="str">
        <f>IF(ISBLANK('SQL Builder'!K819)=FALSE,'SQL Builder'!L819,"")</f>
        <v/>
      </c>
      <c r="D844" s="1" t="str">
        <f>IF(ISBLANK('SQL Builder'!K819)=FALSE,'SQL Builder'!O819,"")</f>
        <v/>
      </c>
      <c r="H844" s="43" t="str">
        <f>IF(ISBLANK('SQL Builder'!K818)=FALSE,H843+1,"")</f>
        <v/>
      </c>
      <c r="I844" s="1" t="str">
        <f>IF(ISBLANK('SQL Builder'!P819)=FALSE,'SQL Builder'!N819,"")</f>
        <v/>
      </c>
      <c r="J844" s="79">
        <f t="shared" si="12"/>
        <v>0</v>
      </c>
    </row>
    <row r="845" spans="2:10" ht="16.5" x14ac:dyDescent="0.25">
      <c r="B845" s="49" t="e">
        <f>IF(ISBLANK('SQL Builder'!K820)=FALSE,(DATE(LEFT('SQL Builder'!K820,4),MID('SQL Builder'!K820,6,2),MID('SQL Builder'!K820,9,2))),NA())</f>
        <v>#N/A</v>
      </c>
      <c r="C845" s="50" t="str">
        <f>IF(ISBLANK('SQL Builder'!K820)=FALSE,'SQL Builder'!L820,"")</f>
        <v/>
      </c>
      <c r="D845" s="1" t="str">
        <f>IF(ISBLANK('SQL Builder'!K820)=FALSE,'SQL Builder'!O820,"")</f>
        <v/>
      </c>
      <c r="H845" s="43" t="str">
        <f>IF(ISBLANK('SQL Builder'!K819)=FALSE,H844+1,"")</f>
        <v/>
      </c>
      <c r="I845" s="1" t="str">
        <f>IF(ISBLANK('SQL Builder'!P820)=FALSE,'SQL Builder'!N820,"")</f>
        <v/>
      </c>
      <c r="J845" s="79">
        <f t="shared" si="12"/>
        <v>0</v>
      </c>
    </row>
    <row r="846" spans="2:10" ht="16.5" x14ac:dyDescent="0.25">
      <c r="B846" s="49" t="e">
        <f>IF(ISBLANK('SQL Builder'!K821)=FALSE,(DATE(LEFT('SQL Builder'!K821,4),MID('SQL Builder'!K821,6,2),MID('SQL Builder'!K821,9,2))),NA())</f>
        <v>#N/A</v>
      </c>
      <c r="C846" s="50" t="str">
        <f>IF(ISBLANK('SQL Builder'!K821)=FALSE,'SQL Builder'!L821,"")</f>
        <v/>
      </c>
      <c r="D846" s="1" t="str">
        <f>IF(ISBLANK('SQL Builder'!K821)=FALSE,'SQL Builder'!O821,"")</f>
        <v/>
      </c>
      <c r="H846" s="43" t="str">
        <f>IF(ISBLANK('SQL Builder'!K820)=FALSE,H845+1,"")</f>
        <v/>
      </c>
      <c r="I846" s="1" t="str">
        <f>IF(ISBLANK('SQL Builder'!P821)=FALSE,'SQL Builder'!N821,"")</f>
        <v/>
      </c>
      <c r="J846" s="79">
        <f t="shared" si="12"/>
        <v>0</v>
      </c>
    </row>
    <row r="847" spans="2:10" ht="16.5" x14ac:dyDescent="0.25">
      <c r="B847" s="49" t="e">
        <f>IF(ISBLANK('SQL Builder'!K822)=FALSE,(DATE(LEFT('SQL Builder'!K822,4),MID('SQL Builder'!K822,6,2),MID('SQL Builder'!K822,9,2))),NA())</f>
        <v>#N/A</v>
      </c>
      <c r="C847" s="50" t="str">
        <f>IF(ISBLANK('SQL Builder'!K822)=FALSE,'SQL Builder'!L822,"")</f>
        <v/>
      </c>
      <c r="D847" s="1" t="str">
        <f>IF(ISBLANK('SQL Builder'!K822)=FALSE,'SQL Builder'!O822,"")</f>
        <v/>
      </c>
      <c r="H847" s="43" t="str">
        <f>IF(ISBLANK('SQL Builder'!K821)=FALSE,H846+1,"")</f>
        <v/>
      </c>
      <c r="I847" s="1" t="str">
        <f>IF(ISBLANK('SQL Builder'!P822)=FALSE,'SQL Builder'!N822,"")</f>
        <v/>
      </c>
      <c r="J847" s="79">
        <f t="shared" si="12"/>
        <v>0</v>
      </c>
    </row>
    <row r="848" spans="2:10" ht="16.5" x14ac:dyDescent="0.25">
      <c r="B848" s="49" t="e">
        <f>IF(ISBLANK('SQL Builder'!K823)=FALSE,(DATE(LEFT('SQL Builder'!K823,4),MID('SQL Builder'!K823,6,2),MID('SQL Builder'!K823,9,2))),NA())</f>
        <v>#N/A</v>
      </c>
      <c r="C848" s="50" t="str">
        <f>IF(ISBLANK('SQL Builder'!K823)=FALSE,'SQL Builder'!L823,"")</f>
        <v/>
      </c>
      <c r="D848" s="1" t="str">
        <f>IF(ISBLANK('SQL Builder'!K823)=FALSE,'SQL Builder'!O823,"")</f>
        <v/>
      </c>
      <c r="H848" s="43" t="str">
        <f>IF(ISBLANK('SQL Builder'!K822)=FALSE,H847+1,"")</f>
        <v/>
      </c>
      <c r="I848" s="1" t="str">
        <f>IF(ISBLANK('SQL Builder'!P823)=FALSE,'SQL Builder'!N823,"")</f>
        <v/>
      </c>
      <c r="J848" s="79">
        <f t="shared" si="12"/>
        <v>0</v>
      </c>
    </row>
    <row r="849" spans="2:10" ht="16.5" x14ac:dyDescent="0.25">
      <c r="B849" s="49" t="e">
        <f>IF(ISBLANK('SQL Builder'!K824)=FALSE,(DATE(LEFT('SQL Builder'!K824,4),MID('SQL Builder'!K824,6,2),MID('SQL Builder'!K824,9,2))),NA())</f>
        <v>#N/A</v>
      </c>
      <c r="C849" s="50" t="str">
        <f>IF(ISBLANK('SQL Builder'!K824)=FALSE,'SQL Builder'!L824,"")</f>
        <v/>
      </c>
      <c r="D849" s="1" t="str">
        <f>IF(ISBLANK('SQL Builder'!K824)=FALSE,'SQL Builder'!O824,"")</f>
        <v/>
      </c>
      <c r="H849" s="43" t="str">
        <f>IF(ISBLANK('SQL Builder'!K823)=FALSE,H848+1,"")</f>
        <v/>
      </c>
      <c r="I849" s="1" t="str">
        <f>IF(ISBLANK('SQL Builder'!P824)=FALSE,'SQL Builder'!N824,"")</f>
        <v/>
      </c>
      <c r="J849" s="79">
        <f t="shared" si="12"/>
        <v>0</v>
      </c>
    </row>
    <row r="850" spans="2:10" ht="16.5" x14ac:dyDescent="0.25">
      <c r="B850" s="49" t="e">
        <f>IF(ISBLANK('SQL Builder'!K825)=FALSE,(DATE(LEFT('SQL Builder'!K825,4),MID('SQL Builder'!K825,6,2),MID('SQL Builder'!K825,9,2))),NA())</f>
        <v>#N/A</v>
      </c>
      <c r="C850" s="50" t="str">
        <f>IF(ISBLANK('SQL Builder'!K825)=FALSE,'SQL Builder'!L825,"")</f>
        <v/>
      </c>
      <c r="D850" s="1" t="str">
        <f>IF(ISBLANK('SQL Builder'!K825)=FALSE,'SQL Builder'!O825,"")</f>
        <v/>
      </c>
      <c r="H850" s="43" t="str">
        <f>IF(ISBLANK('SQL Builder'!K824)=FALSE,H849+1,"")</f>
        <v/>
      </c>
      <c r="I850" s="1" t="str">
        <f>IF(ISBLANK('SQL Builder'!P825)=FALSE,'SQL Builder'!N825,"")</f>
        <v/>
      </c>
      <c r="J850" s="79">
        <f t="shared" si="12"/>
        <v>0</v>
      </c>
    </row>
    <row r="851" spans="2:10" ht="16.5" x14ac:dyDescent="0.25">
      <c r="B851" s="49" t="e">
        <f>IF(ISBLANK('SQL Builder'!K826)=FALSE,(DATE(LEFT('SQL Builder'!K826,4),MID('SQL Builder'!K826,6,2),MID('SQL Builder'!K826,9,2))),NA())</f>
        <v>#N/A</v>
      </c>
      <c r="C851" s="50" t="str">
        <f>IF(ISBLANK('SQL Builder'!K826)=FALSE,'SQL Builder'!L826,"")</f>
        <v/>
      </c>
      <c r="D851" s="1" t="str">
        <f>IF(ISBLANK('SQL Builder'!K826)=FALSE,'SQL Builder'!O826,"")</f>
        <v/>
      </c>
      <c r="H851" s="43" t="str">
        <f>IF(ISBLANK('SQL Builder'!K825)=FALSE,H850+1,"")</f>
        <v/>
      </c>
      <c r="I851" s="1" t="str">
        <f>IF(ISBLANK('SQL Builder'!P826)=FALSE,'SQL Builder'!N826,"")</f>
        <v/>
      </c>
      <c r="J851" s="79">
        <f t="shared" si="12"/>
        <v>0</v>
      </c>
    </row>
    <row r="852" spans="2:10" ht="16.5" x14ac:dyDescent="0.25">
      <c r="B852" s="49" t="e">
        <f>IF(ISBLANK('SQL Builder'!K827)=FALSE,(DATE(LEFT('SQL Builder'!K827,4),MID('SQL Builder'!K827,6,2),MID('SQL Builder'!K827,9,2))),NA())</f>
        <v>#N/A</v>
      </c>
      <c r="C852" s="50" t="str">
        <f>IF(ISBLANK('SQL Builder'!K827)=FALSE,'SQL Builder'!L827,"")</f>
        <v/>
      </c>
      <c r="D852" s="1" t="str">
        <f>IF(ISBLANK('SQL Builder'!K827)=FALSE,'SQL Builder'!O827,"")</f>
        <v/>
      </c>
      <c r="H852" s="43" t="str">
        <f>IF(ISBLANK('SQL Builder'!K826)=FALSE,H851+1,"")</f>
        <v/>
      </c>
      <c r="I852" s="1" t="str">
        <f>IF(ISBLANK('SQL Builder'!P827)=FALSE,'SQL Builder'!N827,"")</f>
        <v/>
      </c>
      <c r="J852" s="79">
        <f t="shared" si="12"/>
        <v>0</v>
      </c>
    </row>
    <row r="853" spans="2:10" ht="16.5" x14ac:dyDescent="0.25">
      <c r="B853" s="49" t="e">
        <f>IF(ISBLANK('SQL Builder'!K828)=FALSE,(DATE(LEFT('SQL Builder'!K828,4),MID('SQL Builder'!K828,6,2),MID('SQL Builder'!K828,9,2))),NA())</f>
        <v>#N/A</v>
      </c>
      <c r="C853" s="50" t="str">
        <f>IF(ISBLANK('SQL Builder'!K828)=FALSE,'SQL Builder'!L828,"")</f>
        <v/>
      </c>
      <c r="D853" s="1" t="str">
        <f>IF(ISBLANK('SQL Builder'!K828)=FALSE,'SQL Builder'!O828,"")</f>
        <v/>
      </c>
      <c r="H853" s="43" t="str">
        <f>IF(ISBLANK('SQL Builder'!K827)=FALSE,H852+1,"")</f>
        <v/>
      </c>
      <c r="I853" s="1" t="str">
        <f>IF(ISBLANK('SQL Builder'!P828)=FALSE,'SQL Builder'!N828,"")</f>
        <v/>
      </c>
      <c r="J853" s="79">
        <f t="shared" si="12"/>
        <v>0</v>
      </c>
    </row>
    <row r="854" spans="2:10" ht="16.5" x14ac:dyDescent="0.25">
      <c r="B854" s="49" t="e">
        <f>IF(ISBLANK('SQL Builder'!K829)=FALSE,(DATE(LEFT('SQL Builder'!K829,4),MID('SQL Builder'!K829,6,2),MID('SQL Builder'!K829,9,2))),NA())</f>
        <v>#N/A</v>
      </c>
      <c r="C854" s="50" t="str">
        <f>IF(ISBLANK('SQL Builder'!K829)=FALSE,'SQL Builder'!L829,"")</f>
        <v/>
      </c>
      <c r="D854" s="1" t="str">
        <f>IF(ISBLANK('SQL Builder'!K829)=FALSE,'SQL Builder'!O829,"")</f>
        <v/>
      </c>
      <c r="H854" s="43" t="str">
        <f>IF(ISBLANK('SQL Builder'!K828)=FALSE,H853+1,"")</f>
        <v/>
      </c>
      <c r="I854" s="1" t="str">
        <f>IF(ISBLANK('SQL Builder'!P829)=FALSE,'SQL Builder'!N829,"")</f>
        <v/>
      </c>
      <c r="J854" s="79">
        <f t="shared" si="12"/>
        <v>0</v>
      </c>
    </row>
    <row r="855" spans="2:10" ht="16.5" x14ac:dyDescent="0.25">
      <c r="B855" s="49" t="e">
        <f>IF(ISBLANK('SQL Builder'!K830)=FALSE,(DATE(LEFT('SQL Builder'!K830,4),MID('SQL Builder'!K830,6,2),MID('SQL Builder'!K830,9,2))),NA())</f>
        <v>#N/A</v>
      </c>
      <c r="C855" s="50" t="str">
        <f>IF(ISBLANK('SQL Builder'!K830)=FALSE,'SQL Builder'!L830,"")</f>
        <v/>
      </c>
      <c r="D855" s="1" t="str">
        <f>IF(ISBLANK('SQL Builder'!K830)=FALSE,'SQL Builder'!O830,"")</f>
        <v/>
      </c>
      <c r="H855" s="43" t="str">
        <f>IF(ISBLANK('SQL Builder'!K829)=FALSE,H854+1,"")</f>
        <v/>
      </c>
      <c r="I855" s="1" t="str">
        <f>IF(ISBLANK('SQL Builder'!P830)=FALSE,'SQL Builder'!N830,"")</f>
        <v/>
      </c>
      <c r="J855" s="79">
        <f t="shared" si="12"/>
        <v>0</v>
      </c>
    </row>
    <row r="856" spans="2:10" ht="16.5" x14ac:dyDescent="0.25">
      <c r="B856" s="49" t="e">
        <f>IF(ISBLANK('SQL Builder'!K831)=FALSE,(DATE(LEFT('SQL Builder'!K831,4),MID('SQL Builder'!K831,6,2),MID('SQL Builder'!K831,9,2))),NA())</f>
        <v>#N/A</v>
      </c>
      <c r="C856" s="50" t="str">
        <f>IF(ISBLANK('SQL Builder'!K831)=FALSE,'SQL Builder'!L831,"")</f>
        <v/>
      </c>
      <c r="D856" s="1" t="str">
        <f>IF(ISBLANK('SQL Builder'!K831)=FALSE,'SQL Builder'!O831,"")</f>
        <v/>
      </c>
      <c r="H856" s="43" t="str">
        <f>IF(ISBLANK('SQL Builder'!K830)=FALSE,H855+1,"")</f>
        <v/>
      </c>
      <c r="I856" s="1" t="str">
        <f>IF(ISBLANK('SQL Builder'!P831)=FALSE,'SQL Builder'!N831,"")</f>
        <v/>
      </c>
      <c r="J856" s="79">
        <f t="shared" si="12"/>
        <v>0</v>
      </c>
    </row>
    <row r="857" spans="2:10" ht="16.5" x14ac:dyDescent="0.25">
      <c r="B857" s="49" t="e">
        <f>IF(ISBLANK('SQL Builder'!K832)=FALSE,(DATE(LEFT('SQL Builder'!K832,4),MID('SQL Builder'!K832,6,2),MID('SQL Builder'!K832,9,2))),NA())</f>
        <v>#N/A</v>
      </c>
      <c r="C857" s="50" t="str">
        <f>IF(ISBLANK('SQL Builder'!K832)=FALSE,'SQL Builder'!L832,"")</f>
        <v/>
      </c>
      <c r="D857" s="1" t="str">
        <f>IF(ISBLANK('SQL Builder'!K832)=FALSE,'SQL Builder'!O832,"")</f>
        <v/>
      </c>
      <c r="H857" s="43" t="str">
        <f>IF(ISBLANK('SQL Builder'!K831)=FALSE,H856+1,"")</f>
        <v/>
      </c>
      <c r="I857" s="1" t="str">
        <f>IF(ISBLANK('SQL Builder'!P832)=FALSE,'SQL Builder'!N832,"")</f>
        <v/>
      </c>
      <c r="J857" s="79">
        <f t="shared" si="12"/>
        <v>0</v>
      </c>
    </row>
    <row r="858" spans="2:10" ht="16.5" x14ac:dyDescent="0.25">
      <c r="B858" s="49" t="e">
        <f>IF(ISBLANK('SQL Builder'!K833)=FALSE,(DATE(LEFT('SQL Builder'!K833,4),MID('SQL Builder'!K833,6,2),MID('SQL Builder'!K833,9,2))),NA())</f>
        <v>#N/A</v>
      </c>
      <c r="C858" s="50" t="str">
        <f>IF(ISBLANK('SQL Builder'!K833)=FALSE,'SQL Builder'!L833,"")</f>
        <v/>
      </c>
      <c r="D858" s="1" t="str">
        <f>IF(ISBLANK('SQL Builder'!K833)=FALSE,'SQL Builder'!O833,"")</f>
        <v/>
      </c>
      <c r="H858" s="43" t="str">
        <f>IF(ISBLANK('SQL Builder'!K832)=FALSE,H857+1,"")</f>
        <v/>
      </c>
      <c r="I858" s="1" t="str">
        <f>IF(ISBLANK('SQL Builder'!P833)=FALSE,'SQL Builder'!N833,"")</f>
        <v/>
      </c>
      <c r="J858" s="79">
        <f t="shared" si="12"/>
        <v>0</v>
      </c>
    </row>
    <row r="859" spans="2:10" ht="16.5" x14ac:dyDescent="0.25">
      <c r="B859" s="49" t="e">
        <f>IF(ISBLANK('SQL Builder'!K834)=FALSE,(DATE(LEFT('SQL Builder'!K834,4),MID('SQL Builder'!K834,6,2),MID('SQL Builder'!K834,9,2))),NA())</f>
        <v>#N/A</v>
      </c>
      <c r="C859" s="50" t="str">
        <f>IF(ISBLANK('SQL Builder'!K834)=FALSE,'SQL Builder'!L834,"")</f>
        <v/>
      </c>
      <c r="D859" s="1" t="str">
        <f>IF(ISBLANK('SQL Builder'!K834)=FALSE,'SQL Builder'!O834,"")</f>
        <v/>
      </c>
      <c r="H859" s="43" t="str">
        <f>IF(ISBLANK('SQL Builder'!K833)=FALSE,H858+1,"")</f>
        <v/>
      </c>
      <c r="I859" s="1" t="str">
        <f>IF(ISBLANK('SQL Builder'!P834)=FALSE,'SQL Builder'!N834,"")</f>
        <v/>
      </c>
      <c r="J859" s="79">
        <f t="shared" si="12"/>
        <v>0</v>
      </c>
    </row>
    <row r="860" spans="2:10" ht="16.5" x14ac:dyDescent="0.25">
      <c r="B860" s="49" t="e">
        <f>IF(ISBLANK('SQL Builder'!K835)=FALSE,(DATE(LEFT('SQL Builder'!K835,4),MID('SQL Builder'!K835,6,2),MID('SQL Builder'!K835,9,2))),NA())</f>
        <v>#N/A</v>
      </c>
      <c r="C860" s="50" t="str">
        <f>IF(ISBLANK('SQL Builder'!K835)=FALSE,'SQL Builder'!L835,"")</f>
        <v/>
      </c>
      <c r="D860" s="1" t="str">
        <f>IF(ISBLANK('SQL Builder'!K835)=FALSE,'SQL Builder'!O835,"")</f>
        <v/>
      </c>
      <c r="H860" s="43" t="str">
        <f>IF(ISBLANK('SQL Builder'!K834)=FALSE,H859+1,"")</f>
        <v/>
      </c>
      <c r="I860" s="1" t="str">
        <f>IF(ISBLANK('SQL Builder'!P835)=FALSE,'SQL Builder'!N835,"")</f>
        <v/>
      </c>
      <c r="J860" s="79">
        <f t="shared" si="12"/>
        <v>0</v>
      </c>
    </row>
    <row r="861" spans="2:10" ht="16.5" x14ac:dyDescent="0.25">
      <c r="B861" s="49" t="e">
        <f>IF(ISBLANK('SQL Builder'!K836)=FALSE,(DATE(LEFT('SQL Builder'!K836,4),MID('SQL Builder'!K836,6,2),MID('SQL Builder'!K836,9,2))),NA())</f>
        <v>#N/A</v>
      </c>
      <c r="C861" s="50" t="str">
        <f>IF(ISBLANK('SQL Builder'!K836)=FALSE,'SQL Builder'!L836,"")</f>
        <v/>
      </c>
      <c r="D861" s="1" t="str">
        <f>IF(ISBLANK('SQL Builder'!K836)=FALSE,'SQL Builder'!O836,"")</f>
        <v/>
      </c>
      <c r="H861" s="43" t="str">
        <f>IF(ISBLANK('SQL Builder'!K835)=FALSE,H860+1,"")</f>
        <v/>
      </c>
      <c r="I861" s="1" t="str">
        <f>IF(ISBLANK('SQL Builder'!P836)=FALSE,'SQL Builder'!N836,"")</f>
        <v/>
      </c>
      <c r="J861" s="79">
        <f t="shared" si="12"/>
        <v>0</v>
      </c>
    </row>
    <row r="862" spans="2:10" ht="16.5" x14ac:dyDescent="0.25">
      <c r="B862" s="49" t="e">
        <f>IF(ISBLANK('SQL Builder'!K837)=FALSE,(DATE(LEFT('SQL Builder'!K837,4),MID('SQL Builder'!K837,6,2),MID('SQL Builder'!K837,9,2))),NA())</f>
        <v>#N/A</v>
      </c>
      <c r="C862" s="50" t="str">
        <f>IF(ISBLANK('SQL Builder'!K837)=FALSE,'SQL Builder'!L837,"")</f>
        <v/>
      </c>
      <c r="D862" s="1" t="str">
        <f>IF(ISBLANK('SQL Builder'!K837)=FALSE,'SQL Builder'!O837,"")</f>
        <v/>
      </c>
      <c r="H862" s="43" t="str">
        <f>IF(ISBLANK('SQL Builder'!K836)=FALSE,H861+1,"")</f>
        <v/>
      </c>
      <c r="I862" s="1" t="str">
        <f>IF(ISBLANK('SQL Builder'!P837)=FALSE,'SQL Builder'!N837,"")</f>
        <v/>
      </c>
      <c r="J862" s="79">
        <f t="shared" si="12"/>
        <v>0</v>
      </c>
    </row>
    <row r="863" spans="2:10" ht="16.5" x14ac:dyDescent="0.25">
      <c r="B863" s="49" t="e">
        <f>IF(ISBLANK('SQL Builder'!K838)=FALSE,(DATE(LEFT('SQL Builder'!K838,4),MID('SQL Builder'!K838,6,2),MID('SQL Builder'!K838,9,2))),NA())</f>
        <v>#N/A</v>
      </c>
      <c r="C863" s="50" t="str">
        <f>IF(ISBLANK('SQL Builder'!K838)=FALSE,'SQL Builder'!L838,"")</f>
        <v/>
      </c>
      <c r="D863" s="1" t="str">
        <f>IF(ISBLANK('SQL Builder'!K838)=FALSE,'SQL Builder'!O838,"")</f>
        <v/>
      </c>
      <c r="H863" s="43" t="str">
        <f>IF(ISBLANK('SQL Builder'!K837)=FALSE,H862+1,"")</f>
        <v/>
      </c>
      <c r="I863" s="1" t="str">
        <f>IF(ISBLANK('SQL Builder'!P838)=FALSE,'SQL Builder'!N838,"")</f>
        <v/>
      </c>
      <c r="J863" s="79">
        <f t="shared" ref="J863:J926" si="13">IF(I863="",0,IF(I863=C$5,2,1))</f>
        <v>0</v>
      </c>
    </row>
    <row r="864" spans="2:10" ht="16.5" x14ac:dyDescent="0.25">
      <c r="B864" s="49" t="e">
        <f>IF(ISBLANK('SQL Builder'!K839)=FALSE,(DATE(LEFT('SQL Builder'!K839,4),MID('SQL Builder'!K839,6,2),MID('SQL Builder'!K839,9,2))),NA())</f>
        <v>#N/A</v>
      </c>
      <c r="C864" s="50" t="str">
        <f>IF(ISBLANK('SQL Builder'!K839)=FALSE,'SQL Builder'!L839,"")</f>
        <v/>
      </c>
      <c r="D864" s="1" t="str">
        <f>IF(ISBLANK('SQL Builder'!K839)=FALSE,'SQL Builder'!O839,"")</f>
        <v/>
      </c>
      <c r="H864" s="43" t="str">
        <f>IF(ISBLANK('SQL Builder'!K838)=FALSE,H863+1,"")</f>
        <v/>
      </c>
      <c r="I864" s="1" t="str">
        <f>IF(ISBLANK('SQL Builder'!P839)=FALSE,'SQL Builder'!N839,"")</f>
        <v/>
      </c>
      <c r="J864" s="79">
        <f t="shared" si="13"/>
        <v>0</v>
      </c>
    </row>
    <row r="865" spans="2:10" ht="16.5" x14ac:dyDescent="0.25">
      <c r="B865" s="49" t="e">
        <f>IF(ISBLANK('SQL Builder'!K840)=FALSE,(DATE(LEFT('SQL Builder'!K840,4),MID('SQL Builder'!K840,6,2),MID('SQL Builder'!K840,9,2))),NA())</f>
        <v>#N/A</v>
      </c>
      <c r="C865" s="50" t="str">
        <f>IF(ISBLANK('SQL Builder'!K840)=FALSE,'SQL Builder'!L840,"")</f>
        <v/>
      </c>
      <c r="D865" s="1" t="str">
        <f>IF(ISBLANK('SQL Builder'!K840)=FALSE,'SQL Builder'!O840,"")</f>
        <v/>
      </c>
      <c r="H865" s="43" t="str">
        <f>IF(ISBLANK('SQL Builder'!K839)=FALSE,H864+1,"")</f>
        <v/>
      </c>
      <c r="I865" s="1" t="str">
        <f>IF(ISBLANK('SQL Builder'!P840)=FALSE,'SQL Builder'!N840,"")</f>
        <v/>
      </c>
      <c r="J865" s="79">
        <f t="shared" si="13"/>
        <v>0</v>
      </c>
    </row>
    <row r="866" spans="2:10" ht="16.5" x14ac:dyDescent="0.25">
      <c r="B866" s="49" t="e">
        <f>IF(ISBLANK('SQL Builder'!K841)=FALSE,(DATE(LEFT('SQL Builder'!K841,4),MID('SQL Builder'!K841,6,2),MID('SQL Builder'!K841,9,2))),NA())</f>
        <v>#N/A</v>
      </c>
      <c r="C866" s="50" t="str">
        <f>IF(ISBLANK('SQL Builder'!K841)=FALSE,'SQL Builder'!L841,"")</f>
        <v/>
      </c>
      <c r="D866" s="1" t="str">
        <f>IF(ISBLANK('SQL Builder'!K841)=FALSE,'SQL Builder'!O841,"")</f>
        <v/>
      </c>
      <c r="H866" s="43" t="str">
        <f>IF(ISBLANK('SQL Builder'!K840)=FALSE,H865+1,"")</f>
        <v/>
      </c>
      <c r="I866" s="1" t="str">
        <f>IF(ISBLANK('SQL Builder'!P841)=FALSE,'SQL Builder'!N841,"")</f>
        <v/>
      </c>
      <c r="J866" s="79">
        <f t="shared" si="13"/>
        <v>0</v>
      </c>
    </row>
    <row r="867" spans="2:10" ht="16.5" x14ac:dyDescent="0.25">
      <c r="B867" s="49" t="e">
        <f>IF(ISBLANK('SQL Builder'!K842)=FALSE,(DATE(LEFT('SQL Builder'!K842,4),MID('SQL Builder'!K842,6,2),MID('SQL Builder'!K842,9,2))),NA())</f>
        <v>#N/A</v>
      </c>
      <c r="C867" s="50" t="str">
        <f>IF(ISBLANK('SQL Builder'!K842)=FALSE,'SQL Builder'!L842,"")</f>
        <v/>
      </c>
      <c r="D867" s="1" t="str">
        <f>IF(ISBLANK('SQL Builder'!K842)=FALSE,'SQL Builder'!O842,"")</f>
        <v/>
      </c>
      <c r="H867" s="43" t="str">
        <f>IF(ISBLANK('SQL Builder'!K841)=FALSE,H866+1,"")</f>
        <v/>
      </c>
      <c r="I867" s="1" t="str">
        <f>IF(ISBLANK('SQL Builder'!P842)=FALSE,'SQL Builder'!N842,"")</f>
        <v/>
      </c>
      <c r="J867" s="79">
        <f t="shared" si="13"/>
        <v>0</v>
      </c>
    </row>
    <row r="868" spans="2:10" ht="16.5" x14ac:dyDescent="0.25">
      <c r="B868" s="49" t="e">
        <f>IF(ISBLANK('SQL Builder'!K843)=FALSE,(DATE(LEFT('SQL Builder'!K843,4),MID('SQL Builder'!K843,6,2),MID('SQL Builder'!K843,9,2))),NA())</f>
        <v>#N/A</v>
      </c>
      <c r="C868" s="50" t="str">
        <f>IF(ISBLANK('SQL Builder'!K843)=FALSE,'SQL Builder'!L843,"")</f>
        <v/>
      </c>
      <c r="D868" s="1" t="str">
        <f>IF(ISBLANK('SQL Builder'!K843)=FALSE,'SQL Builder'!O843,"")</f>
        <v/>
      </c>
      <c r="H868" s="43" t="str">
        <f>IF(ISBLANK('SQL Builder'!K842)=FALSE,H867+1,"")</f>
        <v/>
      </c>
      <c r="I868" s="1" t="str">
        <f>IF(ISBLANK('SQL Builder'!P843)=FALSE,'SQL Builder'!N843,"")</f>
        <v/>
      </c>
      <c r="J868" s="79">
        <f t="shared" si="13"/>
        <v>0</v>
      </c>
    </row>
    <row r="869" spans="2:10" ht="16.5" x14ac:dyDescent="0.25">
      <c r="B869" s="49" t="e">
        <f>IF(ISBLANK('SQL Builder'!K844)=FALSE,(DATE(LEFT('SQL Builder'!K844,4),MID('SQL Builder'!K844,6,2),MID('SQL Builder'!K844,9,2))),NA())</f>
        <v>#N/A</v>
      </c>
      <c r="C869" s="50" t="str">
        <f>IF(ISBLANK('SQL Builder'!K844)=FALSE,'SQL Builder'!L844,"")</f>
        <v/>
      </c>
      <c r="D869" s="1" t="str">
        <f>IF(ISBLANK('SQL Builder'!K844)=FALSE,'SQL Builder'!O844,"")</f>
        <v/>
      </c>
      <c r="H869" s="43" t="str">
        <f>IF(ISBLANK('SQL Builder'!K843)=FALSE,H868+1,"")</f>
        <v/>
      </c>
      <c r="I869" s="1" t="str">
        <f>IF(ISBLANK('SQL Builder'!P844)=FALSE,'SQL Builder'!N844,"")</f>
        <v/>
      </c>
      <c r="J869" s="79">
        <f t="shared" si="13"/>
        <v>0</v>
      </c>
    </row>
    <row r="870" spans="2:10" ht="16.5" x14ac:dyDescent="0.25">
      <c r="B870" s="49" t="e">
        <f>IF(ISBLANK('SQL Builder'!K845)=FALSE,(DATE(LEFT('SQL Builder'!K845,4),MID('SQL Builder'!K845,6,2),MID('SQL Builder'!K845,9,2))),NA())</f>
        <v>#N/A</v>
      </c>
      <c r="C870" s="50" t="str">
        <f>IF(ISBLANK('SQL Builder'!K845)=FALSE,'SQL Builder'!L845,"")</f>
        <v/>
      </c>
      <c r="D870" s="1" t="str">
        <f>IF(ISBLANK('SQL Builder'!K845)=FALSE,'SQL Builder'!O845,"")</f>
        <v/>
      </c>
      <c r="H870" s="43" t="str">
        <f>IF(ISBLANK('SQL Builder'!K844)=FALSE,H869+1,"")</f>
        <v/>
      </c>
      <c r="I870" s="1" t="str">
        <f>IF(ISBLANK('SQL Builder'!P845)=FALSE,'SQL Builder'!N845,"")</f>
        <v/>
      </c>
      <c r="J870" s="79">
        <f t="shared" si="13"/>
        <v>0</v>
      </c>
    </row>
    <row r="871" spans="2:10" ht="16.5" x14ac:dyDescent="0.25">
      <c r="B871" s="49" t="e">
        <f>IF(ISBLANK('SQL Builder'!K846)=FALSE,(DATE(LEFT('SQL Builder'!K846,4),MID('SQL Builder'!K846,6,2),MID('SQL Builder'!K846,9,2))),NA())</f>
        <v>#N/A</v>
      </c>
      <c r="C871" s="50" t="str">
        <f>IF(ISBLANK('SQL Builder'!K846)=FALSE,'SQL Builder'!L846,"")</f>
        <v/>
      </c>
      <c r="D871" s="1" t="str">
        <f>IF(ISBLANK('SQL Builder'!K846)=FALSE,'SQL Builder'!O846,"")</f>
        <v/>
      </c>
      <c r="H871" s="43" t="str">
        <f>IF(ISBLANK('SQL Builder'!K845)=FALSE,H870+1,"")</f>
        <v/>
      </c>
      <c r="I871" s="1" t="str">
        <f>IF(ISBLANK('SQL Builder'!P846)=FALSE,'SQL Builder'!N846,"")</f>
        <v/>
      </c>
      <c r="J871" s="79">
        <f t="shared" si="13"/>
        <v>0</v>
      </c>
    </row>
    <row r="872" spans="2:10" ht="16.5" x14ac:dyDescent="0.25">
      <c r="B872" s="49" t="e">
        <f>IF(ISBLANK('SQL Builder'!K847)=FALSE,(DATE(LEFT('SQL Builder'!K847,4),MID('SQL Builder'!K847,6,2),MID('SQL Builder'!K847,9,2))),NA())</f>
        <v>#N/A</v>
      </c>
      <c r="C872" s="50" t="str">
        <f>IF(ISBLANK('SQL Builder'!K847)=FALSE,'SQL Builder'!L847,"")</f>
        <v/>
      </c>
      <c r="D872" s="1" t="str">
        <f>IF(ISBLANK('SQL Builder'!K847)=FALSE,'SQL Builder'!O847,"")</f>
        <v/>
      </c>
      <c r="H872" s="43" t="str">
        <f>IF(ISBLANK('SQL Builder'!K846)=FALSE,H871+1,"")</f>
        <v/>
      </c>
      <c r="I872" s="1" t="str">
        <f>IF(ISBLANK('SQL Builder'!P847)=FALSE,'SQL Builder'!N847,"")</f>
        <v/>
      </c>
      <c r="J872" s="79">
        <f t="shared" si="13"/>
        <v>0</v>
      </c>
    </row>
    <row r="873" spans="2:10" ht="16.5" x14ac:dyDescent="0.25">
      <c r="B873" s="49" t="e">
        <f>IF(ISBLANK('SQL Builder'!K848)=FALSE,(DATE(LEFT('SQL Builder'!K848,4),MID('SQL Builder'!K848,6,2),MID('SQL Builder'!K848,9,2))),NA())</f>
        <v>#N/A</v>
      </c>
      <c r="C873" s="50" t="str">
        <f>IF(ISBLANK('SQL Builder'!K848)=FALSE,'SQL Builder'!L848,"")</f>
        <v/>
      </c>
      <c r="D873" s="1" t="str">
        <f>IF(ISBLANK('SQL Builder'!K848)=FALSE,'SQL Builder'!O848,"")</f>
        <v/>
      </c>
      <c r="H873" s="43" t="str">
        <f>IF(ISBLANK('SQL Builder'!K847)=FALSE,H872+1,"")</f>
        <v/>
      </c>
      <c r="I873" s="1" t="str">
        <f>IF(ISBLANK('SQL Builder'!P848)=FALSE,'SQL Builder'!N848,"")</f>
        <v/>
      </c>
      <c r="J873" s="79">
        <f t="shared" si="13"/>
        <v>0</v>
      </c>
    </row>
    <row r="874" spans="2:10" ht="16.5" x14ac:dyDescent="0.25">
      <c r="B874" s="49" t="e">
        <f>IF(ISBLANK('SQL Builder'!K849)=FALSE,(DATE(LEFT('SQL Builder'!K849,4),MID('SQL Builder'!K849,6,2),MID('SQL Builder'!K849,9,2))),NA())</f>
        <v>#N/A</v>
      </c>
      <c r="C874" s="50" t="str">
        <f>IF(ISBLANK('SQL Builder'!K849)=FALSE,'SQL Builder'!L849,"")</f>
        <v/>
      </c>
      <c r="D874" s="1" t="str">
        <f>IF(ISBLANK('SQL Builder'!K849)=FALSE,'SQL Builder'!O849,"")</f>
        <v/>
      </c>
      <c r="H874" s="43" t="str">
        <f>IF(ISBLANK('SQL Builder'!K848)=FALSE,H873+1,"")</f>
        <v/>
      </c>
      <c r="I874" s="1" t="str">
        <f>IF(ISBLANK('SQL Builder'!P849)=FALSE,'SQL Builder'!N849,"")</f>
        <v/>
      </c>
      <c r="J874" s="79">
        <f t="shared" si="13"/>
        <v>0</v>
      </c>
    </row>
    <row r="875" spans="2:10" ht="16.5" x14ac:dyDescent="0.25">
      <c r="B875" s="49" t="e">
        <f>IF(ISBLANK('SQL Builder'!K850)=FALSE,(DATE(LEFT('SQL Builder'!K850,4),MID('SQL Builder'!K850,6,2),MID('SQL Builder'!K850,9,2))),NA())</f>
        <v>#N/A</v>
      </c>
      <c r="C875" s="50" t="str">
        <f>IF(ISBLANK('SQL Builder'!K850)=FALSE,'SQL Builder'!L850,"")</f>
        <v/>
      </c>
      <c r="D875" s="1" t="str">
        <f>IF(ISBLANK('SQL Builder'!K850)=FALSE,'SQL Builder'!O850,"")</f>
        <v/>
      </c>
      <c r="H875" s="43" t="str">
        <f>IF(ISBLANK('SQL Builder'!K849)=FALSE,H874+1,"")</f>
        <v/>
      </c>
      <c r="I875" s="1" t="str">
        <f>IF(ISBLANK('SQL Builder'!P850)=FALSE,'SQL Builder'!N850,"")</f>
        <v/>
      </c>
      <c r="J875" s="79">
        <f t="shared" si="13"/>
        <v>0</v>
      </c>
    </row>
    <row r="876" spans="2:10" ht="16.5" x14ac:dyDescent="0.25">
      <c r="B876" s="49" t="e">
        <f>IF(ISBLANK('SQL Builder'!K851)=FALSE,(DATE(LEFT('SQL Builder'!K851,4),MID('SQL Builder'!K851,6,2),MID('SQL Builder'!K851,9,2))),NA())</f>
        <v>#N/A</v>
      </c>
      <c r="C876" s="50" t="str">
        <f>IF(ISBLANK('SQL Builder'!K851)=FALSE,'SQL Builder'!L851,"")</f>
        <v/>
      </c>
      <c r="D876" s="1" t="str">
        <f>IF(ISBLANK('SQL Builder'!K851)=FALSE,'SQL Builder'!O851,"")</f>
        <v/>
      </c>
      <c r="H876" s="43" t="str">
        <f>IF(ISBLANK('SQL Builder'!K850)=FALSE,H875+1,"")</f>
        <v/>
      </c>
      <c r="I876" s="1" t="str">
        <f>IF(ISBLANK('SQL Builder'!P851)=FALSE,'SQL Builder'!N851,"")</f>
        <v/>
      </c>
      <c r="J876" s="79">
        <f t="shared" si="13"/>
        <v>0</v>
      </c>
    </row>
    <row r="877" spans="2:10" ht="16.5" x14ac:dyDescent="0.25">
      <c r="B877" s="49" t="e">
        <f>IF(ISBLANK('SQL Builder'!K852)=FALSE,(DATE(LEFT('SQL Builder'!K852,4),MID('SQL Builder'!K852,6,2),MID('SQL Builder'!K852,9,2))),NA())</f>
        <v>#N/A</v>
      </c>
      <c r="C877" s="50" t="str">
        <f>IF(ISBLANK('SQL Builder'!K852)=FALSE,'SQL Builder'!L852,"")</f>
        <v/>
      </c>
      <c r="D877" s="1" t="str">
        <f>IF(ISBLANK('SQL Builder'!K852)=FALSE,'SQL Builder'!O852,"")</f>
        <v/>
      </c>
      <c r="H877" s="43" t="str">
        <f>IF(ISBLANK('SQL Builder'!K851)=FALSE,H876+1,"")</f>
        <v/>
      </c>
      <c r="I877" s="1" t="str">
        <f>IF(ISBLANK('SQL Builder'!P852)=FALSE,'SQL Builder'!N852,"")</f>
        <v/>
      </c>
      <c r="J877" s="79">
        <f t="shared" si="13"/>
        <v>0</v>
      </c>
    </row>
    <row r="878" spans="2:10" ht="16.5" x14ac:dyDescent="0.25">
      <c r="B878" s="49" t="e">
        <f>IF(ISBLANK('SQL Builder'!K853)=FALSE,(DATE(LEFT('SQL Builder'!K853,4),MID('SQL Builder'!K853,6,2),MID('SQL Builder'!K853,9,2))),NA())</f>
        <v>#N/A</v>
      </c>
      <c r="C878" s="50" t="str">
        <f>IF(ISBLANK('SQL Builder'!K853)=FALSE,'SQL Builder'!L853,"")</f>
        <v/>
      </c>
      <c r="D878" s="1" t="str">
        <f>IF(ISBLANK('SQL Builder'!K853)=FALSE,'SQL Builder'!O853,"")</f>
        <v/>
      </c>
      <c r="H878" s="43" t="str">
        <f>IF(ISBLANK('SQL Builder'!K852)=FALSE,H877+1,"")</f>
        <v/>
      </c>
      <c r="I878" s="1" t="str">
        <f>IF(ISBLANK('SQL Builder'!P853)=FALSE,'SQL Builder'!N853,"")</f>
        <v/>
      </c>
      <c r="J878" s="79">
        <f t="shared" si="13"/>
        <v>0</v>
      </c>
    </row>
    <row r="879" spans="2:10" ht="16.5" x14ac:dyDescent="0.25">
      <c r="B879" s="49" t="e">
        <f>IF(ISBLANK('SQL Builder'!K854)=FALSE,(DATE(LEFT('SQL Builder'!K854,4),MID('SQL Builder'!K854,6,2),MID('SQL Builder'!K854,9,2))),NA())</f>
        <v>#N/A</v>
      </c>
      <c r="C879" s="50" t="str">
        <f>IF(ISBLANK('SQL Builder'!K854)=FALSE,'SQL Builder'!L854,"")</f>
        <v/>
      </c>
      <c r="D879" s="1" t="str">
        <f>IF(ISBLANK('SQL Builder'!K854)=FALSE,'SQL Builder'!O854,"")</f>
        <v/>
      </c>
      <c r="H879" s="43" t="str">
        <f>IF(ISBLANK('SQL Builder'!K853)=FALSE,H878+1,"")</f>
        <v/>
      </c>
      <c r="I879" s="1" t="str">
        <f>IF(ISBLANK('SQL Builder'!P854)=FALSE,'SQL Builder'!N854,"")</f>
        <v/>
      </c>
      <c r="J879" s="79">
        <f t="shared" si="13"/>
        <v>0</v>
      </c>
    </row>
    <row r="880" spans="2:10" ht="16.5" x14ac:dyDescent="0.25">
      <c r="B880" s="49" t="e">
        <f>IF(ISBLANK('SQL Builder'!K855)=FALSE,(DATE(LEFT('SQL Builder'!K855,4),MID('SQL Builder'!K855,6,2),MID('SQL Builder'!K855,9,2))),NA())</f>
        <v>#N/A</v>
      </c>
      <c r="C880" s="50" t="str">
        <f>IF(ISBLANK('SQL Builder'!K855)=FALSE,'SQL Builder'!L855,"")</f>
        <v/>
      </c>
      <c r="D880" s="1" t="str">
        <f>IF(ISBLANK('SQL Builder'!K855)=FALSE,'SQL Builder'!O855,"")</f>
        <v/>
      </c>
      <c r="H880" s="43" t="str">
        <f>IF(ISBLANK('SQL Builder'!K854)=FALSE,H879+1,"")</f>
        <v/>
      </c>
      <c r="I880" s="1" t="str">
        <f>IF(ISBLANK('SQL Builder'!P855)=FALSE,'SQL Builder'!N855,"")</f>
        <v/>
      </c>
      <c r="J880" s="79">
        <f t="shared" si="13"/>
        <v>0</v>
      </c>
    </row>
    <row r="881" spans="2:10" ht="16.5" x14ac:dyDescent="0.25">
      <c r="B881" s="49" t="e">
        <f>IF(ISBLANK('SQL Builder'!K856)=FALSE,(DATE(LEFT('SQL Builder'!K856,4),MID('SQL Builder'!K856,6,2),MID('SQL Builder'!K856,9,2))),NA())</f>
        <v>#N/A</v>
      </c>
      <c r="C881" s="50" t="str">
        <f>IF(ISBLANK('SQL Builder'!K856)=FALSE,'SQL Builder'!L856,"")</f>
        <v/>
      </c>
      <c r="D881" s="1" t="str">
        <f>IF(ISBLANK('SQL Builder'!K856)=FALSE,'SQL Builder'!O856,"")</f>
        <v/>
      </c>
      <c r="H881" s="43" t="str">
        <f>IF(ISBLANK('SQL Builder'!K855)=FALSE,H880+1,"")</f>
        <v/>
      </c>
      <c r="I881" s="1" t="str">
        <f>IF(ISBLANK('SQL Builder'!P856)=FALSE,'SQL Builder'!N856,"")</f>
        <v/>
      </c>
      <c r="J881" s="79">
        <f t="shared" si="13"/>
        <v>0</v>
      </c>
    </row>
    <row r="882" spans="2:10" ht="16.5" x14ac:dyDescent="0.25">
      <c r="B882" s="49" t="e">
        <f>IF(ISBLANK('SQL Builder'!K857)=FALSE,(DATE(LEFT('SQL Builder'!K857,4),MID('SQL Builder'!K857,6,2),MID('SQL Builder'!K857,9,2))),NA())</f>
        <v>#N/A</v>
      </c>
      <c r="C882" s="50" t="str">
        <f>IF(ISBLANK('SQL Builder'!K857)=FALSE,'SQL Builder'!L857,"")</f>
        <v/>
      </c>
      <c r="D882" s="1" t="str">
        <f>IF(ISBLANK('SQL Builder'!K857)=FALSE,'SQL Builder'!O857,"")</f>
        <v/>
      </c>
      <c r="H882" s="43" t="str">
        <f>IF(ISBLANK('SQL Builder'!K856)=FALSE,H881+1,"")</f>
        <v/>
      </c>
      <c r="I882" s="1" t="str">
        <f>IF(ISBLANK('SQL Builder'!P857)=FALSE,'SQL Builder'!N857,"")</f>
        <v/>
      </c>
      <c r="J882" s="79">
        <f t="shared" si="13"/>
        <v>0</v>
      </c>
    </row>
    <row r="883" spans="2:10" ht="16.5" x14ac:dyDescent="0.25">
      <c r="B883" s="49" t="e">
        <f>IF(ISBLANK('SQL Builder'!K858)=FALSE,(DATE(LEFT('SQL Builder'!K858,4),MID('SQL Builder'!K858,6,2),MID('SQL Builder'!K858,9,2))),NA())</f>
        <v>#N/A</v>
      </c>
      <c r="C883" s="50" t="str">
        <f>IF(ISBLANK('SQL Builder'!K858)=FALSE,'SQL Builder'!L858,"")</f>
        <v/>
      </c>
      <c r="D883" s="1" t="str">
        <f>IF(ISBLANK('SQL Builder'!K858)=FALSE,'SQL Builder'!O858,"")</f>
        <v/>
      </c>
      <c r="H883" s="43" t="str">
        <f>IF(ISBLANK('SQL Builder'!K857)=FALSE,H882+1,"")</f>
        <v/>
      </c>
      <c r="I883" s="1" t="str">
        <f>IF(ISBLANK('SQL Builder'!P858)=FALSE,'SQL Builder'!N858,"")</f>
        <v/>
      </c>
      <c r="J883" s="79">
        <f t="shared" si="13"/>
        <v>0</v>
      </c>
    </row>
    <row r="884" spans="2:10" ht="16.5" x14ac:dyDescent="0.25">
      <c r="B884" s="49" t="e">
        <f>IF(ISBLANK('SQL Builder'!K859)=FALSE,(DATE(LEFT('SQL Builder'!K859,4),MID('SQL Builder'!K859,6,2),MID('SQL Builder'!K859,9,2))),NA())</f>
        <v>#N/A</v>
      </c>
      <c r="C884" s="50" t="str">
        <f>IF(ISBLANK('SQL Builder'!K859)=FALSE,'SQL Builder'!L859,"")</f>
        <v/>
      </c>
      <c r="D884" s="1" t="str">
        <f>IF(ISBLANK('SQL Builder'!K859)=FALSE,'SQL Builder'!O859,"")</f>
        <v/>
      </c>
      <c r="H884" s="43" t="str">
        <f>IF(ISBLANK('SQL Builder'!K858)=FALSE,H883+1,"")</f>
        <v/>
      </c>
      <c r="I884" s="1" t="str">
        <f>IF(ISBLANK('SQL Builder'!P859)=FALSE,'SQL Builder'!N859,"")</f>
        <v/>
      </c>
      <c r="J884" s="79">
        <f t="shared" si="13"/>
        <v>0</v>
      </c>
    </row>
    <row r="885" spans="2:10" ht="16.5" x14ac:dyDescent="0.25">
      <c r="B885" s="49" t="e">
        <f>IF(ISBLANK('SQL Builder'!K860)=FALSE,(DATE(LEFT('SQL Builder'!K860,4),MID('SQL Builder'!K860,6,2),MID('SQL Builder'!K860,9,2))),NA())</f>
        <v>#N/A</v>
      </c>
      <c r="C885" s="50" t="str">
        <f>IF(ISBLANK('SQL Builder'!K860)=FALSE,'SQL Builder'!L860,"")</f>
        <v/>
      </c>
      <c r="D885" s="1" t="str">
        <f>IF(ISBLANK('SQL Builder'!K860)=FALSE,'SQL Builder'!O860,"")</f>
        <v/>
      </c>
      <c r="H885" s="43" t="str">
        <f>IF(ISBLANK('SQL Builder'!K859)=FALSE,H884+1,"")</f>
        <v/>
      </c>
      <c r="I885" s="1" t="str">
        <f>IF(ISBLANK('SQL Builder'!P860)=FALSE,'SQL Builder'!N860,"")</f>
        <v/>
      </c>
      <c r="J885" s="79">
        <f t="shared" si="13"/>
        <v>0</v>
      </c>
    </row>
    <row r="886" spans="2:10" ht="16.5" x14ac:dyDescent="0.25">
      <c r="B886" s="49" t="e">
        <f>IF(ISBLANK('SQL Builder'!K861)=FALSE,(DATE(LEFT('SQL Builder'!K861,4),MID('SQL Builder'!K861,6,2),MID('SQL Builder'!K861,9,2))),NA())</f>
        <v>#N/A</v>
      </c>
      <c r="C886" s="50" t="str">
        <f>IF(ISBLANK('SQL Builder'!K861)=FALSE,'SQL Builder'!L861,"")</f>
        <v/>
      </c>
      <c r="D886" s="1" t="str">
        <f>IF(ISBLANK('SQL Builder'!K861)=FALSE,'SQL Builder'!O861,"")</f>
        <v/>
      </c>
      <c r="H886" s="43" t="str">
        <f>IF(ISBLANK('SQL Builder'!K860)=FALSE,H885+1,"")</f>
        <v/>
      </c>
      <c r="I886" s="1" t="str">
        <f>IF(ISBLANK('SQL Builder'!P861)=FALSE,'SQL Builder'!N861,"")</f>
        <v/>
      </c>
      <c r="J886" s="79">
        <f t="shared" si="13"/>
        <v>0</v>
      </c>
    </row>
    <row r="887" spans="2:10" ht="16.5" x14ac:dyDescent="0.25">
      <c r="B887" s="49" t="e">
        <f>IF(ISBLANK('SQL Builder'!K862)=FALSE,(DATE(LEFT('SQL Builder'!K862,4),MID('SQL Builder'!K862,6,2),MID('SQL Builder'!K862,9,2))),NA())</f>
        <v>#N/A</v>
      </c>
      <c r="C887" s="50" t="str">
        <f>IF(ISBLANK('SQL Builder'!K862)=FALSE,'SQL Builder'!L862,"")</f>
        <v/>
      </c>
      <c r="D887" s="1" t="str">
        <f>IF(ISBLANK('SQL Builder'!K862)=FALSE,'SQL Builder'!O862,"")</f>
        <v/>
      </c>
      <c r="H887" s="43" t="str">
        <f>IF(ISBLANK('SQL Builder'!K861)=FALSE,H886+1,"")</f>
        <v/>
      </c>
      <c r="I887" s="1" t="str">
        <f>IF(ISBLANK('SQL Builder'!P862)=FALSE,'SQL Builder'!N862,"")</f>
        <v/>
      </c>
      <c r="J887" s="79">
        <f t="shared" si="13"/>
        <v>0</v>
      </c>
    </row>
    <row r="888" spans="2:10" ht="16.5" x14ac:dyDescent="0.25">
      <c r="B888" s="49" t="e">
        <f>IF(ISBLANK('SQL Builder'!K863)=FALSE,(DATE(LEFT('SQL Builder'!K863,4),MID('SQL Builder'!K863,6,2),MID('SQL Builder'!K863,9,2))),NA())</f>
        <v>#N/A</v>
      </c>
      <c r="C888" s="50" t="str">
        <f>IF(ISBLANK('SQL Builder'!K863)=FALSE,'SQL Builder'!L863,"")</f>
        <v/>
      </c>
      <c r="D888" s="1" t="str">
        <f>IF(ISBLANK('SQL Builder'!K863)=FALSE,'SQL Builder'!O863,"")</f>
        <v/>
      </c>
      <c r="H888" s="43" t="str">
        <f>IF(ISBLANK('SQL Builder'!K862)=FALSE,H887+1,"")</f>
        <v/>
      </c>
      <c r="I888" s="1" t="str">
        <f>IF(ISBLANK('SQL Builder'!P863)=FALSE,'SQL Builder'!N863,"")</f>
        <v/>
      </c>
      <c r="J888" s="79">
        <f t="shared" si="13"/>
        <v>0</v>
      </c>
    </row>
    <row r="889" spans="2:10" ht="16.5" x14ac:dyDescent="0.25">
      <c r="B889" s="49" t="e">
        <f>IF(ISBLANK('SQL Builder'!K864)=FALSE,(DATE(LEFT('SQL Builder'!K864,4),MID('SQL Builder'!K864,6,2),MID('SQL Builder'!K864,9,2))),NA())</f>
        <v>#N/A</v>
      </c>
      <c r="C889" s="50" t="str">
        <f>IF(ISBLANK('SQL Builder'!K864)=FALSE,'SQL Builder'!L864,"")</f>
        <v/>
      </c>
      <c r="D889" s="1" t="str">
        <f>IF(ISBLANK('SQL Builder'!K864)=FALSE,'SQL Builder'!O864,"")</f>
        <v/>
      </c>
      <c r="H889" s="43" t="str">
        <f>IF(ISBLANK('SQL Builder'!K863)=FALSE,H888+1,"")</f>
        <v/>
      </c>
      <c r="I889" s="1" t="str">
        <f>IF(ISBLANK('SQL Builder'!P864)=FALSE,'SQL Builder'!N864,"")</f>
        <v/>
      </c>
      <c r="J889" s="79">
        <f t="shared" si="13"/>
        <v>0</v>
      </c>
    </row>
    <row r="890" spans="2:10" ht="16.5" x14ac:dyDescent="0.25">
      <c r="B890" s="49" t="e">
        <f>IF(ISBLANK('SQL Builder'!K865)=FALSE,(DATE(LEFT('SQL Builder'!K865,4),MID('SQL Builder'!K865,6,2),MID('SQL Builder'!K865,9,2))),NA())</f>
        <v>#N/A</v>
      </c>
      <c r="C890" s="50" t="str">
        <f>IF(ISBLANK('SQL Builder'!K865)=FALSE,'SQL Builder'!L865,"")</f>
        <v/>
      </c>
      <c r="D890" s="1" t="str">
        <f>IF(ISBLANK('SQL Builder'!K865)=FALSE,'SQL Builder'!O865,"")</f>
        <v/>
      </c>
      <c r="H890" s="43" t="str">
        <f>IF(ISBLANK('SQL Builder'!K864)=FALSE,H889+1,"")</f>
        <v/>
      </c>
      <c r="I890" s="1" t="str">
        <f>IF(ISBLANK('SQL Builder'!P865)=FALSE,'SQL Builder'!N865,"")</f>
        <v/>
      </c>
      <c r="J890" s="79">
        <f t="shared" si="13"/>
        <v>0</v>
      </c>
    </row>
    <row r="891" spans="2:10" ht="16.5" x14ac:dyDescent="0.25">
      <c r="B891" s="49" t="e">
        <f>IF(ISBLANK('SQL Builder'!K866)=FALSE,(DATE(LEFT('SQL Builder'!K866,4),MID('SQL Builder'!K866,6,2),MID('SQL Builder'!K866,9,2))),NA())</f>
        <v>#N/A</v>
      </c>
      <c r="C891" s="50" t="str">
        <f>IF(ISBLANK('SQL Builder'!K866)=FALSE,'SQL Builder'!L866,"")</f>
        <v/>
      </c>
      <c r="D891" s="1" t="str">
        <f>IF(ISBLANK('SQL Builder'!K866)=FALSE,'SQL Builder'!O866,"")</f>
        <v/>
      </c>
      <c r="H891" s="43" t="str">
        <f>IF(ISBLANK('SQL Builder'!K865)=FALSE,H890+1,"")</f>
        <v/>
      </c>
      <c r="I891" s="1" t="str">
        <f>IF(ISBLANK('SQL Builder'!P866)=FALSE,'SQL Builder'!N866,"")</f>
        <v/>
      </c>
      <c r="J891" s="79">
        <f t="shared" si="13"/>
        <v>0</v>
      </c>
    </row>
    <row r="892" spans="2:10" ht="16.5" x14ac:dyDescent="0.25">
      <c r="B892" s="49" t="e">
        <f>IF(ISBLANK('SQL Builder'!K867)=FALSE,(DATE(LEFT('SQL Builder'!K867,4),MID('SQL Builder'!K867,6,2),MID('SQL Builder'!K867,9,2))),NA())</f>
        <v>#N/A</v>
      </c>
      <c r="C892" s="50" t="str">
        <f>IF(ISBLANK('SQL Builder'!K867)=FALSE,'SQL Builder'!L867,"")</f>
        <v/>
      </c>
      <c r="D892" s="1" t="str">
        <f>IF(ISBLANK('SQL Builder'!K867)=FALSE,'SQL Builder'!O867,"")</f>
        <v/>
      </c>
      <c r="H892" s="43" t="str">
        <f>IF(ISBLANK('SQL Builder'!K866)=FALSE,H891+1,"")</f>
        <v/>
      </c>
      <c r="I892" s="1" t="str">
        <f>IF(ISBLANK('SQL Builder'!P867)=FALSE,'SQL Builder'!N867,"")</f>
        <v/>
      </c>
      <c r="J892" s="79">
        <f t="shared" si="13"/>
        <v>0</v>
      </c>
    </row>
    <row r="893" spans="2:10" ht="16.5" x14ac:dyDescent="0.25">
      <c r="B893" s="49" t="e">
        <f>IF(ISBLANK('SQL Builder'!K868)=FALSE,(DATE(LEFT('SQL Builder'!K868,4),MID('SQL Builder'!K868,6,2),MID('SQL Builder'!K868,9,2))),NA())</f>
        <v>#N/A</v>
      </c>
      <c r="C893" s="50" t="str">
        <f>IF(ISBLANK('SQL Builder'!K868)=FALSE,'SQL Builder'!L868,"")</f>
        <v/>
      </c>
      <c r="D893" s="1" t="str">
        <f>IF(ISBLANK('SQL Builder'!K868)=FALSE,'SQL Builder'!O868,"")</f>
        <v/>
      </c>
      <c r="H893" s="43" t="str">
        <f>IF(ISBLANK('SQL Builder'!K867)=FALSE,H892+1,"")</f>
        <v/>
      </c>
      <c r="I893" s="1" t="str">
        <f>IF(ISBLANK('SQL Builder'!P868)=FALSE,'SQL Builder'!N868,"")</f>
        <v/>
      </c>
      <c r="J893" s="79">
        <f t="shared" si="13"/>
        <v>0</v>
      </c>
    </row>
    <row r="894" spans="2:10" ht="16.5" x14ac:dyDescent="0.25">
      <c r="B894" s="49" t="e">
        <f>IF(ISBLANK('SQL Builder'!K869)=FALSE,(DATE(LEFT('SQL Builder'!K869,4),MID('SQL Builder'!K869,6,2),MID('SQL Builder'!K869,9,2))),NA())</f>
        <v>#N/A</v>
      </c>
      <c r="C894" s="50" t="str">
        <f>IF(ISBLANK('SQL Builder'!K869)=FALSE,'SQL Builder'!L869,"")</f>
        <v/>
      </c>
      <c r="D894" s="1" t="str">
        <f>IF(ISBLANK('SQL Builder'!K869)=FALSE,'SQL Builder'!O869,"")</f>
        <v/>
      </c>
      <c r="H894" s="43" t="str">
        <f>IF(ISBLANK('SQL Builder'!K868)=FALSE,H893+1,"")</f>
        <v/>
      </c>
      <c r="I894" s="1" t="str">
        <f>IF(ISBLANK('SQL Builder'!P869)=FALSE,'SQL Builder'!N869,"")</f>
        <v/>
      </c>
      <c r="J894" s="79">
        <f t="shared" si="13"/>
        <v>0</v>
      </c>
    </row>
    <row r="895" spans="2:10" ht="16.5" x14ac:dyDescent="0.25">
      <c r="B895" s="49" t="e">
        <f>IF(ISBLANK('SQL Builder'!K870)=FALSE,(DATE(LEFT('SQL Builder'!K870,4),MID('SQL Builder'!K870,6,2),MID('SQL Builder'!K870,9,2))),NA())</f>
        <v>#N/A</v>
      </c>
      <c r="C895" s="50" t="str">
        <f>IF(ISBLANK('SQL Builder'!K870)=FALSE,'SQL Builder'!L870,"")</f>
        <v/>
      </c>
      <c r="D895" s="1" t="str">
        <f>IF(ISBLANK('SQL Builder'!K870)=FALSE,'SQL Builder'!O870,"")</f>
        <v/>
      </c>
      <c r="H895" s="43" t="str">
        <f>IF(ISBLANK('SQL Builder'!K869)=FALSE,H894+1,"")</f>
        <v/>
      </c>
      <c r="I895" s="1" t="str">
        <f>IF(ISBLANK('SQL Builder'!P870)=FALSE,'SQL Builder'!N870,"")</f>
        <v/>
      </c>
      <c r="J895" s="79">
        <f t="shared" si="13"/>
        <v>0</v>
      </c>
    </row>
    <row r="896" spans="2:10" ht="16.5" x14ac:dyDescent="0.25">
      <c r="B896" s="49" t="e">
        <f>IF(ISBLANK('SQL Builder'!K871)=FALSE,(DATE(LEFT('SQL Builder'!K871,4),MID('SQL Builder'!K871,6,2),MID('SQL Builder'!K871,9,2))),NA())</f>
        <v>#N/A</v>
      </c>
      <c r="C896" s="50" t="str">
        <f>IF(ISBLANK('SQL Builder'!K871)=FALSE,'SQL Builder'!L871,"")</f>
        <v/>
      </c>
      <c r="D896" s="1" t="str">
        <f>IF(ISBLANK('SQL Builder'!K871)=FALSE,'SQL Builder'!O871,"")</f>
        <v/>
      </c>
      <c r="H896" s="43" t="str">
        <f>IF(ISBLANK('SQL Builder'!K870)=FALSE,H895+1,"")</f>
        <v/>
      </c>
      <c r="I896" s="1" t="str">
        <f>IF(ISBLANK('SQL Builder'!P871)=FALSE,'SQL Builder'!N871,"")</f>
        <v/>
      </c>
      <c r="J896" s="79">
        <f t="shared" si="13"/>
        <v>0</v>
      </c>
    </row>
    <row r="897" spans="2:10" ht="16.5" x14ac:dyDescent="0.25">
      <c r="B897" s="49" t="e">
        <f>IF(ISBLANK('SQL Builder'!K872)=FALSE,(DATE(LEFT('SQL Builder'!K872,4),MID('SQL Builder'!K872,6,2),MID('SQL Builder'!K872,9,2))),NA())</f>
        <v>#N/A</v>
      </c>
      <c r="C897" s="50" t="str">
        <f>IF(ISBLANK('SQL Builder'!K872)=FALSE,'SQL Builder'!L872,"")</f>
        <v/>
      </c>
      <c r="D897" s="1" t="str">
        <f>IF(ISBLANK('SQL Builder'!K872)=FALSE,'SQL Builder'!O872,"")</f>
        <v/>
      </c>
      <c r="H897" s="43" t="str">
        <f>IF(ISBLANK('SQL Builder'!K871)=FALSE,H896+1,"")</f>
        <v/>
      </c>
      <c r="I897" s="1" t="str">
        <f>IF(ISBLANK('SQL Builder'!P872)=FALSE,'SQL Builder'!N872,"")</f>
        <v/>
      </c>
      <c r="J897" s="79">
        <f t="shared" si="13"/>
        <v>0</v>
      </c>
    </row>
    <row r="898" spans="2:10" ht="16.5" x14ac:dyDescent="0.25">
      <c r="B898" s="49" t="e">
        <f>IF(ISBLANK('SQL Builder'!K873)=FALSE,(DATE(LEFT('SQL Builder'!K873,4),MID('SQL Builder'!K873,6,2),MID('SQL Builder'!K873,9,2))),NA())</f>
        <v>#N/A</v>
      </c>
      <c r="C898" s="50" t="str">
        <f>IF(ISBLANK('SQL Builder'!K873)=FALSE,'SQL Builder'!L873,"")</f>
        <v/>
      </c>
      <c r="D898" s="1" t="str">
        <f>IF(ISBLANK('SQL Builder'!K873)=FALSE,'SQL Builder'!O873,"")</f>
        <v/>
      </c>
      <c r="H898" s="43" t="str">
        <f>IF(ISBLANK('SQL Builder'!K872)=FALSE,H897+1,"")</f>
        <v/>
      </c>
      <c r="I898" s="1" t="str">
        <f>IF(ISBLANK('SQL Builder'!P873)=FALSE,'SQL Builder'!N873,"")</f>
        <v/>
      </c>
      <c r="J898" s="79">
        <f t="shared" si="13"/>
        <v>0</v>
      </c>
    </row>
    <row r="899" spans="2:10" ht="16.5" x14ac:dyDescent="0.25">
      <c r="B899" s="49" t="e">
        <f>IF(ISBLANK('SQL Builder'!K874)=FALSE,(DATE(LEFT('SQL Builder'!K874,4),MID('SQL Builder'!K874,6,2),MID('SQL Builder'!K874,9,2))),NA())</f>
        <v>#N/A</v>
      </c>
      <c r="C899" s="50" t="str">
        <f>IF(ISBLANK('SQL Builder'!K874)=FALSE,'SQL Builder'!L874,"")</f>
        <v/>
      </c>
      <c r="D899" s="1" t="str">
        <f>IF(ISBLANK('SQL Builder'!K874)=FALSE,'SQL Builder'!O874,"")</f>
        <v/>
      </c>
      <c r="H899" s="43" t="str">
        <f>IF(ISBLANK('SQL Builder'!K873)=FALSE,H898+1,"")</f>
        <v/>
      </c>
      <c r="I899" s="1" t="str">
        <f>IF(ISBLANK('SQL Builder'!P874)=FALSE,'SQL Builder'!N874,"")</f>
        <v/>
      </c>
      <c r="J899" s="79">
        <f t="shared" si="13"/>
        <v>0</v>
      </c>
    </row>
    <row r="900" spans="2:10" ht="16.5" x14ac:dyDescent="0.25">
      <c r="B900" s="49" t="e">
        <f>IF(ISBLANK('SQL Builder'!K875)=FALSE,(DATE(LEFT('SQL Builder'!K875,4),MID('SQL Builder'!K875,6,2),MID('SQL Builder'!K875,9,2))),NA())</f>
        <v>#N/A</v>
      </c>
      <c r="C900" s="50" t="str">
        <f>IF(ISBLANK('SQL Builder'!K875)=FALSE,'SQL Builder'!L875,"")</f>
        <v/>
      </c>
      <c r="D900" s="1" t="str">
        <f>IF(ISBLANK('SQL Builder'!K875)=FALSE,'SQL Builder'!O875,"")</f>
        <v/>
      </c>
      <c r="H900" s="43" t="str">
        <f>IF(ISBLANK('SQL Builder'!K874)=FALSE,H899+1,"")</f>
        <v/>
      </c>
      <c r="I900" s="1" t="str">
        <f>IF(ISBLANK('SQL Builder'!P875)=FALSE,'SQL Builder'!N875,"")</f>
        <v/>
      </c>
      <c r="J900" s="79">
        <f t="shared" si="13"/>
        <v>0</v>
      </c>
    </row>
    <row r="901" spans="2:10" ht="16.5" x14ac:dyDescent="0.25">
      <c r="B901" s="49" t="e">
        <f>IF(ISBLANK('SQL Builder'!K876)=FALSE,(DATE(LEFT('SQL Builder'!K876,4),MID('SQL Builder'!K876,6,2),MID('SQL Builder'!K876,9,2))),NA())</f>
        <v>#N/A</v>
      </c>
      <c r="C901" s="50" t="str">
        <f>IF(ISBLANK('SQL Builder'!K876)=FALSE,'SQL Builder'!L876,"")</f>
        <v/>
      </c>
      <c r="D901" s="1" t="str">
        <f>IF(ISBLANK('SQL Builder'!K876)=FALSE,'SQL Builder'!O876,"")</f>
        <v/>
      </c>
      <c r="H901" s="43" t="str">
        <f>IF(ISBLANK('SQL Builder'!K875)=FALSE,H900+1,"")</f>
        <v/>
      </c>
      <c r="I901" s="1" t="str">
        <f>IF(ISBLANK('SQL Builder'!P876)=FALSE,'SQL Builder'!N876,"")</f>
        <v/>
      </c>
      <c r="J901" s="79">
        <f t="shared" si="13"/>
        <v>0</v>
      </c>
    </row>
    <row r="902" spans="2:10" ht="16.5" x14ac:dyDescent="0.25">
      <c r="B902" s="49" t="e">
        <f>IF(ISBLANK('SQL Builder'!K877)=FALSE,(DATE(LEFT('SQL Builder'!K877,4),MID('SQL Builder'!K877,6,2),MID('SQL Builder'!K877,9,2))),NA())</f>
        <v>#N/A</v>
      </c>
      <c r="C902" s="50" t="str">
        <f>IF(ISBLANK('SQL Builder'!K877)=FALSE,'SQL Builder'!L877,"")</f>
        <v/>
      </c>
      <c r="D902" s="1" t="str">
        <f>IF(ISBLANK('SQL Builder'!K877)=FALSE,'SQL Builder'!O877,"")</f>
        <v/>
      </c>
      <c r="H902" s="43" t="str">
        <f>IF(ISBLANK('SQL Builder'!K876)=FALSE,H901+1,"")</f>
        <v/>
      </c>
      <c r="I902" s="1" t="str">
        <f>IF(ISBLANK('SQL Builder'!P877)=FALSE,'SQL Builder'!N877,"")</f>
        <v/>
      </c>
      <c r="J902" s="79">
        <f t="shared" si="13"/>
        <v>0</v>
      </c>
    </row>
    <row r="903" spans="2:10" ht="16.5" x14ac:dyDescent="0.25">
      <c r="B903" s="49" t="e">
        <f>IF(ISBLANK('SQL Builder'!K878)=FALSE,(DATE(LEFT('SQL Builder'!K878,4),MID('SQL Builder'!K878,6,2),MID('SQL Builder'!K878,9,2))),NA())</f>
        <v>#N/A</v>
      </c>
      <c r="C903" s="50" t="str">
        <f>IF(ISBLANK('SQL Builder'!K878)=FALSE,'SQL Builder'!L878,"")</f>
        <v/>
      </c>
      <c r="D903" s="1" t="str">
        <f>IF(ISBLANK('SQL Builder'!K878)=FALSE,'SQL Builder'!O878,"")</f>
        <v/>
      </c>
      <c r="H903" s="43" t="str">
        <f>IF(ISBLANK('SQL Builder'!K877)=FALSE,H902+1,"")</f>
        <v/>
      </c>
      <c r="I903" s="1" t="str">
        <f>IF(ISBLANK('SQL Builder'!P878)=FALSE,'SQL Builder'!N878,"")</f>
        <v/>
      </c>
      <c r="J903" s="79">
        <f t="shared" si="13"/>
        <v>0</v>
      </c>
    </row>
    <row r="904" spans="2:10" ht="16.5" x14ac:dyDescent="0.25">
      <c r="B904" s="49" t="e">
        <f>IF(ISBLANK('SQL Builder'!K879)=FALSE,(DATE(LEFT('SQL Builder'!K879,4),MID('SQL Builder'!K879,6,2),MID('SQL Builder'!K879,9,2))),NA())</f>
        <v>#N/A</v>
      </c>
      <c r="C904" s="50" t="str">
        <f>IF(ISBLANK('SQL Builder'!K879)=FALSE,'SQL Builder'!L879,"")</f>
        <v/>
      </c>
      <c r="D904" s="1" t="str">
        <f>IF(ISBLANK('SQL Builder'!K879)=FALSE,'SQL Builder'!O879,"")</f>
        <v/>
      </c>
      <c r="H904" s="43" t="str">
        <f>IF(ISBLANK('SQL Builder'!K878)=FALSE,H903+1,"")</f>
        <v/>
      </c>
      <c r="I904" s="1" t="str">
        <f>IF(ISBLANK('SQL Builder'!P879)=FALSE,'SQL Builder'!N879,"")</f>
        <v/>
      </c>
      <c r="J904" s="79">
        <f t="shared" si="13"/>
        <v>0</v>
      </c>
    </row>
    <row r="905" spans="2:10" ht="16.5" x14ac:dyDescent="0.25">
      <c r="B905" s="49" t="e">
        <f>IF(ISBLANK('SQL Builder'!K880)=FALSE,(DATE(LEFT('SQL Builder'!K880,4),MID('SQL Builder'!K880,6,2),MID('SQL Builder'!K880,9,2))),NA())</f>
        <v>#N/A</v>
      </c>
      <c r="C905" s="50" t="str">
        <f>IF(ISBLANK('SQL Builder'!K880)=FALSE,'SQL Builder'!L880,"")</f>
        <v/>
      </c>
      <c r="D905" s="1" t="str">
        <f>IF(ISBLANK('SQL Builder'!K880)=FALSE,'SQL Builder'!O880,"")</f>
        <v/>
      </c>
      <c r="H905" s="43" t="str">
        <f>IF(ISBLANK('SQL Builder'!K879)=FALSE,H904+1,"")</f>
        <v/>
      </c>
      <c r="I905" s="1" t="str">
        <f>IF(ISBLANK('SQL Builder'!P880)=FALSE,'SQL Builder'!N880,"")</f>
        <v/>
      </c>
      <c r="J905" s="79">
        <f t="shared" si="13"/>
        <v>0</v>
      </c>
    </row>
    <row r="906" spans="2:10" ht="16.5" x14ac:dyDescent="0.25">
      <c r="B906" s="49" t="e">
        <f>IF(ISBLANK('SQL Builder'!K881)=FALSE,(DATE(LEFT('SQL Builder'!K881,4),MID('SQL Builder'!K881,6,2),MID('SQL Builder'!K881,9,2))),NA())</f>
        <v>#N/A</v>
      </c>
      <c r="C906" s="50" t="str">
        <f>IF(ISBLANK('SQL Builder'!K881)=FALSE,'SQL Builder'!L881,"")</f>
        <v/>
      </c>
      <c r="D906" s="1" t="str">
        <f>IF(ISBLANK('SQL Builder'!K881)=FALSE,'SQL Builder'!O881,"")</f>
        <v/>
      </c>
      <c r="H906" s="43" t="str">
        <f>IF(ISBLANK('SQL Builder'!K880)=FALSE,H905+1,"")</f>
        <v/>
      </c>
      <c r="I906" s="1" t="str">
        <f>IF(ISBLANK('SQL Builder'!P881)=FALSE,'SQL Builder'!N881,"")</f>
        <v/>
      </c>
      <c r="J906" s="79">
        <f t="shared" si="13"/>
        <v>0</v>
      </c>
    </row>
    <row r="907" spans="2:10" ht="16.5" x14ac:dyDescent="0.25">
      <c r="B907" s="49" t="e">
        <f>IF(ISBLANK('SQL Builder'!K882)=FALSE,(DATE(LEFT('SQL Builder'!K882,4),MID('SQL Builder'!K882,6,2),MID('SQL Builder'!K882,9,2))),NA())</f>
        <v>#N/A</v>
      </c>
      <c r="C907" s="50" t="str">
        <f>IF(ISBLANK('SQL Builder'!K882)=FALSE,'SQL Builder'!L882,"")</f>
        <v/>
      </c>
      <c r="D907" s="1" t="str">
        <f>IF(ISBLANK('SQL Builder'!K882)=FALSE,'SQL Builder'!O882,"")</f>
        <v/>
      </c>
      <c r="H907" s="43" t="str">
        <f>IF(ISBLANK('SQL Builder'!K881)=FALSE,H906+1,"")</f>
        <v/>
      </c>
      <c r="I907" s="1" t="str">
        <f>IF(ISBLANK('SQL Builder'!P882)=FALSE,'SQL Builder'!N882,"")</f>
        <v/>
      </c>
      <c r="J907" s="79">
        <f t="shared" si="13"/>
        <v>0</v>
      </c>
    </row>
    <row r="908" spans="2:10" ht="16.5" x14ac:dyDescent="0.25">
      <c r="B908" s="49" t="e">
        <f>IF(ISBLANK('SQL Builder'!K883)=FALSE,(DATE(LEFT('SQL Builder'!K883,4),MID('SQL Builder'!K883,6,2),MID('SQL Builder'!K883,9,2))),NA())</f>
        <v>#N/A</v>
      </c>
      <c r="C908" s="50" t="str">
        <f>IF(ISBLANK('SQL Builder'!K883)=FALSE,'SQL Builder'!L883,"")</f>
        <v/>
      </c>
      <c r="D908" s="1" t="str">
        <f>IF(ISBLANK('SQL Builder'!K883)=FALSE,'SQL Builder'!O883,"")</f>
        <v/>
      </c>
      <c r="H908" s="43" t="str">
        <f>IF(ISBLANK('SQL Builder'!K882)=FALSE,H907+1,"")</f>
        <v/>
      </c>
      <c r="I908" s="1" t="str">
        <f>IF(ISBLANK('SQL Builder'!P883)=FALSE,'SQL Builder'!N883,"")</f>
        <v/>
      </c>
      <c r="J908" s="79">
        <f t="shared" si="13"/>
        <v>0</v>
      </c>
    </row>
    <row r="909" spans="2:10" ht="16.5" x14ac:dyDescent="0.25">
      <c r="B909" s="49" t="e">
        <f>IF(ISBLANK('SQL Builder'!K884)=FALSE,(DATE(LEFT('SQL Builder'!K884,4),MID('SQL Builder'!K884,6,2),MID('SQL Builder'!K884,9,2))),NA())</f>
        <v>#N/A</v>
      </c>
      <c r="C909" s="50" t="str">
        <f>IF(ISBLANK('SQL Builder'!K884)=FALSE,'SQL Builder'!L884,"")</f>
        <v/>
      </c>
      <c r="D909" s="1" t="str">
        <f>IF(ISBLANK('SQL Builder'!K884)=FALSE,'SQL Builder'!O884,"")</f>
        <v/>
      </c>
      <c r="H909" s="43" t="str">
        <f>IF(ISBLANK('SQL Builder'!K883)=FALSE,H908+1,"")</f>
        <v/>
      </c>
      <c r="I909" s="1" t="str">
        <f>IF(ISBLANK('SQL Builder'!P884)=FALSE,'SQL Builder'!N884,"")</f>
        <v/>
      </c>
      <c r="J909" s="79">
        <f t="shared" si="13"/>
        <v>0</v>
      </c>
    </row>
    <row r="910" spans="2:10" ht="16.5" x14ac:dyDescent="0.25">
      <c r="B910" s="49" t="e">
        <f>IF(ISBLANK('SQL Builder'!K885)=FALSE,(DATE(LEFT('SQL Builder'!K885,4),MID('SQL Builder'!K885,6,2),MID('SQL Builder'!K885,9,2))),NA())</f>
        <v>#N/A</v>
      </c>
      <c r="C910" s="50" t="str">
        <f>IF(ISBLANK('SQL Builder'!K885)=FALSE,'SQL Builder'!L885,"")</f>
        <v/>
      </c>
      <c r="D910" s="1" t="str">
        <f>IF(ISBLANK('SQL Builder'!K885)=FALSE,'SQL Builder'!O885,"")</f>
        <v/>
      </c>
      <c r="H910" s="43" t="str">
        <f>IF(ISBLANK('SQL Builder'!K884)=FALSE,H909+1,"")</f>
        <v/>
      </c>
      <c r="I910" s="1" t="str">
        <f>IF(ISBLANK('SQL Builder'!P885)=FALSE,'SQL Builder'!N885,"")</f>
        <v/>
      </c>
      <c r="J910" s="79">
        <f t="shared" si="13"/>
        <v>0</v>
      </c>
    </row>
    <row r="911" spans="2:10" ht="16.5" x14ac:dyDescent="0.25">
      <c r="B911" s="49" t="e">
        <f>IF(ISBLANK('SQL Builder'!K886)=FALSE,(DATE(LEFT('SQL Builder'!K886,4),MID('SQL Builder'!K886,6,2),MID('SQL Builder'!K886,9,2))),NA())</f>
        <v>#N/A</v>
      </c>
      <c r="C911" s="50" t="str">
        <f>IF(ISBLANK('SQL Builder'!K886)=FALSE,'SQL Builder'!L886,"")</f>
        <v/>
      </c>
      <c r="D911" s="1" t="str">
        <f>IF(ISBLANK('SQL Builder'!K886)=FALSE,'SQL Builder'!O886,"")</f>
        <v/>
      </c>
      <c r="H911" s="43" t="str">
        <f>IF(ISBLANK('SQL Builder'!K885)=FALSE,H910+1,"")</f>
        <v/>
      </c>
      <c r="I911" s="1" t="str">
        <f>IF(ISBLANK('SQL Builder'!P886)=FALSE,'SQL Builder'!N886,"")</f>
        <v/>
      </c>
      <c r="J911" s="79">
        <f t="shared" si="13"/>
        <v>0</v>
      </c>
    </row>
    <row r="912" spans="2:10" ht="16.5" x14ac:dyDescent="0.25">
      <c r="B912" s="49" t="e">
        <f>IF(ISBLANK('SQL Builder'!K887)=FALSE,(DATE(LEFT('SQL Builder'!K887,4),MID('SQL Builder'!K887,6,2),MID('SQL Builder'!K887,9,2))),NA())</f>
        <v>#N/A</v>
      </c>
      <c r="C912" s="50" t="str">
        <f>IF(ISBLANK('SQL Builder'!K887)=FALSE,'SQL Builder'!L887,"")</f>
        <v/>
      </c>
      <c r="D912" s="1" t="str">
        <f>IF(ISBLANK('SQL Builder'!K887)=FALSE,'SQL Builder'!O887,"")</f>
        <v/>
      </c>
      <c r="H912" s="43" t="str">
        <f>IF(ISBLANK('SQL Builder'!K886)=FALSE,H911+1,"")</f>
        <v/>
      </c>
      <c r="I912" s="1" t="str">
        <f>IF(ISBLANK('SQL Builder'!P887)=FALSE,'SQL Builder'!N887,"")</f>
        <v/>
      </c>
      <c r="J912" s="79">
        <f t="shared" si="13"/>
        <v>0</v>
      </c>
    </row>
    <row r="913" spans="2:10" ht="16.5" x14ac:dyDescent="0.25">
      <c r="B913" s="49" t="e">
        <f>IF(ISBLANK('SQL Builder'!K888)=FALSE,(DATE(LEFT('SQL Builder'!K888,4),MID('SQL Builder'!K888,6,2),MID('SQL Builder'!K888,9,2))),NA())</f>
        <v>#N/A</v>
      </c>
      <c r="C913" s="50" t="str">
        <f>IF(ISBLANK('SQL Builder'!K888)=FALSE,'SQL Builder'!L888,"")</f>
        <v/>
      </c>
      <c r="D913" s="1" t="str">
        <f>IF(ISBLANK('SQL Builder'!K888)=FALSE,'SQL Builder'!O888,"")</f>
        <v/>
      </c>
      <c r="H913" s="43" t="str">
        <f>IF(ISBLANK('SQL Builder'!K887)=FALSE,H912+1,"")</f>
        <v/>
      </c>
      <c r="I913" s="1" t="str">
        <f>IF(ISBLANK('SQL Builder'!P888)=FALSE,'SQL Builder'!N888,"")</f>
        <v/>
      </c>
      <c r="J913" s="79">
        <f t="shared" si="13"/>
        <v>0</v>
      </c>
    </row>
    <row r="914" spans="2:10" ht="16.5" x14ac:dyDescent="0.25">
      <c r="B914" s="49" t="e">
        <f>IF(ISBLANK('SQL Builder'!K889)=FALSE,(DATE(LEFT('SQL Builder'!K889,4),MID('SQL Builder'!K889,6,2),MID('SQL Builder'!K889,9,2))),NA())</f>
        <v>#N/A</v>
      </c>
      <c r="C914" s="50" t="str">
        <f>IF(ISBLANK('SQL Builder'!K889)=FALSE,'SQL Builder'!L889,"")</f>
        <v/>
      </c>
      <c r="D914" s="1" t="str">
        <f>IF(ISBLANK('SQL Builder'!K889)=FALSE,'SQL Builder'!O889,"")</f>
        <v/>
      </c>
      <c r="H914" s="43" t="str">
        <f>IF(ISBLANK('SQL Builder'!K888)=FALSE,H913+1,"")</f>
        <v/>
      </c>
      <c r="I914" s="1" t="str">
        <f>IF(ISBLANK('SQL Builder'!P889)=FALSE,'SQL Builder'!N889,"")</f>
        <v/>
      </c>
      <c r="J914" s="79">
        <f t="shared" si="13"/>
        <v>0</v>
      </c>
    </row>
    <row r="915" spans="2:10" ht="16.5" x14ac:dyDescent="0.25">
      <c r="B915" s="49" t="e">
        <f>IF(ISBLANK('SQL Builder'!K890)=FALSE,(DATE(LEFT('SQL Builder'!K890,4),MID('SQL Builder'!K890,6,2),MID('SQL Builder'!K890,9,2))),NA())</f>
        <v>#N/A</v>
      </c>
      <c r="C915" s="50" t="str">
        <f>IF(ISBLANK('SQL Builder'!K890)=FALSE,'SQL Builder'!L890,"")</f>
        <v/>
      </c>
      <c r="D915" s="1" t="str">
        <f>IF(ISBLANK('SQL Builder'!K890)=FALSE,'SQL Builder'!O890,"")</f>
        <v/>
      </c>
      <c r="H915" s="43" t="str">
        <f>IF(ISBLANK('SQL Builder'!K889)=FALSE,H914+1,"")</f>
        <v/>
      </c>
      <c r="I915" s="1" t="str">
        <f>IF(ISBLANK('SQL Builder'!P890)=FALSE,'SQL Builder'!N890,"")</f>
        <v/>
      </c>
      <c r="J915" s="79">
        <f t="shared" si="13"/>
        <v>0</v>
      </c>
    </row>
    <row r="916" spans="2:10" ht="16.5" x14ac:dyDescent="0.25">
      <c r="B916" s="49" t="e">
        <f>IF(ISBLANK('SQL Builder'!K891)=FALSE,(DATE(LEFT('SQL Builder'!K891,4),MID('SQL Builder'!K891,6,2),MID('SQL Builder'!K891,9,2))),NA())</f>
        <v>#N/A</v>
      </c>
      <c r="C916" s="50" t="str">
        <f>IF(ISBLANK('SQL Builder'!K891)=FALSE,'SQL Builder'!L891,"")</f>
        <v/>
      </c>
      <c r="D916" s="1" t="str">
        <f>IF(ISBLANK('SQL Builder'!K891)=FALSE,'SQL Builder'!O891,"")</f>
        <v/>
      </c>
      <c r="H916" s="43" t="str">
        <f>IF(ISBLANK('SQL Builder'!K890)=FALSE,H915+1,"")</f>
        <v/>
      </c>
      <c r="I916" s="1" t="str">
        <f>IF(ISBLANK('SQL Builder'!P891)=FALSE,'SQL Builder'!N891,"")</f>
        <v/>
      </c>
      <c r="J916" s="79">
        <f t="shared" si="13"/>
        <v>0</v>
      </c>
    </row>
    <row r="917" spans="2:10" ht="16.5" x14ac:dyDescent="0.25">
      <c r="B917" s="49" t="e">
        <f>IF(ISBLANK('SQL Builder'!K892)=FALSE,(DATE(LEFT('SQL Builder'!K892,4),MID('SQL Builder'!K892,6,2),MID('SQL Builder'!K892,9,2))),NA())</f>
        <v>#N/A</v>
      </c>
      <c r="C917" s="50" t="str">
        <f>IF(ISBLANK('SQL Builder'!K892)=FALSE,'SQL Builder'!L892,"")</f>
        <v/>
      </c>
      <c r="D917" s="1" t="str">
        <f>IF(ISBLANK('SQL Builder'!K892)=FALSE,'SQL Builder'!O892,"")</f>
        <v/>
      </c>
      <c r="H917" s="43" t="str">
        <f>IF(ISBLANK('SQL Builder'!K891)=FALSE,H916+1,"")</f>
        <v/>
      </c>
      <c r="I917" s="1" t="str">
        <f>IF(ISBLANK('SQL Builder'!P892)=FALSE,'SQL Builder'!N892,"")</f>
        <v/>
      </c>
      <c r="J917" s="79">
        <f t="shared" si="13"/>
        <v>0</v>
      </c>
    </row>
    <row r="918" spans="2:10" ht="16.5" x14ac:dyDescent="0.25">
      <c r="B918" s="49" t="e">
        <f>IF(ISBLANK('SQL Builder'!K893)=FALSE,(DATE(LEFT('SQL Builder'!K893,4),MID('SQL Builder'!K893,6,2),MID('SQL Builder'!K893,9,2))),NA())</f>
        <v>#N/A</v>
      </c>
      <c r="C918" s="50" t="str">
        <f>IF(ISBLANK('SQL Builder'!K893)=FALSE,'SQL Builder'!L893,"")</f>
        <v/>
      </c>
      <c r="D918" s="1" t="str">
        <f>IF(ISBLANK('SQL Builder'!K893)=FALSE,'SQL Builder'!O893,"")</f>
        <v/>
      </c>
      <c r="H918" s="43" t="str">
        <f>IF(ISBLANK('SQL Builder'!K892)=FALSE,H917+1,"")</f>
        <v/>
      </c>
      <c r="I918" s="1" t="str">
        <f>IF(ISBLANK('SQL Builder'!P893)=FALSE,'SQL Builder'!N893,"")</f>
        <v/>
      </c>
      <c r="J918" s="79">
        <f t="shared" si="13"/>
        <v>0</v>
      </c>
    </row>
    <row r="919" spans="2:10" ht="16.5" x14ac:dyDescent="0.25">
      <c r="B919" s="49" t="e">
        <f>IF(ISBLANK('SQL Builder'!K894)=FALSE,(DATE(LEFT('SQL Builder'!K894,4),MID('SQL Builder'!K894,6,2),MID('SQL Builder'!K894,9,2))),NA())</f>
        <v>#N/A</v>
      </c>
      <c r="C919" s="50" t="str">
        <f>IF(ISBLANK('SQL Builder'!K894)=FALSE,'SQL Builder'!L894,"")</f>
        <v/>
      </c>
      <c r="D919" s="1" t="str">
        <f>IF(ISBLANK('SQL Builder'!K894)=FALSE,'SQL Builder'!O894,"")</f>
        <v/>
      </c>
      <c r="H919" s="43" t="str">
        <f>IF(ISBLANK('SQL Builder'!K893)=FALSE,H918+1,"")</f>
        <v/>
      </c>
      <c r="I919" s="1" t="str">
        <f>IF(ISBLANK('SQL Builder'!P894)=FALSE,'SQL Builder'!N894,"")</f>
        <v/>
      </c>
      <c r="J919" s="79">
        <f t="shared" si="13"/>
        <v>0</v>
      </c>
    </row>
    <row r="920" spans="2:10" ht="16.5" x14ac:dyDescent="0.25">
      <c r="B920" s="49" t="e">
        <f>IF(ISBLANK('SQL Builder'!K895)=FALSE,(DATE(LEFT('SQL Builder'!K895,4),MID('SQL Builder'!K895,6,2),MID('SQL Builder'!K895,9,2))),NA())</f>
        <v>#N/A</v>
      </c>
      <c r="C920" s="50" t="str">
        <f>IF(ISBLANK('SQL Builder'!K895)=FALSE,'SQL Builder'!L895,"")</f>
        <v/>
      </c>
      <c r="D920" s="1" t="str">
        <f>IF(ISBLANK('SQL Builder'!K895)=FALSE,'SQL Builder'!O895,"")</f>
        <v/>
      </c>
      <c r="H920" s="43" t="str">
        <f>IF(ISBLANK('SQL Builder'!K894)=FALSE,H919+1,"")</f>
        <v/>
      </c>
      <c r="I920" s="1" t="str">
        <f>IF(ISBLANK('SQL Builder'!P895)=FALSE,'SQL Builder'!N895,"")</f>
        <v/>
      </c>
      <c r="J920" s="79">
        <f t="shared" si="13"/>
        <v>0</v>
      </c>
    </row>
    <row r="921" spans="2:10" ht="16.5" x14ac:dyDescent="0.25">
      <c r="B921" s="49" t="e">
        <f>IF(ISBLANK('SQL Builder'!K896)=FALSE,(DATE(LEFT('SQL Builder'!K896,4),MID('SQL Builder'!K896,6,2),MID('SQL Builder'!K896,9,2))),NA())</f>
        <v>#N/A</v>
      </c>
      <c r="C921" s="50" t="str">
        <f>IF(ISBLANK('SQL Builder'!K896)=FALSE,'SQL Builder'!L896,"")</f>
        <v/>
      </c>
      <c r="D921" s="1" t="str">
        <f>IF(ISBLANK('SQL Builder'!K896)=FALSE,'SQL Builder'!O896,"")</f>
        <v/>
      </c>
      <c r="H921" s="43" t="str">
        <f>IF(ISBLANK('SQL Builder'!K895)=FALSE,H920+1,"")</f>
        <v/>
      </c>
      <c r="I921" s="1" t="str">
        <f>IF(ISBLANK('SQL Builder'!P896)=FALSE,'SQL Builder'!N896,"")</f>
        <v/>
      </c>
      <c r="J921" s="79">
        <f t="shared" si="13"/>
        <v>0</v>
      </c>
    </row>
    <row r="922" spans="2:10" ht="16.5" x14ac:dyDescent="0.25">
      <c r="B922" s="49" t="e">
        <f>IF(ISBLANK('SQL Builder'!K897)=FALSE,(DATE(LEFT('SQL Builder'!K897,4),MID('SQL Builder'!K897,6,2),MID('SQL Builder'!K897,9,2))),NA())</f>
        <v>#N/A</v>
      </c>
      <c r="C922" s="50" t="str">
        <f>IF(ISBLANK('SQL Builder'!K897)=FALSE,'SQL Builder'!L897,"")</f>
        <v/>
      </c>
      <c r="D922" s="1" t="str">
        <f>IF(ISBLANK('SQL Builder'!K897)=FALSE,'SQL Builder'!O897,"")</f>
        <v/>
      </c>
      <c r="H922" s="43" t="str">
        <f>IF(ISBLANK('SQL Builder'!K896)=FALSE,H921+1,"")</f>
        <v/>
      </c>
      <c r="I922" s="1" t="str">
        <f>IF(ISBLANK('SQL Builder'!P897)=FALSE,'SQL Builder'!N897,"")</f>
        <v/>
      </c>
      <c r="J922" s="79">
        <f t="shared" si="13"/>
        <v>0</v>
      </c>
    </row>
    <row r="923" spans="2:10" ht="16.5" x14ac:dyDescent="0.25">
      <c r="B923" s="49" t="e">
        <f>IF(ISBLANK('SQL Builder'!K898)=FALSE,(DATE(LEFT('SQL Builder'!K898,4),MID('SQL Builder'!K898,6,2),MID('SQL Builder'!K898,9,2))),NA())</f>
        <v>#N/A</v>
      </c>
      <c r="C923" s="50" t="str">
        <f>IF(ISBLANK('SQL Builder'!K898)=FALSE,'SQL Builder'!L898,"")</f>
        <v/>
      </c>
      <c r="D923" s="1" t="str">
        <f>IF(ISBLANK('SQL Builder'!K898)=FALSE,'SQL Builder'!O898,"")</f>
        <v/>
      </c>
      <c r="H923" s="43" t="str">
        <f>IF(ISBLANK('SQL Builder'!K897)=FALSE,H922+1,"")</f>
        <v/>
      </c>
      <c r="I923" s="1" t="str">
        <f>IF(ISBLANK('SQL Builder'!P898)=FALSE,'SQL Builder'!N898,"")</f>
        <v/>
      </c>
      <c r="J923" s="79">
        <f t="shared" si="13"/>
        <v>0</v>
      </c>
    </row>
    <row r="924" spans="2:10" ht="16.5" x14ac:dyDescent="0.25">
      <c r="B924" s="49" t="e">
        <f>IF(ISBLANK('SQL Builder'!K899)=FALSE,(DATE(LEFT('SQL Builder'!K899,4),MID('SQL Builder'!K899,6,2),MID('SQL Builder'!K899,9,2))),NA())</f>
        <v>#N/A</v>
      </c>
      <c r="C924" s="50" t="str">
        <f>IF(ISBLANK('SQL Builder'!K899)=FALSE,'SQL Builder'!L899,"")</f>
        <v/>
      </c>
      <c r="D924" s="1" t="str">
        <f>IF(ISBLANK('SQL Builder'!K899)=FALSE,'SQL Builder'!O899,"")</f>
        <v/>
      </c>
      <c r="H924" s="43" t="str">
        <f>IF(ISBLANK('SQL Builder'!K898)=FALSE,H923+1,"")</f>
        <v/>
      </c>
      <c r="I924" s="1" t="str">
        <f>IF(ISBLANK('SQL Builder'!P899)=FALSE,'SQL Builder'!N899,"")</f>
        <v/>
      </c>
      <c r="J924" s="79">
        <f t="shared" si="13"/>
        <v>0</v>
      </c>
    </row>
    <row r="925" spans="2:10" ht="16.5" x14ac:dyDescent="0.25">
      <c r="B925" s="49" t="e">
        <f>IF(ISBLANK('SQL Builder'!K900)=FALSE,(DATE(LEFT('SQL Builder'!K900,4),MID('SQL Builder'!K900,6,2),MID('SQL Builder'!K900,9,2))),NA())</f>
        <v>#N/A</v>
      </c>
      <c r="C925" s="50" t="str">
        <f>IF(ISBLANK('SQL Builder'!K900)=FALSE,'SQL Builder'!L900,"")</f>
        <v/>
      </c>
      <c r="D925" s="1" t="str">
        <f>IF(ISBLANK('SQL Builder'!K900)=FALSE,'SQL Builder'!O900,"")</f>
        <v/>
      </c>
      <c r="H925" s="43" t="str">
        <f>IF(ISBLANK('SQL Builder'!K899)=FALSE,H924+1,"")</f>
        <v/>
      </c>
      <c r="I925" s="1" t="str">
        <f>IF(ISBLANK('SQL Builder'!P900)=FALSE,'SQL Builder'!N900,"")</f>
        <v/>
      </c>
      <c r="J925" s="79">
        <f t="shared" si="13"/>
        <v>0</v>
      </c>
    </row>
    <row r="926" spans="2:10" ht="16.5" x14ac:dyDescent="0.25">
      <c r="B926" s="49" t="e">
        <f>IF(ISBLANK('SQL Builder'!K901)=FALSE,(DATE(LEFT('SQL Builder'!K901,4),MID('SQL Builder'!K901,6,2),MID('SQL Builder'!K901,9,2))),NA())</f>
        <v>#N/A</v>
      </c>
      <c r="C926" s="50" t="str">
        <f>IF(ISBLANK('SQL Builder'!K901)=FALSE,'SQL Builder'!L901,"")</f>
        <v/>
      </c>
      <c r="D926" s="1" t="str">
        <f>IF(ISBLANK('SQL Builder'!K901)=FALSE,'SQL Builder'!O901,"")</f>
        <v/>
      </c>
      <c r="H926" s="43" t="str">
        <f>IF(ISBLANK('SQL Builder'!K900)=FALSE,H925+1,"")</f>
        <v/>
      </c>
      <c r="I926" s="1" t="str">
        <f>IF(ISBLANK('SQL Builder'!P901)=FALSE,'SQL Builder'!N901,"")</f>
        <v/>
      </c>
      <c r="J926" s="79">
        <f t="shared" si="13"/>
        <v>0</v>
      </c>
    </row>
    <row r="927" spans="2:10" ht="16.5" x14ac:dyDescent="0.25">
      <c r="B927" s="49" t="e">
        <f>IF(ISBLANK('SQL Builder'!K902)=FALSE,(DATE(LEFT('SQL Builder'!K902,4),MID('SQL Builder'!K902,6,2),MID('SQL Builder'!K902,9,2))),NA())</f>
        <v>#N/A</v>
      </c>
      <c r="C927" s="50" t="str">
        <f>IF(ISBLANK('SQL Builder'!K902)=FALSE,'SQL Builder'!L902,"")</f>
        <v/>
      </c>
      <c r="D927" s="1" t="str">
        <f>IF(ISBLANK('SQL Builder'!K902)=FALSE,'SQL Builder'!O902,"")</f>
        <v/>
      </c>
      <c r="H927" s="43" t="str">
        <f>IF(ISBLANK('SQL Builder'!K901)=FALSE,H926+1,"")</f>
        <v/>
      </c>
      <c r="I927" s="1" t="str">
        <f>IF(ISBLANK('SQL Builder'!P902)=FALSE,'SQL Builder'!N902,"")</f>
        <v/>
      </c>
      <c r="J927" s="79">
        <f t="shared" ref="J927:J990" si="14">IF(I927="",0,IF(I927=C$5,2,1))</f>
        <v>0</v>
      </c>
    </row>
    <row r="928" spans="2:10" ht="16.5" x14ac:dyDescent="0.25">
      <c r="B928" s="49" t="e">
        <f>IF(ISBLANK('SQL Builder'!K903)=FALSE,(DATE(LEFT('SQL Builder'!K903,4),MID('SQL Builder'!K903,6,2),MID('SQL Builder'!K903,9,2))),NA())</f>
        <v>#N/A</v>
      </c>
      <c r="C928" s="50" t="str">
        <f>IF(ISBLANK('SQL Builder'!K903)=FALSE,'SQL Builder'!L903,"")</f>
        <v/>
      </c>
      <c r="D928" s="1" t="str">
        <f>IF(ISBLANK('SQL Builder'!K903)=FALSE,'SQL Builder'!O903,"")</f>
        <v/>
      </c>
      <c r="H928" s="43" t="str">
        <f>IF(ISBLANK('SQL Builder'!K902)=FALSE,H927+1,"")</f>
        <v/>
      </c>
      <c r="I928" s="1" t="str">
        <f>IF(ISBLANK('SQL Builder'!P903)=FALSE,'SQL Builder'!N903,"")</f>
        <v/>
      </c>
      <c r="J928" s="79">
        <f t="shared" si="14"/>
        <v>0</v>
      </c>
    </row>
    <row r="929" spans="2:10" ht="16.5" x14ac:dyDescent="0.25">
      <c r="B929" s="49" t="e">
        <f>IF(ISBLANK('SQL Builder'!K904)=FALSE,(DATE(LEFT('SQL Builder'!K904,4),MID('SQL Builder'!K904,6,2),MID('SQL Builder'!K904,9,2))),NA())</f>
        <v>#N/A</v>
      </c>
      <c r="C929" s="50" t="str">
        <f>IF(ISBLANK('SQL Builder'!K904)=FALSE,'SQL Builder'!L904,"")</f>
        <v/>
      </c>
      <c r="D929" s="1" t="str">
        <f>IF(ISBLANK('SQL Builder'!K904)=FALSE,'SQL Builder'!O904,"")</f>
        <v/>
      </c>
      <c r="H929" s="43" t="str">
        <f>IF(ISBLANK('SQL Builder'!K903)=FALSE,H928+1,"")</f>
        <v/>
      </c>
      <c r="I929" s="1" t="str">
        <f>IF(ISBLANK('SQL Builder'!P904)=FALSE,'SQL Builder'!N904,"")</f>
        <v/>
      </c>
      <c r="J929" s="79">
        <f t="shared" si="14"/>
        <v>0</v>
      </c>
    </row>
    <row r="930" spans="2:10" ht="16.5" x14ac:dyDescent="0.25">
      <c r="B930" s="49" t="e">
        <f>IF(ISBLANK('SQL Builder'!K905)=FALSE,(DATE(LEFT('SQL Builder'!K905,4),MID('SQL Builder'!K905,6,2),MID('SQL Builder'!K905,9,2))),NA())</f>
        <v>#N/A</v>
      </c>
      <c r="C930" s="50" t="str">
        <f>IF(ISBLANK('SQL Builder'!K905)=FALSE,'SQL Builder'!L905,"")</f>
        <v/>
      </c>
      <c r="D930" s="1" t="str">
        <f>IF(ISBLANK('SQL Builder'!K905)=FALSE,'SQL Builder'!O905,"")</f>
        <v/>
      </c>
      <c r="H930" s="43" t="str">
        <f>IF(ISBLANK('SQL Builder'!K904)=FALSE,H929+1,"")</f>
        <v/>
      </c>
      <c r="I930" s="1" t="str">
        <f>IF(ISBLANK('SQL Builder'!P905)=FALSE,'SQL Builder'!N905,"")</f>
        <v/>
      </c>
      <c r="J930" s="79">
        <f t="shared" si="14"/>
        <v>0</v>
      </c>
    </row>
    <row r="931" spans="2:10" ht="16.5" x14ac:dyDescent="0.25">
      <c r="B931" s="49" t="e">
        <f>IF(ISBLANK('SQL Builder'!K906)=FALSE,(DATE(LEFT('SQL Builder'!K906,4),MID('SQL Builder'!K906,6,2),MID('SQL Builder'!K906,9,2))),NA())</f>
        <v>#N/A</v>
      </c>
      <c r="C931" s="50" t="str">
        <f>IF(ISBLANK('SQL Builder'!K906)=FALSE,'SQL Builder'!L906,"")</f>
        <v/>
      </c>
      <c r="D931" s="1" t="str">
        <f>IF(ISBLANK('SQL Builder'!K906)=FALSE,'SQL Builder'!O906,"")</f>
        <v/>
      </c>
      <c r="H931" s="43" t="str">
        <f>IF(ISBLANK('SQL Builder'!K905)=FALSE,H930+1,"")</f>
        <v/>
      </c>
      <c r="I931" s="1" t="str">
        <f>IF(ISBLANK('SQL Builder'!P906)=FALSE,'SQL Builder'!N906,"")</f>
        <v/>
      </c>
      <c r="J931" s="79">
        <f t="shared" si="14"/>
        <v>0</v>
      </c>
    </row>
    <row r="932" spans="2:10" ht="16.5" x14ac:dyDescent="0.25">
      <c r="B932" s="49" t="e">
        <f>IF(ISBLANK('SQL Builder'!K907)=FALSE,(DATE(LEFT('SQL Builder'!K907,4),MID('SQL Builder'!K907,6,2),MID('SQL Builder'!K907,9,2))),NA())</f>
        <v>#N/A</v>
      </c>
      <c r="C932" s="50" t="str">
        <f>IF(ISBLANK('SQL Builder'!K907)=FALSE,'SQL Builder'!L907,"")</f>
        <v/>
      </c>
      <c r="D932" s="1" t="str">
        <f>IF(ISBLANK('SQL Builder'!K907)=FALSE,'SQL Builder'!O907,"")</f>
        <v/>
      </c>
      <c r="H932" s="43" t="str">
        <f>IF(ISBLANK('SQL Builder'!K906)=FALSE,H931+1,"")</f>
        <v/>
      </c>
      <c r="I932" s="1" t="str">
        <f>IF(ISBLANK('SQL Builder'!P907)=FALSE,'SQL Builder'!N907,"")</f>
        <v/>
      </c>
      <c r="J932" s="79">
        <f t="shared" si="14"/>
        <v>0</v>
      </c>
    </row>
    <row r="933" spans="2:10" ht="16.5" x14ac:dyDescent="0.25">
      <c r="B933" s="49" t="e">
        <f>IF(ISBLANK('SQL Builder'!K908)=FALSE,(DATE(LEFT('SQL Builder'!K908,4),MID('SQL Builder'!K908,6,2),MID('SQL Builder'!K908,9,2))),NA())</f>
        <v>#N/A</v>
      </c>
      <c r="C933" s="50" t="str">
        <f>IF(ISBLANK('SQL Builder'!K908)=FALSE,'SQL Builder'!L908,"")</f>
        <v/>
      </c>
      <c r="D933" s="1" t="str">
        <f>IF(ISBLANK('SQL Builder'!K908)=FALSE,'SQL Builder'!O908,"")</f>
        <v/>
      </c>
      <c r="H933" s="43" t="str">
        <f>IF(ISBLANK('SQL Builder'!K907)=FALSE,H932+1,"")</f>
        <v/>
      </c>
      <c r="I933" s="1" t="str">
        <f>IF(ISBLANK('SQL Builder'!P908)=FALSE,'SQL Builder'!N908,"")</f>
        <v/>
      </c>
      <c r="J933" s="79">
        <f t="shared" si="14"/>
        <v>0</v>
      </c>
    </row>
    <row r="934" spans="2:10" ht="16.5" x14ac:dyDescent="0.25">
      <c r="B934" s="49" t="e">
        <f>IF(ISBLANK('SQL Builder'!K909)=FALSE,(DATE(LEFT('SQL Builder'!K909,4),MID('SQL Builder'!K909,6,2),MID('SQL Builder'!K909,9,2))),NA())</f>
        <v>#N/A</v>
      </c>
      <c r="C934" s="50" t="str">
        <f>IF(ISBLANK('SQL Builder'!K909)=FALSE,'SQL Builder'!L909,"")</f>
        <v/>
      </c>
      <c r="D934" s="1" t="str">
        <f>IF(ISBLANK('SQL Builder'!K909)=FALSE,'SQL Builder'!O909,"")</f>
        <v/>
      </c>
      <c r="H934" s="43" t="str">
        <f>IF(ISBLANK('SQL Builder'!K908)=FALSE,H933+1,"")</f>
        <v/>
      </c>
      <c r="I934" s="1" t="str">
        <f>IF(ISBLANK('SQL Builder'!P909)=FALSE,'SQL Builder'!N909,"")</f>
        <v/>
      </c>
      <c r="J934" s="79">
        <f t="shared" si="14"/>
        <v>0</v>
      </c>
    </row>
    <row r="935" spans="2:10" ht="16.5" x14ac:dyDescent="0.25">
      <c r="B935" s="49" t="e">
        <f>IF(ISBLANK('SQL Builder'!K910)=FALSE,(DATE(LEFT('SQL Builder'!K910,4),MID('SQL Builder'!K910,6,2),MID('SQL Builder'!K910,9,2))),NA())</f>
        <v>#N/A</v>
      </c>
      <c r="C935" s="50" t="str">
        <f>IF(ISBLANK('SQL Builder'!K910)=FALSE,'SQL Builder'!L910,"")</f>
        <v/>
      </c>
      <c r="D935" s="1" t="str">
        <f>IF(ISBLANK('SQL Builder'!K910)=FALSE,'SQL Builder'!O910,"")</f>
        <v/>
      </c>
      <c r="H935" s="43" t="str">
        <f>IF(ISBLANK('SQL Builder'!K909)=FALSE,H934+1,"")</f>
        <v/>
      </c>
      <c r="I935" s="1" t="str">
        <f>IF(ISBLANK('SQL Builder'!P910)=FALSE,'SQL Builder'!N910,"")</f>
        <v/>
      </c>
      <c r="J935" s="79">
        <f t="shared" si="14"/>
        <v>0</v>
      </c>
    </row>
    <row r="936" spans="2:10" ht="16.5" x14ac:dyDescent="0.25">
      <c r="B936" s="49" t="e">
        <f>IF(ISBLANK('SQL Builder'!K911)=FALSE,(DATE(LEFT('SQL Builder'!K911,4),MID('SQL Builder'!K911,6,2),MID('SQL Builder'!K911,9,2))),NA())</f>
        <v>#N/A</v>
      </c>
      <c r="C936" s="50" t="str">
        <f>IF(ISBLANK('SQL Builder'!K911)=FALSE,'SQL Builder'!L911,"")</f>
        <v/>
      </c>
      <c r="D936" s="1" t="str">
        <f>IF(ISBLANK('SQL Builder'!K911)=FALSE,'SQL Builder'!O911,"")</f>
        <v/>
      </c>
      <c r="H936" s="43" t="str">
        <f>IF(ISBLANK('SQL Builder'!K910)=FALSE,H935+1,"")</f>
        <v/>
      </c>
      <c r="I936" s="1" t="str">
        <f>IF(ISBLANK('SQL Builder'!P911)=FALSE,'SQL Builder'!N911,"")</f>
        <v/>
      </c>
      <c r="J936" s="79">
        <f t="shared" si="14"/>
        <v>0</v>
      </c>
    </row>
    <row r="937" spans="2:10" ht="16.5" x14ac:dyDescent="0.25">
      <c r="B937" s="49" t="e">
        <f>IF(ISBLANK('SQL Builder'!K912)=FALSE,(DATE(LEFT('SQL Builder'!K912,4),MID('SQL Builder'!K912,6,2),MID('SQL Builder'!K912,9,2))),NA())</f>
        <v>#N/A</v>
      </c>
      <c r="C937" s="50" t="str">
        <f>IF(ISBLANK('SQL Builder'!K912)=FALSE,'SQL Builder'!L912,"")</f>
        <v/>
      </c>
      <c r="D937" s="1" t="str">
        <f>IF(ISBLANK('SQL Builder'!K912)=FALSE,'SQL Builder'!O912,"")</f>
        <v/>
      </c>
      <c r="H937" s="43" t="str">
        <f>IF(ISBLANK('SQL Builder'!K911)=FALSE,H936+1,"")</f>
        <v/>
      </c>
      <c r="I937" s="1" t="str">
        <f>IF(ISBLANK('SQL Builder'!P912)=FALSE,'SQL Builder'!N912,"")</f>
        <v/>
      </c>
      <c r="J937" s="79">
        <f t="shared" si="14"/>
        <v>0</v>
      </c>
    </row>
    <row r="938" spans="2:10" ht="16.5" x14ac:dyDescent="0.25">
      <c r="B938" s="49" t="e">
        <f>IF(ISBLANK('SQL Builder'!K913)=FALSE,(DATE(LEFT('SQL Builder'!K913,4),MID('SQL Builder'!K913,6,2),MID('SQL Builder'!K913,9,2))),NA())</f>
        <v>#N/A</v>
      </c>
      <c r="C938" s="50" t="str">
        <f>IF(ISBLANK('SQL Builder'!K913)=FALSE,'SQL Builder'!L913,"")</f>
        <v/>
      </c>
      <c r="D938" s="1" t="str">
        <f>IF(ISBLANK('SQL Builder'!K913)=FALSE,'SQL Builder'!O913,"")</f>
        <v/>
      </c>
      <c r="H938" s="43" t="str">
        <f>IF(ISBLANK('SQL Builder'!K912)=FALSE,H937+1,"")</f>
        <v/>
      </c>
      <c r="I938" s="1" t="str">
        <f>IF(ISBLANK('SQL Builder'!P913)=FALSE,'SQL Builder'!N913,"")</f>
        <v/>
      </c>
      <c r="J938" s="79">
        <f t="shared" si="14"/>
        <v>0</v>
      </c>
    </row>
    <row r="939" spans="2:10" ht="16.5" x14ac:dyDescent="0.25">
      <c r="B939" s="49" t="e">
        <f>IF(ISBLANK('SQL Builder'!K914)=FALSE,(DATE(LEFT('SQL Builder'!K914,4),MID('SQL Builder'!K914,6,2),MID('SQL Builder'!K914,9,2))),NA())</f>
        <v>#N/A</v>
      </c>
      <c r="C939" s="50" t="str">
        <f>IF(ISBLANK('SQL Builder'!K914)=FALSE,'SQL Builder'!L914,"")</f>
        <v/>
      </c>
      <c r="D939" s="1" t="str">
        <f>IF(ISBLANK('SQL Builder'!K914)=FALSE,'SQL Builder'!O914,"")</f>
        <v/>
      </c>
      <c r="H939" s="43" t="str">
        <f>IF(ISBLANK('SQL Builder'!K913)=FALSE,H938+1,"")</f>
        <v/>
      </c>
      <c r="I939" s="1" t="str">
        <f>IF(ISBLANK('SQL Builder'!P914)=FALSE,'SQL Builder'!N914,"")</f>
        <v/>
      </c>
      <c r="J939" s="79">
        <f t="shared" si="14"/>
        <v>0</v>
      </c>
    </row>
    <row r="940" spans="2:10" ht="16.5" x14ac:dyDescent="0.25">
      <c r="B940" s="49" t="e">
        <f>IF(ISBLANK('SQL Builder'!K915)=FALSE,(DATE(LEFT('SQL Builder'!K915,4),MID('SQL Builder'!K915,6,2),MID('SQL Builder'!K915,9,2))),NA())</f>
        <v>#N/A</v>
      </c>
      <c r="C940" s="50" t="str">
        <f>IF(ISBLANK('SQL Builder'!K915)=FALSE,'SQL Builder'!L915,"")</f>
        <v/>
      </c>
      <c r="D940" s="1" t="str">
        <f>IF(ISBLANK('SQL Builder'!K915)=FALSE,'SQL Builder'!O915,"")</f>
        <v/>
      </c>
      <c r="H940" s="43" t="str">
        <f>IF(ISBLANK('SQL Builder'!K914)=FALSE,H939+1,"")</f>
        <v/>
      </c>
      <c r="I940" s="1" t="str">
        <f>IF(ISBLANK('SQL Builder'!P915)=FALSE,'SQL Builder'!N915,"")</f>
        <v/>
      </c>
      <c r="J940" s="79">
        <f t="shared" si="14"/>
        <v>0</v>
      </c>
    </row>
    <row r="941" spans="2:10" ht="16.5" x14ac:dyDescent="0.25">
      <c r="B941" s="49" t="e">
        <f>IF(ISBLANK('SQL Builder'!K916)=FALSE,(DATE(LEFT('SQL Builder'!K916,4),MID('SQL Builder'!K916,6,2),MID('SQL Builder'!K916,9,2))),NA())</f>
        <v>#N/A</v>
      </c>
      <c r="C941" s="50" t="str">
        <f>IF(ISBLANK('SQL Builder'!K916)=FALSE,'SQL Builder'!L916,"")</f>
        <v/>
      </c>
      <c r="D941" s="1" t="str">
        <f>IF(ISBLANK('SQL Builder'!K916)=FALSE,'SQL Builder'!O916,"")</f>
        <v/>
      </c>
      <c r="H941" s="43" t="str">
        <f>IF(ISBLANK('SQL Builder'!K915)=FALSE,H940+1,"")</f>
        <v/>
      </c>
      <c r="I941" s="1" t="str">
        <f>IF(ISBLANK('SQL Builder'!P916)=FALSE,'SQL Builder'!N916,"")</f>
        <v/>
      </c>
      <c r="J941" s="79">
        <f t="shared" si="14"/>
        <v>0</v>
      </c>
    </row>
    <row r="942" spans="2:10" ht="16.5" x14ac:dyDescent="0.25">
      <c r="B942" s="49" t="e">
        <f>IF(ISBLANK('SQL Builder'!K917)=FALSE,(DATE(LEFT('SQL Builder'!K917,4),MID('SQL Builder'!K917,6,2),MID('SQL Builder'!K917,9,2))),NA())</f>
        <v>#N/A</v>
      </c>
      <c r="C942" s="50" t="str">
        <f>IF(ISBLANK('SQL Builder'!K917)=FALSE,'SQL Builder'!L917,"")</f>
        <v/>
      </c>
      <c r="D942" s="1" t="str">
        <f>IF(ISBLANK('SQL Builder'!K917)=FALSE,'SQL Builder'!O917,"")</f>
        <v/>
      </c>
      <c r="H942" s="43" t="str">
        <f>IF(ISBLANK('SQL Builder'!K916)=FALSE,H941+1,"")</f>
        <v/>
      </c>
      <c r="I942" s="1" t="str">
        <f>IF(ISBLANK('SQL Builder'!P917)=FALSE,'SQL Builder'!N917,"")</f>
        <v/>
      </c>
      <c r="J942" s="79">
        <f t="shared" si="14"/>
        <v>0</v>
      </c>
    </row>
    <row r="943" spans="2:10" ht="16.5" x14ac:dyDescent="0.25">
      <c r="B943" s="49" t="e">
        <f>IF(ISBLANK('SQL Builder'!K918)=FALSE,(DATE(LEFT('SQL Builder'!K918,4),MID('SQL Builder'!K918,6,2),MID('SQL Builder'!K918,9,2))),NA())</f>
        <v>#N/A</v>
      </c>
      <c r="C943" s="50" t="str">
        <f>IF(ISBLANK('SQL Builder'!K918)=FALSE,'SQL Builder'!L918,"")</f>
        <v/>
      </c>
      <c r="D943" s="1" t="str">
        <f>IF(ISBLANK('SQL Builder'!K918)=FALSE,'SQL Builder'!O918,"")</f>
        <v/>
      </c>
      <c r="H943" s="43" t="str">
        <f>IF(ISBLANK('SQL Builder'!K917)=FALSE,H942+1,"")</f>
        <v/>
      </c>
      <c r="I943" s="1" t="str">
        <f>IF(ISBLANK('SQL Builder'!P918)=FALSE,'SQL Builder'!N918,"")</f>
        <v/>
      </c>
      <c r="J943" s="79">
        <f t="shared" si="14"/>
        <v>0</v>
      </c>
    </row>
    <row r="944" spans="2:10" ht="16.5" x14ac:dyDescent="0.25">
      <c r="B944" s="49" t="e">
        <f>IF(ISBLANK('SQL Builder'!K919)=FALSE,(DATE(LEFT('SQL Builder'!K919,4),MID('SQL Builder'!K919,6,2),MID('SQL Builder'!K919,9,2))),NA())</f>
        <v>#N/A</v>
      </c>
      <c r="C944" s="50" t="str">
        <f>IF(ISBLANK('SQL Builder'!K919)=FALSE,'SQL Builder'!L919,"")</f>
        <v/>
      </c>
      <c r="D944" s="1" t="str">
        <f>IF(ISBLANK('SQL Builder'!K919)=FALSE,'SQL Builder'!O919,"")</f>
        <v/>
      </c>
      <c r="H944" s="43" t="str">
        <f>IF(ISBLANK('SQL Builder'!K918)=FALSE,H943+1,"")</f>
        <v/>
      </c>
      <c r="I944" s="1" t="str">
        <f>IF(ISBLANK('SQL Builder'!P919)=FALSE,'SQL Builder'!N919,"")</f>
        <v/>
      </c>
      <c r="J944" s="79">
        <f t="shared" si="14"/>
        <v>0</v>
      </c>
    </row>
    <row r="945" spans="2:10" ht="16.5" x14ac:dyDescent="0.25">
      <c r="B945" s="49" t="e">
        <f>IF(ISBLANK('SQL Builder'!K920)=FALSE,(DATE(LEFT('SQL Builder'!K920,4),MID('SQL Builder'!K920,6,2),MID('SQL Builder'!K920,9,2))),NA())</f>
        <v>#N/A</v>
      </c>
      <c r="C945" s="50" t="str">
        <f>IF(ISBLANK('SQL Builder'!K920)=FALSE,'SQL Builder'!L920,"")</f>
        <v/>
      </c>
      <c r="D945" s="1" t="str">
        <f>IF(ISBLANK('SQL Builder'!K920)=FALSE,'SQL Builder'!O920,"")</f>
        <v/>
      </c>
      <c r="H945" s="43" t="str">
        <f>IF(ISBLANK('SQL Builder'!K919)=FALSE,H944+1,"")</f>
        <v/>
      </c>
      <c r="I945" s="1" t="str">
        <f>IF(ISBLANK('SQL Builder'!P920)=FALSE,'SQL Builder'!N920,"")</f>
        <v/>
      </c>
      <c r="J945" s="79">
        <f t="shared" si="14"/>
        <v>0</v>
      </c>
    </row>
    <row r="946" spans="2:10" ht="16.5" x14ac:dyDescent="0.25">
      <c r="B946" s="49" t="e">
        <f>IF(ISBLANK('SQL Builder'!K921)=FALSE,(DATE(LEFT('SQL Builder'!K921,4),MID('SQL Builder'!K921,6,2),MID('SQL Builder'!K921,9,2))),NA())</f>
        <v>#N/A</v>
      </c>
      <c r="C946" s="50" t="str">
        <f>IF(ISBLANK('SQL Builder'!K921)=FALSE,'SQL Builder'!L921,"")</f>
        <v/>
      </c>
      <c r="D946" s="1" t="str">
        <f>IF(ISBLANK('SQL Builder'!K921)=FALSE,'SQL Builder'!O921,"")</f>
        <v/>
      </c>
      <c r="H946" s="43" t="str">
        <f>IF(ISBLANK('SQL Builder'!K920)=FALSE,H945+1,"")</f>
        <v/>
      </c>
      <c r="I946" s="1" t="str">
        <f>IF(ISBLANK('SQL Builder'!P921)=FALSE,'SQL Builder'!N921,"")</f>
        <v/>
      </c>
      <c r="J946" s="79">
        <f t="shared" si="14"/>
        <v>0</v>
      </c>
    </row>
    <row r="947" spans="2:10" ht="16.5" x14ac:dyDescent="0.25">
      <c r="B947" s="49" t="e">
        <f>IF(ISBLANK('SQL Builder'!K922)=FALSE,(DATE(LEFT('SQL Builder'!K922,4),MID('SQL Builder'!K922,6,2),MID('SQL Builder'!K922,9,2))),NA())</f>
        <v>#N/A</v>
      </c>
      <c r="C947" s="50" t="str">
        <f>IF(ISBLANK('SQL Builder'!K922)=FALSE,'SQL Builder'!L922,"")</f>
        <v/>
      </c>
      <c r="D947" s="1" t="str">
        <f>IF(ISBLANK('SQL Builder'!K922)=FALSE,'SQL Builder'!O922,"")</f>
        <v/>
      </c>
      <c r="H947" s="43" t="str">
        <f>IF(ISBLANK('SQL Builder'!K921)=FALSE,H946+1,"")</f>
        <v/>
      </c>
      <c r="I947" s="1" t="str">
        <f>IF(ISBLANK('SQL Builder'!P922)=FALSE,'SQL Builder'!N922,"")</f>
        <v/>
      </c>
      <c r="J947" s="79">
        <f t="shared" si="14"/>
        <v>0</v>
      </c>
    </row>
    <row r="948" spans="2:10" ht="16.5" x14ac:dyDescent="0.25">
      <c r="B948" s="49" t="e">
        <f>IF(ISBLANK('SQL Builder'!K923)=FALSE,(DATE(LEFT('SQL Builder'!K923,4),MID('SQL Builder'!K923,6,2),MID('SQL Builder'!K923,9,2))),NA())</f>
        <v>#N/A</v>
      </c>
      <c r="C948" s="50" t="str">
        <f>IF(ISBLANK('SQL Builder'!K923)=FALSE,'SQL Builder'!L923,"")</f>
        <v/>
      </c>
      <c r="D948" s="1" t="str">
        <f>IF(ISBLANK('SQL Builder'!K923)=FALSE,'SQL Builder'!O923,"")</f>
        <v/>
      </c>
      <c r="H948" s="43" t="str">
        <f>IF(ISBLANK('SQL Builder'!K922)=FALSE,H947+1,"")</f>
        <v/>
      </c>
      <c r="I948" s="1" t="str">
        <f>IF(ISBLANK('SQL Builder'!P923)=FALSE,'SQL Builder'!N923,"")</f>
        <v/>
      </c>
      <c r="J948" s="79">
        <f t="shared" si="14"/>
        <v>0</v>
      </c>
    </row>
    <row r="949" spans="2:10" ht="16.5" x14ac:dyDescent="0.25">
      <c r="B949" s="49" t="e">
        <f>IF(ISBLANK('SQL Builder'!K924)=FALSE,(DATE(LEFT('SQL Builder'!K924,4),MID('SQL Builder'!K924,6,2),MID('SQL Builder'!K924,9,2))),NA())</f>
        <v>#N/A</v>
      </c>
      <c r="C949" s="50" t="str">
        <f>IF(ISBLANK('SQL Builder'!K924)=FALSE,'SQL Builder'!L924,"")</f>
        <v/>
      </c>
      <c r="D949" s="1" t="str">
        <f>IF(ISBLANK('SQL Builder'!K924)=FALSE,'SQL Builder'!O924,"")</f>
        <v/>
      </c>
      <c r="H949" s="43" t="str">
        <f>IF(ISBLANK('SQL Builder'!K923)=FALSE,H948+1,"")</f>
        <v/>
      </c>
      <c r="I949" s="1" t="str">
        <f>IF(ISBLANK('SQL Builder'!P924)=FALSE,'SQL Builder'!N924,"")</f>
        <v/>
      </c>
      <c r="J949" s="79">
        <f t="shared" si="14"/>
        <v>0</v>
      </c>
    </row>
    <row r="950" spans="2:10" ht="16.5" x14ac:dyDescent="0.25">
      <c r="B950" s="49" t="e">
        <f>IF(ISBLANK('SQL Builder'!K925)=FALSE,(DATE(LEFT('SQL Builder'!K925,4),MID('SQL Builder'!K925,6,2),MID('SQL Builder'!K925,9,2))),NA())</f>
        <v>#N/A</v>
      </c>
      <c r="C950" s="50" t="str">
        <f>IF(ISBLANK('SQL Builder'!K925)=FALSE,'SQL Builder'!L925,"")</f>
        <v/>
      </c>
      <c r="D950" s="1" t="str">
        <f>IF(ISBLANK('SQL Builder'!K925)=FALSE,'SQL Builder'!O925,"")</f>
        <v/>
      </c>
      <c r="H950" s="43" t="str">
        <f>IF(ISBLANK('SQL Builder'!K924)=FALSE,H949+1,"")</f>
        <v/>
      </c>
      <c r="I950" s="1" t="str">
        <f>IF(ISBLANK('SQL Builder'!P925)=FALSE,'SQL Builder'!N925,"")</f>
        <v/>
      </c>
      <c r="J950" s="79">
        <f t="shared" si="14"/>
        <v>0</v>
      </c>
    </row>
    <row r="951" spans="2:10" ht="16.5" x14ac:dyDescent="0.25">
      <c r="B951" s="49" t="e">
        <f>IF(ISBLANK('SQL Builder'!K926)=FALSE,(DATE(LEFT('SQL Builder'!K926,4),MID('SQL Builder'!K926,6,2),MID('SQL Builder'!K926,9,2))),NA())</f>
        <v>#N/A</v>
      </c>
      <c r="C951" s="50" t="str">
        <f>IF(ISBLANK('SQL Builder'!K926)=FALSE,'SQL Builder'!L926,"")</f>
        <v/>
      </c>
      <c r="D951" s="1" t="str">
        <f>IF(ISBLANK('SQL Builder'!K926)=FALSE,'SQL Builder'!O926,"")</f>
        <v/>
      </c>
      <c r="H951" s="43" t="str">
        <f>IF(ISBLANK('SQL Builder'!K925)=FALSE,H950+1,"")</f>
        <v/>
      </c>
      <c r="I951" s="1" t="str">
        <f>IF(ISBLANK('SQL Builder'!P926)=FALSE,'SQL Builder'!N926,"")</f>
        <v/>
      </c>
      <c r="J951" s="79">
        <f t="shared" si="14"/>
        <v>0</v>
      </c>
    </row>
    <row r="952" spans="2:10" ht="16.5" x14ac:dyDescent="0.25">
      <c r="B952" s="49" t="e">
        <f>IF(ISBLANK('SQL Builder'!K927)=FALSE,(DATE(LEFT('SQL Builder'!K927,4),MID('SQL Builder'!K927,6,2),MID('SQL Builder'!K927,9,2))),NA())</f>
        <v>#N/A</v>
      </c>
      <c r="C952" s="50" t="str">
        <f>IF(ISBLANK('SQL Builder'!K927)=FALSE,'SQL Builder'!L927,"")</f>
        <v/>
      </c>
      <c r="D952" s="1" t="str">
        <f>IF(ISBLANK('SQL Builder'!K927)=FALSE,'SQL Builder'!O927,"")</f>
        <v/>
      </c>
      <c r="H952" s="43" t="str">
        <f>IF(ISBLANK('SQL Builder'!K926)=FALSE,H951+1,"")</f>
        <v/>
      </c>
      <c r="I952" s="1" t="str">
        <f>IF(ISBLANK('SQL Builder'!P927)=FALSE,'SQL Builder'!N927,"")</f>
        <v/>
      </c>
      <c r="J952" s="79">
        <f t="shared" si="14"/>
        <v>0</v>
      </c>
    </row>
    <row r="953" spans="2:10" ht="16.5" x14ac:dyDescent="0.25">
      <c r="B953" s="49" t="e">
        <f>IF(ISBLANK('SQL Builder'!K928)=FALSE,(DATE(LEFT('SQL Builder'!K928,4),MID('SQL Builder'!K928,6,2),MID('SQL Builder'!K928,9,2))),NA())</f>
        <v>#N/A</v>
      </c>
      <c r="C953" s="50" t="str">
        <f>IF(ISBLANK('SQL Builder'!K928)=FALSE,'SQL Builder'!L928,"")</f>
        <v/>
      </c>
      <c r="D953" s="1" t="str">
        <f>IF(ISBLANK('SQL Builder'!K928)=FALSE,'SQL Builder'!O928,"")</f>
        <v/>
      </c>
      <c r="H953" s="43" t="str">
        <f>IF(ISBLANK('SQL Builder'!K927)=FALSE,H952+1,"")</f>
        <v/>
      </c>
      <c r="I953" s="1" t="str">
        <f>IF(ISBLANK('SQL Builder'!P928)=FALSE,'SQL Builder'!N928,"")</f>
        <v/>
      </c>
      <c r="J953" s="79">
        <f t="shared" si="14"/>
        <v>0</v>
      </c>
    </row>
    <row r="954" spans="2:10" ht="16.5" x14ac:dyDescent="0.25">
      <c r="B954" s="49" t="e">
        <f>IF(ISBLANK('SQL Builder'!K929)=FALSE,(DATE(LEFT('SQL Builder'!K929,4),MID('SQL Builder'!K929,6,2),MID('SQL Builder'!K929,9,2))),NA())</f>
        <v>#N/A</v>
      </c>
      <c r="C954" s="50" t="str">
        <f>IF(ISBLANK('SQL Builder'!K929)=FALSE,'SQL Builder'!L929,"")</f>
        <v/>
      </c>
      <c r="D954" s="1" t="str">
        <f>IF(ISBLANK('SQL Builder'!K929)=FALSE,'SQL Builder'!O929,"")</f>
        <v/>
      </c>
      <c r="H954" s="43" t="str">
        <f>IF(ISBLANK('SQL Builder'!K928)=FALSE,H953+1,"")</f>
        <v/>
      </c>
      <c r="I954" s="1" t="str">
        <f>IF(ISBLANK('SQL Builder'!P929)=FALSE,'SQL Builder'!N929,"")</f>
        <v/>
      </c>
      <c r="J954" s="79">
        <f t="shared" si="14"/>
        <v>0</v>
      </c>
    </row>
    <row r="955" spans="2:10" ht="16.5" x14ac:dyDescent="0.25">
      <c r="B955" s="49" t="e">
        <f>IF(ISBLANK('SQL Builder'!K930)=FALSE,(DATE(LEFT('SQL Builder'!K930,4),MID('SQL Builder'!K930,6,2),MID('SQL Builder'!K930,9,2))),NA())</f>
        <v>#N/A</v>
      </c>
      <c r="C955" s="50" t="str">
        <f>IF(ISBLANK('SQL Builder'!K930)=FALSE,'SQL Builder'!L930,"")</f>
        <v/>
      </c>
      <c r="D955" s="1" t="str">
        <f>IF(ISBLANK('SQL Builder'!K930)=FALSE,'SQL Builder'!O930,"")</f>
        <v/>
      </c>
      <c r="H955" s="43" t="str">
        <f>IF(ISBLANK('SQL Builder'!K929)=FALSE,H954+1,"")</f>
        <v/>
      </c>
      <c r="I955" s="1" t="str">
        <f>IF(ISBLANK('SQL Builder'!P930)=FALSE,'SQL Builder'!N930,"")</f>
        <v/>
      </c>
      <c r="J955" s="79">
        <f t="shared" si="14"/>
        <v>0</v>
      </c>
    </row>
    <row r="956" spans="2:10" ht="16.5" x14ac:dyDescent="0.25">
      <c r="B956" s="49" t="e">
        <f>IF(ISBLANK('SQL Builder'!K931)=FALSE,(DATE(LEFT('SQL Builder'!K931,4),MID('SQL Builder'!K931,6,2),MID('SQL Builder'!K931,9,2))),NA())</f>
        <v>#N/A</v>
      </c>
      <c r="C956" s="50" t="str">
        <f>IF(ISBLANK('SQL Builder'!K931)=FALSE,'SQL Builder'!L931,"")</f>
        <v/>
      </c>
      <c r="D956" s="1" t="str">
        <f>IF(ISBLANK('SQL Builder'!K931)=FALSE,'SQL Builder'!O931,"")</f>
        <v/>
      </c>
      <c r="H956" s="43" t="str">
        <f>IF(ISBLANK('SQL Builder'!K930)=FALSE,H955+1,"")</f>
        <v/>
      </c>
      <c r="I956" s="1" t="str">
        <f>IF(ISBLANK('SQL Builder'!P931)=FALSE,'SQL Builder'!N931,"")</f>
        <v/>
      </c>
      <c r="J956" s="79">
        <f t="shared" si="14"/>
        <v>0</v>
      </c>
    </row>
    <row r="957" spans="2:10" ht="16.5" x14ac:dyDescent="0.25">
      <c r="B957" s="49" t="e">
        <f>IF(ISBLANK('SQL Builder'!K932)=FALSE,(DATE(LEFT('SQL Builder'!K932,4),MID('SQL Builder'!K932,6,2),MID('SQL Builder'!K932,9,2))),NA())</f>
        <v>#N/A</v>
      </c>
      <c r="C957" s="50" t="str">
        <f>IF(ISBLANK('SQL Builder'!K932)=FALSE,'SQL Builder'!L932,"")</f>
        <v/>
      </c>
      <c r="D957" s="1" t="str">
        <f>IF(ISBLANK('SQL Builder'!K932)=FALSE,'SQL Builder'!O932,"")</f>
        <v/>
      </c>
      <c r="H957" s="43" t="str">
        <f>IF(ISBLANK('SQL Builder'!K931)=FALSE,H956+1,"")</f>
        <v/>
      </c>
      <c r="I957" s="1" t="str">
        <f>IF(ISBLANK('SQL Builder'!P932)=FALSE,'SQL Builder'!N932,"")</f>
        <v/>
      </c>
      <c r="J957" s="79">
        <f t="shared" si="14"/>
        <v>0</v>
      </c>
    </row>
    <row r="958" spans="2:10" ht="16.5" x14ac:dyDescent="0.25">
      <c r="B958" s="49" t="e">
        <f>IF(ISBLANK('SQL Builder'!K933)=FALSE,(DATE(LEFT('SQL Builder'!K933,4),MID('SQL Builder'!K933,6,2),MID('SQL Builder'!K933,9,2))),NA())</f>
        <v>#N/A</v>
      </c>
      <c r="C958" s="50" t="str">
        <f>IF(ISBLANK('SQL Builder'!K933)=FALSE,'SQL Builder'!L933,"")</f>
        <v/>
      </c>
      <c r="D958" s="1" t="str">
        <f>IF(ISBLANK('SQL Builder'!K933)=FALSE,'SQL Builder'!O933,"")</f>
        <v/>
      </c>
      <c r="H958" s="43" t="str">
        <f>IF(ISBLANK('SQL Builder'!K932)=FALSE,H957+1,"")</f>
        <v/>
      </c>
      <c r="I958" s="1" t="str">
        <f>IF(ISBLANK('SQL Builder'!P933)=FALSE,'SQL Builder'!N933,"")</f>
        <v/>
      </c>
      <c r="J958" s="79">
        <f t="shared" si="14"/>
        <v>0</v>
      </c>
    </row>
    <row r="959" spans="2:10" ht="16.5" x14ac:dyDescent="0.25">
      <c r="B959" s="49" t="e">
        <f>IF(ISBLANK('SQL Builder'!K934)=FALSE,(DATE(LEFT('SQL Builder'!K934,4),MID('SQL Builder'!K934,6,2),MID('SQL Builder'!K934,9,2))),NA())</f>
        <v>#N/A</v>
      </c>
      <c r="C959" s="50" t="str">
        <f>IF(ISBLANK('SQL Builder'!K934)=FALSE,'SQL Builder'!L934,"")</f>
        <v/>
      </c>
      <c r="D959" s="1" t="str">
        <f>IF(ISBLANK('SQL Builder'!K934)=FALSE,'SQL Builder'!O934,"")</f>
        <v/>
      </c>
      <c r="H959" s="43" t="str">
        <f>IF(ISBLANK('SQL Builder'!K933)=FALSE,H958+1,"")</f>
        <v/>
      </c>
      <c r="I959" s="1" t="str">
        <f>IF(ISBLANK('SQL Builder'!P934)=FALSE,'SQL Builder'!N934,"")</f>
        <v/>
      </c>
      <c r="J959" s="79">
        <f t="shared" si="14"/>
        <v>0</v>
      </c>
    </row>
    <row r="960" spans="2:10" ht="16.5" x14ac:dyDescent="0.25">
      <c r="B960" s="49" t="e">
        <f>IF(ISBLANK('SQL Builder'!K935)=FALSE,(DATE(LEFT('SQL Builder'!K935,4),MID('SQL Builder'!K935,6,2),MID('SQL Builder'!K935,9,2))),NA())</f>
        <v>#N/A</v>
      </c>
      <c r="C960" s="50" t="str">
        <f>IF(ISBLANK('SQL Builder'!K935)=FALSE,'SQL Builder'!L935,"")</f>
        <v/>
      </c>
      <c r="D960" s="1" t="str">
        <f>IF(ISBLANK('SQL Builder'!K935)=FALSE,'SQL Builder'!O935,"")</f>
        <v/>
      </c>
      <c r="H960" s="43" t="str">
        <f>IF(ISBLANK('SQL Builder'!K934)=FALSE,H959+1,"")</f>
        <v/>
      </c>
      <c r="I960" s="1" t="str">
        <f>IF(ISBLANK('SQL Builder'!P935)=FALSE,'SQL Builder'!N935,"")</f>
        <v/>
      </c>
      <c r="J960" s="79">
        <f t="shared" si="14"/>
        <v>0</v>
      </c>
    </row>
    <row r="961" spans="2:10" ht="16.5" x14ac:dyDescent="0.25">
      <c r="B961" s="49" t="e">
        <f>IF(ISBLANK('SQL Builder'!K936)=FALSE,(DATE(LEFT('SQL Builder'!K936,4),MID('SQL Builder'!K936,6,2),MID('SQL Builder'!K936,9,2))),NA())</f>
        <v>#N/A</v>
      </c>
      <c r="C961" s="50" t="str">
        <f>IF(ISBLANK('SQL Builder'!K936)=FALSE,'SQL Builder'!L936,"")</f>
        <v/>
      </c>
      <c r="D961" s="1" t="str">
        <f>IF(ISBLANK('SQL Builder'!K936)=FALSE,'SQL Builder'!O936,"")</f>
        <v/>
      </c>
      <c r="H961" s="43" t="str">
        <f>IF(ISBLANK('SQL Builder'!K935)=FALSE,H960+1,"")</f>
        <v/>
      </c>
      <c r="I961" s="1" t="str">
        <f>IF(ISBLANK('SQL Builder'!P936)=FALSE,'SQL Builder'!N936,"")</f>
        <v/>
      </c>
      <c r="J961" s="79">
        <f t="shared" si="14"/>
        <v>0</v>
      </c>
    </row>
    <row r="962" spans="2:10" ht="16.5" x14ac:dyDescent="0.25">
      <c r="B962" s="49" t="e">
        <f>IF(ISBLANK('SQL Builder'!K937)=FALSE,(DATE(LEFT('SQL Builder'!K937,4),MID('SQL Builder'!K937,6,2),MID('SQL Builder'!K937,9,2))),NA())</f>
        <v>#N/A</v>
      </c>
      <c r="C962" s="50" t="str">
        <f>IF(ISBLANK('SQL Builder'!K937)=FALSE,'SQL Builder'!L937,"")</f>
        <v/>
      </c>
      <c r="D962" s="1" t="str">
        <f>IF(ISBLANK('SQL Builder'!K937)=FALSE,'SQL Builder'!O937,"")</f>
        <v/>
      </c>
      <c r="H962" s="43" t="str">
        <f>IF(ISBLANK('SQL Builder'!K936)=FALSE,H961+1,"")</f>
        <v/>
      </c>
      <c r="I962" s="1" t="str">
        <f>IF(ISBLANK('SQL Builder'!P937)=FALSE,'SQL Builder'!N937,"")</f>
        <v/>
      </c>
      <c r="J962" s="79">
        <f t="shared" si="14"/>
        <v>0</v>
      </c>
    </row>
    <row r="963" spans="2:10" ht="16.5" x14ac:dyDescent="0.25">
      <c r="B963" s="49" t="e">
        <f>IF(ISBLANK('SQL Builder'!K938)=FALSE,(DATE(LEFT('SQL Builder'!K938,4),MID('SQL Builder'!K938,6,2),MID('SQL Builder'!K938,9,2))),NA())</f>
        <v>#N/A</v>
      </c>
      <c r="C963" s="50" t="str">
        <f>IF(ISBLANK('SQL Builder'!K938)=FALSE,'SQL Builder'!L938,"")</f>
        <v/>
      </c>
      <c r="D963" s="1" t="str">
        <f>IF(ISBLANK('SQL Builder'!K938)=FALSE,'SQL Builder'!O938,"")</f>
        <v/>
      </c>
      <c r="H963" s="43" t="str">
        <f>IF(ISBLANK('SQL Builder'!K937)=FALSE,H962+1,"")</f>
        <v/>
      </c>
      <c r="I963" s="1" t="str">
        <f>IF(ISBLANK('SQL Builder'!P938)=FALSE,'SQL Builder'!N938,"")</f>
        <v/>
      </c>
      <c r="J963" s="79">
        <f t="shared" si="14"/>
        <v>0</v>
      </c>
    </row>
    <row r="964" spans="2:10" ht="16.5" x14ac:dyDescent="0.25">
      <c r="B964" s="49" t="e">
        <f>IF(ISBLANK('SQL Builder'!K939)=FALSE,(DATE(LEFT('SQL Builder'!K939,4),MID('SQL Builder'!K939,6,2),MID('SQL Builder'!K939,9,2))),NA())</f>
        <v>#N/A</v>
      </c>
      <c r="C964" s="50" t="str">
        <f>IF(ISBLANK('SQL Builder'!K939)=FALSE,'SQL Builder'!L939,"")</f>
        <v/>
      </c>
      <c r="D964" s="1" t="str">
        <f>IF(ISBLANK('SQL Builder'!K939)=FALSE,'SQL Builder'!O939,"")</f>
        <v/>
      </c>
      <c r="H964" s="43" t="str">
        <f>IF(ISBLANK('SQL Builder'!K938)=FALSE,H963+1,"")</f>
        <v/>
      </c>
      <c r="I964" s="1" t="str">
        <f>IF(ISBLANK('SQL Builder'!P939)=FALSE,'SQL Builder'!N939,"")</f>
        <v/>
      </c>
      <c r="J964" s="79">
        <f t="shared" si="14"/>
        <v>0</v>
      </c>
    </row>
    <row r="965" spans="2:10" ht="16.5" x14ac:dyDescent="0.25">
      <c r="B965" s="49" t="e">
        <f>IF(ISBLANK('SQL Builder'!K940)=FALSE,(DATE(LEFT('SQL Builder'!K940,4),MID('SQL Builder'!K940,6,2),MID('SQL Builder'!K940,9,2))),NA())</f>
        <v>#N/A</v>
      </c>
      <c r="C965" s="50" t="str">
        <f>IF(ISBLANK('SQL Builder'!K940)=FALSE,'SQL Builder'!L940,"")</f>
        <v/>
      </c>
      <c r="D965" s="1" t="str">
        <f>IF(ISBLANK('SQL Builder'!K940)=FALSE,'SQL Builder'!O940,"")</f>
        <v/>
      </c>
      <c r="H965" s="43" t="str">
        <f>IF(ISBLANK('SQL Builder'!K939)=FALSE,H964+1,"")</f>
        <v/>
      </c>
      <c r="I965" s="1" t="str">
        <f>IF(ISBLANK('SQL Builder'!P940)=FALSE,'SQL Builder'!N940,"")</f>
        <v/>
      </c>
      <c r="J965" s="79">
        <f t="shared" si="14"/>
        <v>0</v>
      </c>
    </row>
    <row r="966" spans="2:10" ht="16.5" x14ac:dyDescent="0.25">
      <c r="B966" s="49" t="e">
        <f>IF(ISBLANK('SQL Builder'!K941)=FALSE,(DATE(LEFT('SQL Builder'!K941,4),MID('SQL Builder'!K941,6,2),MID('SQL Builder'!K941,9,2))),NA())</f>
        <v>#N/A</v>
      </c>
      <c r="C966" s="50" t="str">
        <f>IF(ISBLANK('SQL Builder'!K941)=FALSE,'SQL Builder'!L941,"")</f>
        <v/>
      </c>
      <c r="D966" s="1" t="str">
        <f>IF(ISBLANK('SQL Builder'!K941)=FALSE,'SQL Builder'!O941,"")</f>
        <v/>
      </c>
      <c r="H966" s="43" t="str">
        <f>IF(ISBLANK('SQL Builder'!K940)=FALSE,H965+1,"")</f>
        <v/>
      </c>
      <c r="I966" s="1" t="str">
        <f>IF(ISBLANK('SQL Builder'!P941)=FALSE,'SQL Builder'!N941,"")</f>
        <v/>
      </c>
      <c r="J966" s="79">
        <f t="shared" si="14"/>
        <v>0</v>
      </c>
    </row>
    <row r="967" spans="2:10" ht="16.5" x14ac:dyDescent="0.25">
      <c r="B967" s="49" t="e">
        <f>IF(ISBLANK('SQL Builder'!K942)=FALSE,(DATE(LEFT('SQL Builder'!K942,4),MID('SQL Builder'!K942,6,2),MID('SQL Builder'!K942,9,2))),NA())</f>
        <v>#N/A</v>
      </c>
      <c r="C967" s="50" t="str">
        <f>IF(ISBLANK('SQL Builder'!K942)=FALSE,'SQL Builder'!L942,"")</f>
        <v/>
      </c>
      <c r="D967" s="1" t="str">
        <f>IF(ISBLANK('SQL Builder'!K942)=FALSE,'SQL Builder'!O942,"")</f>
        <v/>
      </c>
      <c r="H967" s="43" t="str">
        <f>IF(ISBLANK('SQL Builder'!K941)=FALSE,H966+1,"")</f>
        <v/>
      </c>
      <c r="I967" s="1" t="str">
        <f>IF(ISBLANK('SQL Builder'!P942)=FALSE,'SQL Builder'!N942,"")</f>
        <v/>
      </c>
      <c r="J967" s="79">
        <f t="shared" si="14"/>
        <v>0</v>
      </c>
    </row>
    <row r="968" spans="2:10" ht="16.5" x14ac:dyDescent="0.25">
      <c r="B968" s="49" t="e">
        <f>IF(ISBLANK('SQL Builder'!K943)=FALSE,(DATE(LEFT('SQL Builder'!K943,4),MID('SQL Builder'!K943,6,2),MID('SQL Builder'!K943,9,2))),NA())</f>
        <v>#N/A</v>
      </c>
      <c r="C968" s="50" t="str">
        <f>IF(ISBLANK('SQL Builder'!K943)=FALSE,'SQL Builder'!L943,"")</f>
        <v/>
      </c>
      <c r="D968" s="1" t="str">
        <f>IF(ISBLANK('SQL Builder'!K943)=FALSE,'SQL Builder'!O943,"")</f>
        <v/>
      </c>
      <c r="H968" s="43" t="str">
        <f>IF(ISBLANK('SQL Builder'!K942)=FALSE,H967+1,"")</f>
        <v/>
      </c>
      <c r="I968" s="1" t="str">
        <f>IF(ISBLANK('SQL Builder'!P943)=FALSE,'SQL Builder'!N943,"")</f>
        <v/>
      </c>
      <c r="J968" s="79">
        <f t="shared" si="14"/>
        <v>0</v>
      </c>
    </row>
    <row r="969" spans="2:10" ht="16.5" x14ac:dyDescent="0.25">
      <c r="B969" s="49" t="e">
        <f>IF(ISBLANK('SQL Builder'!K944)=FALSE,(DATE(LEFT('SQL Builder'!K944,4),MID('SQL Builder'!K944,6,2),MID('SQL Builder'!K944,9,2))),NA())</f>
        <v>#N/A</v>
      </c>
      <c r="C969" s="50" t="str">
        <f>IF(ISBLANK('SQL Builder'!K944)=FALSE,'SQL Builder'!L944,"")</f>
        <v/>
      </c>
      <c r="D969" s="1" t="str">
        <f>IF(ISBLANK('SQL Builder'!K944)=FALSE,'SQL Builder'!O944,"")</f>
        <v/>
      </c>
      <c r="H969" s="43" t="str">
        <f>IF(ISBLANK('SQL Builder'!K943)=FALSE,H968+1,"")</f>
        <v/>
      </c>
      <c r="I969" s="1" t="str">
        <f>IF(ISBLANK('SQL Builder'!P944)=FALSE,'SQL Builder'!N944,"")</f>
        <v/>
      </c>
      <c r="J969" s="79">
        <f t="shared" si="14"/>
        <v>0</v>
      </c>
    </row>
    <row r="970" spans="2:10" ht="16.5" x14ac:dyDescent="0.25">
      <c r="B970" s="49" t="e">
        <f>IF(ISBLANK('SQL Builder'!K945)=FALSE,(DATE(LEFT('SQL Builder'!K945,4),MID('SQL Builder'!K945,6,2),MID('SQL Builder'!K945,9,2))),NA())</f>
        <v>#N/A</v>
      </c>
      <c r="C970" s="50" t="str">
        <f>IF(ISBLANK('SQL Builder'!K945)=FALSE,'SQL Builder'!L945,"")</f>
        <v/>
      </c>
      <c r="D970" s="1" t="str">
        <f>IF(ISBLANK('SQL Builder'!K945)=FALSE,'SQL Builder'!O945,"")</f>
        <v/>
      </c>
      <c r="H970" s="43" t="str">
        <f>IF(ISBLANK('SQL Builder'!K944)=FALSE,H969+1,"")</f>
        <v/>
      </c>
      <c r="I970" s="1" t="str">
        <f>IF(ISBLANK('SQL Builder'!P945)=FALSE,'SQL Builder'!N945,"")</f>
        <v/>
      </c>
      <c r="J970" s="79">
        <f t="shared" si="14"/>
        <v>0</v>
      </c>
    </row>
    <row r="971" spans="2:10" ht="16.5" x14ac:dyDescent="0.25">
      <c r="B971" s="49" t="e">
        <f>IF(ISBLANK('SQL Builder'!K946)=FALSE,(DATE(LEFT('SQL Builder'!K946,4),MID('SQL Builder'!K946,6,2),MID('SQL Builder'!K946,9,2))),NA())</f>
        <v>#N/A</v>
      </c>
      <c r="C971" s="50" t="str">
        <f>IF(ISBLANK('SQL Builder'!K946)=FALSE,'SQL Builder'!L946,"")</f>
        <v/>
      </c>
      <c r="D971" s="1" t="str">
        <f>IF(ISBLANK('SQL Builder'!K946)=FALSE,'SQL Builder'!O946,"")</f>
        <v/>
      </c>
      <c r="H971" s="43" t="str">
        <f>IF(ISBLANK('SQL Builder'!K945)=FALSE,H970+1,"")</f>
        <v/>
      </c>
      <c r="I971" s="1" t="str">
        <f>IF(ISBLANK('SQL Builder'!P946)=FALSE,'SQL Builder'!N946,"")</f>
        <v/>
      </c>
      <c r="J971" s="79">
        <f t="shared" si="14"/>
        <v>0</v>
      </c>
    </row>
    <row r="972" spans="2:10" ht="16.5" x14ac:dyDescent="0.25">
      <c r="B972" s="49" t="e">
        <f>IF(ISBLANK('SQL Builder'!K947)=FALSE,(DATE(LEFT('SQL Builder'!K947,4),MID('SQL Builder'!K947,6,2),MID('SQL Builder'!K947,9,2))),NA())</f>
        <v>#N/A</v>
      </c>
      <c r="C972" s="50" t="str">
        <f>IF(ISBLANK('SQL Builder'!K947)=FALSE,'SQL Builder'!L947,"")</f>
        <v/>
      </c>
      <c r="D972" s="1" t="str">
        <f>IF(ISBLANK('SQL Builder'!K947)=FALSE,'SQL Builder'!O947,"")</f>
        <v/>
      </c>
      <c r="H972" s="43" t="str">
        <f>IF(ISBLANK('SQL Builder'!K946)=FALSE,H971+1,"")</f>
        <v/>
      </c>
      <c r="I972" s="1" t="str">
        <f>IF(ISBLANK('SQL Builder'!P947)=FALSE,'SQL Builder'!N947,"")</f>
        <v/>
      </c>
      <c r="J972" s="79">
        <f t="shared" si="14"/>
        <v>0</v>
      </c>
    </row>
    <row r="973" spans="2:10" ht="16.5" x14ac:dyDescent="0.25">
      <c r="B973" s="49" t="e">
        <f>IF(ISBLANK('SQL Builder'!K948)=FALSE,(DATE(LEFT('SQL Builder'!K948,4),MID('SQL Builder'!K948,6,2),MID('SQL Builder'!K948,9,2))),NA())</f>
        <v>#N/A</v>
      </c>
      <c r="C973" s="50" t="str">
        <f>IF(ISBLANK('SQL Builder'!K948)=FALSE,'SQL Builder'!L948,"")</f>
        <v/>
      </c>
      <c r="D973" s="1" t="str">
        <f>IF(ISBLANK('SQL Builder'!K948)=FALSE,'SQL Builder'!O948,"")</f>
        <v/>
      </c>
      <c r="H973" s="43" t="str">
        <f>IF(ISBLANK('SQL Builder'!K947)=FALSE,H972+1,"")</f>
        <v/>
      </c>
      <c r="I973" s="1" t="str">
        <f>IF(ISBLANK('SQL Builder'!P948)=FALSE,'SQL Builder'!N948,"")</f>
        <v/>
      </c>
      <c r="J973" s="79">
        <f t="shared" si="14"/>
        <v>0</v>
      </c>
    </row>
    <row r="974" spans="2:10" ht="16.5" x14ac:dyDescent="0.25">
      <c r="B974" s="49" t="e">
        <f>IF(ISBLANK('SQL Builder'!K949)=FALSE,(DATE(LEFT('SQL Builder'!K949,4),MID('SQL Builder'!K949,6,2),MID('SQL Builder'!K949,9,2))),NA())</f>
        <v>#N/A</v>
      </c>
      <c r="C974" s="50" t="str">
        <f>IF(ISBLANK('SQL Builder'!K949)=FALSE,'SQL Builder'!L949,"")</f>
        <v/>
      </c>
      <c r="D974" s="1" t="str">
        <f>IF(ISBLANK('SQL Builder'!K949)=FALSE,'SQL Builder'!O949,"")</f>
        <v/>
      </c>
      <c r="H974" s="43" t="str">
        <f>IF(ISBLANK('SQL Builder'!K948)=FALSE,H973+1,"")</f>
        <v/>
      </c>
      <c r="I974" s="1" t="str">
        <f>IF(ISBLANK('SQL Builder'!P949)=FALSE,'SQL Builder'!N949,"")</f>
        <v/>
      </c>
      <c r="J974" s="79">
        <f t="shared" si="14"/>
        <v>0</v>
      </c>
    </row>
    <row r="975" spans="2:10" ht="16.5" x14ac:dyDescent="0.25">
      <c r="B975" s="49" t="e">
        <f>IF(ISBLANK('SQL Builder'!K950)=FALSE,(DATE(LEFT('SQL Builder'!K950,4),MID('SQL Builder'!K950,6,2),MID('SQL Builder'!K950,9,2))),NA())</f>
        <v>#N/A</v>
      </c>
      <c r="C975" s="50" t="str">
        <f>IF(ISBLANK('SQL Builder'!K950)=FALSE,'SQL Builder'!L950,"")</f>
        <v/>
      </c>
      <c r="D975" s="1" t="str">
        <f>IF(ISBLANK('SQL Builder'!K950)=FALSE,'SQL Builder'!O950,"")</f>
        <v/>
      </c>
      <c r="H975" s="43" t="str">
        <f>IF(ISBLANK('SQL Builder'!K949)=FALSE,H974+1,"")</f>
        <v/>
      </c>
      <c r="I975" s="1" t="str">
        <f>IF(ISBLANK('SQL Builder'!P950)=FALSE,'SQL Builder'!N950,"")</f>
        <v/>
      </c>
      <c r="J975" s="79">
        <f t="shared" si="14"/>
        <v>0</v>
      </c>
    </row>
    <row r="976" spans="2:10" ht="16.5" x14ac:dyDescent="0.25">
      <c r="B976" s="49" t="e">
        <f>IF(ISBLANK('SQL Builder'!K951)=FALSE,(DATE(LEFT('SQL Builder'!K951,4),MID('SQL Builder'!K951,6,2),MID('SQL Builder'!K951,9,2))),NA())</f>
        <v>#N/A</v>
      </c>
      <c r="C976" s="50" t="str">
        <f>IF(ISBLANK('SQL Builder'!K951)=FALSE,'SQL Builder'!L951,"")</f>
        <v/>
      </c>
      <c r="D976" s="1" t="str">
        <f>IF(ISBLANK('SQL Builder'!K951)=FALSE,'SQL Builder'!O951,"")</f>
        <v/>
      </c>
      <c r="H976" s="43" t="str">
        <f>IF(ISBLANK('SQL Builder'!K950)=FALSE,H975+1,"")</f>
        <v/>
      </c>
      <c r="I976" s="1" t="str">
        <f>IF(ISBLANK('SQL Builder'!P951)=FALSE,'SQL Builder'!N951,"")</f>
        <v/>
      </c>
      <c r="J976" s="79">
        <f t="shared" si="14"/>
        <v>0</v>
      </c>
    </row>
    <row r="977" spans="2:10" ht="16.5" x14ac:dyDescent="0.25">
      <c r="B977" s="49" t="e">
        <f>IF(ISBLANK('SQL Builder'!K952)=FALSE,(DATE(LEFT('SQL Builder'!K952,4),MID('SQL Builder'!K952,6,2),MID('SQL Builder'!K952,9,2))),NA())</f>
        <v>#N/A</v>
      </c>
      <c r="C977" s="50" t="str">
        <f>IF(ISBLANK('SQL Builder'!K952)=FALSE,'SQL Builder'!L952,"")</f>
        <v/>
      </c>
      <c r="D977" s="1" t="str">
        <f>IF(ISBLANK('SQL Builder'!K952)=FALSE,'SQL Builder'!O952,"")</f>
        <v/>
      </c>
      <c r="H977" s="43" t="str">
        <f>IF(ISBLANK('SQL Builder'!K951)=FALSE,H976+1,"")</f>
        <v/>
      </c>
      <c r="I977" s="1" t="str">
        <f>IF(ISBLANK('SQL Builder'!P952)=FALSE,'SQL Builder'!N952,"")</f>
        <v/>
      </c>
      <c r="J977" s="79">
        <f t="shared" si="14"/>
        <v>0</v>
      </c>
    </row>
    <row r="978" spans="2:10" ht="16.5" x14ac:dyDescent="0.25">
      <c r="B978" s="49" t="e">
        <f>IF(ISBLANK('SQL Builder'!K953)=FALSE,(DATE(LEFT('SQL Builder'!K953,4),MID('SQL Builder'!K953,6,2),MID('SQL Builder'!K953,9,2))),NA())</f>
        <v>#N/A</v>
      </c>
      <c r="C978" s="50" t="str">
        <f>IF(ISBLANK('SQL Builder'!K953)=FALSE,'SQL Builder'!L953,"")</f>
        <v/>
      </c>
      <c r="D978" s="1" t="str">
        <f>IF(ISBLANK('SQL Builder'!K953)=FALSE,'SQL Builder'!O953,"")</f>
        <v/>
      </c>
      <c r="H978" s="43" t="str">
        <f>IF(ISBLANK('SQL Builder'!K952)=FALSE,H977+1,"")</f>
        <v/>
      </c>
      <c r="I978" s="1" t="str">
        <f>IF(ISBLANK('SQL Builder'!P953)=FALSE,'SQL Builder'!N953,"")</f>
        <v/>
      </c>
      <c r="J978" s="79">
        <f t="shared" si="14"/>
        <v>0</v>
      </c>
    </row>
    <row r="979" spans="2:10" ht="16.5" x14ac:dyDescent="0.25">
      <c r="B979" s="49" t="e">
        <f>IF(ISBLANK('SQL Builder'!K954)=FALSE,(DATE(LEFT('SQL Builder'!K954,4),MID('SQL Builder'!K954,6,2),MID('SQL Builder'!K954,9,2))),NA())</f>
        <v>#N/A</v>
      </c>
      <c r="C979" s="50" t="str">
        <f>IF(ISBLANK('SQL Builder'!K954)=FALSE,'SQL Builder'!L954,"")</f>
        <v/>
      </c>
      <c r="D979" s="1" t="str">
        <f>IF(ISBLANK('SQL Builder'!K954)=FALSE,'SQL Builder'!O954,"")</f>
        <v/>
      </c>
      <c r="H979" s="43" t="str">
        <f>IF(ISBLANK('SQL Builder'!K953)=FALSE,H978+1,"")</f>
        <v/>
      </c>
      <c r="I979" s="1" t="str">
        <f>IF(ISBLANK('SQL Builder'!P954)=FALSE,'SQL Builder'!N954,"")</f>
        <v/>
      </c>
      <c r="J979" s="79">
        <f t="shared" si="14"/>
        <v>0</v>
      </c>
    </row>
    <row r="980" spans="2:10" ht="16.5" x14ac:dyDescent="0.25">
      <c r="B980" s="49" t="e">
        <f>IF(ISBLANK('SQL Builder'!K955)=FALSE,(DATE(LEFT('SQL Builder'!K955,4),MID('SQL Builder'!K955,6,2),MID('SQL Builder'!K955,9,2))),NA())</f>
        <v>#N/A</v>
      </c>
      <c r="C980" s="50" t="str">
        <f>IF(ISBLANK('SQL Builder'!K955)=FALSE,'SQL Builder'!L955,"")</f>
        <v/>
      </c>
      <c r="D980" s="1" t="str">
        <f>IF(ISBLANK('SQL Builder'!K955)=FALSE,'SQL Builder'!O955,"")</f>
        <v/>
      </c>
      <c r="H980" s="43" t="str">
        <f>IF(ISBLANK('SQL Builder'!K954)=FALSE,H979+1,"")</f>
        <v/>
      </c>
      <c r="I980" s="1" t="str">
        <f>IF(ISBLANK('SQL Builder'!P955)=FALSE,'SQL Builder'!N955,"")</f>
        <v/>
      </c>
      <c r="J980" s="79">
        <f t="shared" si="14"/>
        <v>0</v>
      </c>
    </row>
    <row r="981" spans="2:10" ht="16.5" x14ac:dyDescent="0.25">
      <c r="B981" s="49" t="e">
        <f>IF(ISBLANK('SQL Builder'!K956)=FALSE,(DATE(LEFT('SQL Builder'!K956,4),MID('SQL Builder'!K956,6,2),MID('SQL Builder'!K956,9,2))),NA())</f>
        <v>#N/A</v>
      </c>
      <c r="C981" s="50" t="str">
        <f>IF(ISBLANK('SQL Builder'!K956)=FALSE,'SQL Builder'!L956,"")</f>
        <v/>
      </c>
      <c r="D981" s="1" t="str">
        <f>IF(ISBLANK('SQL Builder'!K956)=FALSE,'SQL Builder'!O956,"")</f>
        <v/>
      </c>
      <c r="H981" s="43" t="str">
        <f>IF(ISBLANK('SQL Builder'!K955)=FALSE,H980+1,"")</f>
        <v/>
      </c>
      <c r="I981" s="1" t="str">
        <f>IF(ISBLANK('SQL Builder'!P956)=FALSE,'SQL Builder'!N956,"")</f>
        <v/>
      </c>
      <c r="J981" s="79">
        <f t="shared" si="14"/>
        <v>0</v>
      </c>
    </row>
    <row r="982" spans="2:10" ht="16.5" x14ac:dyDescent="0.25">
      <c r="B982" s="49" t="e">
        <f>IF(ISBLANK('SQL Builder'!K957)=FALSE,(DATE(LEFT('SQL Builder'!K957,4),MID('SQL Builder'!K957,6,2),MID('SQL Builder'!K957,9,2))),NA())</f>
        <v>#N/A</v>
      </c>
      <c r="C982" s="50" t="str">
        <f>IF(ISBLANK('SQL Builder'!K957)=FALSE,'SQL Builder'!L957,"")</f>
        <v/>
      </c>
      <c r="D982" s="1" t="str">
        <f>IF(ISBLANK('SQL Builder'!K957)=FALSE,'SQL Builder'!O957,"")</f>
        <v/>
      </c>
      <c r="H982" s="43" t="str">
        <f>IF(ISBLANK('SQL Builder'!K956)=FALSE,H981+1,"")</f>
        <v/>
      </c>
      <c r="I982" s="1" t="str">
        <f>IF(ISBLANK('SQL Builder'!P957)=FALSE,'SQL Builder'!N957,"")</f>
        <v/>
      </c>
      <c r="J982" s="79">
        <f t="shared" si="14"/>
        <v>0</v>
      </c>
    </row>
    <row r="983" spans="2:10" ht="16.5" x14ac:dyDescent="0.25">
      <c r="B983" s="49" t="e">
        <f>IF(ISBLANK('SQL Builder'!K958)=FALSE,(DATE(LEFT('SQL Builder'!K958,4),MID('SQL Builder'!K958,6,2),MID('SQL Builder'!K958,9,2))),NA())</f>
        <v>#N/A</v>
      </c>
      <c r="C983" s="50" t="str">
        <f>IF(ISBLANK('SQL Builder'!K958)=FALSE,'SQL Builder'!L958,"")</f>
        <v/>
      </c>
      <c r="D983" s="1" t="str">
        <f>IF(ISBLANK('SQL Builder'!K958)=FALSE,'SQL Builder'!O958,"")</f>
        <v/>
      </c>
      <c r="H983" s="43" t="str">
        <f>IF(ISBLANK('SQL Builder'!K957)=FALSE,H982+1,"")</f>
        <v/>
      </c>
      <c r="I983" s="1" t="str">
        <f>IF(ISBLANK('SQL Builder'!P958)=FALSE,'SQL Builder'!N958,"")</f>
        <v/>
      </c>
      <c r="J983" s="79">
        <f t="shared" si="14"/>
        <v>0</v>
      </c>
    </row>
    <row r="984" spans="2:10" ht="16.5" x14ac:dyDescent="0.25">
      <c r="B984" s="49" t="e">
        <f>IF(ISBLANK('SQL Builder'!K959)=FALSE,(DATE(LEFT('SQL Builder'!K959,4),MID('SQL Builder'!K959,6,2),MID('SQL Builder'!K959,9,2))),NA())</f>
        <v>#N/A</v>
      </c>
      <c r="C984" s="50" t="str">
        <f>IF(ISBLANK('SQL Builder'!K959)=FALSE,'SQL Builder'!L959,"")</f>
        <v/>
      </c>
      <c r="D984" s="1" t="str">
        <f>IF(ISBLANK('SQL Builder'!K959)=FALSE,'SQL Builder'!O959,"")</f>
        <v/>
      </c>
      <c r="H984" s="43" t="str">
        <f>IF(ISBLANK('SQL Builder'!K958)=FALSE,H983+1,"")</f>
        <v/>
      </c>
      <c r="I984" s="1" t="str">
        <f>IF(ISBLANK('SQL Builder'!P959)=FALSE,'SQL Builder'!N959,"")</f>
        <v/>
      </c>
      <c r="J984" s="79">
        <f t="shared" si="14"/>
        <v>0</v>
      </c>
    </row>
    <row r="985" spans="2:10" ht="16.5" x14ac:dyDescent="0.25">
      <c r="B985" s="49" t="e">
        <f>IF(ISBLANK('SQL Builder'!K960)=FALSE,(DATE(LEFT('SQL Builder'!K960,4),MID('SQL Builder'!K960,6,2),MID('SQL Builder'!K960,9,2))),NA())</f>
        <v>#N/A</v>
      </c>
      <c r="C985" s="50" t="str">
        <f>IF(ISBLANK('SQL Builder'!K960)=FALSE,'SQL Builder'!L960,"")</f>
        <v/>
      </c>
      <c r="D985" s="1" t="str">
        <f>IF(ISBLANK('SQL Builder'!K960)=FALSE,'SQL Builder'!O960,"")</f>
        <v/>
      </c>
      <c r="H985" s="43" t="str">
        <f>IF(ISBLANK('SQL Builder'!K959)=FALSE,H984+1,"")</f>
        <v/>
      </c>
      <c r="I985" s="1" t="str">
        <f>IF(ISBLANK('SQL Builder'!P960)=FALSE,'SQL Builder'!N960,"")</f>
        <v/>
      </c>
      <c r="J985" s="79">
        <f t="shared" si="14"/>
        <v>0</v>
      </c>
    </row>
    <row r="986" spans="2:10" ht="16.5" x14ac:dyDescent="0.25">
      <c r="B986" s="49" t="e">
        <f>IF(ISBLANK('SQL Builder'!K961)=FALSE,(DATE(LEFT('SQL Builder'!K961,4),MID('SQL Builder'!K961,6,2),MID('SQL Builder'!K961,9,2))),NA())</f>
        <v>#N/A</v>
      </c>
      <c r="C986" s="50" t="str">
        <f>IF(ISBLANK('SQL Builder'!K961)=FALSE,'SQL Builder'!L961,"")</f>
        <v/>
      </c>
      <c r="D986" s="1" t="str">
        <f>IF(ISBLANK('SQL Builder'!K961)=FALSE,'SQL Builder'!O961,"")</f>
        <v/>
      </c>
      <c r="H986" s="43" t="str">
        <f>IF(ISBLANK('SQL Builder'!K960)=FALSE,H985+1,"")</f>
        <v/>
      </c>
      <c r="I986" s="1" t="str">
        <f>IF(ISBLANK('SQL Builder'!P961)=FALSE,'SQL Builder'!N961,"")</f>
        <v/>
      </c>
      <c r="J986" s="79">
        <f t="shared" si="14"/>
        <v>0</v>
      </c>
    </row>
    <row r="987" spans="2:10" ht="16.5" x14ac:dyDescent="0.25">
      <c r="B987" s="49" t="e">
        <f>IF(ISBLANK('SQL Builder'!K962)=FALSE,(DATE(LEFT('SQL Builder'!K962,4),MID('SQL Builder'!K962,6,2),MID('SQL Builder'!K962,9,2))),NA())</f>
        <v>#N/A</v>
      </c>
      <c r="C987" s="50" t="str">
        <f>IF(ISBLANK('SQL Builder'!K962)=FALSE,'SQL Builder'!L962,"")</f>
        <v/>
      </c>
      <c r="D987" s="1" t="str">
        <f>IF(ISBLANK('SQL Builder'!K962)=FALSE,'SQL Builder'!O962,"")</f>
        <v/>
      </c>
      <c r="H987" s="43" t="str">
        <f>IF(ISBLANK('SQL Builder'!K961)=FALSE,H986+1,"")</f>
        <v/>
      </c>
      <c r="I987" s="1" t="str">
        <f>IF(ISBLANK('SQL Builder'!P962)=FALSE,'SQL Builder'!N962,"")</f>
        <v/>
      </c>
      <c r="J987" s="79">
        <f t="shared" si="14"/>
        <v>0</v>
      </c>
    </row>
    <row r="988" spans="2:10" ht="16.5" x14ac:dyDescent="0.25">
      <c r="B988" s="49" t="e">
        <f>IF(ISBLANK('SQL Builder'!K963)=FALSE,(DATE(LEFT('SQL Builder'!K963,4),MID('SQL Builder'!K963,6,2),MID('SQL Builder'!K963,9,2))),NA())</f>
        <v>#N/A</v>
      </c>
      <c r="C988" s="50" t="str">
        <f>IF(ISBLANK('SQL Builder'!K963)=FALSE,'SQL Builder'!L963,"")</f>
        <v/>
      </c>
      <c r="D988" s="1" t="str">
        <f>IF(ISBLANK('SQL Builder'!K963)=FALSE,'SQL Builder'!O963,"")</f>
        <v/>
      </c>
      <c r="H988" s="43" t="str">
        <f>IF(ISBLANK('SQL Builder'!K962)=FALSE,H987+1,"")</f>
        <v/>
      </c>
      <c r="I988" s="1" t="str">
        <f>IF(ISBLANK('SQL Builder'!P963)=FALSE,'SQL Builder'!N963,"")</f>
        <v/>
      </c>
      <c r="J988" s="79">
        <f t="shared" si="14"/>
        <v>0</v>
      </c>
    </row>
    <row r="989" spans="2:10" ht="16.5" x14ac:dyDescent="0.25">
      <c r="B989" s="49" t="e">
        <f>IF(ISBLANK('SQL Builder'!K964)=FALSE,(DATE(LEFT('SQL Builder'!K964,4),MID('SQL Builder'!K964,6,2),MID('SQL Builder'!K964,9,2))),NA())</f>
        <v>#N/A</v>
      </c>
      <c r="C989" s="50" t="str">
        <f>IF(ISBLANK('SQL Builder'!K964)=FALSE,'SQL Builder'!L964,"")</f>
        <v/>
      </c>
      <c r="D989" s="1" t="str">
        <f>IF(ISBLANK('SQL Builder'!K964)=FALSE,'SQL Builder'!O964,"")</f>
        <v/>
      </c>
      <c r="H989" s="43" t="str">
        <f>IF(ISBLANK('SQL Builder'!K963)=FALSE,H988+1,"")</f>
        <v/>
      </c>
      <c r="I989" s="1" t="str">
        <f>IF(ISBLANK('SQL Builder'!P964)=FALSE,'SQL Builder'!N964,"")</f>
        <v/>
      </c>
      <c r="J989" s="79">
        <f t="shared" si="14"/>
        <v>0</v>
      </c>
    </row>
    <row r="990" spans="2:10" ht="16.5" x14ac:dyDescent="0.25">
      <c r="B990" s="49" t="e">
        <f>IF(ISBLANK('SQL Builder'!K965)=FALSE,(DATE(LEFT('SQL Builder'!K965,4),MID('SQL Builder'!K965,6,2),MID('SQL Builder'!K965,9,2))),NA())</f>
        <v>#N/A</v>
      </c>
      <c r="C990" s="50" t="str">
        <f>IF(ISBLANK('SQL Builder'!K965)=FALSE,'SQL Builder'!L965,"")</f>
        <v/>
      </c>
      <c r="D990" s="1" t="str">
        <f>IF(ISBLANK('SQL Builder'!K965)=FALSE,'SQL Builder'!O965,"")</f>
        <v/>
      </c>
      <c r="H990" s="43" t="str">
        <f>IF(ISBLANK('SQL Builder'!K964)=FALSE,H989+1,"")</f>
        <v/>
      </c>
      <c r="I990" s="1" t="str">
        <f>IF(ISBLANK('SQL Builder'!P965)=FALSE,'SQL Builder'!N965,"")</f>
        <v/>
      </c>
      <c r="J990" s="79">
        <f t="shared" si="14"/>
        <v>0</v>
      </c>
    </row>
    <row r="991" spans="2:10" ht="16.5" x14ac:dyDescent="0.25">
      <c r="B991" s="49" t="e">
        <f>IF(ISBLANK('SQL Builder'!K966)=FALSE,(DATE(LEFT('SQL Builder'!K966,4),MID('SQL Builder'!K966,6,2),MID('SQL Builder'!K966,9,2))),NA())</f>
        <v>#N/A</v>
      </c>
      <c r="C991" s="50" t="str">
        <f>IF(ISBLANK('SQL Builder'!K966)=FALSE,'SQL Builder'!L966,"")</f>
        <v/>
      </c>
      <c r="D991" s="1" t="str">
        <f>IF(ISBLANK('SQL Builder'!K966)=FALSE,'SQL Builder'!O966,"")</f>
        <v/>
      </c>
      <c r="H991" s="43" t="str">
        <f>IF(ISBLANK('SQL Builder'!K965)=FALSE,H990+1,"")</f>
        <v/>
      </c>
      <c r="I991" s="1" t="str">
        <f>IF(ISBLANK('SQL Builder'!P966)=FALSE,'SQL Builder'!N966,"")</f>
        <v/>
      </c>
      <c r="J991" s="79">
        <f t="shared" ref="J991:J1054" si="15">IF(I991="",0,IF(I991=C$5,2,1))</f>
        <v>0</v>
      </c>
    </row>
    <row r="992" spans="2:10" ht="16.5" x14ac:dyDescent="0.25">
      <c r="B992" s="49" t="e">
        <f>IF(ISBLANK('SQL Builder'!K967)=FALSE,(DATE(LEFT('SQL Builder'!K967,4),MID('SQL Builder'!K967,6,2),MID('SQL Builder'!K967,9,2))),NA())</f>
        <v>#N/A</v>
      </c>
      <c r="C992" s="50" t="str">
        <f>IF(ISBLANK('SQL Builder'!K967)=FALSE,'SQL Builder'!L967,"")</f>
        <v/>
      </c>
      <c r="D992" s="1" t="str">
        <f>IF(ISBLANK('SQL Builder'!K967)=FALSE,'SQL Builder'!O967,"")</f>
        <v/>
      </c>
      <c r="H992" s="43" t="str">
        <f>IF(ISBLANK('SQL Builder'!K966)=FALSE,H991+1,"")</f>
        <v/>
      </c>
      <c r="I992" s="1" t="str">
        <f>IF(ISBLANK('SQL Builder'!P967)=FALSE,'SQL Builder'!N967,"")</f>
        <v/>
      </c>
      <c r="J992" s="79">
        <f t="shared" si="15"/>
        <v>0</v>
      </c>
    </row>
    <row r="993" spans="2:10" ht="16.5" x14ac:dyDescent="0.25">
      <c r="B993" s="49" t="e">
        <f>IF(ISBLANK('SQL Builder'!K968)=FALSE,(DATE(LEFT('SQL Builder'!K968,4),MID('SQL Builder'!K968,6,2),MID('SQL Builder'!K968,9,2))),NA())</f>
        <v>#N/A</v>
      </c>
      <c r="C993" s="50" t="str">
        <f>IF(ISBLANK('SQL Builder'!K968)=FALSE,'SQL Builder'!L968,"")</f>
        <v/>
      </c>
      <c r="D993" s="1" t="str">
        <f>IF(ISBLANK('SQL Builder'!K968)=FALSE,'SQL Builder'!O968,"")</f>
        <v/>
      </c>
      <c r="H993" s="43" t="str">
        <f>IF(ISBLANK('SQL Builder'!K967)=FALSE,H992+1,"")</f>
        <v/>
      </c>
      <c r="I993" s="1" t="str">
        <f>IF(ISBLANK('SQL Builder'!P968)=FALSE,'SQL Builder'!N968,"")</f>
        <v/>
      </c>
      <c r="J993" s="79">
        <f t="shared" si="15"/>
        <v>0</v>
      </c>
    </row>
    <row r="994" spans="2:10" ht="16.5" x14ac:dyDescent="0.25">
      <c r="B994" s="49" t="e">
        <f>IF(ISBLANK('SQL Builder'!K969)=FALSE,(DATE(LEFT('SQL Builder'!K969,4),MID('SQL Builder'!K969,6,2),MID('SQL Builder'!K969,9,2))),NA())</f>
        <v>#N/A</v>
      </c>
      <c r="C994" s="50" t="str">
        <f>IF(ISBLANK('SQL Builder'!K969)=FALSE,'SQL Builder'!L969,"")</f>
        <v/>
      </c>
      <c r="D994" s="1" t="str">
        <f>IF(ISBLANK('SQL Builder'!K969)=FALSE,'SQL Builder'!O969,"")</f>
        <v/>
      </c>
      <c r="H994" s="43" t="str">
        <f>IF(ISBLANK('SQL Builder'!K968)=FALSE,H993+1,"")</f>
        <v/>
      </c>
      <c r="I994" s="1" t="str">
        <f>IF(ISBLANK('SQL Builder'!P969)=FALSE,'SQL Builder'!N969,"")</f>
        <v/>
      </c>
      <c r="J994" s="79">
        <f t="shared" si="15"/>
        <v>0</v>
      </c>
    </row>
    <row r="995" spans="2:10" ht="16.5" x14ac:dyDescent="0.25">
      <c r="B995" s="49" t="e">
        <f>IF(ISBLANK('SQL Builder'!K970)=FALSE,(DATE(LEFT('SQL Builder'!K970,4),MID('SQL Builder'!K970,6,2),MID('SQL Builder'!K970,9,2))),NA())</f>
        <v>#N/A</v>
      </c>
      <c r="C995" s="50" t="str">
        <f>IF(ISBLANK('SQL Builder'!K970)=FALSE,'SQL Builder'!L970,"")</f>
        <v/>
      </c>
      <c r="D995" s="1" t="str">
        <f>IF(ISBLANK('SQL Builder'!K970)=FALSE,'SQL Builder'!O970,"")</f>
        <v/>
      </c>
      <c r="H995" s="43" t="str">
        <f>IF(ISBLANK('SQL Builder'!K969)=FALSE,H994+1,"")</f>
        <v/>
      </c>
      <c r="I995" s="1" t="str">
        <f>IF(ISBLANK('SQL Builder'!P970)=FALSE,'SQL Builder'!N970,"")</f>
        <v/>
      </c>
      <c r="J995" s="79">
        <f t="shared" si="15"/>
        <v>0</v>
      </c>
    </row>
    <row r="996" spans="2:10" ht="16.5" x14ac:dyDescent="0.25">
      <c r="B996" s="49" t="e">
        <f>IF(ISBLANK('SQL Builder'!K971)=FALSE,(DATE(LEFT('SQL Builder'!K971,4),MID('SQL Builder'!K971,6,2),MID('SQL Builder'!K971,9,2))),NA())</f>
        <v>#N/A</v>
      </c>
      <c r="C996" s="50" t="str">
        <f>IF(ISBLANK('SQL Builder'!K971)=FALSE,'SQL Builder'!L971,"")</f>
        <v/>
      </c>
      <c r="D996" s="1" t="str">
        <f>IF(ISBLANK('SQL Builder'!K971)=FALSE,'SQL Builder'!O971,"")</f>
        <v/>
      </c>
      <c r="H996" s="43" t="str">
        <f>IF(ISBLANK('SQL Builder'!K970)=FALSE,H995+1,"")</f>
        <v/>
      </c>
      <c r="I996" s="1" t="str">
        <f>IF(ISBLANK('SQL Builder'!P971)=FALSE,'SQL Builder'!N971,"")</f>
        <v/>
      </c>
      <c r="J996" s="79">
        <f t="shared" si="15"/>
        <v>0</v>
      </c>
    </row>
    <row r="997" spans="2:10" ht="16.5" x14ac:dyDescent="0.25">
      <c r="B997" s="49" t="e">
        <f>IF(ISBLANK('SQL Builder'!K972)=FALSE,(DATE(LEFT('SQL Builder'!K972,4),MID('SQL Builder'!K972,6,2),MID('SQL Builder'!K972,9,2))),NA())</f>
        <v>#N/A</v>
      </c>
      <c r="C997" s="50" t="str">
        <f>IF(ISBLANK('SQL Builder'!K972)=FALSE,'SQL Builder'!L972,"")</f>
        <v/>
      </c>
      <c r="D997" s="1" t="str">
        <f>IF(ISBLANK('SQL Builder'!K972)=FALSE,'SQL Builder'!O972,"")</f>
        <v/>
      </c>
      <c r="H997" s="43" t="str">
        <f>IF(ISBLANK('SQL Builder'!K971)=FALSE,H996+1,"")</f>
        <v/>
      </c>
      <c r="I997" s="1" t="str">
        <f>IF(ISBLANK('SQL Builder'!P972)=FALSE,'SQL Builder'!N972,"")</f>
        <v/>
      </c>
      <c r="J997" s="79">
        <f t="shared" si="15"/>
        <v>0</v>
      </c>
    </row>
    <row r="998" spans="2:10" ht="16.5" x14ac:dyDescent="0.25">
      <c r="B998" s="49" t="e">
        <f>IF(ISBLANK('SQL Builder'!K973)=FALSE,(DATE(LEFT('SQL Builder'!K973,4),MID('SQL Builder'!K973,6,2),MID('SQL Builder'!K973,9,2))),NA())</f>
        <v>#N/A</v>
      </c>
      <c r="C998" s="50" t="str">
        <f>IF(ISBLANK('SQL Builder'!K973)=FALSE,'SQL Builder'!L973,"")</f>
        <v/>
      </c>
      <c r="D998" s="1" t="str">
        <f>IF(ISBLANK('SQL Builder'!K973)=FALSE,'SQL Builder'!O973,"")</f>
        <v/>
      </c>
      <c r="H998" s="43" t="str">
        <f>IF(ISBLANK('SQL Builder'!K972)=FALSE,H997+1,"")</f>
        <v/>
      </c>
      <c r="I998" s="1" t="str">
        <f>IF(ISBLANK('SQL Builder'!P973)=FALSE,'SQL Builder'!N973,"")</f>
        <v/>
      </c>
      <c r="J998" s="79">
        <f t="shared" si="15"/>
        <v>0</v>
      </c>
    </row>
    <row r="999" spans="2:10" ht="16.5" x14ac:dyDescent="0.25">
      <c r="B999" s="49" t="e">
        <f>IF(ISBLANK('SQL Builder'!K974)=FALSE,(DATE(LEFT('SQL Builder'!K974,4),MID('SQL Builder'!K974,6,2),MID('SQL Builder'!K974,9,2))),NA())</f>
        <v>#N/A</v>
      </c>
      <c r="C999" s="50" t="str">
        <f>IF(ISBLANK('SQL Builder'!K974)=FALSE,'SQL Builder'!L974,"")</f>
        <v/>
      </c>
      <c r="D999" s="1" t="str">
        <f>IF(ISBLANK('SQL Builder'!K974)=FALSE,'SQL Builder'!O974,"")</f>
        <v/>
      </c>
      <c r="H999" s="43" t="str">
        <f>IF(ISBLANK('SQL Builder'!K973)=FALSE,H998+1,"")</f>
        <v/>
      </c>
      <c r="I999" s="1" t="str">
        <f>IF(ISBLANK('SQL Builder'!P974)=FALSE,'SQL Builder'!N974,"")</f>
        <v/>
      </c>
      <c r="J999" s="79">
        <f t="shared" si="15"/>
        <v>0</v>
      </c>
    </row>
    <row r="1000" spans="2:10" ht="16.5" x14ac:dyDescent="0.25">
      <c r="B1000" s="49" t="e">
        <f>IF(ISBLANK('SQL Builder'!K975)=FALSE,(DATE(LEFT('SQL Builder'!K975,4),MID('SQL Builder'!K975,6,2),MID('SQL Builder'!K975,9,2))),NA())</f>
        <v>#N/A</v>
      </c>
      <c r="C1000" s="50" t="str">
        <f>IF(ISBLANK('SQL Builder'!K975)=FALSE,'SQL Builder'!L975,"")</f>
        <v/>
      </c>
      <c r="D1000" s="1" t="str">
        <f>IF(ISBLANK('SQL Builder'!K975)=FALSE,'SQL Builder'!O975,"")</f>
        <v/>
      </c>
      <c r="H1000" s="43" t="str">
        <f>IF(ISBLANK('SQL Builder'!K974)=FALSE,H999+1,"")</f>
        <v/>
      </c>
      <c r="I1000" s="1" t="str">
        <f>IF(ISBLANK('SQL Builder'!P975)=FALSE,'SQL Builder'!N975,"")</f>
        <v/>
      </c>
      <c r="J1000" s="79">
        <f t="shared" si="15"/>
        <v>0</v>
      </c>
    </row>
    <row r="1001" spans="2:10" ht="16.5" x14ac:dyDescent="0.25">
      <c r="B1001" s="49" t="e">
        <f>IF(ISBLANK('SQL Builder'!K976)=FALSE,(DATE(LEFT('SQL Builder'!K976,4),MID('SQL Builder'!K976,6,2),MID('SQL Builder'!K976,9,2))),NA())</f>
        <v>#N/A</v>
      </c>
      <c r="C1001" s="50" t="str">
        <f>IF(ISBLANK('SQL Builder'!K976)=FALSE,'SQL Builder'!L976,"")</f>
        <v/>
      </c>
      <c r="D1001" s="1" t="str">
        <f>IF(ISBLANK('SQL Builder'!K976)=FALSE,'SQL Builder'!O976,"")</f>
        <v/>
      </c>
      <c r="H1001" s="43" t="str">
        <f>IF(ISBLANK('SQL Builder'!K975)=FALSE,H1000+1,"")</f>
        <v/>
      </c>
      <c r="I1001" s="1" t="str">
        <f>IF(ISBLANK('SQL Builder'!P976)=FALSE,'SQL Builder'!N976,"")</f>
        <v/>
      </c>
      <c r="J1001" s="79">
        <f t="shared" si="15"/>
        <v>0</v>
      </c>
    </row>
    <row r="1002" spans="2:10" ht="16.5" x14ac:dyDescent="0.25">
      <c r="B1002" s="49" t="e">
        <f>IF(ISBLANK('SQL Builder'!K977)=FALSE,(DATE(LEFT('SQL Builder'!K977,4),MID('SQL Builder'!K977,6,2),MID('SQL Builder'!K977,9,2))),NA())</f>
        <v>#N/A</v>
      </c>
      <c r="C1002" s="50" t="str">
        <f>IF(ISBLANK('SQL Builder'!K977)=FALSE,'SQL Builder'!L977,"")</f>
        <v/>
      </c>
      <c r="D1002" s="1" t="str">
        <f>IF(ISBLANK('SQL Builder'!K977)=FALSE,'SQL Builder'!O977,"")</f>
        <v/>
      </c>
      <c r="H1002" s="43" t="str">
        <f>IF(ISBLANK('SQL Builder'!K976)=FALSE,H1001+1,"")</f>
        <v/>
      </c>
      <c r="I1002" s="1" t="str">
        <f>IF(ISBLANK('SQL Builder'!P977)=FALSE,'SQL Builder'!N977,"")</f>
        <v/>
      </c>
      <c r="J1002" s="79">
        <f t="shared" si="15"/>
        <v>0</v>
      </c>
    </row>
    <row r="1003" spans="2:10" ht="16.5" x14ac:dyDescent="0.25">
      <c r="B1003" s="49" t="e">
        <f>IF(ISBLANK('SQL Builder'!K978)=FALSE,(DATE(LEFT('SQL Builder'!K978,4),MID('SQL Builder'!K978,6,2),MID('SQL Builder'!K978,9,2))),NA())</f>
        <v>#N/A</v>
      </c>
      <c r="C1003" s="50" t="str">
        <f>IF(ISBLANK('SQL Builder'!K978)=FALSE,'SQL Builder'!L978,"")</f>
        <v/>
      </c>
      <c r="D1003" s="1" t="str">
        <f>IF(ISBLANK('SQL Builder'!K978)=FALSE,'SQL Builder'!O978,"")</f>
        <v/>
      </c>
      <c r="H1003" s="43" t="str">
        <f>IF(ISBLANK('SQL Builder'!K977)=FALSE,H1002+1,"")</f>
        <v/>
      </c>
      <c r="I1003" s="1" t="str">
        <f>IF(ISBLANK('SQL Builder'!P978)=FALSE,'SQL Builder'!N978,"")</f>
        <v/>
      </c>
      <c r="J1003" s="79">
        <f t="shared" si="15"/>
        <v>0</v>
      </c>
    </row>
    <row r="1004" spans="2:10" ht="16.5" x14ac:dyDescent="0.25">
      <c r="B1004" s="49" t="e">
        <f>IF(ISBLANK('SQL Builder'!K979)=FALSE,(DATE(LEFT('SQL Builder'!K979,4),MID('SQL Builder'!K979,6,2),MID('SQL Builder'!K979,9,2))),NA())</f>
        <v>#N/A</v>
      </c>
      <c r="C1004" s="50" t="str">
        <f>IF(ISBLANK('SQL Builder'!K979)=FALSE,'SQL Builder'!L979,"")</f>
        <v/>
      </c>
      <c r="D1004" s="1" t="str">
        <f>IF(ISBLANK('SQL Builder'!K979)=FALSE,'SQL Builder'!O979,"")</f>
        <v/>
      </c>
      <c r="H1004" s="43" t="str">
        <f>IF(ISBLANK('SQL Builder'!K978)=FALSE,H1003+1,"")</f>
        <v/>
      </c>
      <c r="I1004" s="1" t="str">
        <f>IF(ISBLANK('SQL Builder'!P979)=FALSE,'SQL Builder'!N979,"")</f>
        <v/>
      </c>
      <c r="J1004" s="79">
        <f t="shared" si="15"/>
        <v>0</v>
      </c>
    </row>
    <row r="1005" spans="2:10" ht="16.5" x14ac:dyDescent="0.25">
      <c r="B1005" s="49" t="e">
        <f>IF(ISBLANK('SQL Builder'!K980)=FALSE,(DATE(LEFT('SQL Builder'!K980,4),MID('SQL Builder'!K980,6,2),MID('SQL Builder'!K980,9,2))),NA())</f>
        <v>#N/A</v>
      </c>
      <c r="C1005" s="50" t="str">
        <f>IF(ISBLANK('SQL Builder'!K980)=FALSE,'SQL Builder'!L980,"")</f>
        <v/>
      </c>
      <c r="D1005" s="1" t="str">
        <f>IF(ISBLANK('SQL Builder'!K980)=FALSE,'SQL Builder'!O980,"")</f>
        <v/>
      </c>
      <c r="H1005" s="43" t="str">
        <f>IF(ISBLANK('SQL Builder'!K979)=FALSE,H1004+1,"")</f>
        <v/>
      </c>
      <c r="I1005" s="1" t="str">
        <f>IF(ISBLANK('SQL Builder'!P980)=FALSE,'SQL Builder'!N980,"")</f>
        <v/>
      </c>
      <c r="J1005" s="79">
        <f t="shared" si="15"/>
        <v>0</v>
      </c>
    </row>
    <row r="1006" spans="2:10" ht="16.5" x14ac:dyDescent="0.25">
      <c r="B1006" s="49" t="e">
        <f>IF(ISBLANK('SQL Builder'!K981)=FALSE,(DATE(LEFT('SQL Builder'!K981,4),MID('SQL Builder'!K981,6,2),MID('SQL Builder'!K981,9,2))),NA())</f>
        <v>#N/A</v>
      </c>
      <c r="C1006" s="50" t="str">
        <f>IF(ISBLANK('SQL Builder'!K981)=FALSE,'SQL Builder'!L981,"")</f>
        <v/>
      </c>
      <c r="D1006" s="1" t="str">
        <f>IF(ISBLANK('SQL Builder'!K981)=FALSE,'SQL Builder'!O981,"")</f>
        <v/>
      </c>
      <c r="H1006" s="43" t="str">
        <f>IF(ISBLANK('SQL Builder'!K980)=FALSE,H1005+1,"")</f>
        <v/>
      </c>
      <c r="I1006" s="1" t="str">
        <f>IF(ISBLANK('SQL Builder'!P981)=FALSE,'SQL Builder'!N981,"")</f>
        <v/>
      </c>
      <c r="J1006" s="79">
        <f t="shared" si="15"/>
        <v>0</v>
      </c>
    </row>
    <row r="1007" spans="2:10" ht="16.5" x14ac:dyDescent="0.25">
      <c r="B1007" s="49" t="e">
        <f>IF(ISBLANK('SQL Builder'!K982)=FALSE,(DATE(LEFT('SQL Builder'!K982,4),MID('SQL Builder'!K982,6,2),MID('SQL Builder'!K982,9,2))),NA())</f>
        <v>#N/A</v>
      </c>
      <c r="C1007" s="50" t="str">
        <f>IF(ISBLANK('SQL Builder'!K982)=FALSE,'SQL Builder'!L982,"")</f>
        <v/>
      </c>
      <c r="D1007" s="1" t="str">
        <f>IF(ISBLANK('SQL Builder'!K982)=FALSE,'SQL Builder'!O982,"")</f>
        <v/>
      </c>
      <c r="H1007" s="43" t="str">
        <f>IF(ISBLANK('SQL Builder'!K981)=FALSE,H1006+1,"")</f>
        <v/>
      </c>
      <c r="I1007" s="1" t="str">
        <f>IF(ISBLANK('SQL Builder'!P982)=FALSE,'SQL Builder'!N982,"")</f>
        <v/>
      </c>
      <c r="J1007" s="79">
        <f t="shared" si="15"/>
        <v>0</v>
      </c>
    </row>
    <row r="1008" spans="2:10" ht="16.5" x14ac:dyDescent="0.25">
      <c r="B1008" s="49" t="e">
        <f>IF(ISBLANK('SQL Builder'!K983)=FALSE,(DATE(LEFT('SQL Builder'!K983,4),MID('SQL Builder'!K983,6,2),MID('SQL Builder'!K983,9,2))),NA())</f>
        <v>#N/A</v>
      </c>
      <c r="C1008" s="50" t="str">
        <f>IF(ISBLANK('SQL Builder'!K983)=FALSE,'SQL Builder'!L983,"")</f>
        <v/>
      </c>
      <c r="D1008" s="1" t="str">
        <f>IF(ISBLANK('SQL Builder'!K983)=FALSE,'SQL Builder'!O983,"")</f>
        <v/>
      </c>
      <c r="H1008" s="43" t="str">
        <f>IF(ISBLANK('SQL Builder'!K982)=FALSE,H1007+1,"")</f>
        <v/>
      </c>
      <c r="I1008" s="1" t="str">
        <f>IF(ISBLANK('SQL Builder'!P983)=FALSE,'SQL Builder'!N983,"")</f>
        <v/>
      </c>
      <c r="J1008" s="79">
        <f t="shared" si="15"/>
        <v>0</v>
      </c>
    </row>
    <row r="1009" spans="2:10" ht="16.5" x14ac:dyDescent="0.25">
      <c r="B1009" s="49" t="e">
        <f>IF(ISBLANK('SQL Builder'!K984)=FALSE,(DATE(LEFT('SQL Builder'!K984,4),MID('SQL Builder'!K984,6,2),MID('SQL Builder'!K984,9,2))),NA())</f>
        <v>#N/A</v>
      </c>
      <c r="C1009" s="50" t="str">
        <f>IF(ISBLANK('SQL Builder'!K984)=FALSE,'SQL Builder'!L984,"")</f>
        <v/>
      </c>
      <c r="D1009" s="1" t="str">
        <f>IF(ISBLANK('SQL Builder'!K984)=FALSE,'SQL Builder'!O984,"")</f>
        <v/>
      </c>
      <c r="H1009" s="43" t="str">
        <f>IF(ISBLANK('SQL Builder'!K983)=FALSE,H1008+1,"")</f>
        <v/>
      </c>
      <c r="I1009" s="1" t="str">
        <f>IF(ISBLANK('SQL Builder'!P984)=FALSE,'SQL Builder'!N984,"")</f>
        <v/>
      </c>
      <c r="J1009" s="79">
        <f t="shared" si="15"/>
        <v>0</v>
      </c>
    </row>
    <row r="1010" spans="2:10" ht="16.5" x14ac:dyDescent="0.25">
      <c r="B1010" s="49" t="e">
        <f>IF(ISBLANK('SQL Builder'!K985)=FALSE,(DATE(LEFT('SQL Builder'!K985,4),MID('SQL Builder'!K985,6,2),MID('SQL Builder'!K985,9,2))),NA())</f>
        <v>#N/A</v>
      </c>
      <c r="C1010" s="50" t="str">
        <f>IF(ISBLANK('SQL Builder'!K985)=FALSE,'SQL Builder'!L985,"")</f>
        <v/>
      </c>
      <c r="D1010" s="1" t="str">
        <f>IF(ISBLANK('SQL Builder'!K985)=FALSE,'SQL Builder'!O985,"")</f>
        <v/>
      </c>
      <c r="H1010" s="43" t="str">
        <f>IF(ISBLANK('SQL Builder'!K984)=FALSE,H1009+1,"")</f>
        <v/>
      </c>
      <c r="I1010" s="1" t="str">
        <f>IF(ISBLANK('SQL Builder'!P985)=FALSE,'SQL Builder'!N985,"")</f>
        <v/>
      </c>
      <c r="J1010" s="79">
        <f t="shared" si="15"/>
        <v>0</v>
      </c>
    </row>
    <row r="1011" spans="2:10" ht="16.5" x14ac:dyDescent="0.25">
      <c r="B1011" s="49" t="e">
        <f>IF(ISBLANK('SQL Builder'!K986)=FALSE,(DATE(LEFT('SQL Builder'!K986,4),MID('SQL Builder'!K986,6,2),MID('SQL Builder'!K986,9,2))),NA())</f>
        <v>#N/A</v>
      </c>
      <c r="C1011" s="50" t="str">
        <f>IF(ISBLANK('SQL Builder'!K986)=FALSE,'SQL Builder'!L986,"")</f>
        <v/>
      </c>
      <c r="D1011" s="1" t="str">
        <f>IF(ISBLANK('SQL Builder'!K986)=FALSE,'SQL Builder'!O986,"")</f>
        <v/>
      </c>
      <c r="H1011" s="43" t="str">
        <f>IF(ISBLANK('SQL Builder'!K985)=FALSE,H1010+1,"")</f>
        <v/>
      </c>
      <c r="I1011" s="1" t="str">
        <f>IF(ISBLANK('SQL Builder'!P986)=FALSE,'SQL Builder'!N986,"")</f>
        <v/>
      </c>
      <c r="J1011" s="79">
        <f t="shared" si="15"/>
        <v>0</v>
      </c>
    </row>
    <row r="1012" spans="2:10" ht="16.5" x14ac:dyDescent="0.25">
      <c r="B1012" s="49" t="e">
        <f>IF(ISBLANK('SQL Builder'!K987)=FALSE,(DATE(LEFT('SQL Builder'!K987,4),MID('SQL Builder'!K987,6,2),MID('SQL Builder'!K987,9,2))),NA())</f>
        <v>#N/A</v>
      </c>
      <c r="C1012" s="50" t="str">
        <f>IF(ISBLANK('SQL Builder'!K987)=FALSE,'SQL Builder'!L987,"")</f>
        <v/>
      </c>
      <c r="D1012" s="1" t="str">
        <f>IF(ISBLANK('SQL Builder'!K987)=FALSE,'SQL Builder'!O987,"")</f>
        <v/>
      </c>
      <c r="H1012" s="43" t="str">
        <f>IF(ISBLANK('SQL Builder'!K986)=FALSE,H1011+1,"")</f>
        <v/>
      </c>
      <c r="I1012" s="1" t="str">
        <f>IF(ISBLANK('SQL Builder'!P987)=FALSE,'SQL Builder'!N987,"")</f>
        <v/>
      </c>
      <c r="J1012" s="79">
        <f t="shared" si="15"/>
        <v>0</v>
      </c>
    </row>
    <row r="1013" spans="2:10" ht="16.5" x14ac:dyDescent="0.25">
      <c r="B1013" s="49" t="e">
        <f>IF(ISBLANK('SQL Builder'!K988)=FALSE,(DATE(LEFT('SQL Builder'!K988,4),MID('SQL Builder'!K988,6,2),MID('SQL Builder'!K988,9,2))),NA())</f>
        <v>#N/A</v>
      </c>
      <c r="C1013" s="50" t="str">
        <f>IF(ISBLANK('SQL Builder'!K988)=FALSE,'SQL Builder'!L988,"")</f>
        <v/>
      </c>
      <c r="D1013" s="1" t="str">
        <f>IF(ISBLANK('SQL Builder'!K988)=FALSE,'SQL Builder'!O988,"")</f>
        <v/>
      </c>
      <c r="H1013" s="43" t="str">
        <f>IF(ISBLANK('SQL Builder'!K987)=FALSE,H1012+1,"")</f>
        <v/>
      </c>
      <c r="I1013" s="1" t="str">
        <f>IF(ISBLANK('SQL Builder'!P988)=FALSE,'SQL Builder'!N988,"")</f>
        <v/>
      </c>
      <c r="J1013" s="79">
        <f t="shared" si="15"/>
        <v>0</v>
      </c>
    </row>
    <row r="1014" spans="2:10" ht="16.5" x14ac:dyDescent="0.25">
      <c r="B1014" s="49" t="e">
        <f>IF(ISBLANK('SQL Builder'!K989)=FALSE,(DATE(LEFT('SQL Builder'!K989,4),MID('SQL Builder'!K989,6,2),MID('SQL Builder'!K989,9,2))),NA())</f>
        <v>#N/A</v>
      </c>
      <c r="C1014" s="50" t="str">
        <f>IF(ISBLANK('SQL Builder'!K989)=FALSE,'SQL Builder'!L989,"")</f>
        <v/>
      </c>
      <c r="D1014" s="1" t="str">
        <f>IF(ISBLANK('SQL Builder'!K989)=FALSE,'SQL Builder'!O989,"")</f>
        <v/>
      </c>
      <c r="H1014" s="43" t="str">
        <f>IF(ISBLANK('SQL Builder'!K988)=FALSE,H1013+1,"")</f>
        <v/>
      </c>
      <c r="I1014" s="1" t="str">
        <f>IF(ISBLANK('SQL Builder'!P989)=FALSE,'SQL Builder'!N989,"")</f>
        <v/>
      </c>
      <c r="J1014" s="79">
        <f t="shared" si="15"/>
        <v>0</v>
      </c>
    </row>
    <row r="1015" spans="2:10" ht="16.5" x14ac:dyDescent="0.25">
      <c r="B1015" s="49" t="e">
        <f>IF(ISBLANK('SQL Builder'!K990)=FALSE,(DATE(LEFT('SQL Builder'!K990,4),MID('SQL Builder'!K990,6,2),MID('SQL Builder'!K990,9,2))),NA())</f>
        <v>#N/A</v>
      </c>
      <c r="C1015" s="50" t="str">
        <f>IF(ISBLANK('SQL Builder'!K990)=FALSE,'SQL Builder'!L990,"")</f>
        <v/>
      </c>
      <c r="D1015" s="1" t="str">
        <f>IF(ISBLANK('SQL Builder'!K990)=FALSE,'SQL Builder'!O990,"")</f>
        <v/>
      </c>
      <c r="H1015" s="43" t="str">
        <f>IF(ISBLANK('SQL Builder'!K989)=FALSE,H1014+1,"")</f>
        <v/>
      </c>
      <c r="I1015" s="1" t="str">
        <f>IF(ISBLANK('SQL Builder'!P990)=FALSE,'SQL Builder'!N990,"")</f>
        <v/>
      </c>
      <c r="J1015" s="79">
        <f t="shared" si="15"/>
        <v>0</v>
      </c>
    </row>
    <row r="1016" spans="2:10" ht="16.5" x14ac:dyDescent="0.25">
      <c r="B1016" s="49" t="e">
        <f>IF(ISBLANK('SQL Builder'!K991)=FALSE,(DATE(LEFT('SQL Builder'!K991,4),MID('SQL Builder'!K991,6,2),MID('SQL Builder'!K991,9,2))),NA())</f>
        <v>#N/A</v>
      </c>
      <c r="C1016" s="50" t="str">
        <f>IF(ISBLANK('SQL Builder'!K991)=FALSE,'SQL Builder'!L991,"")</f>
        <v/>
      </c>
      <c r="D1016" s="1" t="str">
        <f>IF(ISBLANK('SQL Builder'!K991)=FALSE,'SQL Builder'!O991,"")</f>
        <v/>
      </c>
      <c r="H1016" s="43" t="str">
        <f>IF(ISBLANK('SQL Builder'!K990)=FALSE,H1015+1,"")</f>
        <v/>
      </c>
      <c r="I1016" s="1" t="str">
        <f>IF(ISBLANK('SQL Builder'!P991)=FALSE,'SQL Builder'!N991,"")</f>
        <v/>
      </c>
      <c r="J1016" s="79">
        <f t="shared" si="15"/>
        <v>0</v>
      </c>
    </row>
    <row r="1017" spans="2:10" ht="16.5" x14ac:dyDescent="0.25">
      <c r="B1017" s="49" t="e">
        <f>IF(ISBLANK('SQL Builder'!K992)=FALSE,(DATE(LEFT('SQL Builder'!K992,4),MID('SQL Builder'!K992,6,2),MID('SQL Builder'!K992,9,2))),NA())</f>
        <v>#N/A</v>
      </c>
      <c r="C1017" s="50" t="str">
        <f>IF(ISBLANK('SQL Builder'!K992)=FALSE,'SQL Builder'!L992,"")</f>
        <v/>
      </c>
      <c r="D1017" s="1" t="str">
        <f>IF(ISBLANK('SQL Builder'!K992)=FALSE,'SQL Builder'!O992,"")</f>
        <v/>
      </c>
      <c r="H1017" s="43" t="str">
        <f>IF(ISBLANK('SQL Builder'!K991)=FALSE,H1016+1,"")</f>
        <v/>
      </c>
      <c r="I1017" s="1" t="str">
        <f>IF(ISBLANK('SQL Builder'!P992)=FALSE,'SQL Builder'!N992,"")</f>
        <v/>
      </c>
      <c r="J1017" s="79">
        <f t="shared" si="15"/>
        <v>0</v>
      </c>
    </row>
    <row r="1018" spans="2:10" ht="16.5" x14ac:dyDescent="0.25">
      <c r="B1018" s="49" t="e">
        <f>IF(ISBLANK('SQL Builder'!K993)=FALSE,(DATE(LEFT('SQL Builder'!K993,4),MID('SQL Builder'!K993,6,2),MID('SQL Builder'!K993,9,2))),NA())</f>
        <v>#N/A</v>
      </c>
      <c r="C1018" s="50" t="str">
        <f>IF(ISBLANK('SQL Builder'!K993)=FALSE,'SQL Builder'!L993,"")</f>
        <v/>
      </c>
      <c r="D1018" s="1" t="str">
        <f>IF(ISBLANK('SQL Builder'!K993)=FALSE,'SQL Builder'!O993,"")</f>
        <v/>
      </c>
      <c r="H1018" s="43" t="str">
        <f>IF(ISBLANK('SQL Builder'!K992)=FALSE,H1017+1,"")</f>
        <v/>
      </c>
      <c r="I1018" s="1" t="str">
        <f>IF(ISBLANK('SQL Builder'!P993)=FALSE,'SQL Builder'!N993,"")</f>
        <v/>
      </c>
      <c r="J1018" s="79">
        <f t="shared" si="15"/>
        <v>0</v>
      </c>
    </row>
    <row r="1019" spans="2:10" ht="16.5" x14ac:dyDescent="0.25">
      <c r="B1019" s="49" t="e">
        <f>IF(ISBLANK('SQL Builder'!K994)=FALSE,(DATE(LEFT('SQL Builder'!K994,4),MID('SQL Builder'!K994,6,2),MID('SQL Builder'!K994,9,2))),NA())</f>
        <v>#N/A</v>
      </c>
      <c r="C1019" s="50" t="str">
        <f>IF(ISBLANK('SQL Builder'!K994)=FALSE,'SQL Builder'!L994,"")</f>
        <v/>
      </c>
      <c r="D1019" s="1" t="str">
        <f>IF(ISBLANK('SQL Builder'!K994)=FALSE,'SQL Builder'!O994,"")</f>
        <v/>
      </c>
      <c r="H1019" s="43" t="str">
        <f>IF(ISBLANK('SQL Builder'!K993)=FALSE,H1018+1,"")</f>
        <v/>
      </c>
      <c r="I1019" s="1" t="str">
        <f>IF(ISBLANK('SQL Builder'!P994)=FALSE,'SQL Builder'!N994,"")</f>
        <v/>
      </c>
      <c r="J1019" s="79">
        <f t="shared" si="15"/>
        <v>0</v>
      </c>
    </row>
    <row r="1020" spans="2:10" ht="16.5" x14ac:dyDescent="0.25">
      <c r="B1020" s="49" t="e">
        <f>IF(ISBLANK('SQL Builder'!K995)=FALSE,(DATE(LEFT('SQL Builder'!K995,4),MID('SQL Builder'!K995,6,2),MID('SQL Builder'!K995,9,2))),NA())</f>
        <v>#N/A</v>
      </c>
      <c r="C1020" s="50" t="str">
        <f>IF(ISBLANK('SQL Builder'!K995)=FALSE,'SQL Builder'!L995,"")</f>
        <v/>
      </c>
      <c r="D1020" s="1" t="str">
        <f>IF(ISBLANK('SQL Builder'!K995)=FALSE,'SQL Builder'!O995,"")</f>
        <v/>
      </c>
      <c r="H1020" s="43" t="str">
        <f>IF(ISBLANK('SQL Builder'!K994)=FALSE,H1019+1,"")</f>
        <v/>
      </c>
      <c r="I1020" s="1" t="str">
        <f>IF(ISBLANK('SQL Builder'!P995)=FALSE,'SQL Builder'!N995,"")</f>
        <v/>
      </c>
      <c r="J1020" s="79">
        <f t="shared" si="15"/>
        <v>0</v>
      </c>
    </row>
    <row r="1021" spans="2:10" ht="16.5" x14ac:dyDescent="0.25">
      <c r="B1021" s="49" t="e">
        <f>IF(ISBLANK('SQL Builder'!K996)=FALSE,(DATE(LEFT('SQL Builder'!K996,4),MID('SQL Builder'!K996,6,2),MID('SQL Builder'!K996,9,2))),NA())</f>
        <v>#N/A</v>
      </c>
      <c r="C1021" s="50" t="str">
        <f>IF(ISBLANK('SQL Builder'!K996)=FALSE,'SQL Builder'!L996,"")</f>
        <v/>
      </c>
      <c r="D1021" s="1" t="str">
        <f>IF(ISBLANK('SQL Builder'!K996)=FALSE,'SQL Builder'!O996,"")</f>
        <v/>
      </c>
      <c r="H1021" s="43" t="str">
        <f>IF(ISBLANK('SQL Builder'!K995)=FALSE,H1020+1,"")</f>
        <v/>
      </c>
      <c r="I1021" s="1" t="str">
        <f>IF(ISBLANK('SQL Builder'!P996)=FALSE,'SQL Builder'!N996,"")</f>
        <v/>
      </c>
      <c r="J1021" s="79">
        <f t="shared" si="15"/>
        <v>0</v>
      </c>
    </row>
    <row r="1022" spans="2:10" ht="16.5" x14ac:dyDescent="0.25">
      <c r="B1022" s="49" t="e">
        <f>IF(ISBLANK('SQL Builder'!K997)=FALSE,(DATE(LEFT('SQL Builder'!K997,4),MID('SQL Builder'!K997,6,2),MID('SQL Builder'!K997,9,2))),NA())</f>
        <v>#N/A</v>
      </c>
      <c r="C1022" s="50" t="str">
        <f>IF(ISBLANK('SQL Builder'!K997)=FALSE,'SQL Builder'!L997,"")</f>
        <v/>
      </c>
      <c r="D1022" s="1" t="str">
        <f>IF(ISBLANK('SQL Builder'!K997)=FALSE,'SQL Builder'!O997,"")</f>
        <v/>
      </c>
      <c r="H1022" s="43" t="str">
        <f>IF(ISBLANK('SQL Builder'!K996)=FALSE,H1021+1,"")</f>
        <v/>
      </c>
      <c r="I1022" s="1" t="str">
        <f>IF(ISBLANK('SQL Builder'!P997)=FALSE,'SQL Builder'!N997,"")</f>
        <v/>
      </c>
      <c r="J1022" s="79">
        <f t="shared" si="15"/>
        <v>0</v>
      </c>
    </row>
    <row r="1023" spans="2:10" ht="16.5" x14ac:dyDescent="0.25">
      <c r="B1023" s="49" t="e">
        <f>IF(ISBLANK('SQL Builder'!K998)=FALSE,(DATE(LEFT('SQL Builder'!K998,4),MID('SQL Builder'!K998,6,2),MID('SQL Builder'!K998,9,2))),NA())</f>
        <v>#N/A</v>
      </c>
      <c r="C1023" s="50" t="str">
        <f>IF(ISBLANK('SQL Builder'!K998)=FALSE,'SQL Builder'!L998,"")</f>
        <v/>
      </c>
      <c r="D1023" s="1" t="str">
        <f>IF(ISBLANK('SQL Builder'!K998)=FALSE,'SQL Builder'!O998,"")</f>
        <v/>
      </c>
      <c r="H1023" s="43" t="str">
        <f>IF(ISBLANK('SQL Builder'!K997)=FALSE,H1022+1,"")</f>
        <v/>
      </c>
      <c r="I1023" s="1" t="str">
        <f>IF(ISBLANK('SQL Builder'!P998)=FALSE,'SQL Builder'!N998,"")</f>
        <v/>
      </c>
      <c r="J1023" s="79">
        <f t="shared" si="15"/>
        <v>0</v>
      </c>
    </row>
    <row r="1024" spans="2:10" ht="16.5" x14ac:dyDescent="0.25">
      <c r="B1024" s="49" t="e">
        <f>IF(ISBLANK('SQL Builder'!K999)=FALSE,(DATE(LEFT('SQL Builder'!K999,4),MID('SQL Builder'!K999,6,2),MID('SQL Builder'!K999,9,2))),NA())</f>
        <v>#N/A</v>
      </c>
      <c r="C1024" s="50" t="str">
        <f>IF(ISBLANK('SQL Builder'!K999)=FALSE,'SQL Builder'!L999,"")</f>
        <v/>
      </c>
      <c r="D1024" s="1" t="str">
        <f>IF(ISBLANK('SQL Builder'!K999)=FALSE,'SQL Builder'!O999,"")</f>
        <v/>
      </c>
      <c r="H1024" s="43" t="str">
        <f>IF(ISBLANK('SQL Builder'!K998)=FALSE,H1023+1,"")</f>
        <v/>
      </c>
      <c r="I1024" s="1" t="str">
        <f>IF(ISBLANK('SQL Builder'!P999)=FALSE,'SQL Builder'!N999,"")</f>
        <v/>
      </c>
      <c r="J1024" s="79">
        <f t="shared" si="15"/>
        <v>0</v>
      </c>
    </row>
    <row r="1025" spans="2:10" ht="16.5" x14ac:dyDescent="0.25">
      <c r="B1025" s="49" t="e">
        <f>IF(ISBLANK('SQL Builder'!K1000)=FALSE,(DATE(LEFT('SQL Builder'!K1000,4),MID('SQL Builder'!K1000,6,2),MID('SQL Builder'!K1000,9,2))),NA())</f>
        <v>#N/A</v>
      </c>
      <c r="C1025" s="50" t="str">
        <f>IF(ISBLANK('SQL Builder'!K1000)=FALSE,'SQL Builder'!L1000,"")</f>
        <v/>
      </c>
      <c r="D1025" s="1" t="str">
        <f>IF(ISBLANK('SQL Builder'!K1000)=FALSE,'SQL Builder'!O1000,"")</f>
        <v/>
      </c>
      <c r="H1025" s="43" t="str">
        <f>IF(ISBLANK('SQL Builder'!K999)=FALSE,H1024+1,"")</f>
        <v/>
      </c>
      <c r="I1025" s="1" t="str">
        <f>IF(ISBLANK('SQL Builder'!P1000)=FALSE,'SQL Builder'!N1000,"")</f>
        <v/>
      </c>
      <c r="J1025" s="79">
        <f t="shared" si="15"/>
        <v>0</v>
      </c>
    </row>
    <row r="1026" spans="2:10" ht="16.5" x14ac:dyDescent="0.25">
      <c r="B1026" s="49" t="e">
        <f>IF(ISBLANK('SQL Builder'!K1001)=FALSE,(DATE(LEFT('SQL Builder'!K1001,4),MID('SQL Builder'!K1001,6,2),MID('SQL Builder'!K1001,9,2))),NA())</f>
        <v>#N/A</v>
      </c>
      <c r="C1026" s="50" t="str">
        <f>IF(ISBLANK('SQL Builder'!K1001)=FALSE,'SQL Builder'!L1001,"")</f>
        <v/>
      </c>
      <c r="D1026" s="1" t="str">
        <f>IF(ISBLANK('SQL Builder'!K1001)=FALSE,'SQL Builder'!O1001,"")</f>
        <v/>
      </c>
      <c r="H1026" s="43" t="str">
        <f>IF(ISBLANK('SQL Builder'!K1000)=FALSE,H1025+1,"")</f>
        <v/>
      </c>
      <c r="I1026" s="1" t="str">
        <f>IF(ISBLANK('SQL Builder'!P1001)=FALSE,'SQL Builder'!N1001,"")</f>
        <v/>
      </c>
      <c r="J1026" s="79">
        <f t="shared" si="15"/>
        <v>0</v>
      </c>
    </row>
    <row r="1027" spans="2:10" ht="16.5" x14ac:dyDescent="0.25">
      <c r="B1027" s="49" t="e">
        <f>IF(ISBLANK('SQL Builder'!K1002)=FALSE,(DATE(LEFT('SQL Builder'!K1002,4),MID('SQL Builder'!K1002,6,2),MID('SQL Builder'!K1002,9,2))),NA())</f>
        <v>#N/A</v>
      </c>
      <c r="C1027" s="50" t="str">
        <f>IF(ISBLANK('SQL Builder'!K1002)=FALSE,'SQL Builder'!L1002,"")</f>
        <v/>
      </c>
      <c r="D1027" s="1" t="str">
        <f>IF(ISBLANK('SQL Builder'!K1002)=FALSE,'SQL Builder'!O1002,"")</f>
        <v/>
      </c>
      <c r="H1027" s="43" t="str">
        <f>IF(ISBLANK('SQL Builder'!K1001)=FALSE,H1026+1,"")</f>
        <v/>
      </c>
      <c r="I1027" s="1" t="str">
        <f>IF(ISBLANK('SQL Builder'!P1002)=FALSE,'SQL Builder'!N1002,"")</f>
        <v/>
      </c>
      <c r="J1027" s="79">
        <f t="shared" si="15"/>
        <v>0</v>
      </c>
    </row>
    <row r="1028" spans="2:10" ht="16.5" x14ac:dyDescent="0.25">
      <c r="B1028" s="49" t="e">
        <f>IF(ISBLANK('SQL Builder'!K1003)=FALSE,(DATE(LEFT('SQL Builder'!K1003,4),MID('SQL Builder'!K1003,6,2),MID('SQL Builder'!K1003,9,2))),NA())</f>
        <v>#N/A</v>
      </c>
      <c r="C1028" s="50" t="str">
        <f>IF(ISBLANK('SQL Builder'!K1003)=FALSE,'SQL Builder'!L1003,"")</f>
        <v/>
      </c>
      <c r="D1028" s="1" t="str">
        <f>IF(ISBLANK('SQL Builder'!K1003)=FALSE,'SQL Builder'!O1003,"")</f>
        <v/>
      </c>
      <c r="H1028" s="43" t="str">
        <f>IF(ISBLANK('SQL Builder'!K1002)=FALSE,H1027+1,"")</f>
        <v/>
      </c>
      <c r="I1028" s="1" t="str">
        <f>IF(ISBLANK('SQL Builder'!P1003)=FALSE,'SQL Builder'!N1003,"")</f>
        <v/>
      </c>
      <c r="J1028" s="79">
        <f t="shared" si="15"/>
        <v>0</v>
      </c>
    </row>
    <row r="1029" spans="2:10" ht="16.5" x14ac:dyDescent="0.25">
      <c r="B1029" s="49" t="e">
        <f>IF(ISBLANK('SQL Builder'!K1004)=FALSE,(DATE(LEFT('SQL Builder'!K1004,4),MID('SQL Builder'!K1004,6,2),MID('SQL Builder'!K1004,9,2))),NA())</f>
        <v>#N/A</v>
      </c>
      <c r="C1029" s="50" t="str">
        <f>IF(ISBLANK('SQL Builder'!K1004)=FALSE,'SQL Builder'!L1004,"")</f>
        <v/>
      </c>
      <c r="D1029" s="1" t="str">
        <f>IF(ISBLANK('SQL Builder'!K1004)=FALSE,'SQL Builder'!O1004,"")</f>
        <v/>
      </c>
      <c r="H1029" s="43" t="str">
        <f>IF(ISBLANK('SQL Builder'!K1003)=FALSE,H1028+1,"")</f>
        <v/>
      </c>
      <c r="I1029" s="1" t="str">
        <f>IF(ISBLANK('SQL Builder'!P1004)=FALSE,'SQL Builder'!N1004,"")</f>
        <v/>
      </c>
      <c r="J1029" s="79">
        <f t="shared" si="15"/>
        <v>0</v>
      </c>
    </row>
    <row r="1030" spans="2:10" ht="16.5" x14ac:dyDescent="0.25">
      <c r="B1030" s="49" t="e">
        <f>IF(ISBLANK('SQL Builder'!K1005)=FALSE,(DATE(LEFT('SQL Builder'!K1005,4),MID('SQL Builder'!K1005,6,2),MID('SQL Builder'!K1005,9,2))),NA())</f>
        <v>#N/A</v>
      </c>
      <c r="C1030" s="50" t="str">
        <f>IF(ISBLANK('SQL Builder'!K1005)=FALSE,'SQL Builder'!L1005,"")</f>
        <v/>
      </c>
      <c r="D1030" s="1" t="str">
        <f>IF(ISBLANK('SQL Builder'!K1005)=FALSE,'SQL Builder'!O1005,"")</f>
        <v/>
      </c>
      <c r="H1030" s="43" t="str">
        <f>IF(ISBLANK('SQL Builder'!K1004)=FALSE,H1029+1,"")</f>
        <v/>
      </c>
      <c r="I1030" s="1" t="str">
        <f>IF(ISBLANK('SQL Builder'!P1005)=FALSE,'SQL Builder'!N1005,"")</f>
        <v/>
      </c>
      <c r="J1030" s="79">
        <f t="shared" si="15"/>
        <v>0</v>
      </c>
    </row>
    <row r="1031" spans="2:10" ht="16.5" x14ac:dyDescent="0.25">
      <c r="B1031" s="49" t="e">
        <f>IF(ISBLANK('SQL Builder'!K1006)=FALSE,(DATE(LEFT('SQL Builder'!K1006,4),MID('SQL Builder'!K1006,6,2),MID('SQL Builder'!K1006,9,2))),NA())</f>
        <v>#N/A</v>
      </c>
      <c r="C1031" s="50" t="str">
        <f>IF(ISBLANK('SQL Builder'!K1006)=FALSE,'SQL Builder'!L1006,"")</f>
        <v/>
      </c>
      <c r="D1031" s="1" t="str">
        <f>IF(ISBLANK('SQL Builder'!K1006)=FALSE,'SQL Builder'!O1006,"")</f>
        <v/>
      </c>
      <c r="H1031" s="43" t="str">
        <f>IF(ISBLANK('SQL Builder'!K1005)=FALSE,H1030+1,"")</f>
        <v/>
      </c>
      <c r="I1031" s="1" t="str">
        <f>IF(ISBLANK('SQL Builder'!P1006)=FALSE,'SQL Builder'!N1006,"")</f>
        <v/>
      </c>
      <c r="J1031" s="79">
        <f t="shared" si="15"/>
        <v>0</v>
      </c>
    </row>
    <row r="1032" spans="2:10" ht="16.5" x14ac:dyDescent="0.25">
      <c r="B1032" s="49" t="e">
        <f>IF(ISBLANK('SQL Builder'!K1007)=FALSE,(DATE(LEFT('SQL Builder'!K1007,4),MID('SQL Builder'!K1007,6,2),MID('SQL Builder'!K1007,9,2))),NA())</f>
        <v>#N/A</v>
      </c>
      <c r="C1032" s="50" t="str">
        <f>IF(ISBLANK('SQL Builder'!K1007)=FALSE,'SQL Builder'!L1007,"")</f>
        <v/>
      </c>
      <c r="D1032" s="1" t="str">
        <f>IF(ISBLANK('SQL Builder'!K1007)=FALSE,'SQL Builder'!O1007,"")</f>
        <v/>
      </c>
      <c r="H1032" s="43" t="str">
        <f>IF(ISBLANK('SQL Builder'!K1006)=FALSE,H1031+1,"")</f>
        <v/>
      </c>
      <c r="I1032" s="1" t="str">
        <f>IF(ISBLANK('SQL Builder'!P1007)=FALSE,'SQL Builder'!N1007,"")</f>
        <v/>
      </c>
      <c r="J1032" s="79">
        <f t="shared" si="15"/>
        <v>0</v>
      </c>
    </row>
    <row r="1033" spans="2:10" ht="16.5" x14ac:dyDescent="0.25">
      <c r="B1033" s="49" t="e">
        <f>IF(ISBLANK('SQL Builder'!K1008)=FALSE,(DATE(LEFT('SQL Builder'!K1008,4),MID('SQL Builder'!K1008,6,2),MID('SQL Builder'!K1008,9,2))),NA())</f>
        <v>#N/A</v>
      </c>
      <c r="C1033" s="50" t="str">
        <f>IF(ISBLANK('SQL Builder'!K1008)=FALSE,'SQL Builder'!L1008,"")</f>
        <v/>
      </c>
      <c r="D1033" s="1" t="str">
        <f>IF(ISBLANK('SQL Builder'!K1008)=FALSE,'SQL Builder'!O1008,"")</f>
        <v/>
      </c>
      <c r="H1033" s="43" t="str">
        <f>IF(ISBLANK('SQL Builder'!K1007)=FALSE,H1032+1,"")</f>
        <v/>
      </c>
      <c r="I1033" s="1" t="str">
        <f>IF(ISBLANK('SQL Builder'!P1008)=FALSE,'SQL Builder'!N1008,"")</f>
        <v/>
      </c>
      <c r="J1033" s="79">
        <f t="shared" si="15"/>
        <v>0</v>
      </c>
    </row>
    <row r="1034" spans="2:10" ht="16.5" x14ac:dyDescent="0.25">
      <c r="B1034" s="49" t="e">
        <f>IF(ISBLANK('SQL Builder'!K1009)=FALSE,(DATE(LEFT('SQL Builder'!K1009,4),MID('SQL Builder'!K1009,6,2),MID('SQL Builder'!K1009,9,2))),NA())</f>
        <v>#N/A</v>
      </c>
      <c r="C1034" s="50" t="str">
        <f>IF(ISBLANK('SQL Builder'!K1009)=FALSE,'SQL Builder'!L1009,"")</f>
        <v/>
      </c>
      <c r="D1034" s="1" t="str">
        <f>IF(ISBLANK('SQL Builder'!K1009)=FALSE,'SQL Builder'!O1009,"")</f>
        <v/>
      </c>
      <c r="H1034" s="43" t="str">
        <f>IF(ISBLANK('SQL Builder'!K1008)=FALSE,H1033+1,"")</f>
        <v/>
      </c>
      <c r="I1034" s="1" t="str">
        <f>IF(ISBLANK('SQL Builder'!P1009)=FALSE,'SQL Builder'!N1009,"")</f>
        <v/>
      </c>
      <c r="J1034" s="79">
        <f t="shared" si="15"/>
        <v>0</v>
      </c>
    </row>
    <row r="1035" spans="2:10" ht="16.5" x14ac:dyDescent="0.25">
      <c r="B1035" s="49" t="e">
        <f>IF(ISBLANK('SQL Builder'!K1010)=FALSE,(DATE(LEFT('SQL Builder'!K1010,4),MID('SQL Builder'!K1010,6,2),MID('SQL Builder'!K1010,9,2))),NA())</f>
        <v>#N/A</v>
      </c>
      <c r="C1035" s="50" t="str">
        <f>IF(ISBLANK('SQL Builder'!K1010)=FALSE,'SQL Builder'!L1010,"")</f>
        <v/>
      </c>
      <c r="D1035" s="1" t="str">
        <f>IF(ISBLANK('SQL Builder'!K1010)=FALSE,'SQL Builder'!O1010,"")</f>
        <v/>
      </c>
      <c r="H1035" s="43" t="str">
        <f>IF(ISBLANK('SQL Builder'!K1009)=FALSE,H1034+1,"")</f>
        <v/>
      </c>
      <c r="I1035" s="1" t="str">
        <f>IF(ISBLANK('SQL Builder'!P1010)=FALSE,'SQL Builder'!N1010,"")</f>
        <v/>
      </c>
      <c r="J1035" s="79">
        <f t="shared" si="15"/>
        <v>0</v>
      </c>
    </row>
    <row r="1036" spans="2:10" ht="16.5" x14ac:dyDescent="0.25">
      <c r="B1036" s="49" t="e">
        <f>IF(ISBLANK('SQL Builder'!K1011)=FALSE,(DATE(LEFT('SQL Builder'!K1011,4),MID('SQL Builder'!K1011,6,2),MID('SQL Builder'!K1011,9,2))),NA())</f>
        <v>#N/A</v>
      </c>
      <c r="C1036" s="50" t="str">
        <f>IF(ISBLANK('SQL Builder'!K1011)=FALSE,'SQL Builder'!L1011,"")</f>
        <v/>
      </c>
      <c r="D1036" s="1" t="str">
        <f>IF(ISBLANK('SQL Builder'!K1011)=FALSE,'SQL Builder'!O1011,"")</f>
        <v/>
      </c>
      <c r="H1036" s="43" t="str">
        <f>IF(ISBLANK('SQL Builder'!K1010)=FALSE,H1035+1,"")</f>
        <v/>
      </c>
      <c r="I1036" s="1" t="str">
        <f>IF(ISBLANK('SQL Builder'!P1011)=FALSE,'SQL Builder'!N1011,"")</f>
        <v/>
      </c>
      <c r="J1036" s="79">
        <f t="shared" si="15"/>
        <v>0</v>
      </c>
    </row>
    <row r="1037" spans="2:10" ht="16.5" x14ac:dyDescent="0.25">
      <c r="B1037" s="49" t="e">
        <f>IF(ISBLANK('SQL Builder'!K1012)=FALSE,(DATE(LEFT('SQL Builder'!K1012,4),MID('SQL Builder'!K1012,6,2),MID('SQL Builder'!K1012,9,2))),NA())</f>
        <v>#N/A</v>
      </c>
      <c r="C1037" s="50" t="str">
        <f>IF(ISBLANK('SQL Builder'!K1012)=FALSE,'SQL Builder'!L1012,"")</f>
        <v/>
      </c>
      <c r="D1037" s="1" t="str">
        <f>IF(ISBLANK('SQL Builder'!K1012)=FALSE,'SQL Builder'!O1012,"")</f>
        <v/>
      </c>
      <c r="H1037" s="43" t="str">
        <f>IF(ISBLANK('SQL Builder'!K1011)=FALSE,H1036+1,"")</f>
        <v/>
      </c>
      <c r="I1037" s="1" t="str">
        <f>IF(ISBLANK('SQL Builder'!P1012)=FALSE,'SQL Builder'!N1012,"")</f>
        <v/>
      </c>
      <c r="J1037" s="79">
        <f t="shared" si="15"/>
        <v>0</v>
      </c>
    </row>
    <row r="1038" spans="2:10" ht="16.5" x14ac:dyDescent="0.25">
      <c r="B1038" s="49" t="e">
        <f>IF(ISBLANK('SQL Builder'!K1013)=FALSE,(DATE(LEFT('SQL Builder'!K1013,4),MID('SQL Builder'!K1013,6,2),MID('SQL Builder'!K1013,9,2))),NA())</f>
        <v>#N/A</v>
      </c>
      <c r="C1038" s="50" t="str">
        <f>IF(ISBLANK('SQL Builder'!K1013)=FALSE,'SQL Builder'!L1013,"")</f>
        <v/>
      </c>
      <c r="D1038" s="1" t="str">
        <f>IF(ISBLANK('SQL Builder'!K1013)=FALSE,'SQL Builder'!O1013,"")</f>
        <v/>
      </c>
      <c r="H1038" s="43" t="str">
        <f>IF(ISBLANK('SQL Builder'!K1012)=FALSE,H1037+1,"")</f>
        <v/>
      </c>
      <c r="I1038" s="1" t="str">
        <f>IF(ISBLANK('SQL Builder'!P1013)=FALSE,'SQL Builder'!N1013,"")</f>
        <v/>
      </c>
      <c r="J1038" s="79">
        <f t="shared" si="15"/>
        <v>0</v>
      </c>
    </row>
    <row r="1039" spans="2:10" ht="16.5" x14ac:dyDescent="0.25">
      <c r="B1039" s="49" t="e">
        <f>IF(ISBLANK('SQL Builder'!K1014)=FALSE,(DATE(LEFT('SQL Builder'!K1014,4),MID('SQL Builder'!K1014,6,2),MID('SQL Builder'!K1014,9,2))),NA())</f>
        <v>#N/A</v>
      </c>
      <c r="C1039" s="50" t="str">
        <f>IF(ISBLANK('SQL Builder'!K1014)=FALSE,'SQL Builder'!L1014,"")</f>
        <v/>
      </c>
      <c r="D1039" s="1" t="str">
        <f>IF(ISBLANK('SQL Builder'!K1014)=FALSE,'SQL Builder'!O1014,"")</f>
        <v/>
      </c>
      <c r="H1039" s="43" t="str">
        <f>IF(ISBLANK('SQL Builder'!K1013)=FALSE,H1038+1,"")</f>
        <v/>
      </c>
      <c r="I1039" s="1" t="str">
        <f>IF(ISBLANK('SQL Builder'!P1014)=FALSE,'SQL Builder'!N1014,"")</f>
        <v/>
      </c>
      <c r="J1039" s="79">
        <f t="shared" si="15"/>
        <v>0</v>
      </c>
    </row>
    <row r="1040" spans="2:10" ht="16.5" x14ac:dyDescent="0.25">
      <c r="B1040" s="49" t="e">
        <f>IF(ISBLANK('SQL Builder'!K1015)=FALSE,(DATE(LEFT('SQL Builder'!K1015,4),MID('SQL Builder'!K1015,6,2),MID('SQL Builder'!K1015,9,2))),NA())</f>
        <v>#N/A</v>
      </c>
      <c r="C1040" s="50" t="str">
        <f>IF(ISBLANK('SQL Builder'!K1015)=FALSE,'SQL Builder'!L1015,"")</f>
        <v/>
      </c>
      <c r="D1040" s="1" t="str">
        <f>IF(ISBLANK('SQL Builder'!K1015)=FALSE,'SQL Builder'!O1015,"")</f>
        <v/>
      </c>
      <c r="H1040" s="43" t="str">
        <f>IF(ISBLANK('SQL Builder'!K1014)=FALSE,H1039+1,"")</f>
        <v/>
      </c>
      <c r="I1040" s="1" t="str">
        <f>IF(ISBLANK('SQL Builder'!P1015)=FALSE,'SQL Builder'!N1015,"")</f>
        <v/>
      </c>
      <c r="J1040" s="79">
        <f t="shared" si="15"/>
        <v>0</v>
      </c>
    </row>
    <row r="1041" spans="2:10" ht="16.5" x14ac:dyDescent="0.25">
      <c r="B1041" s="49" t="e">
        <f>IF(ISBLANK('SQL Builder'!K1016)=FALSE,(DATE(LEFT('SQL Builder'!K1016,4),MID('SQL Builder'!K1016,6,2),MID('SQL Builder'!K1016,9,2))),NA())</f>
        <v>#N/A</v>
      </c>
      <c r="C1041" s="50" t="str">
        <f>IF(ISBLANK('SQL Builder'!K1016)=FALSE,'SQL Builder'!L1016,"")</f>
        <v/>
      </c>
      <c r="D1041" s="1" t="str">
        <f>IF(ISBLANK('SQL Builder'!K1016)=FALSE,'SQL Builder'!O1016,"")</f>
        <v/>
      </c>
      <c r="H1041" s="43" t="str">
        <f>IF(ISBLANK('SQL Builder'!K1015)=FALSE,H1040+1,"")</f>
        <v/>
      </c>
      <c r="I1041" s="1" t="str">
        <f>IF(ISBLANK('SQL Builder'!P1016)=FALSE,'SQL Builder'!N1016,"")</f>
        <v/>
      </c>
      <c r="J1041" s="79">
        <f t="shared" si="15"/>
        <v>0</v>
      </c>
    </row>
    <row r="1042" spans="2:10" ht="16.5" x14ac:dyDescent="0.25">
      <c r="B1042" s="49" t="e">
        <f>IF(ISBLANK('SQL Builder'!K1017)=FALSE,(DATE(LEFT('SQL Builder'!K1017,4),MID('SQL Builder'!K1017,6,2),MID('SQL Builder'!K1017,9,2))),NA())</f>
        <v>#N/A</v>
      </c>
      <c r="C1042" s="50" t="str">
        <f>IF(ISBLANK('SQL Builder'!K1017)=FALSE,'SQL Builder'!L1017,"")</f>
        <v/>
      </c>
      <c r="D1042" s="1" t="str">
        <f>IF(ISBLANK('SQL Builder'!K1017)=FALSE,'SQL Builder'!O1017,"")</f>
        <v/>
      </c>
      <c r="H1042" s="43" t="str">
        <f>IF(ISBLANK('SQL Builder'!K1016)=FALSE,H1041+1,"")</f>
        <v/>
      </c>
      <c r="I1042" s="1" t="str">
        <f>IF(ISBLANK('SQL Builder'!P1017)=FALSE,'SQL Builder'!N1017,"")</f>
        <v/>
      </c>
      <c r="J1042" s="79">
        <f t="shared" si="15"/>
        <v>0</v>
      </c>
    </row>
    <row r="1043" spans="2:10" ht="16.5" x14ac:dyDescent="0.25">
      <c r="B1043" s="49" t="e">
        <f>IF(ISBLANK('SQL Builder'!K1018)=FALSE,(DATE(LEFT('SQL Builder'!K1018,4),MID('SQL Builder'!K1018,6,2),MID('SQL Builder'!K1018,9,2))),NA())</f>
        <v>#N/A</v>
      </c>
      <c r="C1043" s="50" t="str">
        <f>IF(ISBLANK('SQL Builder'!K1018)=FALSE,'SQL Builder'!L1018,"")</f>
        <v/>
      </c>
      <c r="D1043" s="1" t="str">
        <f>IF(ISBLANK('SQL Builder'!K1018)=FALSE,'SQL Builder'!O1018,"")</f>
        <v/>
      </c>
      <c r="H1043" s="43" t="str">
        <f>IF(ISBLANK('SQL Builder'!K1017)=FALSE,H1042+1,"")</f>
        <v/>
      </c>
      <c r="I1043" s="1" t="str">
        <f>IF(ISBLANK('SQL Builder'!P1018)=FALSE,'SQL Builder'!N1018,"")</f>
        <v/>
      </c>
      <c r="J1043" s="79">
        <f t="shared" si="15"/>
        <v>0</v>
      </c>
    </row>
    <row r="1044" spans="2:10" ht="16.5" x14ac:dyDescent="0.25">
      <c r="B1044" s="49" t="e">
        <f>IF(ISBLANK('SQL Builder'!K1019)=FALSE,(DATE(LEFT('SQL Builder'!K1019,4),MID('SQL Builder'!K1019,6,2),MID('SQL Builder'!K1019,9,2))),NA())</f>
        <v>#N/A</v>
      </c>
      <c r="C1044" s="50" t="str">
        <f>IF(ISBLANK('SQL Builder'!K1019)=FALSE,'SQL Builder'!L1019,"")</f>
        <v/>
      </c>
      <c r="D1044" s="1" t="str">
        <f>IF(ISBLANK('SQL Builder'!K1019)=FALSE,'SQL Builder'!O1019,"")</f>
        <v/>
      </c>
      <c r="H1044" s="43" t="str">
        <f>IF(ISBLANK('SQL Builder'!K1018)=FALSE,H1043+1,"")</f>
        <v/>
      </c>
      <c r="I1044" s="1" t="str">
        <f>IF(ISBLANK('SQL Builder'!P1019)=FALSE,'SQL Builder'!N1019,"")</f>
        <v/>
      </c>
      <c r="J1044" s="79">
        <f t="shared" si="15"/>
        <v>0</v>
      </c>
    </row>
    <row r="1045" spans="2:10" ht="16.5" x14ac:dyDescent="0.25">
      <c r="B1045" s="49" t="e">
        <f>IF(ISBLANK('SQL Builder'!K1020)=FALSE,(DATE(LEFT('SQL Builder'!K1020,4),MID('SQL Builder'!K1020,6,2),MID('SQL Builder'!K1020,9,2))),NA())</f>
        <v>#N/A</v>
      </c>
      <c r="C1045" s="50" t="str">
        <f>IF(ISBLANK('SQL Builder'!K1020)=FALSE,'SQL Builder'!L1020,"")</f>
        <v/>
      </c>
      <c r="D1045" s="1" t="str">
        <f>IF(ISBLANK('SQL Builder'!K1020)=FALSE,'SQL Builder'!O1020,"")</f>
        <v/>
      </c>
      <c r="H1045" s="43" t="str">
        <f>IF(ISBLANK('SQL Builder'!K1019)=FALSE,H1044+1,"")</f>
        <v/>
      </c>
      <c r="I1045" s="1" t="str">
        <f>IF(ISBLANK('SQL Builder'!P1020)=FALSE,'SQL Builder'!N1020,"")</f>
        <v/>
      </c>
      <c r="J1045" s="79">
        <f t="shared" si="15"/>
        <v>0</v>
      </c>
    </row>
    <row r="1046" spans="2:10" ht="16.5" x14ac:dyDescent="0.25">
      <c r="B1046" s="49" t="e">
        <f>IF(ISBLANK('SQL Builder'!K1021)=FALSE,(DATE(LEFT('SQL Builder'!K1021,4),MID('SQL Builder'!K1021,6,2),MID('SQL Builder'!K1021,9,2))),NA())</f>
        <v>#N/A</v>
      </c>
      <c r="C1046" s="50" t="str">
        <f>IF(ISBLANK('SQL Builder'!K1021)=FALSE,'SQL Builder'!L1021,"")</f>
        <v/>
      </c>
      <c r="D1046" s="1" t="str">
        <f>IF(ISBLANK('SQL Builder'!K1021)=FALSE,'SQL Builder'!O1021,"")</f>
        <v/>
      </c>
      <c r="H1046" s="43" t="str">
        <f>IF(ISBLANK('SQL Builder'!K1020)=FALSE,H1045+1,"")</f>
        <v/>
      </c>
      <c r="I1046" s="1" t="str">
        <f>IF(ISBLANK('SQL Builder'!P1021)=FALSE,'SQL Builder'!N1021,"")</f>
        <v/>
      </c>
      <c r="J1046" s="79">
        <f t="shared" si="15"/>
        <v>0</v>
      </c>
    </row>
    <row r="1047" spans="2:10" ht="16.5" x14ac:dyDescent="0.25">
      <c r="B1047" s="49" t="e">
        <f>IF(ISBLANK('SQL Builder'!K1022)=FALSE,(DATE(LEFT('SQL Builder'!K1022,4),MID('SQL Builder'!K1022,6,2),MID('SQL Builder'!K1022,9,2))),NA())</f>
        <v>#N/A</v>
      </c>
      <c r="C1047" s="50" t="str">
        <f>IF(ISBLANK('SQL Builder'!K1022)=FALSE,'SQL Builder'!L1022,"")</f>
        <v/>
      </c>
      <c r="D1047" s="1" t="str">
        <f>IF(ISBLANK('SQL Builder'!K1022)=FALSE,'SQL Builder'!O1022,"")</f>
        <v/>
      </c>
      <c r="H1047" s="43" t="str">
        <f>IF(ISBLANK('SQL Builder'!K1021)=FALSE,H1046+1,"")</f>
        <v/>
      </c>
      <c r="I1047" s="1" t="str">
        <f>IF(ISBLANK('SQL Builder'!P1022)=FALSE,'SQL Builder'!N1022,"")</f>
        <v/>
      </c>
      <c r="J1047" s="79">
        <f t="shared" si="15"/>
        <v>0</v>
      </c>
    </row>
    <row r="1048" spans="2:10" ht="16.5" x14ac:dyDescent="0.25">
      <c r="B1048" s="49" t="e">
        <f>IF(ISBLANK('SQL Builder'!K1023)=FALSE,(DATE(LEFT('SQL Builder'!K1023,4),MID('SQL Builder'!K1023,6,2),MID('SQL Builder'!K1023,9,2))),NA())</f>
        <v>#N/A</v>
      </c>
      <c r="C1048" s="50" t="str">
        <f>IF(ISBLANK('SQL Builder'!K1023)=FALSE,'SQL Builder'!L1023,"")</f>
        <v/>
      </c>
      <c r="D1048" s="1" t="str">
        <f>IF(ISBLANK('SQL Builder'!K1023)=FALSE,'SQL Builder'!O1023,"")</f>
        <v/>
      </c>
      <c r="H1048" s="43" t="str">
        <f>IF(ISBLANK('SQL Builder'!K1022)=FALSE,H1047+1,"")</f>
        <v/>
      </c>
      <c r="I1048" s="1" t="str">
        <f>IF(ISBLANK('SQL Builder'!P1023)=FALSE,'SQL Builder'!N1023,"")</f>
        <v/>
      </c>
      <c r="J1048" s="79">
        <f t="shared" si="15"/>
        <v>0</v>
      </c>
    </row>
    <row r="1049" spans="2:10" ht="16.5" x14ac:dyDescent="0.25">
      <c r="B1049" s="49" t="e">
        <f>IF(ISBLANK('SQL Builder'!K1024)=FALSE,(DATE(LEFT('SQL Builder'!K1024,4),MID('SQL Builder'!K1024,6,2),MID('SQL Builder'!K1024,9,2))),NA())</f>
        <v>#N/A</v>
      </c>
      <c r="C1049" s="50" t="str">
        <f>IF(ISBLANK('SQL Builder'!K1024)=FALSE,'SQL Builder'!L1024,"")</f>
        <v/>
      </c>
      <c r="D1049" s="1" t="str">
        <f>IF(ISBLANK('SQL Builder'!K1024)=FALSE,'SQL Builder'!O1024,"")</f>
        <v/>
      </c>
      <c r="H1049" s="43" t="str">
        <f>IF(ISBLANK('SQL Builder'!K1023)=FALSE,H1048+1,"")</f>
        <v/>
      </c>
      <c r="I1049" s="1" t="str">
        <f>IF(ISBLANK('SQL Builder'!P1024)=FALSE,'SQL Builder'!N1024,"")</f>
        <v/>
      </c>
      <c r="J1049" s="79">
        <f t="shared" si="15"/>
        <v>0</v>
      </c>
    </row>
    <row r="1050" spans="2:10" ht="16.5" x14ac:dyDescent="0.25">
      <c r="B1050" s="49" t="e">
        <f>IF(ISBLANK('SQL Builder'!K1025)=FALSE,(DATE(LEFT('SQL Builder'!K1025,4),MID('SQL Builder'!K1025,6,2),MID('SQL Builder'!K1025,9,2))),NA())</f>
        <v>#N/A</v>
      </c>
      <c r="C1050" s="50" t="str">
        <f>IF(ISBLANK('SQL Builder'!K1025)=FALSE,'SQL Builder'!L1025,"")</f>
        <v/>
      </c>
      <c r="D1050" s="1" t="str">
        <f>IF(ISBLANK('SQL Builder'!K1025)=FALSE,'SQL Builder'!O1025,"")</f>
        <v/>
      </c>
      <c r="H1050" s="43" t="str">
        <f>IF(ISBLANK('SQL Builder'!K1024)=FALSE,H1049+1,"")</f>
        <v/>
      </c>
      <c r="I1050" s="1" t="str">
        <f>IF(ISBLANK('SQL Builder'!P1025)=FALSE,'SQL Builder'!N1025,"")</f>
        <v/>
      </c>
      <c r="J1050" s="79">
        <f t="shared" si="15"/>
        <v>0</v>
      </c>
    </row>
    <row r="1051" spans="2:10" ht="16.5" x14ac:dyDescent="0.25">
      <c r="B1051" s="49" t="e">
        <f>IF(ISBLANK('SQL Builder'!K1026)=FALSE,(DATE(LEFT('SQL Builder'!K1026,4),MID('SQL Builder'!K1026,6,2),MID('SQL Builder'!K1026,9,2))),NA())</f>
        <v>#N/A</v>
      </c>
      <c r="C1051" s="50" t="str">
        <f>IF(ISBLANK('SQL Builder'!K1026)=FALSE,'SQL Builder'!L1026,"")</f>
        <v/>
      </c>
      <c r="D1051" s="1" t="str">
        <f>IF(ISBLANK('SQL Builder'!K1026)=FALSE,'SQL Builder'!O1026,"")</f>
        <v/>
      </c>
      <c r="H1051" s="43" t="str">
        <f>IF(ISBLANK('SQL Builder'!K1025)=FALSE,H1050+1,"")</f>
        <v/>
      </c>
      <c r="I1051" s="1" t="str">
        <f>IF(ISBLANK('SQL Builder'!P1026)=FALSE,'SQL Builder'!N1026,"")</f>
        <v/>
      </c>
      <c r="J1051" s="79">
        <f t="shared" si="15"/>
        <v>0</v>
      </c>
    </row>
    <row r="1052" spans="2:10" ht="16.5" x14ac:dyDescent="0.25">
      <c r="B1052" s="49" t="e">
        <f>IF(ISBLANK('SQL Builder'!K1027)=FALSE,(DATE(LEFT('SQL Builder'!K1027,4),MID('SQL Builder'!K1027,6,2),MID('SQL Builder'!K1027,9,2))),NA())</f>
        <v>#N/A</v>
      </c>
      <c r="C1052" s="50" t="str">
        <f>IF(ISBLANK('SQL Builder'!K1027)=FALSE,'SQL Builder'!L1027,"")</f>
        <v/>
      </c>
      <c r="D1052" s="1" t="str">
        <f>IF(ISBLANK('SQL Builder'!K1027)=FALSE,'SQL Builder'!O1027,"")</f>
        <v/>
      </c>
      <c r="H1052" s="43" t="str">
        <f>IF(ISBLANK('SQL Builder'!K1026)=FALSE,H1051+1,"")</f>
        <v/>
      </c>
      <c r="I1052" s="1" t="str">
        <f>IF(ISBLANK('SQL Builder'!P1027)=FALSE,'SQL Builder'!N1027,"")</f>
        <v/>
      </c>
      <c r="J1052" s="79">
        <f t="shared" si="15"/>
        <v>0</v>
      </c>
    </row>
    <row r="1053" spans="2:10" ht="16.5" x14ac:dyDescent="0.25">
      <c r="B1053" s="49" t="e">
        <f>IF(ISBLANK('SQL Builder'!K1028)=FALSE,(DATE(LEFT('SQL Builder'!K1028,4),MID('SQL Builder'!K1028,6,2),MID('SQL Builder'!K1028,9,2))),NA())</f>
        <v>#N/A</v>
      </c>
      <c r="C1053" s="50" t="str">
        <f>IF(ISBLANK('SQL Builder'!K1028)=FALSE,'SQL Builder'!L1028,"")</f>
        <v/>
      </c>
      <c r="D1053" s="1" t="str">
        <f>IF(ISBLANK('SQL Builder'!K1028)=FALSE,'SQL Builder'!O1028,"")</f>
        <v/>
      </c>
      <c r="H1053" s="43" t="str">
        <f>IF(ISBLANK('SQL Builder'!K1027)=FALSE,H1052+1,"")</f>
        <v/>
      </c>
      <c r="I1053" s="1" t="str">
        <f>IF(ISBLANK('SQL Builder'!P1028)=FALSE,'SQL Builder'!N1028,"")</f>
        <v/>
      </c>
      <c r="J1053" s="79">
        <f t="shared" si="15"/>
        <v>0</v>
      </c>
    </row>
    <row r="1054" spans="2:10" ht="16.5" x14ac:dyDescent="0.25">
      <c r="B1054" s="49" t="e">
        <f>IF(ISBLANK('SQL Builder'!K1029)=FALSE,(DATE(LEFT('SQL Builder'!K1029,4),MID('SQL Builder'!K1029,6,2),MID('SQL Builder'!K1029,9,2))),NA())</f>
        <v>#N/A</v>
      </c>
      <c r="C1054" s="50" t="str">
        <f>IF(ISBLANK('SQL Builder'!K1029)=FALSE,'SQL Builder'!L1029,"")</f>
        <v/>
      </c>
      <c r="D1054" s="1" t="str">
        <f>IF(ISBLANK('SQL Builder'!K1029)=FALSE,'SQL Builder'!O1029,"")</f>
        <v/>
      </c>
      <c r="H1054" s="43" t="str">
        <f>IF(ISBLANK('SQL Builder'!K1028)=FALSE,H1053+1,"")</f>
        <v/>
      </c>
      <c r="I1054" s="1" t="str">
        <f>IF(ISBLANK('SQL Builder'!P1029)=FALSE,'SQL Builder'!N1029,"")</f>
        <v/>
      </c>
      <c r="J1054" s="79">
        <f t="shared" si="15"/>
        <v>0</v>
      </c>
    </row>
    <row r="1055" spans="2:10" ht="16.5" x14ac:dyDescent="0.25">
      <c r="B1055" s="49" t="e">
        <f>IF(ISBLANK('SQL Builder'!K1030)=FALSE,(DATE(LEFT('SQL Builder'!K1030,4),MID('SQL Builder'!K1030,6,2),MID('SQL Builder'!K1030,9,2))),NA())</f>
        <v>#N/A</v>
      </c>
      <c r="C1055" s="50" t="str">
        <f>IF(ISBLANK('SQL Builder'!K1030)=FALSE,'SQL Builder'!L1030,"")</f>
        <v/>
      </c>
      <c r="D1055" s="1" t="str">
        <f>IF(ISBLANK('SQL Builder'!K1030)=FALSE,'SQL Builder'!O1030,"")</f>
        <v/>
      </c>
      <c r="H1055" s="43" t="str">
        <f>IF(ISBLANK('SQL Builder'!K1029)=FALSE,H1054+1,"")</f>
        <v/>
      </c>
      <c r="I1055" s="1" t="str">
        <f>IF(ISBLANK('SQL Builder'!P1030)=FALSE,'SQL Builder'!N1030,"")</f>
        <v/>
      </c>
      <c r="J1055" s="79">
        <f t="shared" ref="J1055:J1118" si="16">IF(I1055="",0,IF(I1055=C$5,2,1))</f>
        <v>0</v>
      </c>
    </row>
    <row r="1056" spans="2:10" ht="16.5" x14ac:dyDescent="0.25">
      <c r="B1056" s="49" t="e">
        <f>IF(ISBLANK('SQL Builder'!K1031)=FALSE,(DATE(LEFT('SQL Builder'!K1031,4),MID('SQL Builder'!K1031,6,2),MID('SQL Builder'!K1031,9,2))),NA())</f>
        <v>#N/A</v>
      </c>
      <c r="C1056" s="50" t="str">
        <f>IF(ISBLANK('SQL Builder'!K1031)=FALSE,'SQL Builder'!L1031,"")</f>
        <v/>
      </c>
      <c r="D1056" s="1" t="str">
        <f>IF(ISBLANK('SQL Builder'!K1031)=FALSE,'SQL Builder'!O1031,"")</f>
        <v/>
      </c>
      <c r="H1056" s="43" t="str">
        <f>IF(ISBLANK('SQL Builder'!K1030)=FALSE,H1055+1,"")</f>
        <v/>
      </c>
      <c r="I1056" s="1" t="str">
        <f>IF(ISBLANK('SQL Builder'!P1031)=FALSE,'SQL Builder'!N1031,"")</f>
        <v/>
      </c>
      <c r="J1056" s="79">
        <f t="shared" si="16"/>
        <v>0</v>
      </c>
    </row>
    <row r="1057" spans="2:10" ht="16.5" x14ac:dyDescent="0.25">
      <c r="B1057" s="49" t="e">
        <f>IF(ISBLANK('SQL Builder'!K1032)=FALSE,(DATE(LEFT('SQL Builder'!K1032,4),MID('SQL Builder'!K1032,6,2),MID('SQL Builder'!K1032,9,2))),NA())</f>
        <v>#N/A</v>
      </c>
      <c r="C1057" s="50" t="str">
        <f>IF(ISBLANK('SQL Builder'!K1032)=FALSE,'SQL Builder'!L1032,"")</f>
        <v/>
      </c>
      <c r="D1057" s="1" t="str">
        <f>IF(ISBLANK('SQL Builder'!K1032)=FALSE,'SQL Builder'!O1032,"")</f>
        <v/>
      </c>
      <c r="H1057" s="43" t="str">
        <f>IF(ISBLANK('SQL Builder'!K1031)=FALSE,H1056+1,"")</f>
        <v/>
      </c>
      <c r="I1057" s="1" t="str">
        <f>IF(ISBLANK('SQL Builder'!P1032)=FALSE,'SQL Builder'!N1032,"")</f>
        <v/>
      </c>
      <c r="J1057" s="79">
        <f t="shared" si="16"/>
        <v>0</v>
      </c>
    </row>
    <row r="1058" spans="2:10" ht="16.5" x14ac:dyDescent="0.25">
      <c r="B1058" s="49" t="e">
        <f>IF(ISBLANK('SQL Builder'!K1033)=FALSE,(DATE(LEFT('SQL Builder'!K1033,4),MID('SQL Builder'!K1033,6,2),MID('SQL Builder'!K1033,9,2))),NA())</f>
        <v>#N/A</v>
      </c>
      <c r="C1058" s="50" t="str">
        <f>IF(ISBLANK('SQL Builder'!K1033)=FALSE,'SQL Builder'!L1033,"")</f>
        <v/>
      </c>
      <c r="D1058" s="1" t="str">
        <f>IF(ISBLANK('SQL Builder'!K1033)=FALSE,'SQL Builder'!O1033,"")</f>
        <v/>
      </c>
      <c r="H1058" s="43" t="str">
        <f>IF(ISBLANK('SQL Builder'!K1032)=FALSE,H1057+1,"")</f>
        <v/>
      </c>
      <c r="I1058" s="1" t="str">
        <f>IF(ISBLANK('SQL Builder'!P1033)=FALSE,'SQL Builder'!N1033,"")</f>
        <v/>
      </c>
      <c r="J1058" s="79">
        <f t="shared" si="16"/>
        <v>0</v>
      </c>
    </row>
    <row r="1059" spans="2:10" ht="16.5" x14ac:dyDescent="0.25">
      <c r="B1059" s="49" t="e">
        <f>IF(ISBLANK('SQL Builder'!K1034)=FALSE,(DATE(LEFT('SQL Builder'!K1034,4),MID('SQL Builder'!K1034,6,2),MID('SQL Builder'!K1034,9,2))),NA())</f>
        <v>#N/A</v>
      </c>
      <c r="C1059" s="50" t="str">
        <f>IF(ISBLANK('SQL Builder'!K1034)=FALSE,'SQL Builder'!L1034,"")</f>
        <v/>
      </c>
      <c r="D1059" s="1" t="str">
        <f>IF(ISBLANK('SQL Builder'!K1034)=FALSE,'SQL Builder'!O1034,"")</f>
        <v/>
      </c>
      <c r="H1059" s="43" t="str">
        <f>IF(ISBLANK('SQL Builder'!K1033)=FALSE,H1058+1,"")</f>
        <v/>
      </c>
      <c r="I1059" s="1" t="str">
        <f>IF(ISBLANK('SQL Builder'!P1034)=FALSE,'SQL Builder'!N1034,"")</f>
        <v/>
      </c>
      <c r="J1059" s="79">
        <f t="shared" si="16"/>
        <v>0</v>
      </c>
    </row>
    <row r="1060" spans="2:10" ht="16.5" x14ac:dyDescent="0.25">
      <c r="B1060" s="49" t="e">
        <f>IF(ISBLANK('SQL Builder'!K1035)=FALSE,(DATE(LEFT('SQL Builder'!K1035,4),MID('SQL Builder'!K1035,6,2),MID('SQL Builder'!K1035,9,2))),NA())</f>
        <v>#N/A</v>
      </c>
      <c r="C1060" s="50" t="str">
        <f>IF(ISBLANK('SQL Builder'!K1035)=FALSE,'SQL Builder'!L1035,"")</f>
        <v/>
      </c>
      <c r="D1060" s="1" t="str">
        <f>IF(ISBLANK('SQL Builder'!K1035)=FALSE,'SQL Builder'!O1035,"")</f>
        <v/>
      </c>
      <c r="H1060" s="43" t="str">
        <f>IF(ISBLANK('SQL Builder'!K1034)=FALSE,H1059+1,"")</f>
        <v/>
      </c>
      <c r="I1060" s="1" t="str">
        <f>IF(ISBLANK('SQL Builder'!P1035)=FALSE,'SQL Builder'!N1035,"")</f>
        <v/>
      </c>
      <c r="J1060" s="79">
        <f t="shared" si="16"/>
        <v>0</v>
      </c>
    </row>
    <row r="1061" spans="2:10" ht="16.5" x14ac:dyDescent="0.25">
      <c r="B1061" s="49" t="e">
        <f>IF(ISBLANK('SQL Builder'!K1036)=FALSE,(DATE(LEFT('SQL Builder'!K1036,4),MID('SQL Builder'!K1036,6,2),MID('SQL Builder'!K1036,9,2))),NA())</f>
        <v>#N/A</v>
      </c>
      <c r="C1061" s="50" t="str">
        <f>IF(ISBLANK('SQL Builder'!K1036)=FALSE,'SQL Builder'!L1036,"")</f>
        <v/>
      </c>
      <c r="D1061" s="1" t="str">
        <f>IF(ISBLANK('SQL Builder'!K1036)=FALSE,'SQL Builder'!O1036,"")</f>
        <v/>
      </c>
      <c r="H1061" s="43" t="str">
        <f>IF(ISBLANK('SQL Builder'!K1035)=FALSE,H1060+1,"")</f>
        <v/>
      </c>
      <c r="I1061" s="1" t="str">
        <f>IF(ISBLANK('SQL Builder'!P1036)=FALSE,'SQL Builder'!N1036,"")</f>
        <v/>
      </c>
      <c r="J1061" s="79">
        <f t="shared" si="16"/>
        <v>0</v>
      </c>
    </row>
    <row r="1062" spans="2:10" ht="16.5" x14ac:dyDescent="0.25">
      <c r="B1062" s="49" t="e">
        <f>IF(ISBLANK('SQL Builder'!K1037)=FALSE,(DATE(LEFT('SQL Builder'!K1037,4),MID('SQL Builder'!K1037,6,2),MID('SQL Builder'!K1037,9,2))),NA())</f>
        <v>#N/A</v>
      </c>
      <c r="C1062" s="50" t="str">
        <f>IF(ISBLANK('SQL Builder'!K1037)=FALSE,'SQL Builder'!L1037,"")</f>
        <v/>
      </c>
      <c r="D1062" s="1" t="str">
        <f>IF(ISBLANK('SQL Builder'!K1037)=FALSE,'SQL Builder'!O1037,"")</f>
        <v/>
      </c>
      <c r="H1062" s="43" t="str">
        <f>IF(ISBLANK('SQL Builder'!K1036)=FALSE,H1061+1,"")</f>
        <v/>
      </c>
      <c r="I1062" s="1" t="str">
        <f>IF(ISBLANK('SQL Builder'!P1037)=FALSE,'SQL Builder'!N1037,"")</f>
        <v/>
      </c>
      <c r="J1062" s="79">
        <f t="shared" si="16"/>
        <v>0</v>
      </c>
    </row>
    <row r="1063" spans="2:10" ht="16.5" x14ac:dyDescent="0.25">
      <c r="B1063" s="49" t="e">
        <f>IF(ISBLANK('SQL Builder'!K1038)=FALSE,(DATE(LEFT('SQL Builder'!K1038,4),MID('SQL Builder'!K1038,6,2),MID('SQL Builder'!K1038,9,2))),NA())</f>
        <v>#N/A</v>
      </c>
      <c r="C1063" s="50" t="str">
        <f>IF(ISBLANK('SQL Builder'!K1038)=FALSE,'SQL Builder'!L1038,"")</f>
        <v/>
      </c>
      <c r="D1063" s="1" t="str">
        <f>IF(ISBLANK('SQL Builder'!K1038)=FALSE,'SQL Builder'!O1038,"")</f>
        <v/>
      </c>
      <c r="H1063" s="43" t="str">
        <f>IF(ISBLANK('SQL Builder'!K1037)=FALSE,H1062+1,"")</f>
        <v/>
      </c>
      <c r="I1063" s="1" t="str">
        <f>IF(ISBLANK('SQL Builder'!P1038)=FALSE,'SQL Builder'!N1038,"")</f>
        <v/>
      </c>
      <c r="J1063" s="79">
        <f t="shared" si="16"/>
        <v>0</v>
      </c>
    </row>
    <row r="1064" spans="2:10" ht="16.5" x14ac:dyDescent="0.25">
      <c r="B1064" s="49" t="e">
        <f>IF(ISBLANK('SQL Builder'!K1039)=FALSE,(DATE(LEFT('SQL Builder'!K1039,4),MID('SQL Builder'!K1039,6,2),MID('SQL Builder'!K1039,9,2))),NA())</f>
        <v>#N/A</v>
      </c>
      <c r="C1064" s="50" t="str">
        <f>IF(ISBLANK('SQL Builder'!K1039)=FALSE,'SQL Builder'!L1039,"")</f>
        <v/>
      </c>
      <c r="D1064" s="1" t="str">
        <f>IF(ISBLANK('SQL Builder'!K1039)=FALSE,'SQL Builder'!O1039,"")</f>
        <v/>
      </c>
      <c r="H1064" s="43" t="str">
        <f>IF(ISBLANK('SQL Builder'!K1038)=FALSE,H1063+1,"")</f>
        <v/>
      </c>
      <c r="I1064" s="1" t="str">
        <f>IF(ISBLANK('SQL Builder'!P1039)=FALSE,'SQL Builder'!N1039,"")</f>
        <v/>
      </c>
      <c r="J1064" s="79">
        <f t="shared" si="16"/>
        <v>0</v>
      </c>
    </row>
    <row r="1065" spans="2:10" ht="16.5" x14ac:dyDescent="0.25">
      <c r="B1065" s="49" t="e">
        <f>IF(ISBLANK('SQL Builder'!K1040)=FALSE,(DATE(LEFT('SQL Builder'!K1040,4),MID('SQL Builder'!K1040,6,2),MID('SQL Builder'!K1040,9,2))),NA())</f>
        <v>#N/A</v>
      </c>
      <c r="C1065" s="50" t="str">
        <f>IF(ISBLANK('SQL Builder'!K1040)=FALSE,'SQL Builder'!L1040,"")</f>
        <v/>
      </c>
      <c r="D1065" s="1" t="str">
        <f>IF(ISBLANK('SQL Builder'!K1040)=FALSE,'SQL Builder'!O1040,"")</f>
        <v/>
      </c>
      <c r="H1065" s="43" t="str">
        <f>IF(ISBLANK('SQL Builder'!K1039)=FALSE,H1064+1,"")</f>
        <v/>
      </c>
      <c r="I1065" s="1" t="str">
        <f>IF(ISBLANK('SQL Builder'!P1040)=FALSE,'SQL Builder'!N1040,"")</f>
        <v/>
      </c>
      <c r="J1065" s="79">
        <f t="shared" si="16"/>
        <v>0</v>
      </c>
    </row>
    <row r="1066" spans="2:10" ht="16.5" x14ac:dyDescent="0.25">
      <c r="B1066" s="49" t="e">
        <f>IF(ISBLANK('SQL Builder'!K1041)=FALSE,(DATE(LEFT('SQL Builder'!K1041,4),MID('SQL Builder'!K1041,6,2),MID('SQL Builder'!K1041,9,2))),NA())</f>
        <v>#N/A</v>
      </c>
      <c r="C1066" s="50" t="str">
        <f>IF(ISBLANK('SQL Builder'!K1041)=FALSE,'SQL Builder'!L1041,"")</f>
        <v/>
      </c>
      <c r="D1066" s="1" t="str">
        <f>IF(ISBLANK('SQL Builder'!K1041)=FALSE,'SQL Builder'!O1041,"")</f>
        <v/>
      </c>
      <c r="H1066" s="43" t="str">
        <f>IF(ISBLANK('SQL Builder'!K1040)=FALSE,H1065+1,"")</f>
        <v/>
      </c>
      <c r="I1066" s="1" t="str">
        <f>IF(ISBLANK('SQL Builder'!P1041)=FALSE,'SQL Builder'!N1041,"")</f>
        <v/>
      </c>
      <c r="J1066" s="79">
        <f t="shared" si="16"/>
        <v>0</v>
      </c>
    </row>
    <row r="1067" spans="2:10" ht="16.5" x14ac:dyDescent="0.25">
      <c r="B1067" s="49" t="e">
        <f>IF(ISBLANK('SQL Builder'!K1042)=FALSE,(DATE(LEFT('SQL Builder'!K1042,4),MID('SQL Builder'!K1042,6,2),MID('SQL Builder'!K1042,9,2))),NA())</f>
        <v>#N/A</v>
      </c>
      <c r="C1067" s="50" t="str">
        <f>IF(ISBLANK('SQL Builder'!K1042)=FALSE,'SQL Builder'!L1042,"")</f>
        <v/>
      </c>
      <c r="D1067" s="1" t="str">
        <f>IF(ISBLANK('SQL Builder'!K1042)=FALSE,'SQL Builder'!O1042,"")</f>
        <v/>
      </c>
      <c r="H1067" s="43" t="str">
        <f>IF(ISBLANK('SQL Builder'!K1041)=FALSE,H1066+1,"")</f>
        <v/>
      </c>
      <c r="I1067" s="1" t="str">
        <f>IF(ISBLANK('SQL Builder'!P1042)=FALSE,'SQL Builder'!N1042,"")</f>
        <v/>
      </c>
      <c r="J1067" s="79">
        <f t="shared" si="16"/>
        <v>0</v>
      </c>
    </row>
    <row r="1068" spans="2:10" ht="16.5" x14ac:dyDescent="0.25">
      <c r="B1068" s="49" t="e">
        <f>IF(ISBLANK('SQL Builder'!K1043)=FALSE,(DATE(LEFT('SQL Builder'!K1043,4),MID('SQL Builder'!K1043,6,2),MID('SQL Builder'!K1043,9,2))),NA())</f>
        <v>#N/A</v>
      </c>
      <c r="C1068" s="50" t="str">
        <f>IF(ISBLANK('SQL Builder'!K1043)=FALSE,'SQL Builder'!L1043,"")</f>
        <v/>
      </c>
      <c r="D1068" s="1" t="str">
        <f>IF(ISBLANK('SQL Builder'!K1043)=FALSE,'SQL Builder'!O1043,"")</f>
        <v/>
      </c>
      <c r="H1068" s="43" t="str">
        <f>IF(ISBLANK('SQL Builder'!K1042)=FALSE,H1067+1,"")</f>
        <v/>
      </c>
      <c r="I1068" s="1" t="str">
        <f>IF(ISBLANK('SQL Builder'!P1043)=FALSE,'SQL Builder'!N1043,"")</f>
        <v/>
      </c>
      <c r="J1068" s="79">
        <f t="shared" si="16"/>
        <v>0</v>
      </c>
    </row>
    <row r="1069" spans="2:10" ht="16.5" x14ac:dyDescent="0.25">
      <c r="B1069" s="49" t="e">
        <f>IF(ISBLANK('SQL Builder'!K1044)=FALSE,(DATE(LEFT('SQL Builder'!K1044,4),MID('SQL Builder'!K1044,6,2),MID('SQL Builder'!K1044,9,2))),NA())</f>
        <v>#N/A</v>
      </c>
      <c r="C1069" s="50" t="str">
        <f>IF(ISBLANK('SQL Builder'!K1044)=FALSE,'SQL Builder'!L1044,"")</f>
        <v/>
      </c>
      <c r="D1069" s="1" t="str">
        <f>IF(ISBLANK('SQL Builder'!K1044)=FALSE,'SQL Builder'!O1044,"")</f>
        <v/>
      </c>
      <c r="H1069" s="43" t="str">
        <f>IF(ISBLANK('SQL Builder'!K1043)=FALSE,H1068+1,"")</f>
        <v/>
      </c>
      <c r="I1069" s="1" t="str">
        <f>IF(ISBLANK('SQL Builder'!P1044)=FALSE,'SQL Builder'!N1044,"")</f>
        <v/>
      </c>
      <c r="J1069" s="79">
        <f t="shared" si="16"/>
        <v>0</v>
      </c>
    </row>
    <row r="1070" spans="2:10" ht="16.5" x14ac:dyDescent="0.25">
      <c r="B1070" s="49" t="e">
        <f>IF(ISBLANK('SQL Builder'!K1045)=FALSE,(DATE(LEFT('SQL Builder'!K1045,4),MID('SQL Builder'!K1045,6,2),MID('SQL Builder'!K1045,9,2))),NA())</f>
        <v>#N/A</v>
      </c>
      <c r="C1070" s="50" t="str">
        <f>IF(ISBLANK('SQL Builder'!K1045)=FALSE,'SQL Builder'!L1045,"")</f>
        <v/>
      </c>
      <c r="D1070" s="1" t="str">
        <f>IF(ISBLANK('SQL Builder'!K1045)=FALSE,'SQL Builder'!O1045,"")</f>
        <v/>
      </c>
      <c r="H1070" s="43" t="str">
        <f>IF(ISBLANK('SQL Builder'!K1044)=FALSE,H1069+1,"")</f>
        <v/>
      </c>
      <c r="I1070" s="1" t="str">
        <f>IF(ISBLANK('SQL Builder'!P1045)=FALSE,'SQL Builder'!N1045,"")</f>
        <v/>
      </c>
      <c r="J1070" s="79">
        <f t="shared" si="16"/>
        <v>0</v>
      </c>
    </row>
    <row r="1071" spans="2:10" ht="16.5" x14ac:dyDescent="0.25">
      <c r="B1071" s="49" t="e">
        <f>IF(ISBLANK('SQL Builder'!K1046)=FALSE,(DATE(LEFT('SQL Builder'!K1046,4),MID('SQL Builder'!K1046,6,2),MID('SQL Builder'!K1046,9,2))),NA())</f>
        <v>#N/A</v>
      </c>
      <c r="C1071" s="50" t="str">
        <f>IF(ISBLANK('SQL Builder'!K1046)=FALSE,'SQL Builder'!L1046,"")</f>
        <v/>
      </c>
      <c r="D1071" s="1" t="str">
        <f>IF(ISBLANK('SQL Builder'!K1046)=FALSE,'SQL Builder'!O1046,"")</f>
        <v/>
      </c>
      <c r="H1071" s="43" t="str">
        <f>IF(ISBLANK('SQL Builder'!K1045)=FALSE,H1070+1,"")</f>
        <v/>
      </c>
      <c r="I1071" s="1" t="str">
        <f>IF(ISBLANK('SQL Builder'!P1046)=FALSE,'SQL Builder'!N1046,"")</f>
        <v/>
      </c>
      <c r="J1071" s="79">
        <f t="shared" si="16"/>
        <v>0</v>
      </c>
    </row>
    <row r="1072" spans="2:10" ht="16.5" x14ac:dyDescent="0.25">
      <c r="B1072" s="49" t="e">
        <f>IF(ISBLANK('SQL Builder'!K1047)=FALSE,(DATE(LEFT('SQL Builder'!K1047,4),MID('SQL Builder'!K1047,6,2),MID('SQL Builder'!K1047,9,2))),NA())</f>
        <v>#N/A</v>
      </c>
      <c r="C1072" s="50" t="str">
        <f>IF(ISBLANK('SQL Builder'!K1047)=FALSE,'SQL Builder'!L1047,"")</f>
        <v/>
      </c>
      <c r="D1072" s="1" t="str">
        <f>IF(ISBLANK('SQL Builder'!K1047)=FALSE,'SQL Builder'!O1047,"")</f>
        <v/>
      </c>
      <c r="H1072" s="43" t="str">
        <f>IF(ISBLANK('SQL Builder'!K1046)=FALSE,H1071+1,"")</f>
        <v/>
      </c>
      <c r="I1072" s="1" t="str">
        <f>IF(ISBLANK('SQL Builder'!P1047)=FALSE,'SQL Builder'!N1047,"")</f>
        <v/>
      </c>
      <c r="J1072" s="79">
        <f t="shared" si="16"/>
        <v>0</v>
      </c>
    </row>
    <row r="1073" spans="2:10" ht="16.5" x14ac:dyDescent="0.25">
      <c r="B1073" s="49" t="e">
        <f>IF(ISBLANK('SQL Builder'!K1048)=FALSE,(DATE(LEFT('SQL Builder'!K1048,4),MID('SQL Builder'!K1048,6,2),MID('SQL Builder'!K1048,9,2))),NA())</f>
        <v>#N/A</v>
      </c>
      <c r="C1073" s="50" t="str">
        <f>IF(ISBLANK('SQL Builder'!K1048)=FALSE,'SQL Builder'!L1048,"")</f>
        <v/>
      </c>
      <c r="D1073" s="1" t="str">
        <f>IF(ISBLANK('SQL Builder'!K1048)=FALSE,'SQL Builder'!O1048,"")</f>
        <v/>
      </c>
      <c r="H1073" s="43" t="str">
        <f>IF(ISBLANK('SQL Builder'!K1047)=FALSE,H1072+1,"")</f>
        <v/>
      </c>
      <c r="I1073" s="1" t="str">
        <f>IF(ISBLANK('SQL Builder'!P1048)=FALSE,'SQL Builder'!N1048,"")</f>
        <v/>
      </c>
      <c r="J1073" s="79">
        <f t="shared" si="16"/>
        <v>0</v>
      </c>
    </row>
    <row r="1074" spans="2:10" ht="16.5" x14ac:dyDescent="0.25">
      <c r="B1074" s="49" t="e">
        <f>IF(ISBLANK('SQL Builder'!K1049)=FALSE,(DATE(LEFT('SQL Builder'!K1049,4),MID('SQL Builder'!K1049,6,2),MID('SQL Builder'!K1049,9,2))),NA())</f>
        <v>#N/A</v>
      </c>
      <c r="C1074" s="50" t="str">
        <f>IF(ISBLANK('SQL Builder'!K1049)=FALSE,'SQL Builder'!L1049,"")</f>
        <v/>
      </c>
      <c r="D1074" s="1" t="str">
        <f>IF(ISBLANK('SQL Builder'!K1049)=FALSE,'SQL Builder'!O1049,"")</f>
        <v/>
      </c>
      <c r="H1074" s="43" t="str">
        <f>IF(ISBLANK('SQL Builder'!K1048)=FALSE,H1073+1,"")</f>
        <v/>
      </c>
      <c r="I1074" s="1" t="str">
        <f>IF(ISBLANK('SQL Builder'!P1049)=FALSE,'SQL Builder'!N1049,"")</f>
        <v/>
      </c>
      <c r="J1074" s="79">
        <f t="shared" si="16"/>
        <v>0</v>
      </c>
    </row>
    <row r="1075" spans="2:10" ht="16.5" x14ac:dyDescent="0.25">
      <c r="B1075" s="49" t="e">
        <f>IF(ISBLANK('SQL Builder'!K1050)=FALSE,(DATE(LEFT('SQL Builder'!K1050,4),MID('SQL Builder'!K1050,6,2),MID('SQL Builder'!K1050,9,2))),NA())</f>
        <v>#N/A</v>
      </c>
      <c r="C1075" s="50" t="str">
        <f>IF(ISBLANK('SQL Builder'!K1050)=FALSE,'SQL Builder'!L1050,"")</f>
        <v/>
      </c>
      <c r="D1075" s="1" t="str">
        <f>IF(ISBLANK('SQL Builder'!K1050)=FALSE,'SQL Builder'!O1050,"")</f>
        <v/>
      </c>
      <c r="H1075" s="43" t="str">
        <f>IF(ISBLANK('SQL Builder'!K1049)=FALSE,H1074+1,"")</f>
        <v/>
      </c>
      <c r="I1075" s="1" t="str">
        <f>IF(ISBLANK('SQL Builder'!P1050)=FALSE,'SQL Builder'!N1050,"")</f>
        <v/>
      </c>
      <c r="J1075" s="79">
        <f t="shared" si="16"/>
        <v>0</v>
      </c>
    </row>
    <row r="1076" spans="2:10" ht="16.5" x14ac:dyDescent="0.25">
      <c r="B1076" s="49" t="e">
        <f>IF(ISBLANK('SQL Builder'!K1051)=FALSE,(DATE(LEFT('SQL Builder'!K1051,4),MID('SQL Builder'!K1051,6,2),MID('SQL Builder'!K1051,9,2))),NA())</f>
        <v>#N/A</v>
      </c>
      <c r="C1076" s="50" t="str">
        <f>IF(ISBLANK('SQL Builder'!K1051)=FALSE,'SQL Builder'!L1051,"")</f>
        <v/>
      </c>
      <c r="D1076" s="1" t="str">
        <f>IF(ISBLANK('SQL Builder'!K1051)=FALSE,'SQL Builder'!O1051,"")</f>
        <v/>
      </c>
      <c r="H1076" s="43" t="str">
        <f>IF(ISBLANK('SQL Builder'!K1050)=FALSE,H1075+1,"")</f>
        <v/>
      </c>
      <c r="I1076" s="1" t="str">
        <f>IF(ISBLANK('SQL Builder'!P1051)=FALSE,'SQL Builder'!N1051,"")</f>
        <v/>
      </c>
      <c r="J1076" s="79">
        <f t="shared" si="16"/>
        <v>0</v>
      </c>
    </row>
    <row r="1077" spans="2:10" ht="16.5" x14ac:dyDescent="0.25">
      <c r="B1077" s="49" t="e">
        <f>IF(ISBLANK('SQL Builder'!K1052)=FALSE,(DATE(LEFT('SQL Builder'!K1052,4),MID('SQL Builder'!K1052,6,2),MID('SQL Builder'!K1052,9,2))),NA())</f>
        <v>#N/A</v>
      </c>
      <c r="C1077" s="50" t="str">
        <f>IF(ISBLANK('SQL Builder'!K1052)=FALSE,'SQL Builder'!L1052,"")</f>
        <v/>
      </c>
      <c r="D1077" s="1" t="str">
        <f>IF(ISBLANK('SQL Builder'!K1052)=FALSE,'SQL Builder'!O1052,"")</f>
        <v/>
      </c>
      <c r="H1077" s="43" t="str">
        <f>IF(ISBLANK('SQL Builder'!K1051)=FALSE,H1076+1,"")</f>
        <v/>
      </c>
      <c r="I1077" s="1" t="str">
        <f>IF(ISBLANK('SQL Builder'!P1052)=FALSE,'SQL Builder'!N1052,"")</f>
        <v/>
      </c>
      <c r="J1077" s="79">
        <f t="shared" si="16"/>
        <v>0</v>
      </c>
    </row>
    <row r="1078" spans="2:10" ht="16.5" x14ac:dyDescent="0.25">
      <c r="B1078" s="49" t="e">
        <f>IF(ISBLANK('SQL Builder'!K1053)=FALSE,(DATE(LEFT('SQL Builder'!K1053,4),MID('SQL Builder'!K1053,6,2),MID('SQL Builder'!K1053,9,2))),NA())</f>
        <v>#N/A</v>
      </c>
      <c r="C1078" s="50" t="str">
        <f>IF(ISBLANK('SQL Builder'!K1053)=FALSE,'SQL Builder'!L1053,"")</f>
        <v/>
      </c>
      <c r="D1078" s="1" t="str">
        <f>IF(ISBLANK('SQL Builder'!K1053)=FALSE,'SQL Builder'!O1053,"")</f>
        <v/>
      </c>
      <c r="H1078" s="43" t="str">
        <f>IF(ISBLANK('SQL Builder'!K1052)=FALSE,H1077+1,"")</f>
        <v/>
      </c>
      <c r="I1078" s="1" t="str">
        <f>IF(ISBLANK('SQL Builder'!P1053)=FALSE,'SQL Builder'!N1053,"")</f>
        <v/>
      </c>
      <c r="J1078" s="79">
        <f t="shared" si="16"/>
        <v>0</v>
      </c>
    </row>
    <row r="1079" spans="2:10" ht="16.5" x14ac:dyDescent="0.25">
      <c r="B1079" s="49" t="e">
        <f>IF(ISBLANK('SQL Builder'!K1054)=FALSE,(DATE(LEFT('SQL Builder'!K1054,4),MID('SQL Builder'!K1054,6,2),MID('SQL Builder'!K1054,9,2))),NA())</f>
        <v>#N/A</v>
      </c>
      <c r="C1079" s="50" t="str">
        <f>IF(ISBLANK('SQL Builder'!K1054)=FALSE,'SQL Builder'!L1054,"")</f>
        <v/>
      </c>
      <c r="D1079" s="1" t="str">
        <f>IF(ISBLANK('SQL Builder'!K1054)=FALSE,'SQL Builder'!O1054,"")</f>
        <v/>
      </c>
      <c r="H1079" s="43" t="str">
        <f>IF(ISBLANK('SQL Builder'!K1053)=FALSE,H1078+1,"")</f>
        <v/>
      </c>
      <c r="I1079" s="1" t="str">
        <f>IF(ISBLANK('SQL Builder'!P1054)=FALSE,'SQL Builder'!N1054,"")</f>
        <v/>
      </c>
      <c r="J1079" s="79">
        <f t="shared" si="16"/>
        <v>0</v>
      </c>
    </row>
    <row r="1080" spans="2:10" ht="16.5" x14ac:dyDescent="0.25">
      <c r="B1080" s="49" t="e">
        <f>IF(ISBLANK('SQL Builder'!K1055)=FALSE,(DATE(LEFT('SQL Builder'!K1055,4),MID('SQL Builder'!K1055,6,2),MID('SQL Builder'!K1055,9,2))),NA())</f>
        <v>#N/A</v>
      </c>
      <c r="C1080" s="50" t="str">
        <f>IF(ISBLANK('SQL Builder'!K1055)=FALSE,'SQL Builder'!L1055,"")</f>
        <v/>
      </c>
      <c r="D1080" s="1" t="str">
        <f>IF(ISBLANK('SQL Builder'!K1055)=FALSE,'SQL Builder'!O1055,"")</f>
        <v/>
      </c>
      <c r="H1080" s="43" t="str">
        <f>IF(ISBLANK('SQL Builder'!K1054)=FALSE,H1079+1,"")</f>
        <v/>
      </c>
      <c r="I1080" s="1" t="str">
        <f>IF(ISBLANK('SQL Builder'!P1055)=FALSE,'SQL Builder'!N1055,"")</f>
        <v/>
      </c>
      <c r="J1080" s="79">
        <f t="shared" si="16"/>
        <v>0</v>
      </c>
    </row>
    <row r="1081" spans="2:10" ht="16.5" x14ac:dyDescent="0.25">
      <c r="B1081" s="49" t="e">
        <f>IF(ISBLANK('SQL Builder'!K1056)=FALSE,(DATE(LEFT('SQL Builder'!K1056,4),MID('SQL Builder'!K1056,6,2),MID('SQL Builder'!K1056,9,2))),NA())</f>
        <v>#N/A</v>
      </c>
      <c r="C1081" s="50" t="str">
        <f>IF(ISBLANK('SQL Builder'!K1056)=FALSE,'SQL Builder'!L1056,"")</f>
        <v/>
      </c>
      <c r="D1081" s="1" t="str">
        <f>IF(ISBLANK('SQL Builder'!K1056)=FALSE,'SQL Builder'!O1056,"")</f>
        <v/>
      </c>
      <c r="H1081" s="43" t="str">
        <f>IF(ISBLANK('SQL Builder'!K1055)=FALSE,H1080+1,"")</f>
        <v/>
      </c>
      <c r="I1081" s="1" t="str">
        <f>IF(ISBLANK('SQL Builder'!P1056)=FALSE,'SQL Builder'!N1056,"")</f>
        <v/>
      </c>
      <c r="J1081" s="79">
        <f t="shared" si="16"/>
        <v>0</v>
      </c>
    </row>
    <row r="1082" spans="2:10" ht="16.5" x14ac:dyDescent="0.25">
      <c r="B1082" s="49" t="e">
        <f>IF(ISBLANK('SQL Builder'!K1057)=FALSE,(DATE(LEFT('SQL Builder'!K1057,4),MID('SQL Builder'!K1057,6,2),MID('SQL Builder'!K1057,9,2))),NA())</f>
        <v>#N/A</v>
      </c>
      <c r="C1082" s="50" t="str">
        <f>IF(ISBLANK('SQL Builder'!K1057)=FALSE,'SQL Builder'!L1057,"")</f>
        <v/>
      </c>
      <c r="D1082" s="1" t="str">
        <f>IF(ISBLANK('SQL Builder'!K1057)=FALSE,'SQL Builder'!O1057,"")</f>
        <v/>
      </c>
      <c r="H1082" s="43" t="str">
        <f>IF(ISBLANK('SQL Builder'!K1056)=FALSE,H1081+1,"")</f>
        <v/>
      </c>
      <c r="I1082" s="1" t="str">
        <f>IF(ISBLANK('SQL Builder'!P1057)=FALSE,'SQL Builder'!N1057,"")</f>
        <v/>
      </c>
      <c r="J1082" s="79">
        <f t="shared" si="16"/>
        <v>0</v>
      </c>
    </row>
    <row r="1083" spans="2:10" ht="16.5" x14ac:dyDescent="0.25">
      <c r="B1083" s="49" t="e">
        <f>IF(ISBLANK('SQL Builder'!K1058)=FALSE,(DATE(LEFT('SQL Builder'!K1058,4),MID('SQL Builder'!K1058,6,2),MID('SQL Builder'!K1058,9,2))),NA())</f>
        <v>#N/A</v>
      </c>
      <c r="C1083" s="50" t="str">
        <f>IF(ISBLANK('SQL Builder'!K1058)=FALSE,'SQL Builder'!L1058,"")</f>
        <v/>
      </c>
      <c r="D1083" s="1" t="str">
        <f>IF(ISBLANK('SQL Builder'!K1058)=FALSE,'SQL Builder'!O1058,"")</f>
        <v/>
      </c>
      <c r="H1083" s="43" t="str">
        <f>IF(ISBLANK('SQL Builder'!K1057)=FALSE,H1082+1,"")</f>
        <v/>
      </c>
      <c r="I1083" s="1" t="str">
        <f>IF(ISBLANK('SQL Builder'!P1058)=FALSE,'SQL Builder'!N1058,"")</f>
        <v/>
      </c>
      <c r="J1083" s="79">
        <f t="shared" si="16"/>
        <v>0</v>
      </c>
    </row>
    <row r="1084" spans="2:10" ht="16.5" x14ac:dyDescent="0.25">
      <c r="B1084" s="49" t="e">
        <f>IF(ISBLANK('SQL Builder'!K1059)=FALSE,(DATE(LEFT('SQL Builder'!K1059,4),MID('SQL Builder'!K1059,6,2),MID('SQL Builder'!K1059,9,2))),NA())</f>
        <v>#N/A</v>
      </c>
      <c r="C1084" s="50" t="str">
        <f>IF(ISBLANK('SQL Builder'!K1059)=FALSE,'SQL Builder'!L1059,"")</f>
        <v/>
      </c>
      <c r="D1084" s="1" t="str">
        <f>IF(ISBLANK('SQL Builder'!K1059)=FALSE,'SQL Builder'!O1059,"")</f>
        <v/>
      </c>
      <c r="H1084" s="43" t="str">
        <f>IF(ISBLANK('SQL Builder'!K1058)=FALSE,H1083+1,"")</f>
        <v/>
      </c>
      <c r="I1084" s="1" t="str">
        <f>IF(ISBLANK('SQL Builder'!P1059)=FALSE,'SQL Builder'!N1059,"")</f>
        <v/>
      </c>
      <c r="J1084" s="79">
        <f t="shared" si="16"/>
        <v>0</v>
      </c>
    </row>
    <row r="1085" spans="2:10" ht="16.5" x14ac:dyDescent="0.25">
      <c r="B1085" s="49" t="e">
        <f>IF(ISBLANK('SQL Builder'!K1060)=FALSE,(DATE(LEFT('SQL Builder'!K1060,4),MID('SQL Builder'!K1060,6,2),MID('SQL Builder'!K1060,9,2))),NA())</f>
        <v>#N/A</v>
      </c>
      <c r="C1085" s="50" t="str">
        <f>IF(ISBLANK('SQL Builder'!K1060)=FALSE,'SQL Builder'!L1060,"")</f>
        <v/>
      </c>
      <c r="D1085" s="1" t="str">
        <f>IF(ISBLANK('SQL Builder'!K1060)=FALSE,'SQL Builder'!O1060,"")</f>
        <v/>
      </c>
      <c r="H1085" s="43" t="str">
        <f>IF(ISBLANK('SQL Builder'!K1059)=FALSE,H1084+1,"")</f>
        <v/>
      </c>
      <c r="I1085" s="1" t="str">
        <f>IF(ISBLANK('SQL Builder'!P1060)=FALSE,'SQL Builder'!N1060,"")</f>
        <v/>
      </c>
      <c r="J1085" s="79">
        <f t="shared" si="16"/>
        <v>0</v>
      </c>
    </row>
    <row r="1086" spans="2:10" ht="16.5" x14ac:dyDescent="0.25">
      <c r="B1086" s="49" t="e">
        <f>IF(ISBLANK('SQL Builder'!K1061)=FALSE,(DATE(LEFT('SQL Builder'!K1061,4),MID('SQL Builder'!K1061,6,2),MID('SQL Builder'!K1061,9,2))),NA())</f>
        <v>#N/A</v>
      </c>
      <c r="C1086" s="50" t="str">
        <f>IF(ISBLANK('SQL Builder'!K1061)=FALSE,'SQL Builder'!L1061,"")</f>
        <v/>
      </c>
      <c r="D1086" s="1" t="str">
        <f>IF(ISBLANK('SQL Builder'!K1061)=FALSE,'SQL Builder'!O1061,"")</f>
        <v/>
      </c>
      <c r="H1086" s="43" t="str">
        <f>IF(ISBLANK('SQL Builder'!K1060)=FALSE,H1085+1,"")</f>
        <v/>
      </c>
      <c r="I1086" s="1" t="str">
        <f>IF(ISBLANK('SQL Builder'!P1061)=FALSE,'SQL Builder'!N1061,"")</f>
        <v/>
      </c>
      <c r="J1086" s="79">
        <f t="shared" si="16"/>
        <v>0</v>
      </c>
    </row>
    <row r="1087" spans="2:10" ht="16.5" x14ac:dyDescent="0.25">
      <c r="B1087" s="49" t="e">
        <f>IF(ISBLANK('SQL Builder'!K1062)=FALSE,(DATE(LEFT('SQL Builder'!K1062,4),MID('SQL Builder'!K1062,6,2),MID('SQL Builder'!K1062,9,2))),NA())</f>
        <v>#N/A</v>
      </c>
      <c r="C1087" s="50" t="str">
        <f>IF(ISBLANK('SQL Builder'!K1062)=FALSE,'SQL Builder'!L1062,"")</f>
        <v/>
      </c>
      <c r="D1087" s="1" t="str">
        <f>IF(ISBLANK('SQL Builder'!K1062)=FALSE,'SQL Builder'!O1062,"")</f>
        <v/>
      </c>
      <c r="H1087" s="43" t="str">
        <f>IF(ISBLANK('SQL Builder'!K1061)=FALSE,H1086+1,"")</f>
        <v/>
      </c>
      <c r="I1087" s="1" t="str">
        <f>IF(ISBLANK('SQL Builder'!P1062)=FALSE,'SQL Builder'!N1062,"")</f>
        <v/>
      </c>
      <c r="J1087" s="79">
        <f t="shared" si="16"/>
        <v>0</v>
      </c>
    </row>
    <row r="1088" spans="2:10" ht="16.5" x14ac:dyDescent="0.25">
      <c r="B1088" s="49" t="e">
        <f>IF(ISBLANK('SQL Builder'!K1063)=FALSE,(DATE(LEFT('SQL Builder'!K1063,4),MID('SQL Builder'!K1063,6,2),MID('SQL Builder'!K1063,9,2))),NA())</f>
        <v>#N/A</v>
      </c>
      <c r="C1088" s="50" t="str">
        <f>IF(ISBLANK('SQL Builder'!K1063)=FALSE,'SQL Builder'!L1063,"")</f>
        <v/>
      </c>
      <c r="D1088" s="1" t="str">
        <f>IF(ISBLANK('SQL Builder'!K1063)=FALSE,'SQL Builder'!O1063,"")</f>
        <v/>
      </c>
      <c r="H1088" s="43" t="str">
        <f>IF(ISBLANK('SQL Builder'!K1062)=FALSE,H1087+1,"")</f>
        <v/>
      </c>
      <c r="I1088" s="1" t="str">
        <f>IF(ISBLANK('SQL Builder'!P1063)=FALSE,'SQL Builder'!N1063,"")</f>
        <v/>
      </c>
      <c r="J1088" s="79">
        <f t="shared" si="16"/>
        <v>0</v>
      </c>
    </row>
    <row r="1089" spans="2:10" ht="16.5" x14ac:dyDescent="0.25">
      <c r="B1089" s="49" t="e">
        <f>IF(ISBLANK('SQL Builder'!K1064)=FALSE,(DATE(LEFT('SQL Builder'!K1064,4),MID('SQL Builder'!K1064,6,2),MID('SQL Builder'!K1064,9,2))),NA())</f>
        <v>#N/A</v>
      </c>
      <c r="C1089" s="50" t="str">
        <f>IF(ISBLANK('SQL Builder'!K1064)=FALSE,'SQL Builder'!L1064,"")</f>
        <v/>
      </c>
      <c r="D1089" s="1" t="str">
        <f>IF(ISBLANK('SQL Builder'!K1064)=FALSE,'SQL Builder'!O1064,"")</f>
        <v/>
      </c>
      <c r="H1089" s="43" t="str">
        <f>IF(ISBLANK('SQL Builder'!K1063)=FALSE,H1088+1,"")</f>
        <v/>
      </c>
      <c r="I1089" s="1" t="str">
        <f>IF(ISBLANK('SQL Builder'!P1064)=FALSE,'SQL Builder'!N1064,"")</f>
        <v/>
      </c>
      <c r="J1089" s="79">
        <f t="shared" si="16"/>
        <v>0</v>
      </c>
    </row>
    <row r="1090" spans="2:10" ht="16.5" x14ac:dyDescent="0.25">
      <c r="B1090" s="49" t="e">
        <f>IF(ISBLANK('SQL Builder'!K1065)=FALSE,(DATE(LEFT('SQL Builder'!K1065,4),MID('SQL Builder'!K1065,6,2),MID('SQL Builder'!K1065,9,2))),NA())</f>
        <v>#N/A</v>
      </c>
      <c r="C1090" s="50" t="str">
        <f>IF(ISBLANK('SQL Builder'!K1065)=FALSE,'SQL Builder'!L1065,"")</f>
        <v/>
      </c>
      <c r="D1090" s="1" t="str">
        <f>IF(ISBLANK('SQL Builder'!K1065)=FALSE,'SQL Builder'!O1065,"")</f>
        <v/>
      </c>
      <c r="H1090" s="43" t="str">
        <f>IF(ISBLANK('SQL Builder'!K1064)=FALSE,H1089+1,"")</f>
        <v/>
      </c>
      <c r="I1090" s="1" t="str">
        <f>IF(ISBLANK('SQL Builder'!P1065)=FALSE,'SQL Builder'!N1065,"")</f>
        <v/>
      </c>
      <c r="J1090" s="79">
        <f t="shared" si="16"/>
        <v>0</v>
      </c>
    </row>
    <row r="1091" spans="2:10" ht="16.5" x14ac:dyDescent="0.25">
      <c r="B1091" s="49" t="e">
        <f>IF(ISBLANK('SQL Builder'!K1066)=FALSE,(DATE(LEFT('SQL Builder'!K1066,4),MID('SQL Builder'!K1066,6,2),MID('SQL Builder'!K1066,9,2))),NA())</f>
        <v>#N/A</v>
      </c>
      <c r="C1091" s="50" t="str">
        <f>IF(ISBLANK('SQL Builder'!K1066)=FALSE,'SQL Builder'!L1066,"")</f>
        <v/>
      </c>
      <c r="D1091" s="1" t="str">
        <f>IF(ISBLANK('SQL Builder'!K1066)=FALSE,'SQL Builder'!O1066,"")</f>
        <v/>
      </c>
      <c r="H1091" s="43" t="str">
        <f>IF(ISBLANK('SQL Builder'!K1065)=FALSE,H1090+1,"")</f>
        <v/>
      </c>
      <c r="I1091" s="1" t="str">
        <f>IF(ISBLANK('SQL Builder'!P1066)=FALSE,'SQL Builder'!N1066,"")</f>
        <v/>
      </c>
      <c r="J1091" s="79">
        <f t="shared" si="16"/>
        <v>0</v>
      </c>
    </row>
    <row r="1092" spans="2:10" ht="16.5" x14ac:dyDescent="0.25">
      <c r="B1092" s="49" t="e">
        <f>IF(ISBLANK('SQL Builder'!K1067)=FALSE,(DATE(LEFT('SQL Builder'!K1067,4),MID('SQL Builder'!K1067,6,2),MID('SQL Builder'!K1067,9,2))),NA())</f>
        <v>#N/A</v>
      </c>
      <c r="C1092" s="50" t="str">
        <f>IF(ISBLANK('SQL Builder'!K1067)=FALSE,'SQL Builder'!L1067,"")</f>
        <v/>
      </c>
      <c r="D1092" s="1" t="str">
        <f>IF(ISBLANK('SQL Builder'!K1067)=FALSE,'SQL Builder'!O1067,"")</f>
        <v/>
      </c>
      <c r="H1092" s="43" t="str">
        <f>IF(ISBLANK('SQL Builder'!K1066)=FALSE,H1091+1,"")</f>
        <v/>
      </c>
      <c r="I1092" s="1" t="str">
        <f>IF(ISBLANK('SQL Builder'!P1067)=FALSE,'SQL Builder'!N1067,"")</f>
        <v/>
      </c>
      <c r="J1092" s="79">
        <f t="shared" si="16"/>
        <v>0</v>
      </c>
    </row>
    <row r="1093" spans="2:10" ht="16.5" x14ac:dyDescent="0.25">
      <c r="B1093" s="49" t="e">
        <f>IF(ISBLANK('SQL Builder'!K1068)=FALSE,(DATE(LEFT('SQL Builder'!K1068,4),MID('SQL Builder'!K1068,6,2),MID('SQL Builder'!K1068,9,2))),NA())</f>
        <v>#N/A</v>
      </c>
      <c r="C1093" s="50" t="str">
        <f>IF(ISBLANK('SQL Builder'!K1068)=FALSE,'SQL Builder'!L1068,"")</f>
        <v/>
      </c>
      <c r="D1093" s="1" t="str">
        <f>IF(ISBLANK('SQL Builder'!K1068)=FALSE,'SQL Builder'!O1068,"")</f>
        <v/>
      </c>
      <c r="H1093" s="43" t="str">
        <f>IF(ISBLANK('SQL Builder'!K1067)=FALSE,H1092+1,"")</f>
        <v/>
      </c>
      <c r="I1093" s="1" t="str">
        <f>IF(ISBLANK('SQL Builder'!P1068)=FALSE,'SQL Builder'!N1068,"")</f>
        <v/>
      </c>
      <c r="J1093" s="79">
        <f t="shared" si="16"/>
        <v>0</v>
      </c>
    </row>
    <row r="1094" spans="2:10" ht="16.5" x14ac:dyDescent="0.25">
      <c r="B1094" s="49" t="e">
        <f>IF(ISBLANK('SQL Builder'!K1069)=FALSE,(DATE(LEFT('SQL Builder'!K1069,4),MID('SQL Builder'!K1069,6,2),MID('SQL Builder'!K1069,9,2))),NA())</f>
        <v>#N/A</v>
      </c>
      <c r="C1094" s="50" t="str">
        <f>IF(ISBLANK('SQL Builder'!K1069)=FALSE,'SQL Builder'!L1069,"")</f>
        <v/>
      </c>
      <c r="D1094" s="1" t="str">
        <f>IF(ISBLANK('SQL Builder'!K1069)=FALSE,'SQL Builder'!O1069,"")</f>
        <v/>
      </c>
      <c r="H1094" s="43" t="str">
        <f>IF(ISBLANK('SQL Builder'!K1068)=FALSE,H1093+1,"")</f>
        <v/>
      </c>
      <c r="I1094" s="1" t="str">
        <f>IF(ISBLANK('SQL Builder'!P1069)=FALSE,'SQL Builder'!N1069,"")</f>
        <v/>
      </c>
      <c r="J1094" s="79">
        <f t="shared" si="16"/>
        <v>0</v>
      </c>
    </row>
    <row r="1095" spans="2:10" ht="16.5" x14ac:dyDescent="0.25">
      <c r="B1095" s="49" t="e">
        <f>IF(ISBLANK('SQL Builder'!K1070)=FALSE,(DATE(LEFT('SQL Builder'!K1070,4),MID('SQL Builder'!K1070,6,2),MID('SQL Builder'!K1070,9,2))),NA())</f>
        <v>#N/A</v>
      </c>
      <c r="C1095" s="50" t="str">
        <f>IF(ISBLANK('SQL Builder'!K1070)=FALSE,'SQL Builder'!L1070,"")</f>
        <v/>
      </c>
      <c r="D1095" s="1" t="str">
        <f>IF(ISBLANK('SQL Builder'!K1070)=FALSE,'SQL Builder'!O1070,"")</f>
        <v/>
      </c>
      <c r="H1095" s="43" t="str">
        <f>IF(ISBLANK('SQL Builder'!K1069)=FALSE,H1094+1,"")</f>
        <v/>
      </c>
      <c r="I1095" s="1" t="str">
        <f>IF(ISBLANK('SQL Builder'!P1070)=FALSE,'SQL Builder'!N1070,"")</f>
        <v/>
      </c>
      <c r="J1095" s="79">
        <f t="shared" si="16"/>
        <v>0</v>
      </c>
    </row>
    <row r="1096" spans="2:10" ht="16.5" x14ac:dyDescent="0.25">
      <c r="B1096" s="49" t="e">
        <f>IF(ISBLANK('SQL Builder'!K1071)=FALSE,(DATE(LEFT('SQL Builder'!K1071,4),MID('SQL Builder'!K1071,6,2),MID('SQL Builder'!K1071,9,2))),NA())</f>
        <v>#N/A</v>
      </c>
      <c r="C1096" s="50" t="str">
        <f>IF(ISBLANK('SQL Builder'!K1071)=FALSE,'SQL Builder'!L1071,"")</f>
        <v/>
      </c>
      <c r="D1096" s="1" t="str">
        <f>IF(ISBLANK('SQL Builder'!K1071)=FALSE,'SQL Builder'!O1071,"")</f>
        <v/>
      </c>
      <c r="H1096" s="43" t="str">
        <f>IF(ISBLANK('SQL Builder'!K1070)=FALSE,H1095+1,"")</f>
        <v/>
      </c>
      <c r="I1096" s="1" t="str">
        <f>IF(ISBLANK('SQL Builder'!P1071)=FALSE,'SQL Builder'!N1071,"")</f>
        <v/>
      </c>
      <c r="J1096" s="79">
        <f t="shared" si="16"/>
        <v>0</v>
      </c>
    </row>
    <row r="1097" spans="2:10" ht="16.5" x14ac:dyDescent="0.25">
      <c r="B1097" s="49" t="e">
        <f>IF(ISBLANK('SQL Builder'!K1072)=FALSE,(DATE(LEFT('SQL Builder'!K1072,4),MID('SQL Builder'!K1072,6,2),MID('SQL Builder'!K1072,9,2))),NA())</f>
        <v>#N/A</v>
      </c>
      <c r="C1097" s="50" t="str">
        <f>IF(ISBLANK('SQL Builder'!K1072)=FALSE,'SQL Builder'!L1072,"")</f>
        <v/>
      </c>
      <c r="D1097" s="1" t="str">
        <f>IF(ISBLANK('SQL Builder'!K1072)=FALSE,'SQL Builder'!O1072,"")</f>
        <v/>
      </c>
      <c r="H1097" s="43" t="str">
        <f>IF(ISBLANK('SQL Builder'!K1071)=FALSE,H1096+1,"")</f>
        <v/>
      </c>
      <c r="I1097" s="1" t="str">
        <f>IF(ISBLANK('SQL Builder'!P1072)=FALSE,'SQL Builder'!N1072,"")</f>
        <v/>
      </c>
      <c r="J1097" s="79">
        <f t="shared" si="16"/>
        <v>0</v>
      </c>
    </row>
    <row r="1098" spans="2:10" ht="16.5" x14ac:dyDescent="0.25">
      <c r="B1098" s="49" t="e">
        <f>IF(ISBLANK('SQL Builder'!K1073)=FALSE,(DATE(LEFT('SQL Builder'!K1073,4),MID('SQL Builder'!K1073,6,2),MID('SQL Builder'!K1073,9,2))),NA())</f>
        <v>#N/A</v>
      </c>
      <c r="C1098" s="50" t="str">
        <f>IF(ISBLANK('SQL Builder'!K1073)=FALSE,'SQL Builder'!L1073,"")</f>
        <v/>
      </c>
      <c r="D1098" s="1" t="str">
        <f>IF(ISBLANK('SQL Builder'!K1073)=FALSE,'SQL Builder'!O1073,"")</f>
        <v/>
      </c>
      <c r="H1098" s="43" t="str">
        <f>IF(ISBLANK('SQL Builder'!K1072)=FALSE,H1097+1,"")</f>
        <v/>
      </c>
      <c r="I1098" s="1" t="str">
        <f>IF(ISBLANK('SQL Builder'!P1073)=FALSE,'SQL Builder'!N1073,"")</f>
        <v/>
      </c>
      <c r="J1098" s="79">
        <f t="shared" si="16"/>
        <v>0</v>
      </c>
    </row>
    <row r="1099" spans="2:10" ht="16.5" x14ac:dyDescent="0.25">
      <c r="B1099" s="49" t="e">
        <f>IF(ISBLANK('SQL Builder'!K1074)=FALSE,(DATE(LEFT('SQL Builder'!K1074,4),MID('SQL Builder'!K1074,6,2),MID('SQL Builder'!K1074,9,2))),NA())</f>
        <v>#N/A</v>
      </c>
      <c r="C1099" s="50" t="str">
        <f>IF(ISBLANK('SQL Builder'!K1074)=FALSE,'SQL Builder'!L1074,"")</f>
        <v/>
      </c>
      <c r="D1099" s="1" t="str">
        <f>IF(ISBLANK('SQL Builder'!K1074)=FALSE,'SQL Builder'!O1074,"")</f>
        <v/>
      </c>
      <c r="H1099" s="43" t="str">
        <f>IF(ISBLANK('SQL Builder'!K1073)=FALSE,H1098+1,"")</f>
        <v/>
      </c>
      <c r="I1099" s="1" t="str">
        <f>IF(ISBLANK('SQL Builder'!P1074)=FALSE,'SQL Builder'!N1074,"")</f>
        <v/>
      </c>
      <c r="J1099" s="79">
        <f t="shared" si="16"/>
        <v>0</v>
      </c>
    </row>
    <row r="1100" spans="2:10" ht="16.5" x14ac:dyDescent="0.25">
      <c r="B1100" s="49" t="e">
        <f>IF(ISBLANK('SQL Builder'!K1075)=FALSE,(DATE(LEFT('SQL Builder'!K1075,4),MID('SQL Builder'!K1075,6,2),MID('SQL Builder'!K1075,9,2))),NA())</f>
        <v>#N/A</v>
      </c>
      <c r="C1100" s="50" t="str">
        <f>IF(ISBLANK('SQL Builder'!K1075)=FALSE,'SQL Builder'!L1075,"")</f>
        <v/>
      </c>
      <c r="D1100" s="1" t="str">
        <f>IF(ISBLANK('SQL Builder'!K1075)=FALSE,'SQL Builder'!O1075,"")</f>
        <v/>
      </c>
      <c r="H1100" s="43" t="str">
        <f>IF(ISBLANK('SQL Builder'!K1074)=FALSE,H1099+1,"")</f>
        <v/>
      </c>
      <c r="I1100" s="1" t="str">
        <f>IF(ISBLANK('SQL Builder'!P1075)=FALSE,'SQL Builder'!N1075,"")</f>
        <v/>
      </c>
      <c r="J1100" s="79">
        <f t="shared" si="16"/>
        <v>0</v>
      </c>
    </row>
    <row r="1101" spans="2:10" ht="16.5" x14ac:dyDescent="0.25">
      <c r="B1101" s="49" t="e">
        <f>IF(ISBLANK('SQL Builder'!K1076)=FALSE,(DATE(LEFT('SQL Builder'!K1076,4),MID('SQL Builder'!K1076,6,2),MID('SQL Builder'!K1076,9,2))),NA())</f>
        <v>#N/A</v>
      </c>
      <c r="C1101" s="50" t="str">
        <f>IF(ISBLANK('SQL Builder'!K1076)=FALSE,'SQL Builder'!L1076,"")</f>
        <v/>
      </c>
      <c r="D1101" s="1" t="str">
        <f>IF(ISBLANK('SQL Builder'!K1076)=FALSE,'SQL Builder'!O1076,"")</f>
        <v/>
      </c>
      <c r="H1101" s="43" t="str">
        <f>IF(ISBLANK('SQL Builder'!K1075)=FALSE,H1100+1,"")</f>
        <v/>
      </c>
      <c r="I1101" s="1" t="str">
        <f>IF(ISBLANK('SQL Builder'!P1076)=FALSE,'SQL Builder'!N1076,"")</f>
        <v/>
      </c>
      <c r="J1101" s="79">
        <f t="shared" si="16"/>
        <v>0</v>
      </c>
    </row>
    <row r="1102" spans="2:10" ht="16.5" x14ac:dyDescent="0.25">
      <c r="B1102" s="49" t="e">
        <f>IF(ISBLANK('SQL Builder'!K1077)=FALSE,(DATE(LEFT('SQL Builder'!K1077,4),MID('SQL Builder'!K1077,6,2),MID('SQL Builder'!K1077,9,2))),NA())</f>
        <v>#N/A</v>
      </c>
      <c r="C1102" s="50" t="str">
        <f>IF(ISBLANK('SQL Builder'!K1077)=FALSE,'SQL Builder'!L1077,"")</f>
        <v/>
      </c>
      <c r="D1102" s="1" t="str">
        <f>IF(ISBLANK('SQL Builder'!K1077)=FALSE,'SQL Builder'!O1077,"")</f>
        <v/>
      </c>
      <c r="H1102" s="43" t="str">
        <f>IF(ISBLANK('SQL Builder'!K1076)=FALSE,H1101+1,"")</f>
        <v/>
      </c>
      <c r="I1102" s="1" t="str">
        <f>IF(ISBLANK('SQL Builder'!P1077)=FALSE,'SQL Builder'!N1077,"")</f>
        <v/>
      </c>
      <c r="J1102" s="79">
        <f t="shared" si="16"/>
        <v>0</v>
      </c>
    </row>
    <row r="1103" spans="2:10" ht="16.5" x14ac:dyDescent="0.25">
      <c r="B1103" s="49" t="e">
        <f>IF(ISBLANK('SQL Builder'!K1078)=FALSE,(DATE(LEFT('SQL Builder'!K1078,4),MID('SQL Builder'!K1078,6,2),MID('SQL Builder'!K1078,9,2))),NA())</f>
        <v>#N/A</v>
      </c>
      <c r="C1103" s="50" t="str">
        <f>IF(ISBLANK('SQL Builder'!K1078)=FALSE,'SQL Builder'!L1078,"")</f>
        <v/>
      </c>
      <c r="D1103" s="1" t="str">
        <f>IF(ISBLANK('SQL Builder'!K1078)=FALSE,'SQL Builder'!O1078,"")</f>
        <v/>
      </c>
      <c r="H1103" s="43" t="str">
        <f>IF(ISBLANK('SQL Builder'!K1077)=FALSE,H1102+1,"")</f>
        <v/>
      </c>
      <c r="I1103" s="1" t="str">
        <f>IF(ISBLANK('SQL Builder'!P1078)=FALSE,'SQL Builder'!N1078,"")</f>
        <v/>
      </c>
      <c r="J1103" s="79">
        <f t="shared" si="16"/>
        <v>0</v>
      </c>
    </row>
    <row r="1104" spans="2:10" ht="16.5" x14ac:dyDescent="0.25">
      <c r="B1104" s="49" t="e">
        <f>IF(ISBLANK('SQL Builder'!K1079)=FALSE,(DATE(LEFT('SQL Builder'!K1079,4),MID('SQL Builder'!K1079,6,2),MID('SQL Builder'!K1079,9,2))),NA())</f>
        <v>#N/A</v>
      </c>
      <c r="C1104" s="50" t="str">
        <f>IF(ISBLANK('SQL Builder'!K1079)=FALSE,'SQL Builder'!L1079,"")</f>
        <v/>
      </c>
      <c r="D1104" s="1" t="str">
        <f>IF(ISBLANK('SQL Builder'!K1079)=FALSE,'SQL Builder'!O1079,"")</f>
        <v/>
      </c>
      <c r="H1104" s="43" t="str">
        <f>IF(ISBLANK('SQL Builder'!K1078)=FALSE,H1103+1,"")</f>
        <v/>
      </c>
      <c r="I1104" s="1" t="str">
        <f>IF(ISBLANK('SQL Builder'!P1079)=FALSE,'SQL Builder'!N1079,"")</f>
        <v/>
      </c>
      <c r="J1104" s="79">
        <f t="shared" si="16"/>
        <v>0</v>
      </c>
    </row>
    <row r="1105" spans="2:10" ht="16.5" x14ac:dyDescent="0.25">
      <c r="B1105" s="49" t="e">
        <f>IF(ISBLANK('SQL Builder'!K1080)=FALSE,(DATE(LEFT('SQL Builder'!K1080,4),MID('SQL Builder'!K1080,6,2),MID('SQL Builder'!K1080,9,2))),NA())</f>
        <v>#N/A</v>
      </c>
      <c r="C1105" s="50" t="str">
        <f>IF(ISBLANK('SQL Builder'!K1080)=FALSE,'SQL Builder'!L1080,"")</f>
        <v/>
      </c>
      <c r="D1105" s="1" t="str">
        <f>IF(ISBLANK('SQL Builder'!K1080)=FALSE,'SQL Builder'!O1080,"")</f>
        <v/>
      </c>
      <c r="H1105" s="43" t="str">
        <f>IF(ISBLANK('SQL Builder'!K1079)=FALSE,H1104+1,"")</f>
        <v/>
      </c>
      <c r="I1105" s="1" t="str">
        <f>IF(ISBLANK('SQL Builder'!P1080)=FALSE,'SQL Builder'!N1080,"")</f>
        <v/>
      </c>
      <c r="J1105" s="79">
        <f t="shared" si="16"/>
        <v>0</v>
      </c>
    </row>
    <row r="1106" spans="2:10" ht="16.5" x14ac:dyDescent="0.25">
      <c r="B1106" s="49" t="e">
        <f>IF(ISBLANK('SQL Builder'!K1081)=FALSE,(DATE(LEFT('SQL Builder'!K1081,4),MID('SQL Builder'!K1081,6,2),MID('SQL Builder'!K1081,9,2))),NA())</f>
        <v>#N/A</v>
      </c>
      <c r="C1106" s="50" t="str">
        <f>IF(ISBLANK('SQL Builder'!K1081)=FALSE,'SQL Builder'!L1081,"")</f>
        <v/>
      </c>
      <c r="D1106" s="1" t="str">
        <f>IF(ISBLANK('SQL Builder'!K1081)=FALSE,'SQL Builder'!O1081,"")</f>
        <v/>
      </c>
      <c r="H1106" s="43" t="str">
        <f>IF(ISBLANK('SQL Builder'!K1080)=FALSE,H1105+1,"")</f>
        <v/>
      </c>
      <c r="I1106" s="1" t="str">
        <f>IF(ISBLANK('SQL Builder'!P1081)=FALSE,'SQL Builder'!N1081,"")</f>
        <v/>
      </c>
      <c r="J1106" s="79">
        <f t="shared" si="16"/>
        <v>0</v>
      </c>
    </row>
    <row r="1107" spans="2:10" ht="16.5" x14ac:dyDescent="0.25">
      <c r="B1107" s="49" t="e">
        <f>IF(ISBLANK('SQL Builder'!K1082)=FALSE,(DATE(LEFT('SQL Builder'!K1082,4),MID('SQL Builder'!K1082,6,2),MID('SQL Builder'!K1082,9,2))),NA())</f>
        <v>#N/A</v>
      </c>
      <c r="C1107" s="50" t="str">
        <f>IF(ISBLANK('SQL Builder'!K1082)=FALSE,'SQL Builder'!L1082,"")</f>
        <v/>
      </c>
      <c r="D1107" s="1" t="str">
        <f>IF(ISBLANK('SQL Builder'!K1082)=FALSE,'SQL Builder'!O1082,"")</f>
        <v/>
      </c>
      <c r="H1107" s="43" t="str">
        <f>IF(ISBLANK('SQL Builder'!K1081)=FALSE,H1106+1,"")</f>
        <v/>
      </c>
      <c r="I1107" s="1" t="str">
        <f>IF(ISBLANK('SQL Builder'!P1082)=FALSE,'SQL Builder'!N1082,"")</f>
        <v/>
      </c>
      <c r="J1107" s="79">
        <f t="shared" si="16"/>
        <v>0</v>
      </c>
    </row>
    <row r="1108" spans="2:10" ht="16.5" x14ac:dyDescent="0.25">
      <c r="B1108" s="49" t="e">
        <f>IF(ISBLANK('SQL Builder'!K1083)=FALSE,(DATE(LEFT('SQL Builder'!K1083,4),MID('SQL Builder'!K1083,6,2),MID('SQL Builder'!K1083,9,2))),NA())</f>
        <v>#N/A</v>
      </c>
      <c r="C1108" s="50" t="str">
        <f>IF(ISBLANK('SQL Builder'!K1083)=FALSE,'SQL Builder'!L1083,"")</f>
        <v/>
      </c>
      <c r="D1108" s="1" t="str">
        <f>IF(ISBLANK('SQL Builder'!K1083)=FALSE,'SQL Builder'!O1083,"")</f>
        <v/>
      </c>
      <c r="H1108" s="43" t="str">
        <f>IF(ISBLANK('SQL Builder'!K1082)=FALSE,H1107+1,"")</f>
        <v/>
      </c>
      <c r="I1108" s="1" t="str">
        <f>IF(ISBLANK('SQL Builder'!P1083)=FALSE,'SQL Builder'!N1083,"")</f>
        <v/>
      </c>
      <c r="J1108" s="79">
        <f t="shared" si="16"/>
        <v>0</v>
      </c>
    </row>
    <row r="1109" spans="2:10" ht="16.5" x14ac:dyDescent="0.25">
      <c r="B1109" s="49" t="e">
        <f>IF(ISBLANK('SQL Builder'!K1084)=FALSE,(DATE(LEFT('SQL Builder'!K1084,4),MID('SQL Builder'!K1084,6,2),MID('SQL Builder'!K1084,9,2))),NA())</f>
        <v>#N/A</v>
      </c>
      <c r="C1109" s="50" t="str">
        <f>IF(ISBLANK('SQL Builder'!K1084)=FALSE,'SQL Builder'!L1084,"")</f>
        <v/>
      </c>
      <c r="D1109" s="1" t="str">
        <f>IF(ISBLANK('SQL Builder'!K1084)=FALSE,'SQL Builder'!O1084,"")</f>
        <v/>
      </c>
      <c r="H1109" s="43" t="str">
        <f>IF(ISBLANK('SQL Builder'!K1083)=FALSE,H1108+1,"")</f>
        <v/>
      </c>
      <c r="I1109" s="1" t="str">
        <f>IF(ISBLANK('SQL Builder'!P1084)=FALSE,'SQL Builder'!N1084,"")</f>
        <v/>
      </c>
      <c r="J1109" s="79">
        <f t="shared" si="16"/>
        <v>0</v>
      </c>
    </row>
    <row r="1110" spans="2:10" ht="16.5" x14ac:dyDescent="0.25">
      <c r="B1110" s="49" t="e">
        <f>IF(ISBLANK('SQL Builder'!K1085)=FALSE,(DATE(LEFT('SQL Builder'!K1085,4),MID('SQL Builder'!K1085,6,2),MID('SQL Builder'!K1085,9,2))),NA())</f>
        <v>#N/A</v>
      </c>
      <c r="C1110" s="50" t="str">
        <f>IF(ISBLANK('SQL Builder'!K1085)=FALSE,'SQL Builder'!L1085,"")</f>
        <v/>
      </c>
      <c r="D1110" s="1" t="str">
        <f>IF(ISBLANK('SQL Builder'!K1085)=FALSE,'SQL Builder'!O1085,"")</f>
        <v/>
      </c>
      <c r="H1110" s="43" t="str">
        <f>IF(ISBLANK('SQL Builder'!K1084)=FALSE,H1109+1,"")</f>
        <v/>
      </c>
      <c r="I1110" s="1" t="str">
        <f>IF(ISBLANK('SQL Builder'!P1085)=FALSE,'SQL Builder'!N1085,"")</f>
        <v/>
      </c>
      <c r="J1110" s="79">
        <f t="shared" si="16"/>
        <v>0</v>
      </c>
    </row>
    <row r="1111" spans="2:10" ht="16.5" x14ac:dyDescent="0.25">
      <c r="B1111" s="49" t="e">
        <f>IF(ISBLANK('SQL Builder'!K1086)=FALSE,(DATE(LEFT('SQL Builder'!K1086,4),MID('SQL Builder'!K1086,6,2),MID('SQL Builder'!K1086,9,2))),NA())</f>
        <v>#N/A</v>
      </c>
      <c r="C1111" s="50" t="str">
        <f>IF(ISBLANK('SQL Builder'!K1086)=FALSE,'SQL Builder'!L1086,"")</f>
        <v/>
      </c>
      <c r="D1111" s="1" t="str">
        <f>IF(ISBLANK('SQL Builder'!K1086)=FALSE,'SQL Builder'!O1086,"")</f>
        <v/>
      </c>
      <c r="H1111" s="43" t="str">
        <f>IF(ISBLANK('SQL Builder'!K1085)=FALSE,H1110+1,"")</f>
        <v/>
      </c>
      <c r="I1111" s="1" t="str">
        <f>IF(ISBLANK('SQL Builder'!P1086)=FALSE,'SQL Builder'!N1086,"")</f>
        <v/>
      </c>
      <c r="J1111" s="79">
        <f t="shared" si="16"/>
        <v>0</v>
      </c>
    </row>
    <row r="1112" spans="2:10" ht="16.5" x14ac:dyDescent="0.25">
      <c r="B1112" s="49" t="e">
        <f>IF(ISBLANK('SQL Builder'!K1087)=FALSE,(DATE(LEFT('SQL Builder'!K1087,4),MID('SQL Builder'!K1087,6,2),MID('SQL Builder'!K1087,9,2))),NA())</f>
        <v>#N/A</v>
      </c>
      <c r="C1112" s="50" t="str">
        <f>IF(ISBLANK('SQL Builder'!K1087)=FALSE,'SQL Builder'!L1087,"")</f>
        <v/>
      </c>
      <c r="D1112" s="1" t="str">
        <f>IF(ISBLANK('SQL Builder'!K1087)=FALSE,'SQL Builder'!O1087,"")</f>
        <v/>
      </c>
      <c r="H1112" s="43" t="str">
        <f>IF(ISBLANK('SQL Builder'!K1086)=FALSE,H1111+1,"")</f>
        <v/>
      </c>
      <c r="I1112" s="1" t="str">
        <f>IF(ISBLANK('SQL Builder'!P1087)=FALSE,'SQL Builder'!N1087,"")</f>
        <v/>
      </c>
      <c r="J1112" s="79">
        <f t="shared" si="16"/>
        <v>0</v>
      </c>
    </row>
    <row r="1113" spans="2:10" ht="16.5" x14ac:dyDescent="0.25">
      <c r="B1113" s="49" t="e">
        <f>IF(ISBLANK('SQL Builder'!K1088)=FALSE,(DATE(LEFT('SQL Builder'!K1088,4),MID('SQL Builder'!K1088,6,2),MID('SQL Builder'!K1088,9,2))),NA())</f>
        <v>#N/A</v>
      </c>
      <c r="C1113" s="50" t="str">
        <f>IF(ISBLANK('SQL Builder'!K1088)=FALSE,'SQL Builder'!L1088,"")</f>
        <v/>
      </c>
      <c r="D1113" s="1" t="str">
        <f>IF(ISBLANK('SQL Builder'!K1088)=FALSE,'SQL Builder'!O1088,"")</f>
        <v/>
      </c>
      <c r="H1113" s="43" t="str">
        <f>IF(ISBLANK('SQL Builder'!K1087)=FALSE,H1112+1,"")</f>
        <v/>
      </c>
      <c r="I1113" s="1" t="str">
        <f>IF(ISBLANK('SQL Builder'!P1088)=FALSE,'SQL Builder'!N1088,"")</f>
        <v/>
      </c>
      <c r="J1113" s="79">
        <f t="shared" si="16"/>
        <v>0</v>
      </c>
    </row>
    <row r="1114" spans="2:10" ht="16.5" x14ac:dyDescent="0.25">
      <c r="B1114" s="49" t="e">
        <f>IF(ISBLANK('SQL Builder'!K1089)=FALSE,(DATE(LEFT('SQL Builder'!K1089,4),MID('SQL Builder'!K1089,6,2),MID('SQL Builder'!K1089,9,2))),NA())</f>
        <v>#N/A</v>
      </c>
      <c r="C1114" s="50" t="str">
        <f>IF(ISBLANK('SQL Builder'!K1089)=FALSE,'SQL Builder'!L1089,"")</f>
        <v/>
      </c>
      <c r="D1114" s="1" t="str">
        <f>IF(ISBLANK('SQL Builder'!K1089)=FALSE,'SQL Builder'!O1089,"")</f>
        <v/>
      </c>
      <c r="H1114" s="43" t="str">
        <f>IF(ISBLANK('SQL Builder'!K1088)=FALSE,H1113+1,"")</f>
        <v/>
      </c>
      <c r="I1114" s="1" t="str">
        <f>IF(ISBLANK('SQL Builder'!P1089)=FALSE,'SQL Builder'!N1089,"")</f>
        <v/>
      </c>
      <c r="J1114" s="79">
        <f t="shared" si="16"/>
        <v>0</v>
      </c>
    </row>
    <row r="1115" spans="2:10" ht="16.5" x14ac:dyDescent="0.25">
      <c r="B1115" s="49" t="e">
        <f>IF(ISBLANK('SQL Builder'!K1090)=FALSE,(DATE(LEFT('SQL Builder'!K1090,4),MID('SQL Builder'!K1090,6,2),MID('SQL Builder'!K1090,9,2))),NA())</f>
        <v>#N/A</v>
      </c>
      <c r="C1115" s="50" t="str">
        <f>IF(ISBLANK('SQL Builder'!K1090)=FALSE,'SQL Builder'!L1090,"")</f>
        <v/>
      </c>
      <c r="D1115" s="1" t="str">
        <f>IF(ISBLANK('SQL Builder'!K1090)=FALSE,'SQL Builder'!O1090,"")</f>
        <v/>
      </c>
      <c r="H1115" s="43" t="str">
        <f>IF(ISBLANK('SQL Builder'!K1089)=FALSE,H1114+1,"")</f>
        <v/>
      </c>
      <c r="I1115" s="1" t="str">
        <f>IF(ISBLANK('SQL Builder'!P1090)=FALSE,'SQL Builder'!N1090,"")</f>
        <v/>
      </c>
      <c r="J1115" s="79">
        <f t="shared" si="16"/>
        <v>0</v>
      </c>
    </row>
    <row r="1116" spans="2:10" ht="16.5" x14ac:dyDescent="0.25">
      <c r="B1116" s="49" t="e">
        <f>IF(ISBLANK('SQL Builder'!K1091)=FALSE,(DATE(LEFT('SQL Builder'!K1091,4),MID('SQL Builder'!K1091,6,2),MID('SQL Builder'!K1091,9,2))),NA())</f>
        <v>#N/A</v>
      </c>
      <c r="C1116" s="50" t="str">
        <f>IF(ISBLANK('SQL Builder'!K1091)=FALSE,'SQL Builder'!L1091,"")</f>
        <v/>
      </c>
      <c r="D1116" s="1" t="str">
        <f>IF(ISBLANK('SQL Builder'!K1091)=FALSE,'SQL Builder'!O1091,"")</f>
        <v/>
      </c>
      <c r="H1116" s="43" t="str">
        <f>IF(ISBLANK('SQL Builder'!K1090)=FALSE,H1115+1,"")</f>
        <v/>
      </c>
      <c r="I1116" s="1" t="str">
        <f>IF(ISBLANK('SQL Builder'!P1091)=FALSE,'SQL Builder'!N1091,"")</f>
        <v/>
      </c>
      <c r="J1116" s="79">
        <f t="shared" si="16"/>
        <v>0</v>
      </c>
    </row>
    <row r="1117" spans="2:10" ht="16.5" x14ac:dyDescent="0.25">
      <c r="B1117" s="49" t="e">
        <f>IF(ISBLANK('SQL Builder'!K1092)=FALSE,(DATE(LEFT('SQL Builder'!K1092,4),MID('SQL Builder'!K1092,6,2),MID('SQL Builder'!K1092,9,2))),NA())</f>
        <v>#N/A</v>
      </c>
      <c r="C1117" s="50" t="str">
        <f>IF(ISBLANK('SQL Builder'!K1092)=FALSE,'SQL Builder'!L1092,"")</f>
        <v/>
      </c>
      <c r="D1117" s="1" t="str">
        <f>IF(ISBLANK('SQL Builder'!K1092)=FALSE,'SQL Builder'!O1092,"")</f>
        <v/>
      </c>
      <c r="H1117" s="43" t="str">
        <f>IF(ISBLANK('SQL Builder'!K1091)=FALSE,H1116+1,"")</f>
        <v/>
      </c>
      <c r="I1117" s="1" t="str">
        <f>IF(ISBLANK('SQL Builder'!P1092)=FALSE,'SQL Builder'!N1092,"")</f>
        <v/>
      </c>
      <c r="J1117" s="79">
        <f t="shared" si="16"/>
        <v>0</v>
      </c>
    </row>
    <row r="1118" spans="2:10" ht="16.5" x14ac:dyDescent="0.25">
      <c r="B1118" s="49" t="e">
        <f>IF(ISBLANK('SQL Builder'!K1093)=FALSE,(DATE(LEFT('SQL Builder'!K1093,4),MID('SQL Builder'!K1093,6,2),MID('SQL Builder'!K1093,9,2))),NA())</f>
        <v>#N/A</v>
      </c>
      <c r="C1118" s="50" t="str">
        <f>IF(ISBLANK('SQL Builder'!K1093)=FALSE,'SQL Builder'!L1093,"")</f>
        <v/>
      </c>
      <c r="D1118" s="1" t="str">
        <f>IF(ISBLANK('SQL Builder'!K1093)=FALSE,'SQL Builder'!O1093,"")</f>
        <v/>
      </c>
      <c r="H1118" s="43" t="str">
        <f>IF(ISBLANK('SQL Builder'!K1092)=FALSE,H1117+1,"")</f>
        <v/>
      </c>
      <c r="I1118" s="1" t="str">
        <f>IF(ISBLANK('SQL Builder'!P1093)=FALSE,'SQL Builder'!N1093,"")</f>
        <v/>
      </c>
      <c r="J1118" s="79">
        <f t="shared" si="16"/>
        <v>0</v>
      </c>
    </row>
    <row r="1119" spans="2:10" ht="16.5" x14ac:dyDescent="0.25">
      <c r="B1119" s="49" t="e">
        <f>IF(ISBLANK('SQL Builder'!K1094)=FALSE,(DATE(LEFT('SQL Builder'!K1094,4),MID('SQL Builder'!K1094,6,2),MID('SQL Builder'!K1094,9,2))),NA())</f>
        <v>#N/A</v>
      </c>
      <c r="C1119" s="50" t="str">
        <f>IF(ISBLANK('SQL Builder'!K1094)=FALSE,'SQL Builder'!L1094,"")</f>
        <v/>
      </c>
      <c r="D1119" s="1" t="str">
        <f>IF(ISBLANK('SQL Builder'!K1094)=FALSE,'SQL Builder'!O1094,"")</f>
        <v/>
      </c>
      <c r="H1119" s="43" t="str">
        <f>IF(ISBLANK('SQL Builder'!K1093)=FALSE,H1118+1,"")</f>
        <v/>
      </c>
      <c r="I1119" s="1" t="str">
        <f>IF(ISBLANK('SQL Builder'!P1094)=FALSE,'SQL Builder'!N1094,"")</f>
        <v/>
      </c>
      <c r="J1119" s="79">
        <f t="shared" ref="J1119:J1182" si="17">IF(I1119="",0,IF(I1119=C$5,2,1))</f>
        <v>0</v>
      </c>
    </row>
    <row r="1120" spans="2:10" ht="16.5" x14ac:dyDescent="0.25">
      <c r="B1120" s="49" t="e">
        <f>IF(ISBLANK('SQL Builder'!K1095)=FALSE,(DATE(LEFT('SQL Builder'!K1095,4),MID('SQL Builder'!K1095,6,2),MID('SQL Builder'!K1095,9,2))),NA())</f>
        <v>#N/A</v>
      </c>
      <c r="C1120" s="50" t="str">
        <f>IF(ISBLANK('SQL Builder'!K1095)=FALSE,'SQL Builder'!L1095,"")</f>
        <v/>
      </c>
      <c r="D1120" s="1" t="str">
        <f>IF(ISBLANK('SQL Builder'!K1095)=FALSE,'SQL Builder'!O1095,"")</f>
        <v/>
      </c>
      <c r="H1120" s="43" t="str">
        <f>IF(ISBLANK('SQL Builder'!K1094)=FALSE,H1119+1,"")</f>
        <v/>
      </c>
      <c r="I1120" s="1" t="str">
        <f>IF(ISBLANK('SQL Builder'!P1095)=FALSE,'SQL Builder'!N1095,"")</f>
        <v/>
      </c>
      <c r="J1120" s="79">
        <f t="shared" si="17"/>
        <v>0</v>
      </c>
    </row>
    <row r="1121" spans="2:10" ht="16.5" x14ac:dyDescent="0.25">
      <c r="B1121" s="49" t="e">
        <f>IF(ISBLANK('SQL Builder'!K1096)=FALSE,(DATE(LEFT('SQL Builder'!K1096,4),MID('SQL Builder'!K1096,6,2),MID('SQL Builder'!K1096,9,2))),NA())</f>
        <v>#N/A</v>
      </c>
      <c r="C1121" s="50" t="str">
        <f>IF(ISBLANK('SQL Builder'!K1096)=FALSE,'SQL Builder'!L1096,"")</f>
        <v/>
      </c>
      <c r="D1121" s="1" t="str">
        <f>IF(ISBLANK('SQL Builder'!K1096)=FALSE,'SQL Builder'!O1096,"")</f>
        <v/>
      </c>
      <c r="H1121" s="43" t="str">
        <f>IF(ISBLANK('SQL Builder'!K1095)=FALSE,H1120+1,"")</f>
        <v/>
      </c>
      <c r="I1121" s="1" t="str">
        <f>IF(ISBLANK('SQL Builder'!P1096)=FALSE,'SQL Builder'!N1096,"")</f>
        <v/>
      </c>
      <c r="J1121" s="79">
        <f t="shared" si="17"/>
        <v>0</v>
      </c>
    </row>
    <row r="1122" spans="2:10" ht="16.5" x14ac:dyDescent="0.25">
      <c r="B1122" s="49" t="e">
        <f>IF(ISBLANK('SQL Builder'!K1097)=FALSE,(DATE(LEFT('SQL Builder'!K1097,4),MID('SQL Builder'!K1097,6,2),MID('SQL Builder'!K1097,9,2))),NA())</f>
        <v>#N/A</v>
      </c>
      <c r="C1122" s="50" t="str">
        <f>IF(ISBLANK('SQL Builder'!K1097)=FALSE,'SQL Builder'!L1097,"")</f>
        <v/>
      </c>
      <c r="D1122" s="1" t="str">
        <f>IF(ISBLANK('SQL Builder'!K1097)=FALSE,'SQL Builder'!O1097,"")</f>
        <v/>
      </c>
      <c r="H1122" s="43" t="str">
        <f>IF(ISBLANK('SQL Builder'!K1096)=FALSE,H1121+1,"")</f>
        <v/>
      </c>
      <c r="I1122" s="1" t="str">
        <f>IF(ISBLANK('SQL Builder'!P1097)=FALSE,'SQL Builder'!N1097,"")</f>
        <v/>
      </c>
      <c r="J1122" s="79">
        <f t="shared" si="17"/>
        <v>0</v>
      </c>
    </row>
    <row r="1123" spans="2:10" ht="16.5" x14ac:dyDescent="0.25">
      <c r="B1123" s="49" t="e">
        <f>IF(ISBLANK('SQL Builder'!K1098)=FALSE,(DATE(LEFT('SQL Builder'!K1098,4),MID('SQL Builder'!K1098,6,2),MID('SQL Builder'!K1098,9,2))),NA())</f>
        <v>#N/A</v>
      </c>
      <c r="C1123" s="50" t="str">
        <f>IF(ISBLANK('SQL Builder'!K1098)=FALSE,'SQL Builder'!L1098,"")</f>
        <v/>
      </c>
      <c r="D1123" s="1" t="str">
        <f>IF(ISBLANK('SQL Builder'!K1098)=FALSE,'SQL Builder'!O1098,"")</f>
        <v/>
      </c>
      <c r="H1123" s="43" t="str">
        <f>IF(ISBLANK('SQL Builder'!K1097)=FALSE,H1122+1,"")</f>
        <v/>
      </c>
      <c r="I1123" s="1" t="str">
        <f>IF(ISBLANK('SQL Builder'!P1098)=FALSE,'SQL Builder'!N1098,"")</f>
        <v/>
      </c>
      <c r="J1123" s="79">
        <f t="shared" si="17"/>
        <v>0</v>
      </c>
    </row>
    <row r="1124" spans="2:10" ht="16.5" x14ac:dyDescent="0.25">
      <c r="B1124" s="49" t="e">
        <f>IF(ISBLANK('SQL Builder'!K1099)=FALSE,(DATE(LEFT('SQL Builder'!K1099,4),MID('SQL Builder'!K1099,6,2),MID('SQL Builder'!K1099,9,2))),NA())</f>
        <v>#N/A</v>
      </c>
      <c r="C1124" s="50" t="str">
        <f>IF(ISBLANK('SQL Builder'!K1099)=FALSE,'SQL Builder'!L1099,"")</f>
        <v/>
      </c>
      <c r="D1124" s="1" t="str">
        <f>IF(ISBLANK('SQL Builder'!K1099)=FALSE,'SQL Builder'!O1099,"")</f>
        <v/>
      </c>
      <c r="H1124" s="43" t="str">
        <f>IF(ISBLANK('SQL Builder'!K1098)=FALSE,H1123+1,"")</f>
        <v/>
      </c>
      <c r="I1124" s="1" t="str">
        <f>IF(ISBLANK('SQL Builder'!P1099)=FALSE,'SQL Builder'!N1099,"")</f>
        <v/>
      </c>
      <c r="J1124" s="79">
        <f t="shared" si="17"/>
        <v>0</v>
      </c>
    </row>
    <row r="1125" spans="2:10" ht="16.5" x14ac:dyDescent="0.25">
      <c r="B1125" s="49" t="e">
        <f>IF(ISBLANK('SQL Builder'!K1100)=FALSE,(DATE(LEFT('SQL Builder'!K1100,4),MID('SQL Builder'!K1100,6,2),MID('SQL Builder'!K1100,9,2))),NA())</f>
        <v>#N/A</v>
      </c>
      <c r="C1125" s="50" t="str">
        <f>IF(ISBLANK('SQL Builder'!K1100)=FALSE,'SQL Builder'!L1100,"")</f>
        <v/>
      </c>
      <c r="D1125" s="1" t="str">
        <f>IF(ISBLANK('SQL Builder'!K1100)=FALSE,'SQL Builder'!O1100,"")</f>
        <v/>
      </c>
      <c r="H1125" s="43" t="str">
        <f>IF(ISBLANK('SQL Builder'!K1099)=FALSE,H1124+1,"")</f>
        <v/>
      </c>
      <c r="I1125" s="1" t="str">
        <f>IF(ISBLANK('SQL Builder'!P1100)=FALSE,'SQL Builder'!N1100,"")</f>
        <v/>
      </c>
      <c r="J1125" s="79">
        <f t="shared" si="17"/>
        <v>0</v>
      </c>
    </row>
    <row r="1126" spans="2:10" ht="16.5" x14ac:dyDescent="0.25">
      <c r="B1126" s="49" t="e">
        <f>IF(ISBLANK('SQL Builder'!K1101)=FALSE,(DATE(LEFT('SQL Builder'!K1101,4),MID('SQL Builder'!K1101,6,2),MID('SQL Builder'!K1101,9,2))),NA())</f>
        <v>#N/A</v>
      </c>
      <c r="C1126" s="50" t="str">
        <f>IF(ISBLANK('SQL Builder'!K1101)=FALSE,'SQL Builder'!L1101,"")</f>
        <v/>
      </c>
      <c r="D1126" s="1" t="str">
        <f>IF(ISBLANK('SQL Builder'!K1101)=FALSE,'SQL Builder'!O1101,"")</f>
        <v/>
      </c>
      <c r="H1126" s="43" t="str">
        <f>IF(ISBLANK('SQL Builder'!K1100)=FALSE,H1125+1,"")</f>
        <v/>
      </c>
      <c r="I1126" s="1" t="str">
        <f>IF(ISBLANK('SQL Builder'!P1101)=FALSE,'SQL Builder'!N1101,"")</f>
        <v/>
      </c>
      <c r="J1126" s="79">
        <f t="shared" si="17"/>
        <v>0</v>
      </c>
    </row>
    <row r="1127" spans="2:10" ht="16.5" x14ac:dyDescent="0.25">
      <c r="B1127" s="49" t="e">
        <f>IF(ISBLANK('SQL Builder'!K1102)=FALSE,(DATE(LEFT('SQL Builder'!K1102,4),MID('SQL Builder'!K1102,6,2),MID('SQL Builder'!K1102,9,2))),NA())</f>
        <v>#N/A</v>
      </c>
      <c r="C1127" s="50" t="str">
        <f>IF(ISBLANK('SQL Builder'!K1102)=FALSE,'SQL Builder'!L1102,"")</f>
        <v/>
      </c>
      <c r="D1127" s="1" t="str">
        <f>IF(ISBLANK('SQL Builder'!K1102)=FALSE,'SQL Builder'!O1102,"")</f>
        <v/>
      </c>
      <c r="H1127" s="43" t="str">
        <f>IF(ISBLANK('SQL Builder'!K1101)=FALSE,H1126+1,"")</f>
        <v/>
      </c>
      <c r="I1127" s="1" t="str">
        <f>IF(ISBLANK('SQL Builder'!P1102)=FALSE,'SQL Builder'!N1102,"")</f>
        <v/>
      </c>
      <c r="J1127" s="79">
        <f t="shared" si="17"/>
        <v>0</v>
      </c>
    </row>
    <row r="1128" spans="2:10" ht="16.5" x14ac:dyDescent="0.25">
      <c r="B1128" s="49" t="e">
        <f>IF(ISBLANK('SQL Builder'!K1103)=FALSE,(DATE(LEFT('SQL Builder'!K1103,4),MID('SQL Builder'!K1103,6,2),MID('SQL Builder'!K1103,9,2))),NA())</f>
        <v>#N/A</v>
      </c>
      <c r="C1128" s="50" t="str">
        <f>IF(ISBLANK('SQL Builder'!K1103)=FALSE,'SQL Builder'!L1103,"")</f>
        <v/>
      </c>
      <c r="D1128" s="1" t="str">
        <f>IF(ISBLANK('SQL Builder'!K1103)=FALSE,'SQL Builder'!O1103,"")</f>
        <v/>
      </c>
      <c r="H1128" s="43" t="str">
        <f>IF(ISBLANK('SQL Builder'!K1102)=FALSE,H1127+1,"")</f>
        <v/>
      </c>
      <c r="I1128" s="1" t="str">
        <f>IF(ISBLANK('SQL Builder'!P1103)=FALSE,'SQL Builder'!N1103,"")</f>
        <v/>
      </c>
      <c r="J1128" s="79">
        <f t="shared" si="17"/>
        <v>0</v>
      </c>
    </row>
    <row r="1129" spans="2:10" ht="16.5" x14ac:dyDescent="0.25">
      <c r="B1129" s="49" t="e">
        <f>IF(ISBLANK('SQL Builder'!K1104)=FALSE,(DATE(LEFT('SQL Builder'!K1104,4),MID('SQL Builder'!K1104,6,2),MID('SQL Builder'!K1104,9,2))),NA())</f>
        <v>#N/A</v>
      </c>
      <c r="C1129" s="50" t="str">
        <f>IF(ISBLANK('SQL Builder'!K1104)=FALSE,'SQL Builder'!L1104,"")</f>
        <v/>
      </c>
      <c r="D1129" s="1" t="str">
        <f>IF(ISBLANK('SQL Builder'!K1104)=FALSE,'SQL Builder'!O1104,"")</f>
        <v/>
      </c>
      <c r="H1129" s="43" t="str">
        <f>IF(ISBLANK('SQL Builder'!K1103)=FALSE,H1128+1,"")</f>
        <v/>
      </c>
      <c r="I1129" s="1" t="str">
        <f>IF(ISBLANK('SQL Builder'!P1104)=FALSE,'SQL Builder'!N1104,"")</f>
        <v/>
      </c>
      <c r="J1129" s="79">
        <f t="shared" si="17"/>
        <v>0</v>
      </c>
    </row>
    <row r="1130" spans="2:10" ht="16.5" x14ac:dyDescent="0.25">
      <c r="B1130" s="49" t="e">
        <f>IF(ISBLANK('SQL Builder'!K1105)=FALSE,(DATE(LEFT('SQL Builder'!K1105,4),MID('SQL Builder'!K1105,6,2),MID('SQL Builder'!K1105,9,2))),NA())</f>
        <v>#N/A</v>
      </c>
      <c r="C1130" s="50" t="str">
        <f>IF(ISBLANK('SQL Builder'!K1105)=FALSE,'SQL Builder'!L1105,"")</f>
        <v/>
      </c>
      <c r="D1130" s="1" t="str">
        <f>IF(ISBLANK('SQL Builder'!K1105)=FALSE,'SQL Builder'!O1105,"")</f>
        <v/>
      </c>
      <c r="H1130" s="43" t="str">
        <f>IF(ISBLANK('SQL Builder'!K1104)=FALSE,H1129+1,"")</f>
        <v/>
      </c>
      <c r="I1130" s="1" t="str">
        <f>IF(ISBLANK('SQL Builder'!P1105)=FALSE,'SQL Builder'!N1105,"")</f>
        <v/>
      </c>
      <c r="J1130" s="79">
        <f t="shared" si="17"/>
        <v>0</v>
      </c>
    </row>
    <row r="1131" spans="2:10" ht="16.5" x14ac:dyDescent="0.25">
      <c r="B1131" s="49" t="e">
        <f>IF(ISBLANK('SQL Builder'!K1106)=FALSE,(DATE(LEFT('SQL Builder'!K1106,4),MID('SQL Builder'!K1106,6,2),MID('SQL Builder'!K1106,9,2))),NA())</f>
        <v>#N/A</v>
      </c>
      <c r="C1131" s="50" t="str">
        <f>IF(ISBLANK('SQL Builder'!K1106)=FALSE,'SQL Builder'!L1106,"")</f>
        <v/>
      </c>
      <c r="D1131" s="1" t="str">
        <f>IF(ISBLANK('SQL Builder'!K1106)=FALSE,'SQL Builder'!O1106,"")</f>
        <v/>
      </c>
      <c r="H1131" s="43" t="str">
        <f>IF(ISBLANK('SQL Builder'!K1105)=FALSE,H1130+1,"")</f>
        <v/>
      </c>
      <c r="I1131" s="1" t="str">
        <f>IF(ISBLANK('SQL Builder'!P1106)=FALSE,'SQL Builder'!N1106,"")</f>
        <v/>
      </c>
      <c r="J1131" s="79">
        <f t="shared" si="17"/>
        <v>0</v>
      </c>
    </row>
    <row r="1132" spans="2:10" ht="16.5" x14ac:dyDescent="0.25">
      <c r="B1132" s="49" t="e">
        <f>IF(ISBLANK('SQL Builder'!K1107)=FALSE,(DATE(LEFT('SQL Builder'!K1107,4),MID('SQL Builder'!K1107,6,2),MID('SQL Builder'!K1107,9,2))),NA())</f>
        <v>#N/A</v>
      </c>
      <c r="C1132" s="50" t="str">
        <f>IF(ISBLANK('SQL Builder'!K1107)=FALSE,'SQL Builder'!L1107,"")</f>
        <v/>
      </c>
      <c r="D1132" s="1" t="str">
        <f>IF(ISBLANK('SQL Builder'!K1107)=FALSE,'SQL Builder'!O1107,"")</f>
        <v/>
      </c>
      <c r="H1132" s="43" t="str">
        <f>IF(ISBLANK('SQL Builder'!K1106)=FALSE,H1131+1,"")</f>
        <v/>
      </c>
      <c r="I1132" s="1" t="str">
        <f>IF(ISBLANK('SQL Builder'!P1107)=FALSE,'SQL Builder'!N1107,"")</f>
        <v/>
      </c>
      <c r="J1132" s="79">
        <f t="shared" si="17"/>
        <v>0</v>
      </c>
    </row>
    <row r="1133" spans="2:10" ht="16.5" x14ac:dyDescent="0.25">
      <c r="B1133" s="49" t="e">
        <f>IF(ISBLANK('SQL Builder'!K1108)=FALSE,(DATE(LEFT('SQL Builder'!K1108,4),MID('SQL Builder'!K1108,6,2),MID('SQL Builder'!K1108,9,2))),NA())</f>
        <v>#N/A</v>
      </c>
      <c r="C1133" s="50" t="str">
        <f>IF(ISBLANK('SQL Builder'!K1108)=FALSE,'SQL Builder'!L1108,"")</f>
        <v/>
      </c>
      <c r="D1133" s="1" t="str">
        <f>IF(ISBLANK('SQL Builder'!K1108)=FALSE,'SQL Builder'!O1108,"")</f>
        <v/>
      </c>
      <c r="H1133" s="43" t="str">
        <f>IF(ISBLANK('SQL Builder'!K1107)=FALSE,H1132+1,"")</f>
        <v/>
      </c>
      <c r="I1133" s="1" t="str">
        <f>IF(ISBLANK('SQL Builder'!P1108)=FALSE,'SQL Builder'!N1108,"")</f>
        <v/>
      </c>
      <c r="J1133" s="79">
        <f t="shared" si="17"/>
        <v>0</v>
      </c>
    </row>
    <row r="1134" spans="2:10" ht="16.5" x14ac:dyDescent="0.25">
      <c r="B1134" s="49" t="e">
        <f>IF(ISBLANK('SQL Builder'!K1109)=FALSE,(DATE(LEFT('SQL Builder'!K1109,4),MID('SQL Builder'!K1109,6,2),MID('SQL Builder'!K1109,9,2))),NA())</f>
        <v>#N/A</v>
      </c>
      <c r="C1134" s="50" t="str">
        <f>IF(ISBLANK('SQL Builder'!K1109)=FALSE,'SQL Builder'!L1109,"")</f>
        <v/>
      </c>
      <c r="D1134" s="1" t="str">
        <f>IF(ISBLANK('SQL Builder'!K1109)=FALSE,'SQL Builder'!O1109,"")</f>
        <v/>
      </c>
      <c r="H1134" s="43" t="str">
        <f>IF(ISBLANK('SQL Builder'!K1108)=FALSE,H1133+1,"")</f>
        <v/>
      </c>
      <c r="I1134" s="1" t="str">
        <f>IF(ISBLANK('SQL Builder'!P1109)=FALSE,'SQL Builder'!N1109,"")</f>
        <v/>
      </c>
      <c r="J1134" s="79">
        <f t="shared" si="17"/>
        <v>0</v>
      </c>
    </row>
    <row r="1135" spans="2:10" ht="16.5" x14ac:dyDescent="0.25">
      <c r="B1135" s="49" t="e">
        <f>IF(ISBLANK('SQL Builder'!K1110)=FALSE,(DATE(LEFT('SQL Builder'!K1110,4),MID('SQL Builder'!K1110,6,2),MID('SQL Builder'!K1110,9,2))),NA())</f>
        <v>#N/A</v>
      </c>
      <c r="C1135" s="50" t="str">
        <f>IF(ISBLANK('SQL Builder'!K1110)=FALSE,'SQL Builder'!L1110,"")</f>
        <v/>
      </c>
      <c r="D1135" s="1" t="str">
        <f>IF(ISBLANK('SQL Builder'!K1110)=FALSE,'SQL Builder'!O1110,"")</f>
        <v/>
      </c>
      <c r="H1135" s="43" t="str">
        <f>IF(ISBLANK('SQL Builder'!K1109)=FALSE,H1134+1,"")</f>
        <v/>
      </c>
      <c r="I1135" s="1" t="str">
        <f>IF(ISBLANK('SQL Builder'!P1110)=FALSE,'SQL Builder'!N1110,"")</f>
        <v/>
      </c>
      <c r="J1135" s="79">
        <f t="shared" si="17"/>
        <v>0</v>
      </c>
    </row>
    <row r="1136" spans="2:10" ht="16.5" x14ac:dyDescent="0.25">
      <c r="B1136" s="49" t="e">
        <f>IF(ISBLANK('SQL Builder'!K1111)=FALSE,(DATE(LEFT('SQL Builder'!K1111,4),MID('SQL Builder'!K1111,6,2),MID('SQL Builder'!K1111,9,2))),NA())</f>
        <v>#N/A</v>
      </c>
      <c r="C1136" s="50" t="str">
        <f>IF(ISBLANK('SQL Builder'!K1111)=FALSE,'SQL Builder'!L1111,"")</f>
        <v/>
      </c>
      <c r="D1136" s="1" t="str">
        <f>IF(ISBLANK('SQL Builder'!K1111)=FALSE,'SQL Builder'!O1111,"")</f>
        <v/>
      </c>
      <c r="H1136" s="43" t="str">
        <f>IF(ISBLANK('SQL Builder'!K1110)=FALSE,H1135+1,"")</f>
        <v/>
      </c>
      <c r="I1136" s="1" t="str">
        <f>IF(ISBLANK('SQL Builder'!P1111)=FALSE,'SQL Builder'!N1111,"")</f>
        <v/>
      </c>
      <c r="J1136" s="79">
        <f t="shared" si="17"/>
        <v>0</v>
      </c>
    </row>
    <row r="1137" spans="2:10" ht="16.5" x14ac:dyDescent="0.25">
      <c r="B1137" s="49" t="e">
        <f>IF(ISBLANK('SQL Builder'!K1112)=FALSE,(DATE(LEFT('SQL Builder'!K1112,4),MID('SQL Builder'!K1112,6,2),MID('SQL Builder'!K1112,9,2))),NA())</f>
        <v>#N/A</v>
      </c>
      <c r="C1137" s="50" t="str">
        <f>IF(ISBLANK('SQL Builder'!K1112)=FALSE,'SQL Builder'!L1112,"")</f>
        <v/>
      </c>
      <c r="D1137" s="1" t="str">
        <f>IF(ISBLANK('SQL Builder'!K1112)=FALSE,'SQL Builder'!O1112,"")</f>
        <v/>
      </c>
      <c r="H1137" s="43" t="str">
        <f>IF(ISBLANK('SQL Builder'!K1111)=FALSE,H1136+1,"")</f>
        <v/>
      </c>
      <c r="I1137" s="1" t="str">
        <f>IF(ISBLANK('SQL Builder'!P1112)=FALSE,'SQL Builder'!N1112,"")</f>
        <v/>
      </c>
      <c r="J1137" s="79">
        <f t="shared" si="17"/>
        <v>0</v>
      </c>
    </row>
    <row r="1138" spans="2:10" ht="16.5" x14ac:dyDescent="0.25">
      <c r="B1138" s="49" t="e">
        <f>IF(ISBLANK('SQL Builder'!K1113)=FALSE,(DATE(LEFT('SQL Builder'!K1113,4),MID('SQL Builder'!K1113,6,2),MID('SQL Builder'!K1113,9,2))),NA())</f>
        <v>#N/A</v>
      </c>
      <c r="C1138" s="50" t="str">
        <f>IF(ISBLANK('SQL Builder'!K1113)=FALSE,'SQL Builder'!L1113,"")</f>
        <v/>
      </c>
      <c r="D1138" s="1" t="str">
        <f>IF(ISBLANK('SQL Builder'!K1113)=FALSE,'SQL Builder'!O1113,"")</f>
        <v/>
      </c>
      <c r="H1138" s="43" t="str">
        <f>IF(ISBLANK('SQL Builder'!K1112)=FALSE,H1137+1,"")</f>
        <v/>
      </c>
      <c r="I1138" s="1" t="str">
        <f>IF(ISBLANK('SQL Builder'!P1113)=FALSE,'SQL Builder'!N1113,"")</f>
        <v/>
      </c>
      <c r="J1138" s="79">
        <f t="shared" si="17"/>
        <v>0</v>
      </c>
    </row>
    <row r="1139" spans="2:10" ht="16.5" x14ac:dyDescent="0.25">
      <c r="B1139" s="49" t="e">
        <f>IF(ISBLANK('SQL Builder'!K1114)=FALSE,(DATE(LEFT('SQL Builder'!K1114,4),MID('SQL Builder'!K1114,6,2),MID('SQL Builder'!K1114,9,2))),NA())</f>
        <v>#N/A</v>
      </c>
      <c r="C1139" s="50" t="str">
        <f>IF(ISBLANK('SQL Builder'!K1114)=FALSE,'SQL Builder'!L1114,"")</f>
        <v/>
      </c>
      <c r="D1139" s="1" t="str">
        <f>IF(ISBLANK('SQL Builder'!K1114)=FALSE,'SQL Builder'!O1114,"")</f>
        <v/>
      </c>
      <c r="H1139" s="43" t="str">
        <f>IF(ISBLANK('SQL Builder'!K1113)=FALSE,H1138+1,"")</f>
        <v/>
      </c>
      <c r="I1139" s="1" t="str">
        <f>IF(ISBLANK('SQL Builder'!P1114)=FALSE,'SQL Builder'!N1114,"")</f>
        <v/>
      </c>
      <c r="J1139" s="79">
        <f t="shared" si="17"/>
        <v>0</v>
      </c>
    </row>
    <row r="1140" spans="2:10" ht="16.5" x14ac:dyDescent="0.25">
      <c r="B1140" s="49" t="e">
        <f>IF(ISBLANK('SQL Builder'!K1115)=FALSE,(DATE(LEFT('SQL Builder'!K1115,4),MID('SQL Builder'!K1115,6,2),MID('SQL Builder'!K1115,9,2))),NA())</f>
        <v>#N/A</v>
      </c>
      <c r="C1140" s="50" t="str">
        <f>IF(ISBLANK('SQL Builder'!K1115)=FALSE,'SQL Builder'!L1115,"")</f>
        <v/>
      </c>
      <c r="D1140" s="1" t="str">
        <f>IF(ISBLANK('SQL Builder'!K1115)=FALSE,'SQL Builder'!O1115,"")</f>
        <v/>
      </c>
      <c r="H1140" s="43" t="str">
        <f>IF(ISBLANK('SQL Builder'!K1114)=FALSE,H1139+1,"")</f>
        <v/>
      </c>
      <c r="I1140" s="1" t="str">
        <f>IF(ISBLANK('SQL Builder'!P1115)=FALSE,'SQL Builder'!N1115,"")</f>
        <v/>
      </c>
      <c r="J1140" s="79">
        <f t="shared" si="17"/>
        <v>0</v>
      </c>
    </row>
    <row r="1141" spans="2:10" ht="16.5" x14ac:dyDescent="0.25">
      <c r="B1141" s="49" t="e">
        <f>IF(ISBLANK('SQL Builder'!K1116)=FALSE,(DATE(LEFT('SQL Builder'!K1116,4),MID('SQL Builder'!K1116,6,2),MID('SQL Builder'!K1116,9,2))),NA())</f>
        <v>#N/A</v>
      </c>
      <c r="C1141" s="50" t="str">
        <f>IF(ISBLANK('SQL Builder'!K1116)=FALSE,'SQL Builder'!L1116,"")</f>
        <v/>
      </c>
      <c r="D1141" s="1" t="str">
        <f>IF(ISBLANK('SQL Builder'!K1116)=FALSE,'SQL Builder'!O1116,"")</f>
        <v/>
      </c>
      <c r="H1141" s="43" t="str">
        <f>IF(ISBLANK('SQL Builder'!K1115)=FALSE,H1140+1,"")</f>
        <v/>
      </c>
      <c r="I1141" s="1" t="str">
        <f>IF(ISBLANK('SQL Builder'!P1116)=FALSE,'SQL Builder'!N1116,"")</f>
        <v/>
      </c>
      <c r="J1141" s="79">
        <f t="shared" si="17"/>
        <v>0</v>
      </c>
    </row>
    <row r="1142" spans="2:10" ht="16.5" x14ac:dyDescent="0.25">
      <c r="B1142" s="49" t="e">
        <f>IF(ISBLANK('SQL Builder'!K1117)=FALSE,(DATE(LEFT('SQL Builder'!K1117,4),MID('SQL Builder'!K1117,6,2),MID('SQL Builder'!K1117,9,2))),NA())</f>
        <v>#N/A</v>
      </c>
      <c r="C1142" s="50" t="str">
        <f>IF(ISBLANK('SQL Builder'!K1117)=FALSE,'SQL Builder'!L1117,"")</f>
        <v/>
      </c>
      <c r="D1142" s="1" t="str">
        <f>IF(ISBLANK('SQL Builder'!K1117)=FALSE,'SQL Builder'!O1117,"")</f>
        <v/>
      </c>
      <c r="H1142" s="43" t="str">
        <f>IF(ISBLANK('SQL Builder'!K1116)=FALSE,H1141+1,"")</f>
        <v/>
      </c>
      <c r="I1142" s="1" t="str">
        <f>IF(ISBLANK('SQL Builder'!P1117)=FALSE,'SQL Builder'!N1117,"")</f>
        <v/>
      </c>
      <c r="J1142" s="79">
        <f t="shared" si="17"/>
        <v>0</v>
      </c>
    </row>
    <row r="1143" spans="2:10" ht="16.5" x14ac:dyDescent="0.25">
      <c r="B1143" s="49" t="e">
        <f>IF(ISBLANK('SQL Builder'!K1118)=FALSE,(DATE(LEFT('SQL Builder'!K1118,4),MID('SQL Builder'!K1118,6,2),MID('SQL Builder'!K1118,9,2))),NA())</f>
        <v>#N/A</v>
      </c>
      <c r="C1143" s="50" t="str">
        <f>IF(ISBLANK('SQL Builder'!K1118)=FALSE,'SQL Builder'!L1118,"")</f>
        <v/>
      </c>
      <c r="D1143" s="1" t="str">
        <f>IF(ISBLANK('SQL Builder'!K1118)=FALSE,'SQL Builder'!O1118,"")</f>
        <v/>
      </c>
      <c r="H1143" s="43" t="str">
        <f>IF(ISBLANK('SQL Builder'!K1117)=FALSE,H1142+1,"")</f>
        <v/>
      </c>
      <c r="I1143" s="1" t="str">
        <f>IF(ISBLANK('SQL Builder'!P1118)=FALSE,'SQL Builder'!N1118,"")</f>
        <v/>
      </c>
      <c r="J1143" s="79">
        <f t="shared" si="17"/>
        <v>0</v>
      </c>
    </row>
    <row r="1144" spans="2:10" ht="16.5" x14ac:dyDescent="0.25">
      <c r="B1144" s="49" t="e">
        <f>IF(ISBLANK('SQL Builder'!K1119)=FALSE,(DATE(LEFT('SQL Builder'!K1119,4),MID('SQL Builder'!K1119,6,2),MID('SQL Builder'!K1119,9,2))),NA())</f>
        <v>#N/A</v>
      </c>
      <c r="C1144" s="50" t="str">
        <f>IF(ISBLANK('SQL Builder'!K1119)=FALSE,'SQL Builder'!L1119,"")</f>
        <v/>
      </c>
      <c r="D1144" s="1" t="str">
        <f>IF(ISBLANK('SQL Builder'!K1119)=FALSE,'SQL Builder'!O1119,"")</f>
        <v/>
      </c>
      <c r="H1144" s="43" t="str">
        <f>IF(ISBLANK('SQL Builder'!K1118)=FALSE,H1143+1,"")</f>
        <v/>
      </c>
      <c r="I1144" s="1" t="str">
        <f>IF(ISBLANK('SQL Builder'!P1119)=FALSE,'SQL Builder'!N1119,"")</f>
        <v/>
      </c>
      <c r="J1144" s="79">
        <f t="shared" si="17"/>
        <v>0</v>
      </c>
    </row>
    <row r="1145" spans="2:10" ht="16.5" x14ac:dyDescent="0.25">
      <c r="B1145" s="49" t="e">
        <f>IF(ISBLANK('SQL Builder'!K1120)=FALSE,(DATE(LEFT('SQL Builder'!K1120,4),MID('SQL Builder'!K1120,6,2),MID('SQL Builder'!K1120,9,2))),NA())</f>
        <v>#N/A</v>
      </c>
      <c r="C1145" s="50" t="str">
        <f>IF(ISBLANK('SQL Builder'!K1120)=FALSE,'SQL Builder'!L1120,"")</f>
        <v/>
      </c>
      <c r="D1145" s="1" t="str">
        <f>IF(ISBLANK('SQL Builder'!K1120)=FALSE,'SQL Builder'!O1120,"")</f>
        <v/>
      </c>
      <c r="H1145" s="43" t="str">
        <f>IF(ISBLANK('SQL Builder'!K1119)=FALSE,H1144+1,"")</f>
        <v/>
      </c>
      <c r="I1145" s="1" t="str">
        <f>IF(ISBLANK('SQL Builder'!P1120)=FALSE,'SQL Builder'!N1120,"")</f>
        <v/>
      </c>
      <c r="J1145" s="79">
        <f t="shared" si="17"/>
        <v>0</v>
      </c>
    </row>
    <row r="1146" spans="2:10" ht="16.5" x14ac:dyDescent="0.25">
      <c r="B1146" s="49" t="e">
        <f>IF(ISBLANK('SQL Builder'!K1121)=FALSE,(DATE(LEFT('SQL Builder'!K1121,4),MID('SQL Builder'!K1121,6,2),MID('SQL Builder'!K1121,9,2))),NA())</f>
        <v>#N/A</v>
      </c>
      <c r="C1146" s="50" t="str">
        <f>IF(ISBLANK('SQL Builder'!K1121)=FALSE,'SQL Builder'!L1121,"")</f>
        <v/>
      </c>
      <c r="D1146" s="1" t="str">
        <f>IF(ISBLANK('SQL Builder'!K1121)=FALSE,'SQL Builder'!O1121,"")</f>
        <v/>
      </c>
      <c r="H1146" s="43" t="str">
        <f>IF(ISBLANK('SQL Builder'!K1120)=FALSE,H1145+1,"")</f>
        <v/>
      </c>
      <c r="I1146" s="1" t="str">
        <f>IF(ISBLANK('SQL Builder'!P1121)=FALSE,'SQL Builder'!N1121,"")</f>
        <v/>
      </c>
      <c r="J1146" s="79">
        <f t="shared" si="17"/>
        <v>0</v>
      </c>
    </row>
    <row r="1147" spans="2:10" ht="16.5" x14ac:dyDescent="0.25">
      <c r="B1147" s="49" t="e">
        <f>IF(ISBLANK('SQL Builder'!K1122)=FALSE,(DATE(LEFT('SQL Builder'!K1122,4),MID('SQL Builder'!K1122,6,2),MID('SQL Builder'!K1122,9,2))),NA())</f>
        <v>#N/A</v>
      </c>
      <c r="C1147" s="50" t="str">
        <f>IF(ISBLANK('SQL Builder'!K1122)=FALSE,'SQL Builder'!L1122,"")</f>
        <v/>
      </c>
      <c r="D1147" s="1" t="str">
        <f>IF(ISBLANK('SQL Builder'!K1122)=FALSE,'SQL Builder'!O1122,"")</f>
        <v/>
      </c>
      <c r="H1147" s="43" t="str">
        <f>IF(ISBLANK('SQL Builder'!K1121)=FALSE,H1146+1,"")</f>
        <v/>
      </c>
      <c r="I1147" s="1" t="str">
        <f>IF(ISBLANK('SQL Builder'!P1122)=FALSE,'SQL Builder'!N1122,"")</f>
        <v/>
      </c>
      <c r="J1147" s="79">
        <f t="shared" si="17"/>
        <v>0</v>
      </c>
    </row>
    <row r="1148" spans="2:10" ht="16.5" x14ac:dyDescent="0.25">
      <c r="B1148" s="49" t="e">
        <f>IF(ISBLANK('SQL Builder'!K1123)=FALSE,(DATE(LEFT('SQL Builder'!K1123,4),MID('SQL Builder'!K1123,6,2),MID('SQL Builder'!K1123,9,2))),NA())</f>
        <v>#N/A</v>
      </c>
      <c r="C1148" s="50" t="str">
        <f>IF(ISBLANK('SQL Builder'!K1123)=FALSE,'SQL Builder'!L1123,"")</f>
        <v/>
      </c>
      <c r="D1148" s="1" t="str">
        <f>IF(ISBLANK('SQL Builder'!K1123)=FALSE,'SQL Builder'!O1123,"")</f>
        <v/>
      </c>
      <c r="H1148" s="43" t="str">
        <f>IF(ISBLANK('SQL Builder'!K1122)=FALSE,H1147+1,"")</f>
        <v/>
      </c>
      <c r="I1148" s="1" t="str">
        <f>IF(ISBLANK('SQL Builder'!P1123)=FALSE,'SQL Builder'!N1123,"")</f>
        <v/>
      </c>
      <c r="J1148" s="79">
        <f t="shared" si="17"/>
        <v>0</v>
      </c>
    </row>
    <row r="1149" spans="2:10" ht="16.5" x14ac:dyDescent="0.25">
      <c r="B1149" s="49" t="e">
        <f>IF(ISBLANK('SQL Builder'!K1124)=FALSE,(DATE(LEFT('SQL Builder'!K1124,4),MID('SQL Builder'!K1124,6,2),MID('SQL Builder'!K1124,9,2))),NA())</f>
        <v>#N/A</v>
      </c>
      <c r="C1149" s="50" t="str">
        <f>IF(ISBLANK('SQL Builder'!K1124)=FALSE,'SQL Builder'!L1124,"")</f>
        <v/>
      </c>
      <c r="D1149" s="1" t="str">
        <f>IF(ISBLANK('SQL Builder'!K1124)=FALSE,'SQL Builder'!O1124,"")</f>
        <v/>
      </c>
      <c r="H1149" s="43" t="str">
        <f>IF(ISBLANK('SQL Builder'!K1123)=FALSE,H1148+1,"")</f>
        <v/>
      </c>
      <c r="I1149" s="1" t="str">
        <f>IF(ISBLANK('SQL Builder'!P1124)=FALSE,'SQL Builder'!N1124,"")</f>
        <v/>
      </c>
      <c r="J1149" s="79">
        <f t="shared" si="17"/>
        <v>0</v>
      </c>
    </row>
    <row r="1150" spans="2:10" ht="16.5" x14ac:dyDescent="0.25">
      <c r="B1150" s="49" t="e">
        <f>IF(ISBLANK('SQL Builder'!K1125)=FALSE,(DATE(LEFT('SQL Builder'!K1125,4),MID('SQL Builder'!K1125,6,2),MID('SQL Builder'!K1125,9,2))),NA())</f>
        <v>#N/A</v>
      </c>
      <c r="C1150" s="50" t="str">
        <f>IF(ISBLANK('SQL Builder'!K1125)=FALSE,'SQL Builder'!L1125,"")</f>
        <v/>
      </c>
      <c r="D1150" s="1" t="str">
        <f>IF(ISBLANK('SQL Builder'!K1125)=FALSE,'SQL Builder'!O1125,"")</f>
        <v/>
      </c>
      <c r="H1150" s="43" t="str">
        <f>IF(ISBLANK('SQL Builder'!K1124)=FALSE,H1149+1,"")</f>
        <v/>
      </c>
      <c r="I1150" s="1" t="str">
        <f>IF(ISBLANK('SQL Builder'!P1125)=FALSE,'SQL Builder'!N1125,"")</f>
        <v/>
      </c>
      <c r="J1150" s="79">
        <f t="shared" si="17"/>
        <v>0</v>
      </c>
    </row>
    <row r="1151" spans="2:10" ht="16.5" x14ac:dyDescent="0.25">
      <c r="B1151" s="49" t="e">
        <f>IF(ISBLANK('SQL Builder'!K1126)=FALSE,(DATE(LEFT('SQL Builder'!K1126,4),MID('SQL Builder'!K1126,6,2),MID('SQL Builder'!K1126,9,2))),NA())</f>
        <v>#N/A</v>
      </c>
      <c r="C1151" s="50" t="str">
        <f>IF(ISBLANK('SQL Builder'!K1126)=FALSE,'SQL Builder'!L1126,"")</f>
        <v/>
      </c>
      <c r="D1151" s="1" t="str">
        <f>IF(ISBLANK('SQL Builder'!K1126)=FALSE,'SQL Builder'!O1126,"")</f>
        <v/>
      </c>
      <c r="H1151" s="43" t="str">
        <f>IF(ISBLANK('SQL Builder'!K1125)=FALSE,H1150+1,"")</f>
        <v/>
      </c>
      <c r="I1151" s="1" t="str">
        <f>IF(ISBLANK('SQL Builder'!P1126)=FALSE,'SQL Builder'!N1126,"")</f>
        <v/>
      </c>
      <c r="J1151" s="79">
        <f t="shared" si="17"/>
        <v>0</v>
      </c>
    </row>
    <row r="1152" spans="2:10" ht="16.5" x14ac:dyDescent="0.25">
      <c r="B1152" s="49" t="e">
        <f>IF(ISBLANK('SQL Builder'!K1127)=FALSE,(DATE(LEFT('SQL Builder'!K1127,4),MID('SQL Builder'!K1127,6,2),MID('SQL Builder'!K1127,9,2))),NA())</f>
        <v>#N/A</v>
      </c>
      <c r="C1152" s="50" t="str">
        <f>IF(ISBLANK('SQL Builder'!K1127)=FALSE,'SQL Builder'!L1127,"")</f>
        <v/>
      </c>
      <c r="D1152" s="1" t="str">
        <f>IF(ISBLANK('SQL Builder'!K1127)=FALSE,'SQL Builder'!O1127,"")</f>
        <v/>
      </c>
      <c r="H1152" s="43" t="str">
        <f>IF(ISBLANK('SQL Builder'!K1126)=FALSE,H1151+1,"")</f>
        <v/>
      </c>
      <c r="I1152" s="1" t="str">
        <f>IF(ISBLANK('SQL Builder'!P1127)=FALSE,'SQL Builder'!N1127,"")</f>
        <v/>
      </c>
      <c r="J1152" s="79">
        <f t="shared" si="17"/>
        <v>0</v>
      </c>
    </row>
    <row r="1153" spans="2:10" ht="16.5" x14ac:dyDescent="0.25">
      <c r="B1153" s="49" t="e">
        <f>IF(ISBLANK('SQL Builder'!K1128)=FALSE,(DATE(LEFT('SQL Builder'!K1128,4),MID('SQL Builder'!K1128,6,2),MID('SQL Builder'!K1128,9,2))),NA())</f>
        <v>#N/A</v>
      </c>
      <c r="C1153" s="50" t="str">
        <f>IF(ISBLANK('SQL Builder'!K1128)=FALSE,'SQL Builder'!L1128,"")</f>
        <v/>
      </c>
      <c r="D1153" s="1" t="str">
        <f>IF(ISBLANK('SQL Builder'!K1128)=FALSE,'SQL Builder'!O1128,"")</f>
        <v/>
      </c>
      <c r="H1153" s="43" t="str">
        <f>IF(ISBLANK('SQL Builder'!K1127)=FALSE,H1152+1,"")</f>
        <v/>
      </c>
      <c r="I1153" s="1" t="str">
        <f>IF(ISBLANK('SQL Builder'!P1128)=FALSE,'SQL Builder'!N1128,"")</f>
        <v/>
      </c>
      <c r="J1153" s="79">
        <f t="shared" si="17"/>
        <v>0</v>
      </c>
    </row>
    <row r="1154" spans="2:10" ht="16.5" x14ac:dyDescent="0.25">
      <c r="B1154" s="49" t="e">
        <f>IF(ISBLANK('SQL Builder'!K1129)=FALSE,(DATE(LEFT('SQL Builder'!K1129,4),MID('SQL Builder'!K1129,6,2),MID('SQL Builder'!K1129,9,2))),NA())</f>
        <v>#N/A</v>
      </c>
      <c r="C1154" s="50" t="str">
        <f>IF(ISBLANK('SQL Builder'!K1129)=FALSE,'SQL Builder'!L1129,"")</f>
        <v/>
      </c>
      <c r="D1154" s="1" t="str">
        <f>IF(ISBLANK('SQL Builder'!K1129)=FALSE,'SQL Builder'!O1129,"")</f>
        <v/>
      </c>
      <c r="H1154" s="43" t="str">
        <f>IF(ISBLANK('SQL Builder'!K1128)=FALSE,H1153+1,"")</f>
        <v/>
      </c>
      <c r="I1154" s="1" t="str">
        <f>IF(ISBLANK('SQL Builder'!P1129)=FALSE,'SQL Builder'!N1129,"")</f>
        <v/>
      </c>
      <c r="J1154" s="79">
        <f t="shared" si="17"/>
        <v>0</v>
      </c>
    </row>
    <row r="1155" spans="2:10" ht="16.5" x14ac:dyDescent="0.25">
      <c r="B1155" s="49" t="e">
        <f>IF(ISBLANK('SQL Builder'!K1130)=FALSE,(DATE(LEFT('SQL Builder'!K1130,4),MID('SQL Builder'!K1130,6,2),MID('SQL Builder'!K1130,9,2))),NA())</f>
        <v>#N/A</v>
      </c>
      <c r="C1155" s="50" t="str">
        <f>IF(ISBLANK('SQL Builder'!K1130)=FALSE,'SQL Builder'!L1130,"")</f>
        <v/>
      </c>
      <c r="D1155" s="1" t="str">
        <f>IF(ISBLANK('SQL Builder'!K1130)=FALSE,'SQL Builder'!O1130,"")</f>
        <v/>
      </c>
      <c r="H1155" s="43" t="str">
        <f>IF(ISBLANK('SQL Builder'!K1129)=FALSE,H1154+1,"")</f>
        <v/>
      </c>
      <c r="I1155" s="1" t="str">
        <f>IF(ISBLANK('SQL Builder'!P1130)=FALSE,'SQL Builder'!N1130,"")</f>
        <v/>
      </c>
      <c r="J1155" s="79">
        <f t="shared" si="17"/>
        <v>0</v>
      </c>
    </row>
    <row r="1156" spans="2:10" ht="16.5" x14ac:dyDescent="0.25">
      <c r="B1156" s="49" t="e">
        <f>IF(ISBLANK('SQL Builder'!K1131)=FALSE,(DATE(LEFT('SQL Builder'!K1131,4),MID('SQL Builder'!K1131,6,2),MID('SQL Builder'!K1131,9,2))),NA())</f>
        <v>#N/A</v>
      </c>
      <c r="C1156" s="50" t="str">
        <f>IF(ISBLANK('SQL Builder'!K1131)=FALSE,'SQL Builder'!L1131,"")</f>
        <v/>
      </c>
      <c r="D1156" s="1" t="str">
        <f>IF(ISBLANK('SQL Builder'!K1131)=FALSE,'SQL Builder'!O1131,"")</f>
        <v/>
      </c>
      <c r="H1156" s="43" t="str">
        <f>IF(ISBLANK('SQL Builder'!K1130)=FALSE,H1155+1,"")</f>
        <v/>
      </c>
      <c r="I1156" s="1" t="str">
        <f>IF(ISBLANK('SQL Builder'!P1131)=FALSE,'SQL Builder'!N1131,"")</f>
        <v/>
      </c>
      <c r="J1156" s="79">
        <f t="shared" si="17"/>
        <v>0</v>
      </c>
    </row>
    <row r="1157" spans="2:10" ht="16.5" x14ac:dyDescent="0.25">
      <c r="B1157" s="49" t="e">
        <f>IF(ISBLANK('SQL Builder'!K1132)=FALSE,(DATE(LEFT('SQL Builder'!K1132,4),MID('SQL Builder'!K1132,6,2),MID('SQL Builder'!K1132,9,2))),NA())</f>
        <v>#N/A</v>
      </c>
      <c r="C1157" s="50" t="str">
        <f>IF(ISBLANK('SQL Builder'!K1132)=FALSE,'SQL Builder'!L1132,"")</f>
        <v/>
      </c>
      <c r="D1157" s="1" t="str">
        <f>IF(ISBLANK('SQL Builder'!K1132)=FALSE,'SQL Builder'!O1132,"")</f>
        <v/>
      </c>
      <c r="H1157" s="43" t="str">
        <f>IF(ISBLANK('SQL Builder'!K1131)=FALSE,H1156+1,"")</f>
        <v/>
      </c>
      <c r="I1157" s="1" t="str">
        <f>IF(ISBLANK('SQL Builder'!P1132)=FALSE,'SQL Builder'!N1132,"")</f>
        <v/>
      </c>
      <c r="J1157" s="79">
        <f t="shared" si="17"/>
        <v>0</v>
      </c>
    </row>
    <row r="1158" spans="2:10" ht="16.5" x14ac:dyDescent="0.25">
      <c r="B1158" s="49" t="e">
        <f>IF(ISBLANK('SQL Builder'!K1133)=FALSE,(DATE(LEFT('SQL Builder'!K1133,4),MID('SQL Builder'!K1133,6,2),MID('SQL Builder'!K1133,9,2))),NA())</f>
        <v>#N/A</v>
      </c>
      <c r="C1158" s="50" t="str">
        <f>IF(ISBLANK('SQL Builder'!K1133)=FALSE,'SQL Builder'!L1133,"")</f>
        <v/>
      </c>
      <c r="D1158" s="1" t="str">
        <f>IF(ISBLANK('SQL Builder'!K1133)=FALSE,'SQL Builder'!O1133,"")</f>
        <v/>
      </c>
      <c r="H1158" s="43" t="str">
        <f>IF(ISBLANK('SQL Builder'!K1132)=FALSE,H1157+1,"")</f>
        <v/>
      </c>
      <c r="I1158" s="1" t="str">
        <f>IF(ISBLANK('SQL Builder'!P1133)=FALSE,'SQL Builder'!N1133,"")</f>
        <v/>
      </c>
      <c r="J1158" s="79">
        <f t="shared" si="17"/>
        <v>0</v>
      </c>
    </row>
    <row r="1159" spans="2:10" ht="16.5" x14ac:dyDescent="0.25">
      <c r="B1159" s="49" t="e">
        <f>IF(ISBLANK('SQL Builder'!K1134)=FALSE,(DATE(LEFT('SQL Builder'!K1134,4),MID('SQL Builder'!K1134,6,2),MID('SQL Builder'!K1134,9,2))),NA())</f>
        <v>#N/A</v>
      </c>
      <c r="C1159" s="50" t="str">
        <f>IF(ISBLANK('SQL Builder'!K1134)=FALSE,'SQL Builder'!L1134,"")</f>
        <v/>
      </c>
      <c r="D1159" s="1" t="str">
        <f>IF(ISBLANK('SQL Builder'!K1134)=FALSE,'SQL Builder'!O1134,"")</f>
        <v/>
      </c>
      <c r="H1159" s="43" t="str">
        <f>IF(ISBLANK('SQL Builder'!K1133)=FALSE,H1158+1,"")</f>
        <v/>
      </c>
      <c r="I1159" s="1" t="str">
        <f>IF(ISBLANK('SQL Builder'!P1134)=FALSE,'SQL Builder'!N1134,"")</f>
        <v/>
      </c>
      <c r="J1159" s="79">
        <f t="shared" si="17"/>
        <v>0</v>
      </c>
    </row>
    <row r="1160" spans="2:10" ht="16.5" x14ac:dyDescent="0.25">
      <c r="B1160" s="49" t="e">
        <f>IF(ISBLANK('SQL Builder'!K1135)=FALSE,(DATE(LEFT('SQL Builder'!K1135,4),MID('SQL Builder'!K1135,6,2),MID('SQL Builder'!K1135,9,2))),NA())</f>
        <v>#N/A</v>
      </c>
      <c r="C1160" s="50" t="str">
        <f>IF(ISBLANK('SQL Builder'!K1135)=FALSE,'SQL Builder'!L1135,"")</f>
        <v/>
      </c>
      <c r="D1160" s="1" t="str">
        <f>IF(ISBLANK('SQL Builder'!K1135)=FALSE,'SQL Builder'!O1135,"")</f>
        <v/>
      </c>
      <c r="H1160" s="43" t="str">
        <f>IF(ISBLANK('SQL Builder'!K1134)=FALSE,H1159+1,"")</f>
        <v/>
      </c>
      <c r="I1160" s="1" t="str">
        <f>IF(ISBLANK('SQL Builder'!P1135)=FALSE,'SQL Builder'!N1135,"")</f>
        <v/>
      </c>
      <c r="J1160" s="79">
        <f t="shared" si="17"/>
        <v>0</v>
      </c>
    </row>
    <row r="1161" spans="2:10" ht="16.5" x14ac:dyDescent="0.25">
      <c r="B1161" s="49" t="e">
        <f>IF(ISBLANK('SQL Builder'!K1136)=FALSE,(DATE(LEFT('SQL Builder'!K1136,4),MID('SQL Builder'!K1136,6,2),MID('SQL Builder'!K1136,9,2))),NA())</f>
        <v>#N/A</v>
      </c>
      <c r="C1161" s="50" t="str">
        <f>IF(ISBLANK('SQL Builder'!K1136)=FALSE,'SQL Builder'!L1136,"")</f>
        <v/>
      </c>
      <c r="D1161" s="1" t="str">
        <f>IF(ISBLANK('SQL Builder'!K1136)=FALSE,'SQL Builder'!O1136,"")</f>
        <v/>
      </c>
      <c r="H1161" s="43" t="str">
        <f>IF(ISBLANK('SQL Builder'!K1135)=FALSE,H1160+1,"")</f>
        <v/>
      </c>
      <c r="I1161" s="1" t="str">
        <f>IF(ISBLANK('SQL Builder'!P1136)=FALSE,'SQL Builder'!N1136,"")</f>
        <v/>
      </c>
      <c r="J1161" s="79">
        <f t="shared" si="17"/>
        <v>0</v>
      </c>
    </row>
    <row r="1162" spans="2:10" ht="16.5" x14ac:dyDescent="0.25">
      <c r="B1162" s="49" t="e">
        <f>IF(ISBLANK('SQL Builder'!K1137)=FALSE,(DATE(LEFT('SQL Builder'!K1137,4),MID('SQL Builder'!K1137,6,2),MID('SQL Builder'!K1137,9,2))),NA())</f>
        <v>#N/A</v>
      </c>
      <c r="C1162" s="50" t="str">
        <f>IF(ISBLANK('SQL Builder'!K1137)=FALSE,'SQL Builder'!L1137,"")</f>
        <v/>
      </c>
      <c r="D1162" s="1" t="str">
        <f>IF(ISBLANK('SQL Builder'!K1137)=FALSE,'SQL Builder'!O1137,"")</f>
        <v/>
      </c>
      <c r="H1162" s="43" t="str">
        <f>IF(ISBLANK('SQL Builder'!K1136)=FALSE,H1161+1,"")</f>
        <v/>
      </c>
      <c r="I1162" s="1" t="str">
        <f>IF(ISBLANK('SQL Builder'!P1137)=FALSE,'SQL Builder'!N1137,"")</f>
        <v/>
      </c>
      <c r="J1162" s="79">
        <f t="shared" si="17"/>
        <v>0</v>
      </c>
    </row>
    <row r="1163" spans="2:10" ht="16.5" x14ac:dyDescent="0.25">
      <c r="B1163" s="49" t="e">
        <f>IF(ISBLANK('SQL Builder'!K1138)=FALSE,(DATE(LEFT('SQL Builder'!K1138,4),MID('SQL Builder'!K1138,6,2),MID('SQL Builder'!K1138,9,2))),NA())</f>
        <v>#N/A</v>
      </c>
      <c r="C1163" s="50" t="str">
        <f>IF(ISBLANK('SQL Builder'!K1138)=FALSE,'SQL Builder'!L1138,"")</f>
        <v/>
      </c>
      <c r="D1163" s="1" t="str">
        <f>IF(ISBLANK('SQL Builder'!K1138)=FALSE,'SQL Builder'!O1138,"")</f>
        <v/>
      </c>
      <c r="H1163" s="43" t="str">
        <f>IF(ISBLANK('SQL Builder'!K1137)=FALSE,H1162+1,"")</f>
        <v/>
      </c>
      <c r="I1163" s="1" t="str">
        <f>IF(ISBLANK('SQL Builder'!P1138)=FALSE,'SQL Builder'!N1138,"")</f>
        <v/>
      </c>
      <c r="J1163" s="79">
        <f t="shared" si="17"/>
        <v>0</v>
      </c>
    </row>
    <row r="1164" spans="2:10" ht="16.5" x14ac:dyDescent="0.25">
      <c r="B1164" s="49" t="e">
        <f>IF(ISBLANK('SQL Builder'!K1139)=FALSE,(DATE(LEFT('SQL Builder'!K1139,4),MID('SQL Builder'!K1139,6,2),MID('SQL Builder'!K1139,9,2))),NA())</f>
        <v>#N/A</v>
      </c>
      <c r="C1164" s="50" t="str">
        <f>IF(ISBLANK('SQL Builder'!K1139)=FALSE,'SQL Builder'!L1139,"")</f>
        <v/>
      </c>
      <c r="D1164" s="1" t="str">
        <f>IF(ISBLANK('SQL Builder'!K1139)=FALSE,'SQL Builder'!O1139,"")</f>
        <v/>
      </c>
      <c r="H1164" s="43" t="str">
        <f>IF(ISBLANK('SQL Builder'!K1138)=FALSE,H1163+1,"")</f>
        <v/>
      </c>
      <c r="I1164" s="1" t="str">
        <f>IF(ISBLANK('SQL Builder'!P1139)=FALSE,'SQL Builder'!N1139,"")</f>
        <v/>
      </c>
      <c r="J1164" s="79">
        <f t="shared" si="17"/>
        <v>0</v>
      </c>
    </row>
    <row r="1165" spans="2:10" ht="16.5" x14ac:dyDescent="0.25">
      <c r="B1165" s="49" t="e">
        <f>IF(ISBLANK('SQL Builder'!K1140)=FALSE,(DATE(LEFT('SQL Builder'!K1140,4),MID('SQL Builder'!K1140,6,2),MID('SQL Builder'!K1140,9,2))),NA())</f>
        <v>#N/A</v>
      </c>
      <c r="C1165" s="50" t="str">
        <f>IF(ISBLANK('SQL Builder'!K1140)=FALSE,'SQL Builder'!L1140,"")</f>
        <v/>
      </c>
      <c r="D1165" s="1" t="str">
        <f>IF(ISBLANK('SQL Builder'!K1140)=FALSE,'SQL Builder'!O1140,"")</f>
        <v/>
      </c>
      <c r="H1165" s="43" t="str">
        <f>IF(ISBLANK('SQL Builder'!K1139)=FALSE,H1164+1,"")</f>
        <v/>
      </c>
      <c r="I1165" s="1" t="str">
        <f>IF(ISBLANK('SQL Builder'!P1140)=FALSE,'SQL Builder'!N1140,"")</f>
        <v/>
      </c>
      <c r="J1165" s="79">
        <f t="shared" si="17"/>
        <v>0</v>
      </c>
    </row>
    <row r="1166" spans="2:10" ht="16.5" x14ac:dyDescent="0.25">
      <c r="B1166" s="49" t="e">
        <f>IF(ISBLANK('SQL Builder'!K1141)=FALSE,(DATE(LEFT('SQL Builder'!K1141,4),MID('SQL Builder'!K1141,6,2),MID('SQL Builder'!K1141,9,2))),NA())</f>
        <v>#N/A</v>
      </c>
      <c r="C1166" s="50" t="str">
        <f>IF(ISBLANK('SQL Builder'!K1141)=FALSE,'SQL Builder'!L1141,"")</f>
        <v/>
      </c>
      <c r="D1166" s="1" t="str">
        <f>IF(ISBLANK('SQL Builder'!K1141)=FALSE,'SQL Builder'!O1141,"")</f>
        <v/>
      </c>
      <c r="H1166" s="43" t="str">
        <f>IF(ISBLANK('SQL Builder'!K1140)=FALSE,H1165+1,"")</f>
        <v/>
      </c>
      <c r="I1166" s="1" t="str">
        <f>IF(ISBLANK('SQL Builder'!P1141)=FALSE,'SQL Builder'!N1141,"")</f>
        <v/>
      </c>
      <c r="J1166" s="79">
        <f t="shared" si="17"/>
        <v>0</v>
      </c>
    </row>
    <row r="1167" spans="2:10" ht="16.5" x14ac:dyDescent="0.25">
      <c r="B1167" s="49" t="e">
        <f>IF(ISBLANK('SQL Builder'!K1142)=FALSE,(DATE(LEFT('SQL Builder'!K1142,4),MID('SQL Builder'!K1142,6,2),MID('SQL Builder'!K1142,9,2))),NA())</f>
        <v>#N/A</v>
      </c>
      <c r="C1167" s="50" t="str">
        <f>IF(ISBLANK('SQL Builder'!K1142)=FALSE,'SQL Builder'!L1142,"")</f>
        <v/>
      </c>
      <c r="D1167" s="1" t="str">
        <f>IF(ISBLANK('SQL Builder'!K1142)=FALSE,'SQL Builder'!O1142,"")</f>
        <v/>
      </c>
      <c r="H1167" s="43" t="str">
        <f>IF(ISBLANK('SQL Builder'!K1141)=FALSE,H1166+1,"")</f>
        <v/>
      </c>
      <c r="I1167" s="1" t="str">
        <f>IF(ISBLANK('SQL Builder'!P1142)=FALSE,'SQL Builder'!N1142,"")</f>
        <v/>
      </c>
      <c r="J1167" s="79">
        <f t="shared" si="17"/>
        <v>0</v>
      </c>
    </row>
    <row r="1168" spans="2:10" ht="16.5" x14ac:dyDescent="0.25">
      <c r="B1168" s="49" t="e">
        <f>IF(ISBLANK('SQL Builder'!K1143)=FALSE,(DATE(LEFT('SQL Builder'!K1143,4),MID('SQL Builder'!K1143,6,2),MID('SQL Builder'!K1143,9,2))),NA())</f>
        <v>#N/A</v>
      </c>
      <c r="C1168" s="50" t="str">
        <f>IF(ISBLANK('SQL Builder'!K1143)=FALSE,'SQL Builder'!L1143,"")</f>
        <v/>
      </c>
      <c r="D1168" s="1" t="str">
        <f>IF(ISBLANK('SQL Builder'!K1143)=FALSE,'SQL Builder'!O1143,"")</f>
        <v/>
      </c>
      <c r="H1168" s="43" t="str">
        <f>IF(ISBLANK('SQL Builder'!K1142)=FALSE,H1167+1,"")</f>
        <v/>
      </c>
      <c r="I1168" s="1" t="str">
        <f>IF(ISBLANK('SQL Builder'!P1143)=FALSE,'SQL Builder'!N1143,"")</f>
        <v/>
      </c>
      <c r="J1168" s="79">
        <f t="shared" si="17"/>
        <v>0</v>
      </c>
    </row>
    <row r="1169" spans="2:10" ht="16.5" x14ac:dyDescent="0.25">
      <c r="B1169" s="49" t="e">
        <f>IF(ISBLANK('SQL Builder'!K1144)=FALSE,(DATE(LEFT('SQL Builder'!K1144,4),MID('SQL Builder'!K1144,6,2),MID('SQL Builder'!K1144,9,2))),NA())</f>
        <v>#N/A</v>
      </c>
      <c r="C1169" s="50" t="str">
        <f>IF(ISBLANK('SQL Builder'!K1144)=FALSE,'SQL Builder'!L1144,"")</f>
        <v/>
      </c>
      <c r="D1169" s="1" t="str">
        <f>IF(ISBLANK('SQL Builder'!K1144)=FALSE,'SQL Builder'!O1144,"")</f>
        <v/>
      </c>
      <c r="H1169" s="43" t="str">
        <f>IF(ISBLANK('SQL Builder'!K1143)=FALSE,H1168+1,"")</f>
        <v/>
      </c>
      <c r="I1169" s="1" t="str">
        <f>IF(ISBLANK('SQL Builder'!P1144)=FALSE,'SQL Builder'!N1144,"")</f>
        <v/>
      </c>
      <c r="J1169" s="79">
        <f t="shared" si="17"/>
        <v>0</v>
      </c>
    </row>
    <row r="1170" spans="2:10" ht="16.5" x14ac:dyDescent="0.25">
      <c r="B1170" s="49" t="e">
        <f>IF(ISBLANK('SQL Builder'!K1145)=FALSE,(DATE(LEFT('SQL Builder'!K1145,4),MID('SQL Builder'!K1145,6,2),MID('SQL Builder'!K1145,9,2))),NA())</f>
        <v>#N/A</v>
      </c>
      <c r="C1170" s="50" t="str">
        <f>IF(ISBLANK('SQL Builder'!K1145)=FALSE,'SQL Builder'!L1145,"")</f>
        <v/>
      </c>
      <c r="D1170" s="1" t="str">
        <f>IF(ISBLANK('SQL Builder'!K1145)=FALSE,'SQL Builder'!O1145,"")</f>
        <v/>
      </c>
      <c r="H1170" s="43" t="str">
        <f>IF(ISBLANK('SQL Builder'!K1144)=FALSE,H1169+1,"")</f>
        <v/>
      </c>
      <c r="I1170" s="1" t="str">
        <f>IF(ISBLANK('SQL Builder'!P1145)=FALSE,'SQL Builder'!N1145,"")</f>
        <v/>
      </c>
      <c r="J1170" s="79">
        <f t="shared" si="17"/>
        <v>0</v>
      </c>
    </row>
    <row r="1171" spans="2:10" ht="16.5" x14ac:dyDescent="0.25">
      <c r="B1171" s="49" t="e">
        <f>IF(ISBLANK('SQL Builder'!K1146)=FALSE,(DATE(LEFT('SQL Builder'!K1146,4),MID('SQL Builder'!K1146,6,2),MID('SQL Builder'!K1146,9,2))),NA())</f>
        <v>#N/A</v>
      </c>
      <c r="C1171" s="50" t="str">
        <f>IF(ISBLANK('SQL Builder'!K1146)=FALSE,'SQL Builder'!L1146,"")</f>
        <v/>
      </c>
      <c r="D1171" s="1" t="str">
        <f>IF(ISBLANK('SQL Builder'!K1146)=FALSE,'SQL Builder'!O1146,"")</f>
        <v/>
      </c>
      <c r="H1171" s="43" t="str">
        <f>IF(ISBLANK('SQL Builder'!K1145)=FALSE,H1170+1,"")</f>
        <v/>
      </c>
      <c r="I1171" s="1" t="str">
        <f>IF(ISBLANK('SQL Builder'!P1146)=FALSE,'SQL Builder'!N1146,"")</f>
        <v/>
      </c>
      <c r="J1171" s="79">
        <f t="shared" si="17"/>
        <v>0</v>
      </c>
    </row>
    <row r="1172" spans="2:10" ht="16.5" x14ac:dyDescent="0.25">
      <c r="B1172" s="49" t="e">
        <f>IF(ISBLANK('SQL Builder'!K1147)=FALSE,(DATE(LEFT('SQL Builder'!K1147,4),MID('SQL Builder'!K1147,6,2),MID('SQL Builder'!K1147,9,2))),NA())</f>
        <v>#N/A</v>
      </c>
      <c r="C1172" s="50" t="str">
        <f>IF(ISBLANK('SQL Builder'!K1147)=FALSE,'SQL Builder'!L1147,"")</f>
        <v/>
      </c>
      <c r="D1172" s="1" t="str">
        <f>IF(ISBLANK('SQL Builder'!K1147)=FALSE,'SQL Builder'!O1147,"")</f>
        <v/>
      </c>
      <c r="H1172" s="43" t="str">
        <f>IF(ISBLANK('SQL Builder'!K1146)=FALSE,H1171+1,"")</f>
        <v/>
      </c>
      <c r="I1172" s="1" t="str">
        <f>IF(ISBLANK('SQL Builder'!P1147)=FALSE,'SQL Builder'!N1147,"")</f>
        <v/>
      </c>
      <c r="J1172" s="79">
        <f t="shared" si="17"/>
        <v>0</v>
      </c>
    </row>
    <row r="1173" spans="2:10" ht="16.5" x14ac:dyDescent="0.25">
      <c r="B1173" s="49" t="e">
        <f>IF(ISBLANK('SQL Builder'!K1148)=FALSE,(DATE(LEFT('SQL Builder'!K1148,4),MID('SQL Builder'!K1148,6,2),MID('SQL Builder'!K1148,9,2))),NA())</f>
        <v>#N/A</v>
      </c>
      <c r="C1173" s="50" t="str">
        <f>IF(ISBLANK('SQL Builder'!K1148)=FALSE,'SQL Builder'!L1148,"")</f>
        <v/>
      </c>
      <c r="D1173" s="1" t="str">
        <f>IF(ISBLANK('SQL Builder'!K1148)=FALSE,'SQL Builder'!O1148,"")</f>
        <v/>
      </c>
      <c r="H1173" s="43" t="str">
        <f>IF(ISBLANK('SQL Builder'!K1147)=FALSE,H1172+1,"")</f>
        <v/>
      </c>
      <c r="I1173" s="1" t="str">
        <f>IF(ISBLANK('SQL Builder'!P1148)=FALSE,'SQL Builder'!N1148,"")</f>
        <v/>
      </c>
      <c r="J1173" s="79">
        <f t="shared" si="17"/>
        <v>0</v>
      </c>
    </row>
    <row r="1174" spans="2:10" ht="16.5" x14ac:dyDescent="0.25">
      <c r="B1174" s="49" t="e">
        <f>IF(ISBLANK('SQL Builder'!K1149)=FALSE,(DATE(LEFT('SQL Builder'!K1149,4),MID('SQL Builder'!K1149,6,2),MID('SQL Builder'!K1149,9,2))),NA())</f>
        <v>#N/A</v>
      </c>
      <c r="C1174" s="50" t="str">
        <f>IF(ISBLANK('SQL Builder'!K1149)=FALSE,'SQL Builder'!L1149,"")</f>
        <v/>
      </c>
      <c r="D1174" s="1" t="str">
        <f>IF(ISBLANK('SQL Builder'!K1149)=FALSE,'SQL Builder'!O1149,"")</f>
        <v/>
      </c>
      <c r="H1174" s="43" t="str">
        <f>IF(ISBLANK('SQL Builder'!K1148)=FALSE,H1173+1,"")</f>
        <v/>
      </c>
      <c r="I1174" s="1" t="str">
        <f>IF(ISBLANK('SQL Builder'!P1149)=FALSE,'SQL Builder'!N1149,"")</f>
        <v/>
      </c>
      <c r="J1174" s="79">
        <f t="shared" si="17"/>
        <v>0</v>
      </c>
    </row>
    <row r="1175" spans="2:10" ht="16.5" x14ac:dyDescent="0.25">
      <c r="B1175" s="49" t="e">
        <f>IF(ISBLANK('SQL Builder'!K1150)=FALSE,(DATE(LEFT('SQL Builder'!K1150,4),MID('SQL Builder'!K1150,6,2),MID('SQL Builder'!K1150,9,2))),NA())</f>
        <v>#N/A</v>
      </c>
      <c r="C1175" s="50" t="str">
        <f>IF(ISBLANK('SQL Builder'!K1150)=FALSE,'SQL Builder'!L1150,"")</f>
        <v/>
      </c>
      <c r="D1175" s="1" t="str">
        <f>IF(ISBLANK('SQL Builder'!K1150)=FALSE,'SQL Builder'!O1150,"")</f>
        <v/>
      </c>
      <c r="H1175" s="43" t="str">
        <f>IF(ISBLANK('SQL Builder'!K1149)=FALSE,H1174+1,"")</f>
        <v/>
      </c>
      <c r="I1175" s="1" t="str">
        <f>IF(ISBLANK('SQL Builder'!P1150)=FALSE,'SQL Builder'!N1150,"")</f>
        <v/>
      </c>
      <c r="J1175" s="79">
        <f t="shared" si="17"/>
        <v>0</v>
      </c>
    </row>
    <row r="1176" spans="2:10" ht="16.5" x14ac:dyDescent="0.25">
      <c r="B1176" s="49" t="e">
        <f>IF(ISBLANK('SQL Builder'!K1151)=FALSE,(DATE(LEFT('SQL Builder'!K1151,4),MID('SQL Builder'!K1151,6,2),MID('SQL Builder'!K1151,9,2))),NA())</f>
        <v>#N/A</v>
      </c>
      <c r="C1176" s="50" t="str">
        <f>IF(ISBLANK('SQL Builder'!K1151)=FALSE,'SQL Builder'!L1151,"")</f>
        <v/>
      </c>
      <c r="D1176" s="1" t="str">
        <f>IF(ISBLANK('SQL Builder'!K1151)=FALSE,'SQL Builder'!O1151,"")</f>
        <v/>
      </c>
      <c r="H1176" s="43" t="str">
        <f>IF(ISBLANK('SQL Builder'!K1150)=FALSE,H1175+1,"")</f>
        <v/>
      </c>
      <c r="I1176" s="1" t="str">
        <f>IF(ISBLANK('SQL Builder'!P1151)=FALSE,'SQL Builder'!N1151,"")</f>
        <v/>
      </c>
      <c r="J1176" s="79">
        <f t="shared" si="17"/>
        <v>0</v>
      </c>
    </row>
    <row r="1177" spans="2:10" ht="16.5" x14ac:dyDescent="0.25">
      <c r="B1177" s="49" t="e">
        <f>IF(ISBLANK('SQL Builder'!K1152)=FALSE,(DATE(LEFT('SQL Builder'!K1152,4),MID('SQL Builder'!K1152,6,2),MID('SQL Builder'!K1152,9,2))),NA())</f>
        <v>#N/A</v>
      </c>
      <c r="C1177" s="50" t="str">
        <f>IF(ISBLANK('SQL Builder'!K1152)=FALSE,'SQL Builder'!L1152,"")</f>
        <v/>
      </c>
      <c r="D1177" s="1" t="str">
        <f>IF(ISBLANK('SQL Builder'!K1152)=FALSE,'SQL Builder'!O1152,"")</f>
        <v/>
      </c>
      <c r="H1177" s="43" t="str">
        <f>IF(ISBLANK('SQL Builder'!K1151)=FALSE,H1176+1,"")</f>
        <v/>
      </c>
      <c r="I1177" s="1" t="str">
        <f>IF(ISBLANK('SQL Builder'!P1152)=FALSE,'SQL Builder'!N1152,"")</f>
        <v/>
      </c>
      <c r="J1177" s="79">
        <f t="shared" si="17"/>
        <v>0</v>
      </c>
    </row>
    <row r="1178" spans="2:10" ht="16.5" x14ac:dyDescent="0.25">
      <c r="B1178" s="49" t="e">
        <f>IF(ISBLANK('SQL Builder'!K1153)=FALSE,(DATE(LEFT('SQL Builder'!K1153,4),MID('SQL Builder'!K1153,6,2),MID('SQL Builder'!K1153,9,2))),NA())</f>
        <v>#N/A</v>
      </c>
      <c r="C1178" s="50" t="str">
        <f>IF(ISBLANK('SQL Builder'!K1153)=FALSE,'SQL Builder'!L1153,"")</f>
        <v/>
      </c>
      <c r="D1178" s="1" t="str">
        <f>IF(ISBLANK('SQL Builder'!K1153)=FALSE,'SQL Builder'!O1153,"")</f>
        <v/>
      </c>
      <c r="H1178" s="43" t="str">
        <f>IF(ISBLANK('SQL Builder'!K1152)=FALSE,H1177+1,"")</f>
        <v/>
      </c>
      <c r="I1178" s="1" t="str">
        <f>IF(ISBLANK('SQL Builder'!P1153)=FALSE,'SQL Builder'!N1153,"")</f>
        <v/>
      </c>
      <c r="J1178" s="79">
        <f t="shared" si="17"/>
        <v>0</v>
      </c>
    </row>
    <row r="1179" spans="2:10" ht="16.5" x14ac:dyDescent="0.25">
      <c r="B1179" s="49" t="e">
        <f>IF(ISBLANK('SQL Builder'!K1154)=FALSE,(DATE(LEFT('SQL Builder'!K1154,4),MID('SQL Builder'!K1154,6,2),MID('SQL Builder'!K1154,9,2))),NA())</f>
        <v>#N/A</v>
      </c>
      <c r="C1179" s="50" t="str">
        <f>IF(ISBLANK('SQL Builder'!K1154)=FALSE,'SQL Builder'!L1154,"")</f>
        <v/>
      </c>
      <c r="D1179" s="1" t="str">
        <f>IF(ISBLANK('SQL Builder'!K1154)=FALSE,'SQL Builder'!O1154,"")</f>
        <v/>
      </c>
      <c r="H1179" s="43" t="str">
        <f>IF(ISBLANK('SQL Builder'!K1153)=FALSE,H1178+1,"")</f>
        <v/>
      </c>
      <c r="I1179" s="1" t="str">
        <f>IF(ISBLANK('SQL Builder'!P1154)=FALSE,'SQL Builder'!N1154,"")</f>
        <v/>
      </c>
      <c r="J1179" s="79">
        <f t="shared" si="17"/>
        <v>0</v>
      </c>
    </row>
    <row r="1180" spans="2:10" ht="16.5" x14ac:dyDescent="0.25">
      <c r="B1180" s="49" t="e">
        <f>IF(ISBLANK('SQL Builder'!K1155)=FALSE,(DATE(LEFT('SQL Builder'!K1155,4),MID('SQL Builder'!K1155,6,2),MID('SQL Builder'!K1155,9,2))),NA())</f>
        <v>#N/A</v>
      </c>
      <c r="C1180" s="50" t="str">
        <f>IF(ISBLANK('SQL Builder'!K1155)=FALSE,'SQL Builder'!L1155,"")</f>
        <v/>
      </c>
      <c r="D1180" s="1" t="str">
        <f>IF(ISBLANK('SQL Builder'!K1155)=FALSE,'SQL Builder'!O1155,"")</f>
        <v/>
      </c>
      <c r="H1180" s="43" t="str">
        <f>IF(ISBLANK('SQL Builder'!K1154)=FALSE,H1179+1,"")</f>
        <v/>
      </c>
      <c r="I1180" s="1" t="str">
        <f>IF(ISBLANK('SQL Builder'!P1155)=FALSE,'SQL Builder'!N1155,"")</f>
        <v/>
      </c>
      <c r="J1180" s="79">
        <f t="shared" si="17"/>
        <v>0</v>
      </c>
    </row>
    <row r="1181" spans="2:10" ht="16.5" x14ac:dyDescent="0.25">
      <c r="B1181" s="49" t="e">
        <f>IF(ISBLANK('SQL Builder'!K1156)=FALSE,(DATE(LEFT('SQL Builder'!K1156,4),MID('SQL Builder'!K1156,6,2),MID('SQL Builder'!K1156,9,2))),NA())</f>
        <v>#N/A</v>
      </c>
      <c r="C1181" s="50" t="str">
        <f>IF(ISBLANK('SQL Builder'!K1156)=FALSE,'SQL Builder'!L1156,"")</f>
        <v/>
      </c>
      <c r="D1181" s="1" t="str">
        <f>IF(ISBLANK('SQL Builder'!K1156)=FALSE,'SQL Builder'!O1156,"")</f>
        <v/>
      </c>
      <c r="H1181" s="43" t="str">
        <f>IF(ISBLANK('SQL Builder'!K1155)=FALSE,H1180+1,"")</f>
        <v/>
      </c>
      <c r="I1181" s="1" t="str">
        <f>IF(ISBLANK('SQL Builder'!P1156)=FALSE,'SQL Builder'!N1156,"")</f>
        <v/>
      </c>
      <c r="J1181" s="79">
        <f t="shared" si="17"/>
        <v>0</v>
      </c>
    </row>
    <row r="1182" spans="2:10" ht="16.5" x14ac:dyDescent="0.25">
      <c r="B1182" s="49" t="e">
        <f>IF(ISBLANK('SQL Builder'!K1157)=FALSE,(DATE(LEFT('SQL Builder'!K1157,4),MID('SQL Builder'!K1157,6,2),MID('SQL Builder'!K1157,9,2))),NA())</f>
        <v>#N/A</v>
      </c>
      <c r="C1182" s="50" t="str">
        <f>IF(ISBLANK('SQL Builder'!K1157)=FALSE,'SQL Builder'!L1157,"")</f>
        <v/>
      </c>
      <c r="D1182" s="1" t="str">
        <f>IF(ISBLANK('SQL Builder'!K1157)=FALSE,'SQL Builder'!O1157,"")</f>
        <v/>
      </c>
      <c r="H1182" s="43" t="str">
        <f>IF(ISBLANK('SQL Builder'!K1156)=FALSE,H1181+1,"")</f>
        <v/>
      </c>
      <c r="I1182" s="1" t="str">
        <f>IF(ISBLANK('SQL Builder'!P1157)=FALSE,'SQL Builder'!N1157,"")</f>
        <v/>
      </c>
      <c r="J1182" s="79">
        <f t="shared" si="17"/>
        <v>0</v>
      </c>
    </row>
    <row r="1183" spans="2:10" ht="16.5" x14ac:dyDescent="0.25">
      <c r="B1183" s="49" t="e">
        <f>IF(ISBLANK('SQL Builder'!K1158)=FALSE,(DATE(LEFT('SQL Builder'!K1158,4),MID('SQL Builder'!K1158,6,2),MID('SQL Builder'!K1158,9,2))),NA())</f>
        <v>#N/A</v>
      </c>
      <c r="C1183" s="50" t="str">
        <f>IF(ISBLANK('SQL Builder'!K1158)=FALSE,'SQL Builder'!L1158,"")</f>
        <v/>
      </c>
      <c r="D1183" s="1" t="str">
        <f>IF(ISBLANK('SQL Builder'!K1158)=FALSE,'SQL Builder'!O1158,"")</f>
        <v/>
      </c>
      <c r="H1183" s="43" t="str">
        <f>IF(ISBLANK('SQL Builder'!K1157)=FALSE,H1182+1,"")</f>
        <v/>
      </c>
      <c r="I1183" s="1" t="str">
        <f>IF(ISBLANK('SQL Builder'!P1158)=FALSE,'SQL Builder'!N1158,"")</f>
        <v/>
      </c>
      <c r="J1183" s="79">
        <f t="shared" ref="J1183:J1246" si="18">IF(I1183="",0,IF(I1183=C$5,2,1))</f>
        <v>0</v>
      </c>
    </row>
    <row r="1184" spans="2:10" ht="16.5" x14ac:dyDescent="0.25">
      <c r="B1184" s="49" t="e">
        <f>IF(ISBLANK('SQL Builder'!K1159)=FALSE,(DATE(LEFT('SQL Builder'!K1159,4),MID('SQL Builder'!K1159,6,2),MID('SQL Builder'!K1159,9,2))),NA())</f>
        <v>#N/A</v>
      </c>
      <c r="C1184" s="50" t="str">
        <f>IF(ISBLANK('SQL Builder'!K1159)=FALSE,'SQL Builder'!L1159,"")</f>
        <v/>
      </c>
      <c r="D1184" s="1" t="str">
        <f>IF(ISBLANK('SQL Builder'!K1159)=FALSE,'SQL Builder'!O1159,"")</f>
        <v/>
      </c>
      <c r="H1184" s="43" t="str">
        <f>IF(ISBLANK('SQL Builder'!K1158)=FALSE,H1183+1,"")</f>
        <v/>
      </c>
      <c r="I1184" s="1" t="str">
        <f>IF(ISBLANK('SQL Builder'!P1159)=FALSE,'SQL Builder'!N1159,"")</f>
        <v/>
      </c>
      <c r="J1184" s="79">
        <f t="shared" si="18"/>
        <v>0</v>
      </c>
    </row>
    <row r="1185" spans="2:10" ht="16.5" x14ac:dyDescent="0.25">
      <c r="B1185" s="49" t="e">
        <f>IF(ISBLANK('SQL Builder'!K1160)=FALSE,(DATE(LEFT('SQL Builder'!K1160,4),MID('SQL Builder'!K1160,6,2),MID('SQL Builder'!K1160,9,2))),NA())</f>
        <v>#N/A</v>
      </c>
      <c r="C1185" s="50" t="str">
        <f>IF(ISBLANK('SQL Builder'!K1160)=FALSE,'SQL Builder'!L1160,"")</f>
        <v/>
      </c>
      <c r="D1185" s="1" t="str">
        <f>IF(ISBLANK('SQL Builder'!K1160)=FALSE,'SQL Builder'!O1160,"")</f>
        <v/>
      </c>
      <c r="H1185" s="43" t="str">
        <f>IF(ISBLANK('SQL Builder'!K1159)=FALSE,H1184+1,"")</f>
        <v/>
      </c>
      <c r="I1185" s="1" t="str">
        <f>IF(ISBLANK('SQL Builder'!P1160)=FALSE,'SQL Builder'!N1160,"")</f>
        <v/>
      </c>
      <c r="J1185" s="79">
        <f t="shared" si="18"/>
        <v>0</v>
      </c>
    </row>
    <row r="1186" spans="2:10" ht="16.5" x14ac:dyDescent="0.25">
      <c r="B1186" s="49" t="e">
        <f>IF(ISBLANK('SQL Builder'!K1161)=FALSE,(DATE(LEFT('SQL Builder'!K1161,4),MID('SQL Builder'!K1161,6,2),MID('SQL Builder'!K1161,9,2))),NA())</f>
        <v>#N/A</v>
      </c>
      <c r="C1186" s="50" t="str">
        <f>IF(ISBLANK('SQL Builder'!K1161)=FALSE,'SQL Builder'!L1161,"")</f>
        <v/>
      </c>
      <c r="D1186" s="1" t="str">
        <f>IF(ISBLANK('SQL Builder'!K1161)=FALSE,'SQL Builder'!O1161,"")</f>
        <v/>
      </c>
      <c r="H1186" s="43" t="str">
        <f>IF(ISBLANK('SQL Builder'!K1160)=FALSE,H1185+1,"")</f>
        <v/>
      </c>
      <c r="I1186" s="1" t="str">
        <f>IF(ISBLANK('SQL Builder'!P1161)=FALSE,'SQL Builder'!N1161,"")</f>
        <v/>
      </c>
      <c r="J1186" s="79">
        <f t="shared" si="18"/>
        <v>0</v>
      </c>
    </row>
    <row r="1187" spans="2:10" ht="16.5" x14ac:dyDescent="0.25">
      <c r="B1187" s="49" t="e">
        <f>IF(ISBLANK('SQL Builder'!K1162)=FALSE,(DATE(LEFT('SQL Builder'!K1162,4),MID('SQL Builder'!K1162,6,2),MID('SQL Builder'!K1162,9,2))),NA())</f>
        <v>#N/A</v>
      </c>
      <c r="C1187" s="50" t="str">
        <f>IF(ISBLANK('SQL Builder'!K1162)=FALSE,'SQL Builder'!L1162,"")</f>
        <v/>
      </c>
      <c r="D1187" s="1" t="str">
        <f>IF(ISBLANK('SQL Builder'!K1162)=FALSE,'SQL Builder'!O1162,"")</f>
        <v/>
      </c>
      <c r="H1187" s="43" t="str">
        <f>IF(ISBLANK('SQL Builder'!K1161)=FALSE,H1186+1,"")</f>
        <v/>
      </c>
      <c r="I1187" s="1" t="str">
        <f>IF(ISBLANK('SQL Builder'!P1162)=FALSE,'SQL Builder'!N1162,"")</f>
        <v/>
      </c>
      <c r="J1187" s="79">
        <f t="shared" si="18"/>
        <v>0</v>
      </c>
    </row>
    <row r="1188" spans="2:10" ht="16.5" x14ac:dyDescent="0.25">
      <c r="B1188" s="49" t="e">
        <f>IF(ISBLANK('SQL Builder'!K1163)=FALSE,(DATE(LEFT('SQL Builder'!K1163,4),MID('SQL Builder'!K1163,6,2),MID('SQL Builder'!K1163,9,2))),NA())</f>
        <v>#N/A</v>
      </c>
      <c r="C1188" s="50" t="str">
        <f>IF(ISBLANK('SQL Builder'!K1163)=FALSE,'SQL Builder'!L1163,"")</f>
        <v/>
      </c>
      <c r="D1188" s="1" t="str">
        <f>IF(ISBLANK('SQL Builder'!K1163)=FALSE,'SQL Builder'!O1163,"")</f>
        <v/>
      </c>
      <c r="H1188" s="43" t="str">
        <f>IF(ISBLANK('SQL Builder'!K1162)=FALSE,H1187+1,"")</f>
        <v/>
      </c>
      <c r="I1188" s="1" t="str">
        <f>IF(ISBLANK('SQL Builder'!P1163)=FALSE,'SQL Builder'!N1163,"")</f>
        <v/>
      </c>
      <c r="J1188" s="79">
        <f t="shared" si="18"/>
        <v>0</v>
      </c>
    </row>
    <row r="1189" spans="2:10" ht="16.5" x14ac:dyDescent="0.25">
      <c r="B1189" s="49" t="e">
        <f>IF(ISBLANK('SQL Builder'!K1164)=FALSE,(DATE(LEFT('SQL Builder'!K1164,4),MID('SQL Builder'!K1164,6,2),MID('SQL Builder'!K1164,9,2))),NA())</f>
        <v>#N/A</v>
      </c>
      <c r="C1189" s="50" t="str">
        <f>IF(ISBLANK('SQL Builder'!K1164)=FALSE,'SQL Builder'!L1164,"")</f>
        <v/>
      </c>
      <c r="D1189" s="1" t="str">
        <f>IF(ISBLANK('SQL Builder'!K1164)=FALSE,'SQL Builder'!O1164,"")</f>
        <v/>
      </c>
      <c r="H1189" s="43" t="str">
        <f>IF(ISBLANK('SQL Builder'!K1163)=FALSE,H1188+1,"")</f>
        <v/>
      </c>
      <c r="I1189" s="1" t="str">
        <f>IF(ISBLANK('SQL Builder'!P1164)=FALSE,'SQL Builder'!N1164,"")</f>
        <v/>
      </c>
      <c r="J1189" s="79">
        <f t="shared" si="18"/>
        <v>0</v>
      </c>
    </row>
    <row r="1190" spans="2:10" ht="16.5" x14ac:dyDescent="0.25">
      <c r="B1190" s="49" t="e">
        <f>IF(ISBLANK('SQL Builder'!K1165)=FALSE,(DATE(LEFT('SQL Builder'!K1165,4),MID('SQL Builder'!K1165,6,2),MID('SQL Builder'!K1165,9,2))),NA())</f>
        <v>#N/A</v>
      </c>
      <c r="C1190" s="50" t="str">
        <f>IF(ISBLANK('SQL Builder'!K1165)=FALSE,'SQL Builder'!L1165,"")</f>
        <v/>
      </c>
      <c r="D1190" s="1" t="str">
        <f>IF(ISBLANK('SQL Builder'!K1165)=FALSE,'SQL Builder'!O1165,"")</f>
        <v/>
      </c>
      <c r="H1190" s="43" t="str">
        <f>IF(ISBLANK('SQL Builder'!K1164)=FALSE,H1189+1,"")</f>
        <v/>
      </c>
      <c r="I1190" s="1" t="str">
        <f>IF(ISBLANK('SQL Builder'!P1165)=FALSE,'SQL Builder'!N1165,"")</f>
        <v/>
      </c>
      <c r="J1190" s="79">
        <f t="shared" si="18"/>
        <v>0</v>
      </c>
    </row>
    <row r="1191" spans="2:10" ht="16.5" x14ac:dyDescent="0.25">
      <c r="B1191" s="49" t="e">
        <f>IF(ISBLANK('SQL Builder'!K1166)=FALSE,(DATE(LEFT('SQL Builder'!K1166,4),MID('SQL Builder'!K1166,6,2),MID('SQL Builder'!K1166,9,2))),NA())</f>
        <v>#N/A</v>
      </c>
      <c r="C1191" s="50" t="str">
        <f>IF(ISBLANK('SQL Builder'!K1166)=FALSE,'SQL Builder'!L1166,"")</f>
        <v/>
      </c>
      <c r="D1191" s="1" t="str">
        <f>IF(ISBLANK('SQL Builder'!K1166)=FALSE,'SQL Builder'!O1166,"")</f>
        <v/>
      </c>
      <c r="H1191" s="43" t="str">
        <f>IF(ISBLANK('SQL Builder'!K1165)=FALSE,H1190+1,"")</f>
        <v/>
      </c>
      <c r="I1191" s="1" t="str">
        <f>IF(ISBLANK('SQL Builder'!P1166)=FALSE,'SQL Builder'!N1166,"")</f>
        <v/>
      </c>
      <c r="J1191" s="79">
        <f t="shared" si="18"/>
        <v>0</v>
      </c>
    </row>
    <row r="1192" spans="2:10" ht="16.5" x14ac:dyDescent="0.25">
      <c r="B1192" s="49" t="e">
        <f>IF(ISBLANK('SQL Builder'!K1167)=FALSE,(DATE(LEFT('SQL Builder'!K1167,4),MID('SQL Builder'!K1167,6,2),MID('SQL Builder'!K1167,9,2))),NA())</f>
        <v>#N/A</v>
      </c>
      <c r="C1192" s="50" t="str">
        <f>IF(ISBLANK('SQL Builder'!K1167)=FALSE,'SQL Builder'!L1167,"")</f>
        <v/>
      </c>
      <c r="D1192" s="1" t="str">
        <f>IF(ISBLANK('SQL Builder'!K1167)=FALSE,'SQL Builder'!O1167,"")</f>
        <v/>
      </c>
      <c r="H1192" s="43" t="str">
        <f>IF(ISBLANK('SQL Builder'!K1166)=FALSE,H1191+1,"")</f>
        <v/>
      </c>
      <c r="I1192" s="1" t="str">
        <f>IF(ISBLANK('SQL Builder'!P1167)=FALSE,'SQL Builder'!N1167,"")</f>
        <v/>
      </c>
      <c r="J1192" s="79">
        <f t="shared" si="18"/>
        <v>0</v>
      </c>
    </row>
    <row r="1193" spans="2:10" ht="16.5" x14ac:dyDescent="0.25">
      <c r="B1193" s="49" t="e">
        <f>IF(ISBLANK('SQL Builder'!K1168)=FALSE,(DATE(LEFT('SQL Builder'!K1168,4),MID('SQL Builder'!K1168,6,2),MID('SQL Builder'!K1168,9,2))),NA())</f>
        <v>#N/A</v>
      </c>
      <c r="C1193" s="50" t="str">
        <f>IF(ISBLANK('SQL Builder'!K1168)=FALSE,'SQL Builder'!L1168,"")</f>
        <v/>
      </c>
      <c r="D1193" s="1" t="str">
        <f>IF(ISBLANK('SQL Builder'!K1168)=FALSE,'SQL Builder'!O1168,"")</f>
        <v/>
      </c>
      <c r="H1193" s="43" t="str">
        <f>IF(ISBLANK('SQL Builder'!K1167)=FALSE,H1192+1,"")</f>
        <v/>
      </c>
      <c r="I1193" s="1" t="str">
        <f>IF(ISBLANK('SQL Builder'!P1168)=FALSE,'SQL Builder'!N1168,"")</f>
        <v/>
      </c>
      <c r="J1193" s="79">
        <f t="shared" si="18"/>
        <v>0</v>
      </c>
    </row>
    <row r="1194" spans="2:10" ht="16.5" x14ac:dyDescent="0.25">
      <c r="B1194" s="49" t="e">
        <f>IF(ISBLANK('SQL Builder'!K1169)=FALSE,(DATE(LEFT('SQL Builder'!K1169,4),MID('SQL Builder'!K1169,6,2),MID('SQL Builder'!K1169,9,2))),NA())</f>
        <v>#N/A</v>
      </c>
      <c r="C1194" s="50" t="str">
        <f>IF(ISBLANK('SQL Builder'!K1169)=FALSE,'SQL Builder'!L1169,"")</f>
        <v/>
      </c>
      <c r="D1194" s="1" t="str">
        <f>IF(ISBLANK('SQL Builder'!K1169)=FALSE,'SQL Builder'!O1169,"")</f>
        <v/>
      </c>
      <c r="H1194" s="43" t="str">
        <f>IF(ISBLANK('SQL Builder'!K1168)=FALSE,H1193+1,"")</f>
        <v/>
      </c>
      <c r="I1194" s="1" t="str">
        <f>IF(ISBLANK('SQL Builder'!P1169)=FALSE,'SQL Builder'!N1169,"")</f>
        <v/>
      </c>
      <c r="J1194" s="79">
        <f t="shared" si="18"/>
        <v>0</v>
      </c>
    </row>
    <row r="1195" spans="2:10" ht="16.5" x14ac:dyDescent="0.25">
      <c r="B1195" s="49" t="e">
        <f>IF(ISBLANK('SQL Builder'!K1170)=FALSE,(DATE(LEFT('SQL Builder'!K1170,4),MID('SQL Builder'!K1170,6,2),MID('SQL Builder'!K1170,9,2))),NA())</f>
        <v>#N/A</v>
      </c>
      <c r="C1195" s="50" t="str">
        <f>IF(ISBLANK('SQL Builder'!K1170)=FALSE,'SQL Builder'!L1170,"")</f>
        <v/>
      </c>
      <c r="D1195" s="1" t="str">
        <f>IF(ISBLANK('SQL Builder'!K1170)=FALSE,'SQL Builder'!O1170,"")</f>
        <v/>
      </c>
      <c r="H1195" s="43" t="str">
        <f>IF(ISBLANK('SQL Builder'!K1169)=FALSE,H1194+1,"")</f>
        <v/>
      </c>
      <c r="I1195" s="1" t="str">
        <f>IF(ISBLANK('SQL Builder'!P1170)=FALSE,'SQL Builder'!N1170,"")</f>
        <v/>
      </c>
      <c r="J1195" s="79">
        <f t="shared" si="18"/>
        <v>0</v>
      </c>
    </row>
    <row r="1196" spans="2:10" ht="16.5" x14ac:dyDescent="0.25">
      <c r="B1196" s="49" t="e">
        <f>IF(ISBLANK('SQL Builder'!K1171)=FALSE,(DATE(LEFT('SQL Builder'!K1171,4),MID('SQL Builder'!K1171,6,2),MID('SQL Builder'!K1171,9,2))),NA())</f>
        <v>#N/A</v>
      </c>
      <c r="C1196" s="50" t="str">
        <f>IF(ISBLANK('SQL Builder'!K1171)=FALSE,'SQL Builder'!L1171,"")</f>
        <v/>
      </c>
      <c r="D1196" s="1" t="str">
        <f>IF(ISBLANK('SQL Builder'!K1171)=FALSE,'SQL Builder'!O1171,"")</f>
        <v/>
      </c>
      <c r="H1196" s="43" t="str">
        <f>IF(ISBLANK('SQL Builder'!K1170)=FALSE,H1195+1,"")</f>
        <v/>
      </c>
      <c r="I1196" s="1" t="str">
        <f>IF(ISBLANK('SQL Builder'!P1171)=FALSE,'SQL Builder'!N1171,"")</f>
        <v/>
      </c>
      <c r="J1196" s="79">
        <f t="shared" si="18"/>
        <v>0</v>
      </c>
    </row>
    <row r="1197" spans="2:10" ht="16.5" x14ac:dyDescent="0.25">
      <c r="B1197" s="49" t="e">
        <f>IF(ISBLANK('SQL Builder'!K1172)=FALSE,(DATE(LEFT('SQL Builder'!K1172,4),MID('SQL Builder'!K1172,6,2),MID('SQL Builder'!K1172,9,2))),NA())</f>
        <v>#N/A</v>
      </c>
      <c r="C1197" s="50" t="str">
        <f>IF(ISBLANK('SQL Builder'!K1172)=FALSE,'SQL Builder'!L1172,"")</f>
        <v/>
      </c>
      <c r="D1197" s="1" t="str">
        <f>IF(ISBLANK('SQL Builder'!K1172)=FALSE,'SQL Builder'!O1172,"")</f>
        <v/>
      </c>
      <c r="H1197" s="43" t="str">
        <f>IF(ISBLANK('SQL Builder'!K1171)=FALSE,H1196+1,"")</f>
        <v/>
      </c>
      <c r="I1197" s="1" t="str">
        <f>IF(ISBLANK('SQL Builder'!P1172)=FALSE,'SQL Builder'!N1172,"")</f>
        <v/>
      </c>
      <c r="J1197" s="79">
        <f t="shared" si="18"/>
        <v>0</v>
      </c>
    </row>
    <row r="1198" spans="2:10" ht="16.5" x14ac:dyDescent="0.25">
      <c r="B1198" s="49" t="e">
        <f>IF(ISBLANK('SQL Builder'!K1173)=FALSE,(DATE(LEFT('SQL Builder'!K1173,4),MID('SQL Builder'!K1173,6,2),MID('SQL Builder'!K1173,9,2))),NA())</f>
        <v>#N/A</v>
      </c>
      <c r="C1198" s="50" t="str">
        <f>IF(ISBLANK('SQL Builder'!K1173)=FALSE,'SQL Builder'!L1173,"")</f>
        <v/>
      </c>
      <c r="D1198" s="1" t="str">
        <f>IF(ISBLANK('SQL Builder'!K1173)=FALSE,'SQL Builder'!O1173,"")</f>
        <v/>
      </c>
      <c r="H1198" s="43" t="str">
        <f>IF(ISBLANK('SQL Builder'!K1172)=FALSE,H1197+1,"")</f>
        <v/>
      </c>
      <c r="I1198" s="1" t="str">
        <f>IF(ISBLANK('SQL Builder'!P1173)=FALSE,'SQL Builder'!N1173,"")</f>
        <v/>
      </c>
      <c r="J1198" s="79">
        <f t="shared" si="18"/>
        <v>0</v>
      </c>
    </row>
    <row r="1199" spans="2:10" ht="16.5" x14ac:dyDescent="0.25">
      <c r="B1199" s="49" t="e">
        <f>IF(ISBLANK('SQL Builder'!K1174)=FALSE,(DATE(LEFT('SQL Builder'!K1174,4),MID('SQL Builder'!K1174,6,2),MID('SQL Builder'!K1174,9,2))),NA())</f>
        <v>#N/A</v>
      </c>
      <c r="C1199" s="50" t="str">
        <f>IF(ISBLANK('SQL Builder'!K1174)=FALSE,'SQL Builder'!L1174,"")</f>
        <v/>
      </c>
      <c r="D1199" s="1" t="str">
        <f>IF(ISBLANK('SQL Builder'!K1174)=FALSE,'SQL Builder'!O1174,"")</f>
        <v/>
      </c>
      <c r="H1199" s="43" t="str">
        <f>IF(ISBLANK('SQL Builder'!K1173)=FALSE,H1198+1,"")</f>
        <v/>
      </c>
      <c r="I1199" s="1" t="str">
        <f>IF(ISBLANK('SQL Builder'!P1174)=FALSE,'SQL Builder'!N1174,"")</f>
        <v/>
      </c>
      <c r="J1199" s="79">
        <f t="shared" si="18"/>
        <v>0</v>
      </c>
    </row>
    <row r="1200" spans="2:10" ht="16.5" x14ac:dyDescent="0.25">
      <c r="B1200" s="49" t="e">
        <f>IF(ISBLANK('SQL Builder'!K1175)=FALSE,(DATE(LEFT('SQL Builder'!K1175,4),MID('SQL Builder'!K1175,6,2),MID('SQL Builder'!K1175,9,2))),NA())</f>
        <v>#N/A</v>
      </c>
      <c r="C1200" s="50" t="str">
        <f>IF(ISBLANK('SQL Builder'!K1175)=FALSE,'SQL Builder'!L1175,"")</f>
        <v/>
      </c>
      <c r="D1200" s="1" t="str">
        <f>IF(ISBLANK('SQL Builder'!K1175)=FALSE,'SQL Builder'!O1175,"")</f>
        <v/>
      </c>
      <c r="H1200" s="43" t="str">
        <f>IF(ISBLANK('SQL Builder'!K1174)=FALSE,H1199+1,"")</f>
        <v/>
      </c>
      <c r="I1200" s="1" t="str">
        <f>IF(ISBLANK('SQL Builder'!P1175)=FALSE,'SQL Builder'!N1175,"")</f>
        <v/>
      </c>
      <c r="J1200" s="79">
        <f t="shared" si="18"/>
        <v>0</v>
      </c>
    </row>
    <row r="1201" spans="2:10" ht="16.5" x14ac:dyDescent="0.25">
      <c r="B1201" s="49" t="e">
        <f>IF(ISBLANK('SQL Builder'!K1176)=FALSE,(DATE(LEFT('SQL Builder'!K1176,4),MID('SQL Builder'!K1176,6,2),MID('SQL Builder'!K1176,9,2))),NA())</f>
        <v>#N/A</v>
      </c>
      <c r="C1201" s="50" t="str">
        <f>IF(ISBLANK('SQL Builder'!K1176)=FALSE,'SQL Builder'!L1176,"")</f>
        <v/>
      </c>
      <c r="D1201" s="1" t="str">
        <f>IF(ISBLANK('SQL Builder'!K1176)=FALSE,'SQL Builder'!O1176,"")</f>
        <v/>
      </c>
      <c r="H1201" s="43" t="str">
        <f>IF(ISBLANK('SQL Builder'!K1175)=FALSE,H1200+1,"")</f>
        <v/>
      </c>
      <c r="I1201" s="1" t="str">
        <f>IF(ISBLANK('SQL Builder'!P1176)=FALSE,'SQL Builder'!N1176,"")</f>
        <v/>
      </c>
      <c r="J1201" s="79">
        <f t="shared" si="18"/>
        <v>0</v>
      </c>
    </row>
    <row r="1202" spans="2:10" ht="16.5" x14ac:dyDescent="0.25">
      <c r="B1202" s="49" t="e">
        <f>IF(ISBLANK('SQL Builder'!K1177)=FALSE,(DATE(LEFT('SQL Builder'!K1177,4),MID('SQL Builder'!K1177,6,2),MID('SQL Builder'!K1177,9,2))),NA())</f>
        <v>#N/A</v>
      </c>
      <c r="C1202" s="50" t="str">
        <f>IF(ISBLANK('SQL Builder'!K1177)=FALSE,'SQL Builder'!L1177,"")</f>
        <v/>
      </c>
      <c r="D1202" s="1" t="str">
        <f>IF(ISBLANK('SQL Builder'!K1177)=FALSE,'SQL Builder'!O1177,"")</f>
        <v/>
      </c>
      <c r="H1202" s="43" t="str">
        <f>IF(ISBLANK('SQL Builder'!K1176)=FALSE,H1201+1,"")</f>
        <v/>
      </c>
      <c r="I1202" s="1" t="str">
        <f>IF(ISBLANK('SQL Builder'!P1177)=FALSE,'SQL Builder'!N1177,"")</f>
        <v/>
      </c>
      <c r="J1202" s="79">
        <f t="shared" si="18"/>
        <v>0</v>
      </c>
    </row>
    <row r="1203" spans="2:10" ht="16.5" x14ac:dyDescent="0.25">
      <c r="B1203" s="49" t="e">
        <f>IF(ISBLANK('SQL Builder'!K1178)=FALSE,(DATE(LEFT('SQL Builder'!K1178,4),MID('SQL Builder'!K1178,6,2),MID('SQL Builder'!K1178,9,2))),NA())</f>
        <v>#N/A</v>
      </c>
      <c r="C1203" s="50" t="str">
        <f>IF(ISBLANK('SQL Builder'!K1178)=FALSE,'SQL Builder'!L1178,"")</f>
        <v/>
      </c>
      <c r="D1203" s="1" t="str">
        <f>IF(ISBLANK('SQL Builder'!K1178)=FALSE,'SQL Builder'!O1178,"")</f>
        <v/>
      </c>
      <c r="H1203" s="43" t="str">
        <f>IF(ISBLANK('SQL Builder'!K1177)=FALSE,H1202+1,"")</f>
        <v/>
      </c>
      <c r="I1203" s="1" t="str">
        <f>IF(ISBLANK('SQL Builder'!P1178)=FALSE,'SQL Builder'!N1178,"")</f>
        <v/>
      </c>
      <c r="J1203" s="79">
        <f t="shared" si="18"/>
        <v>0</v>
      </c>
    </row>
    <row r="1204" spans="2:10" ht="16.5" x14ac:dyDescent="0.25">
      <c r="B1204" s="49" t="e">
        <f>IF(ISBLANK('SQL Builder'!K1179)=FALSE,(DATE(LEFT('SQL Builder'!K1179,4),MID('SQL Builder'!K1179,6,2),MID('SQL Builder'!K1179,9,2))),NA())</f>
        <v>#N/A</v>
      </c>
      <c r="C1204" s="50" t="str">
        <f>IF(ISBLANK('SQL Builder'!K1179)=FALSE,'SQL Builder'!L1179,"")</f>
        <v/>
      </c>
      <c r="D1204" s="1" t="str">
        <f>IF(ISBLANK('SQL Builder'!K1179)=FALSE,'SQL Builder'!O1179,"")</f>
        <v/>
      </c>
      <c r="H1204" s="43" t="str">
        <f>IF(ISBLANK('SQL Builder'!K1178)=FALSE,H1203+1,"")</f>
        <v/>
      </c>
      <c r="I1204" s="1" t="str">
        <f>IF(ISBLANK('SQL Builder'!P1179)=FALSE,'SQL Builder'!N1179,"")</f>
        <v/>
      </c>
      <c r="J1204" s="79">
        <f t="shared" si="18"/>
        <v>0</v>
      </c>
    </row>
    <row r="1205" spans="2:10" ht="16.5" x14ac:dyDescent="0.25">
      <c r="B1205" s="49" t="e">
        <f>IF(ISBLANK('SQL Builder'!K1180)=FALSE,(DATE(LEFT('SQL Builder'!K1180,4),MID('SQL Builder'!K1180,6,2),MID('SQL Builder'!K1180,9,2))),NA())</f>
        <v>#N/A</v>
      </c>
      <c r="C1205" s="50" t="str">
        <f>IF(ISBLANK('SQL Builder'!K1180)=FALSE,'SQL Builder'!L1180,"")</f>
        <v/>
      </c>
      <c r="D1205" s="1" t="str">
        <f>IF(ISBLANK('SQL Builder'!K1180)=FALSE,'SQL Builder'!O1180,"")</f>
        <v/>
      </c>
      <c r="H1205" s="43" t="str">
        <f>IF(ISBLANK('SQL Builder'!K1179)=FALSE,H1204+1,"")</f>
        <v/>
      </c>
      <c r="I1205" s="1" t="str">
        <f>IF(ISBLANK('SQL Builder'!P1180)=FALSE,'SQL Builder'!N1180,"")</f>
        <v/>
      </c>
      <c r="J1205" s="79">
        <f t="shared" si="18"/>
        <v>0</v>
      </c>
    </row>
    <row r="1206" spans="2:10" ht="16.5" x14ac:dyDescent="0.25">
      <c r="B1206" s="49" t="e">
        <f>IF(ISBLANK('SQL Builder'!K1181)=FALSE,(DATE(LEFT('SQL Builder'!K1181,4),MID('SQL Builder'!K1181,6,2),MID('SQL Builder'!K1181,9,2))),NA())</f>
        <v>#N/A</v>
      </c>
      <c r="C1206" s="50" t="str">
        <f>IF(ISBLANK('SQL Builder'!K1181)=FALSE,'SQL Builder'!L1181,"")</f>
        <v/>
      </c>
      <c r="D1206" s="1" t="str">
        <f>IF(ISBLANK('SQL Builder'!K1181)=FALSE,'SQL Builder'!O1181,"")</f>
        <v/>
      </c>
      <c r="H1206" s="43" t="str">
        <f>IF(ISBLANK('SQL Builder'!K1180)=FALSE,H1205+1,"")</f>
        <v/>
      </c>
      <c r="I1206" s="1" t="str">
        <f>IF(ISBLANK('SQL Builder'!P1181)=FALSE,'SQL Builder'!N1181,"")</f>
        <v/>
      </c>
      <c r="J1206" s="79">
        <f t="shared" si="18"/>
        <v>0</v>
      </c>
    </row>
    <row r="1207" spans="2:10" ht="16.5" x14ac:dyDescent="0.25">
      <c r="B1207" s="49" t="e">
        <f>IF(ISBLANK('SQL Builder'!K1182)=FALSE,(DATE(LEFT('SQL Builder'!K1182,4),MID('SQL Builder'!K1182,6,2),MID('SQL Builder'!K1182,9,2))),NA())</f>
        <v>#N/A</v>
      </c>
      <c r="C1207" s="50" t="str">
        <f>IF(ISBLANK('SQL Builder'!K1182)=FALSE,'SQL Builder'!L1182,"")</f>
        <v/>
      </c>
      <c r="D1207" s="1" t="str">
        <f>IF(ISBLANK('SQL Builder'!K1182)=FALSE,'SQL Builder'!O1182,"")</f>
        <v/>
      </c>
      <c r="H1207" s="43" t="str">
        <f>IF(ISBLANK('SQL Builder'!K1181)=FALSE,H1206+1,"")</f>
        <v/>
      </c>
      <c r="I1207" s="1" t="str">
        <f>IF(ISBLANK('SQL Builder'!P1182)=FALSE,'SQL Builder'!N1182,"")</f>
        <v/>
      </c>
      <c r="J1207" s="79">
        <f t="shared" si="18"/>
        <v>0</v>
      </c>
    </row>
    <row r="1208" spans="2:10" ht="16.5" x14ac:dyDescent="0.25">
      <c r="B1208" s="49" t="e">
        <f>IF(ISBLANK('SQL Builder'!K1183)=FALSE,(DATE(LEFT('SQL Builder'!K1183,4),MID('SQL Builder'!K1183,6,2),MID('SQL Builder'!K1183,9,2))),NA())</f>
        <v>#N/A</v>
      </c>
      <c r="C1208" s="50" t="str">
        <f>IF(ISBLANK('SQL Builder'!K1183)=FALSE,'SQL Builder'!L1183,"")</f>
        <v/>
      </c>
      <c r="D1208" s="1" t="str">
        <f>IF(ISBLANK('SQL Builder'!K1183)=FALSE,'SQL Builder'!O1183,"")</f>
        <v/>
      </c>
      <c r="H1208" s="43" t="str">
        <f>IF(ISBLANK('SQL Builder'!K1182)=FALSE,H1207+1,"")</f>
        <v/>
      </c>
      <c r="I1208" s="1" t="str">
        <f>IF(ISBLANK('SQL Builder'!P1183)=FALSE,'SQL Builder'!N1183,"")</f>
        <v/>
      </c>
      <c r="J1208" s="79">
        <f t="shared" si="18"/>
        <v>0</v>
      </c>
    </row>
    <row r="1209" spans="2:10" ht="16.5" x14ac:dyDescent="0.25">
      <c r="B1209" s="49" t="e">
        <f>IF(ISBLANK('SQL Builder'!K1184)=FALSE,(DATE(LEFT('SQL Builder'!K1184,4),MID('SQL Builder'!K1184,6,2),MID('SQL Builder'!K1184,9,2))),NA())</f>
        <v>#N/A</v>
      </c>
      <c r="C1209" s="50" t="str">
        <f>IF(ISBLANK('SQL Builder'!K1184)=FALSE,'SQL Builder'!L1184,"")</f>
        <v/>
      </c>
      <c r="D1209" s="1" t="str">
        <f>IF(ISBLANK('SQL Builder'!K1184)=FALSE,'SQL Builder'!O1184,"")</f>
        <v/>
      </c>
      <c r="H1209" s="43" t="str">
        <f>IF(ISBLANK('SQL Builder'!K1183)=FALSE,H1208+1,"")</f>
        <v/>
      </c>
      <c r="I1209" s="1" t="str">
        <f>IF(ISBLANK('SQL Builder'!P1184)=FALSE,'SQL Builder'!N1184,"")</f>
        <v/>
      </c>
      <c r="J1209" s="79">
        <f t="shared" si="18"/>
        <v>0</v>
      </c>
    </row>
    <row r="1210" spans="2:10" ht="16.5" x14ac:dyDescent="0.25">
      <c r="B1210" s="49" t="e">
        <f>IF(ISBLANK('SQL Builder'!K1185)=FALSE,(DATE(LEFT('SQL Builder'!K1185,4),MID('SQL Builder'!K1185,6,2),MID('SQL Builder'!K1185,9,2))),NA())</f>
        <v>#N/A</v>
      </c>
      <c r="C1210" s="50" t="str">
        <f>IF(ISBLANK('SQL Builder'!K1185)=FALSE,'SQL Builder'!L1185,"")</f>
        <v/>
      </c>
      <c r="D1210" s="1" t="str">
        <f>IF(ISBLANK('SQL Builder'!K1185)=FALSE,'SQL Builder'!O1185,"")</f>
        <v/>
      </c>
      <c r="H1210" s="43" t="str">
        <f>IF(ISBLANK('SQL Builder'!K1184)=FALSE,H1209+1,"")</f>
        <v/>
      </c>
      <c r="I1210" s="1" t="str">
        <f>IF(ISBLANK('SQL Builder'!P1185)=FALSE,'SQL Builder'!N1185,"")</f>
        <v/>
      </c>
      <c r="J1210" s="79">
        <f t="shared" si="18"/>
        <v>0</v>
      </c>
    </row>
    <row r="1211" spans="2:10" ht="16.5" x14ac:dyDescent="0.25">
      <c r="B1211" s="49" t="e">
        <f>IF(ISBLANK('SQL Builder'!K1186)=FALSE,(DATE(LEFT('SQL Builder'!K1186,4),MID('SQL Builder'!K1186,6,2),MID('SQL Builder'!K1186,9,2))),NA())</f>
        <v>#N/A</v>
      </c>
      <c r="C1211" s="50" t="str">
        <f>IF(ISBLANK('SQL Builder'!K1186)=FALSE,'SQL Builder'!L1186,"")</f>
        <v/>
      </c>
      <c r="D1211" s="1" t="str">
        <f>IF(ISBLANK('SQL Builder'!K1186)=FALSE,'SQL Builder'!O1186,"")</f>
        <v/>
      </c>
      <c r="H1211" s="43" t="str">
        <f>IF(ISBLANK('SQL Builder'!K1185)=FALSE,H1210+1,"")</f>
        <v/>
      </c>
      <c r="I1211" s="1" t="str">
        <f>IF(ISBLANK('SQL Builder'!P1186)=FALSE,'SQL Builder'!N1186,"")</f>
        <v/>
      </c>
      <c r="J1211" s="79">
        <f t="shared" si="18"/>
        <v>0</v>
      </c>
    </row>
    <row r="1212" spans="2:10" ht="16.5" x14ac:dyDescent="0.25">
      <c r="B1212" s="49" t="e">
        <f>IF(ISBLANK('SQL Builder'!K1187)=FALSE,(DATE(LEFT('SQL Builder'!K1187,4),MID('SQL Builder'!K1187,6,2),MID('SQL Builder'!K1187,9,2))),NA())</f>
        <v>#N/A</v>
      </c>
      <c r="C1212" s="50" t="str">
        <f>IF(ISBLANK('SQL Builder'!K1187)=FALSE,'SQL Builder'!L1187,"")</f>
        <v/>
      </c>
      <c r="D1212" s="1" t="str">
        <f>IF(ISBLANK('SQL Builder'!K1187)=FALSE,'SQL Builder'!O1187,"")</f>
        <v/>
      </c>
      <c r="H1212" s="43" t="str">
        <f>IF(ISBLANK('SQL Builder'!K1186)=FALSE,H1211+1,"")</f>
        <v/>
      </c>
      <c r="I1212" s="1" t="str">
        <f>IF(ISBLANK('SQL Builder'!P1187)=FALSE,'SQL Builder'!N1187,"")</f>
        <v/>
      </c>
      <c r="J1212" s="79">
        <f t="shared" si="18"/>
        <v>0</v>
      </c>
    </row>
    <row r="1213" spans="2:10" ht="16.5" x14ac:dyDescent="0.25">
      <c r="B1213" s="49" t="e">
        <f>IF(ISBLANK('SQL Builder'!K1188)=FALSE,(DATE(LEFT('SQL Builder'!K1188,4),MID('SQL Builder'!K1188,6,2),MID('SQL Builder'!K1188,9,2))),NA())</f>
        <v>#N/A</v>
      </c>
      <c r="C1213" s="50" t="str">
        <f>IF(ISBLANK('SQL Builder'!K1188)=FALSE,'SQL Builder'!L1188,"")</f>
        <v/>
      </c>
      <c r="D1213" s="1" t="str">
        <f>IF(ISBLANK('SQL Builder'!K1188)=FALSE,'SQL Builder'!O1188,"")</f>
        <v/>
      </c>
      <c r="H1213" s="43" t="str">
        <f>IF(ISBLANK('SQL Builder'!K1187)=FALSE,H1212+1,"")</f>
        <v/>
      </c>
      <c r="I1213" s="1" t="str">
        <f>IF(ISBLANK('SQL Builder'!P1188)=FALSE,'SQL Builder'!N1188,"")</f>
        <v/>
      </c>
      <c r="J1213" s="79">
        <f t="shared" si="18"/>
        <v>0</v>
      </c>
    </row>
    <row r="1214" spans="2:10" ht="16.5" x14ac:dyDescent="0.25">
      <c r="B1214" s="49" t="e">
        <f>IF(ISBLANK('SQL Builder'!K1189)=FALSE,(DATE(LEFT('SQL Builder'!K1189,4),MID('SQL Builder'!K1189,6,2),MID('SQL Builder'!K1189,9,2))),NA())</f>
        <v>#N/A</v>
      </c>
      <c r="C1214" s="50" t="str">
        <f>IF(ISBLANK('SQL Builder'!K1189)=FALSE,'SQL Builder'!L1189,"")</f>
        <v/>
      </c>
      <c r="D1214" s="1" t="str">
        <f>IF(ISBLANK('SQL Builder'!K1189)=FALSE,'SQL Builder'!O1189,"")</f>
        <v/>
      </c>
      <c r="H1214" s="43" t="str">
        <f>IF(ISBLANK('SQL Builder'!K1188)=FALSE,H1213+1,"")</f>
        <v/>
      </c>
      <c r="I1214" s="1" t="str">
        <f>IF(ISBLANK('SQL Builder'!P1189)=FALSE,'SQL Builder'!N1189,"")</f>
        <v/>
      </c>
      <c r="J1214" s="79">
        <f t="shared" si="18"/>
        <v>0</v>
      </c>
    </row>
    <row r="1215" spans="2:10" ht="16.5" x14ac:dyDescent="0.25">
      <c r="B1215" s="49" t="e">
        <f>IF(ISBLANK('SQL Builder'!K1190)=FALSE,(DATE(LEFT('SQL Builder'!K1190,4),MID('SQL Builder'!K1190,6,2),MID('SQL Builder'!K1190,9,2))),NA())</f>
        <v>#N/A</v>
      </c>
      <c r="C1215" s="50" t="str">
        <f>IF(ISBLANK('SQL Builder'!K1190)=FALSE,'SQL Builder'!L1190,"")</f>
        <v/>
      </c>
      <c r="D1215" s="1" t="str">
        <f>IF(ISBLANK('SQL Builder'!K1190)=FALSE,'SQL Builder'!O1190,"")</f>
        <v/>
      </c>
      <c r="H1215" s="43" t="str">
        <f>IF(ISBLANK('SQL Builder'!K1189)=FALSE,H1214+1,"")</f>
        <v/>
      </c>
      <c r="I1215" s="1" t="str">
        <f>IF(ISBLANK('SQL Builder'!P1190)=FALSE,'SQL Builder'!N1190,"")</f>
        <v/>
      </c>
      <c r="J1215" s="79">
        <f t="shared" si="18"/>
        <v>0</v>
      </c>
    </row>
    <row r="1216" spans="2:10" ht="16.5" x14ac:dyDescent="0.25">
      <c r="B1216" s="49" t="e">
        <f>IF(ISBLANK('SQL Builder'!K1191)=FALSE,(DATE(LEFT('SQL Builder'!K1191,4),MID('SQL Builder'!K1191,6,2),MID('SQL Builder'!K1191,9,2))),NA())</f>
        <v>#N/A</v>
      </c>
      <c r="C1216" s="50" t="str">
        <f>IF(ISBLANK('SQL Builder'!K1191)=FALSE,'SQL Builder'!L1191,"")</f>
        <v/>
      </c>
      <c r="D1216" s="1" t="str">
        <f>IF(ISBLANK('SQL Builder'!K1191)=FALSE,'SQL Builder'!O1191,"")</f>
        <v/>
      </c>
      <c r="H1216" s="43" t="str">
        <f>IF(ISBLANK('SQL Builder'!K1190)=FALSE,H1215+1,"")</f>
        <v/>
      </c>
      <c r="I1216" s="1" t="str">
        <f>IF(ISBLANK('SQL Builder'!P1191)=FALSE,'SQL Builder'!N1191,"")</f>
        <v/>
      </c>
      <c r="J1216" s="79">
        <f t="shared" si="18"/>
        <v>0</v>
      </c>
    </row>
    <row r="1217" spans="2:10" ht="16.5" x14ac:dyDescent="0.25">
      <c r="B1217" s="49" t="e">
        <f>IF(ISBLANK('SQL Builder'!K1192)=FALSE,(DATE(LEFT('SQL Builder'!K1192,4),MID('SQL Builder'!K1192,6,2),MID('SQL Builder'!K1192,9,2))),NA())</f>
        <v>#N/A</v>
      </c>
      <c r="C1217" s="50" t="str">
        <f>IF(ISBLANK('SQL Builder'!K1192)=FALSE,'SQL Builder'!L1192,"")</f>
        <v/>
      </c>
      <c r="D1217" s="1" t="str">
        <f>IF(ISBLANK('SQL Builder'!K1192)=FALSE,'SQL Builder'!O1192,"")</f>
        <v/>
      </c>
      <c r="H1217" s="43" t="str">
        <f>IF(ISBLANK('SQL Builder'!K1191)=FALSE,H1216+1,"")</f>
        <v/>
      </c>
      <c r="I1217" s="1" t="str">
        <f>IF(ISBLANK('SQL Builder'!P1192)=FALSE,'SQL Builder'!N1192,"")</f>
        <v/>
      </c>
      <c r="J1217" s="79">
        <f t="shared" si="18"/>
        <v>0</v>
      </c>
    </row>
    <row r="1218" spans="2:10" ht="16.5" x14ac:dyDescent="0.25">
      <c r="B1218" s="49" t="e">
        <f>IF(ISBLANK('SQL Builder'!K1193)=FALSE,(DATE(LEFT('SQL Builder'!K1193,4),MID('SQL Builder'!K1193,6,2),MID('SQL Builder'!K1193,9,2))),NA())</f>
        <v>#N/A</v>
      </c>
      <c r="C1218" s="50" t="str">
        <f>IF(ISBLANK('SQL Builder'!K1193)=FALSE,'SQL Builder'!L1193,"")</f>
        <v/>
      </c>
      <c r="D1218" s="1" t="str">
        <f>IF(ISBLANK('SQL Builder'!K1193)=FALSE,'SQL Builder'!O1193,"")</f>
        <v/>
      </c>
      <c r="H1218" s="43" t="str">
        <f>IF(ISBLANK('SQL Builder'!K1192)=FALSE,H1217+1,"")</f>
        <v/>
      </c>
      <c r="I1218" s="1" t="str">
        <f>IF(ISBLANK('SQL Builder'!P1193)=FALSE,'SQL Builder'!N1193,"")</f>
        <v/>
      </c>
      <c r="J1218" s="79">
        <f t="shared" si="18"/>
        <v>0</v>
      </c>
    </row>
    <row r="1219" spans="2:10" ht="16.5" x14ac:dyDescent="0.25">
      <c r="B1219" s="49" t="e">
        <f>IF(ISBLANK('SQL Builder'!K1194)=FALSE,(DATE(LEFT('SQL Builder'!K1194,4),MID('SQL Builder'!K1194,6,2),MID('SQL Builder'!K1194,9,2))),NA())</f>
        <v>#N/A</v>
      </c>
      <c r="C1219" s="50" t="str">
        <f>IF(ISBLANK('SQL Builder'!K1194)=FALSE,'SQL Builder'!L1194,"")</f>
        <v/>
      </c>
      <c r="D1219" s="1" t="str">
        <f>IF(ISBLANK('SQL Builder'!K1194)=FALSE,'SQL Builder'!O1194,"")</f>
        <v/>
      </c>
      <c r="H1219" s="43" t="str">
        <f>IF(ISBLANK('SQL Builder'!K1193)=FALSE,H1218+1,"")</f>
        <v/>
      </c>
      <c r="I1219" s="1" t="str">
        <f>IF(ISBLANK('SQL Builder'!P1194)=FALSE,'SQL Builder'!N1194,"")</f>
        <v/>
      </c>
      <c r="J1219" s="79">
        <f t="shared" si="18"/>
        <v>0</v>
      </c>
    </row>
    <row r="1220" spans="2:10" ht="16.5" x14ac:dyDescent="0.25">
      <c r="B1220" s="49" t="e">
        <f>IF(ISBLANK('SQL Builder'!K1195)=FALSE,(DATE(LEFT('SQL Builder'!K1195,4),MID('SQL Builder'!K1195,6,2),MID('SQL Builder'!K1195,9,2))),NA())</f>
        <v>#N/A</v>
      </c>
      <c r="C1220" s="50" t="str">
        <f>IF(ISBLANK('SQL Builder'!K1195)=FALSE,'SQL Builder'!L1195,"")</f>
        <v/>
      </c>
      <c r="D1220" s="1" t="str">
        <f>IF(ISBLANK('SQL Builder'!K1195)=FALSE,'SQL Builder'!O1195,"")</f>
        <v/>
      </c>
      <c r="H1220" s="43" t="str">
        <f>IF(ISBLANK('SQL Builder'!K1194)=FALSE,H1219+1,"")</f>
        <v/>
      </c>
      <c r="I1220" s="1" t="str">
        <f>IF(ISBLANK('SQL Builder'!P1195)=FALSE,'SQL Builder'!N1195,"")</f>
        <v/>
      </c>
      <c r="J1220" s="79">
        <f t="shared" si="18"/>
        <v>0</v>
      </c>
    </row>
    <row r="1221" spans="2:10" ht="16.5" x14ac:dyDescent="0.25">
      <c r="B1221" s="49" t="e">
        <f>IF(ISBLANK('SQL Builder'!K1196)=FALSE,(DATE(LEFT('SQL Builder'!K1196,4),MID('SQL Builder'!K1196,6,2),MID('SQL Builder'!K1196,9,2))),NA())</f>
        <v>#N/A</v>
      </c>
      <c r="C1221" s="50" t="str">
        <f>IF(ISBLANK('SQL Builder'!K1196)=FALSE,'SQL Builder'!L1196,"")</f>
        <v/>
      </c>
      <c r="D1221" s="1" t="str">
        <f>IF(ISBLANK('SQL Builder'!K1196)=FALSE,'SQL Builder'!O1196,"")</f>
        <v/>
      </c>
      <c r="H1221" s="43" t="str">
        <f>IF(ISBLANK('SQL Builder'!K1195)=FALSE,H1220+1,"")</f>
        <v/>
      </c>
      <c r="I1221" s="1" t="str">
        <f>IF(ISBLANK('SQL Builder'!P1196)=FALSE,'SQL Builder'!N1196,"")</f>
        <v/>
      </c>
      <c r="J1221" s="79">
        <f t="shared" si="18"/>
        <v>0</v>
      </c>
    </row>
    <row r="1222" spans="2:10" ht="16.5" x14ac:dyDescent="0.25">
      <c r="B1222" s="49" t="e">
        <f>IF(ISBLANK('SQL Builder'!K1197)=FALSE,(DATE(LEFT('SQL Builder'!K1197,4),MID('SQL Builder'!K1197,6,2),MID('SQL Builder'!K1197,9,2))),NA())</f>
        <v>#N/A</v>
      </c>
      <c r="C1222" s="50" t="str">
        <f>IF(ISBLANK('SQL Builder'!K1197)=FALSE,'SQL Builder'!L1197,"")</f>
        <v/>
      </c>
      <c r="D1222" s="1" t="str">
        <f>IF(ISBLANK('SQL Builder'!K1197)=FALSE,'SQL Builder'!O1197,"")</f>
        <v/>
      </c>
      <c r="H1222" s="43" t="str">
        <f>IF(ISBLANK('SQL Builder'!K1196)=FALSE,H1221+1,"")</f>
        <v/>
      </c>
      <c r="I1222" s="1" t="str">
        <f>IF(ISBLANK('SQL Builder'!P1197)=FALSE,'SQL Builder'!N1197,"")</f>
        <v/>
      </c>
      <c r="J1222" s="79">
        <f t="shared" si="18"/>
        <v>0</v>
      </c>
    </row>
    <row r="1223" spans="2:10" ht="16.5" x14ac:dyDescent="0.25">
      <c r="B1223" s="49" t="e">
        <f>IF(ISBLANK('SQL Builder'!K1198)=FALSE,(DATE(LEFT('SQL Builder'!K1198,4),MID('SQL Builder'!K1198,6,2),MID('SQL Builder'!K1198,9,2))),NA())</f>
        <v>#N/A</v>
      </c>
      <c r="C1223" s="50" t="str">
        <f>IF(ISBLANK('SQL Builder'!K1198)=FALSE,'SQL Builder'!L1198,"")</f>
        <v/>
      </c>
      <c r="D1223" s="1" t="str">
        <f>IF(ISBLANK('SQL Builder'!K1198)=FALSE,'SQL Builder'!O1198,"")</f>
        <v/>
      </c>
      <c r="H1223" s="43" t="str">
        <f>IF(ISBLANK('SQL Builder'!K1197)=FALSE,H1222+1,"")</f>
        <v/>
      </c>
      <c r="I1223" s="1" t="str">
        <f>IF(ISBLANK('SQL Builder'!P1198)=FALSE,'SQL Builder'!N1198,"")</f>
        <v/>
      </c>
      <c r="J1223" s="79">
        <f t="shared" si="18"/>
        <v>0</v>
      </c>
    </row>
    <row r="1224" spans="2:10" ht="16.5" x14ac:dyDescent="0.25">
      <c r="B1224" s="49" t="e">
        <f>IF(ISBLANK('SQL Builder'!K1199)=FALSE,(DATE(LEFT('SQL Builder'!K1199,4),MID('SQL Builder'!K1199,6,2),MID('SQL Builder'!K1199,9,2))),NA())</f>
        <v>#N/A</v>
      </c>
      <c r="C1224" s="50" t="str">
        <f>IF(ISBLANK('SQL Builder'!K1199)=FALSE,'SQL Builder'!L1199,"")</f>
        <v/>
      </c>
      <c r="D1224" s="1" t="str">
        <f>IF(ISBLANK('SQL Builder'!K1199)=FALSE,'SQL Builder'!O1199,"")</f>
        <v/>
      </c>
      <c r="H1224" s="43" t="str">
        <f>IF(ISBLANK('SQL Builder'!K1198)=FALSE,H1223+1,"")</f>
        <v/>
      </c>
      <c r="I1224" s="1" t="str">
        <f>IF(ISBLANK('SQL Builder'!P1199)=FALSE,'SQL Builder'!N1199,"")</f>
        <v/>
      </c>
      <c r="J1224" s="79">
        <f t="shared" si="18"/>
        <v>0</v>
      </c>
    </row>
    <row r="1225" spans="2:10" ht="16.5" x14ac:dyDescent="0.25">
      <c r="B1225" s="49" t="e">
        <f>IF(ISBLANK('SQL Builder'!K1200)=FALSE,(DATE(LEFT('SQL Builder'!K1200,4),MID('SQL Builder'!K1200,6,2),MID('SQL Builder'!K1200,9,2))),NA())</f>
        <v>#N/A</v>
      </c>
      <c r="C1225" s="50" t="str">
        <f>IF(ISBLANK('SQL Builder'!K1200)=FALSE,'SQL Builder'!L1200,"")</f>
        <v/>
      </c>
      <c r="D1225" s="1" t="str">
        <f>IF(ISBLANK('SQL Builder'!K1200)=FALSE,'SQL Builder'!O1200,"")</f>
        <v/>
      </c>
      <c r="H1225" s="43" t="str">
        <f>IF(ISBLANK('SQL Builder'!K1199)=FALSE,H1224+1,"")</f>
        <v/>
      </c>
      <c r="I1225" s="1" t="str">
        <f>IF(ISBLANK('SQL Builder'!P1200)=FALSE,'SQL Builder'!N1200,"")</f>
        <v/>
      </c>
      <c r="J1225" s="79">
        <f t="shared" si="18"/>
        <v>0</v>
      </c>
    </row>
    <row r="1226" spans="2:10" ht="16.5" x14ac:dyDescent="0.25">
      <c r="B1226" s="49" t="e">
        <f>IF(ISBLANK('SQL Builder'!K1201)=FALSE,(DATE(LEFT('SQL Builder'!K1201,4),MID('SQL Builder'!K1201,6,2),MID('SQL Builder'!K1201,9,2))),NA())</f>
        <v>#N/A</v>
      </c>
      <c r="C1226" s="50" t="str">
        <f>IF(ISBLANK('SQL Builder'!K1201)=FALSE,'SQL Builder'!L1201,"")</f>
        <v/>
      </c>
      <c r="D1226" s="1" t="str">
        <f>IF(ISBLANK('SQL Builder'!K1201)=FALSE,'SQL Builder'!O1201,"")</f>
        <v/>
      </c>
      <c r="H1226" s="43" t="str">
        <f>IF(ISBLANK('SQL Builder'!K1200)=FALSE,H1225+1,"")</f>
        <v/>
      </c>
      <c r="I1226" s="1" t="str">
        <f>IF(ISBLANK('SQL Builder'!P1201)=FALSE,'SQL Builder'!N1201,"")</f>
        <v/>
      </c>
      <c r="J1226" s="79">
        <f t="shared" si="18"/>
        <v>0</v>
      </c>
    </row>
    <row r="1227" spans="2:10" ht="16.5" x14ac:dyDescent="0.25">
      <c r="B1227" s="49" t="e">
        <f>IF(ISBLANK('SQL Builder'!K1202)=FALSE,(DATE(LEFT('SQL Builder'!K1202,4),MID('SQL Builder'!K1202,6,2),MID('SQL Builder'!K1202,9,2))),NA())</f>
        <v>#N/A</v>
      </c>
      <c r="C1227" s="50" t="str">
        <f>IF(ISBLANK('SQL Builder'!K1202)=FALSE,'SQL Builder'!L1202,"")</f>
        <v/>
      </c>
      <c r="D1227" s="1" t="str">
        <f>IF(ISBLANK('SQL Builder'!K1202)=FALSE,'SQL Builder'!O1202,"")</f>
        <v/>
      </c>
      <c r="H1227" s="43" t="str">
        <f>IF(ISBLANK('SQL Builder'!K1201)=FALSE,H1226+1,"")</f>
        <v/>
      </c>
      <c r="I1227" s="1" t="str">
        <f>IF(ISBLANK('SQL Builder'!P1202)=FALSE,'SQL Builder'!N1202,"")</f>
        <v/>
      </c>
      <c r="J1227" s="79">
        <f t="shared" si="18"/>
        <v>0</v>
      </c>
    </row>
    <row r="1228" spans="2:10" ht="16.5" x14ac:dyDescent="0.25">
      <c r="B1228" s="49" t="e">
        <f>IF(ISBLANK('SQL Builder'!K1203)=FALSE,(DATE(LEFT('SQL Builder'!K1203,4),MID('SQL Builder'!K1203,6,2),MID('SQL Builder'!K1203,9,2))),NA())</f>
        <v>#N/A</v>
      </c>
      <c r="C1228" s="50" t="str">
        <f>IF(ISBLANK('SQL Builder'!K1203)=FALSE,'SQL Builder'!L1203,"")</f>
        <v/>
      </c>
      <c r="D1228" s="1" t="str">
        <f>IF(ISBLANK('SQL Builder'!K1203)=FALSE,'SQL Builder'!O1203,"")</f>
        <v/>
      </c>
      <c r="H1228" s="43" t="str">
        <f>IF(ISBLANK('SQL Builder'!K1202)=FALSE,H1227+1,"")</f>
        <v/>
      </c>
      <c r="I1228" s="1" t="str">
        <f>IF(ISBLANK('SQL Builder'!P1203)=FALSE,'SQL Builder'!N1203,"")</f>
        <v/>
      </c>
      <c r="J1228" s="79">
        <f t="shared" si="18"/>
        <v>0</v>
      </c>
    </row>
    <row r="1229" spans="2:10" ht="16.5" x14ac:dyDescent="0.25">
      <c r="B1229" s="49" t="e">
        <f>IF(ISBLANK('SQL Builder'!K1204)=FALSE,(DATE(LEFT('SQL Builder'!K1204,4),MID('SQL Builder'!K1204,6,2),MID('SQL Builder'!K1204,9,2))),NA())</f>
        <v>#N/A</v>
      </c>
      <c r="C1229" s="50" t="str">
        <f>IF(ISBLANK('SQL Builder'!K1204)=FALSE,'SQL Builder'!L1204,"")</f>
        <v/>
      </c>
      <c r="D1229" s="1" t="str">
        <f>IF(ISBLANK('SQL Builder'!K1204)=FALSE,'SQL Builder'!O1204,"")</f>
        <v/>
      </c>
      <c r="H1229" s="43" t="str">
        <f>IF(ISBLANK('SQL Builder'!K1203)=FALSE,H1228+1,"")</f>
        <v/>
      </c>
      <c r="I1229" s="1" t="str">
        <f>IF(ISBLANK('SQL Builder'!P1204)=FALSE,'SQL Builder'!N1204,"")</f>
        <v/>
      </c>
      <c r="J1229" s="79">
        <f t="shared" si="18"/>
        <v>0</v>
      </c>
    </row>
    <row r="1230" spans="2:10" ht="16.5" x14ac:dyDescent="0.25">
      <c r="B1230" s="49" t="e">
        <f>IF(ISBLANK('SQL Builder'!K1205)=FALSE,(DATE(LEFT('SQL Builder'!K1205,4),MID('SQL Builder'!K1205,6,2),MID('SQL Builder'!K1205,9,2))),NA())</f>
        <v>#N/A</v>
      </c>
      <c r="C1230" s="50" t="str">
        <f>IF(ISBLANK('SQL Builder'!K1205)=FALSE,'SQL Builder'!L1205,"")</f>
        <v/>
      </c>
      <c r="D1230" s="1" t="str">
        <f>IF(ISBLANK('SQL Builder'!K1205)=FALSE,'SQL Builder'!O1205,"")</f>
        <v/>
      </c>
      <c r="H1230" s="43" t="str">
        <f>IF(ISBLANK('SQL Builder'!K1204)=FALSE,H1229+1,"")</f>
        <v/>
      </c>
      <c r="I1230" s="1" t="str">
        <f>IF(ISBLANK('SQL Builder'!P1205)=FALSE,'SQL Builder'!N1205,"")</f>
        <v/>
      </c>
      <c r="J1230" s="79">
        <f t="shared" si="18"/>
        <v>0</v>
      </c>
    </row>
    <row r="1231" spans="2:10" ht="16.5" x14ac:dyDescent="0.25">
      <c r="B1231" s="49" t="e">
        <f>IF(ISBLANK('SQL Builder'!K1206)=FALSE,(DATE(LEFT('SQL Builder'!K1206,4),MID('SQL Builder'!K1206,6,2),MID('SQL Builder'!K1206,9,2))),NA())</f>
        <v>#N/A</v>
      </c>
      <c r="C1231" s="50" t="str">
        <f>IF(ISBLANK('SQL Builder'!K1206)=FALSE,'SQL Builder'!L1206,"")</f>
        <v/>
      </c>
      <c r="D1231" s="1" t="str">
        <f>IF(ISBLANK('SQL Builder'!K1206)=FALSE,'SQL Builder'!O1206,"")</f>
        <v/>
      </c>
      <c r="H1231" s="43" t="str">
        <f>IF(ISBLANK('SQL Builder'!K1205)=FALSE,H1230+1,"")</f>
        <v/>
      </c>
      <c r="I1231" s="1" t="str">
        <f>IF(ISBLANK('SQL Builder'!P1206)=FALSE,'SQL Builder'!N1206,"")</f>
        <v/>
      </c>
      <c r="J1231" s="79">
        <f t="shared" si="18"/>
        <v>0</v>
      </c>
    </row>
    <row r="1232" spans="2:10" ht="16.5" x14ac:dyDescent="0.25">
      <c r="B1232" s="49" t="e">
        <f>IF(ISBLANK('SQL Builder'!K1207)=FALSE,(DATE(LEFT('SQL Builder'!K1207,4),MID('SQL Builder'!K1207,6,2),MID('SQL Builder'!K1207,9,2))),NA())</f>
        <v>#N/A</v>
      </c>
      <c r="C1232" s="50" t="str">
        <f>IF(ISBLANK('SQL Builder'!K1207)=FALSE,'SQL Builder'!L1207,"")</f>
        <v/>
      </c>
      <c r="D1232" s="1" t="str">
        <f>IF(ISBLANK('SQL Builder'!K1207)=FALSE,'SQL Builder'!O1207,"")</f>
        <v/>
      </c>
      <c r="H1232" s="43" t="str">
        <f>IF(ISBLANK('SQL Builder'!K1206)=FALSE,H1231+1,"")</f>
        <v/>
      </c>
      <c r="I1232" s="1" t="str">
        <f>IF(ISBLANK('SQL Builder'!P1207)=FALSE,'SQL Builder'!N1207,"")</f>
        <v/>
      </c>
      <c r="J1232" s="79">
        <f t="shared" si="18"/>
        <v>0</v>
      </c>
    </row>
    <row r="1233" spans="2:10" ht="16.5" x14ac:dyDescent="0.25">
      <c r="B1233" s="49" t="e">
        <f>IF(ISBLANK('SQL Builder'!K1208)=FALSE,(DATE(LEFT('SQL Builder'!K1208,4),MID('SQL Builder'!K1208,6,2),MID('SQL Builder'!K1208,9,2))),NA())</f>
        <v>#N/A</v>
      </c>
      <c r="C1233" s="50" t="str">
        <f>IF(ISBLANK('SQL Builder'!K1208)=FALSE,'SQL Builder'!L1208,"")</f>
        <v/>
      </c>
      <c r="D1233" s="1" t="str">
        <f>IF(ISBLANK('SQL Builder'!K1208)=FALSE,'SQL Builder'!O1208,"")</f>
        <v/>
      </c>
      <c r="H1233" s="43" t="str">
        <f>IF(ISBLANK('SQL Builder'!K1207)=FALSE,H1232+1,"")</f>
        <v/>
      </c>
      <c r="I1233" s="1" t="str">
        <f>IF(ISBLANK('SQL Builder'!P1208)=FALSE,'SQL Builder'!N1208,"")</f>
        <v/>
      </c>
      <c r="J1233" s="79">
        <f t="shared" si="18"/>
        <v>0</v>
      </c>
    </row>
    <row r="1234" spans="2:10" ht="16.5" x14ac:dyDescent="0.25">
      <c r="B1234" s="49" t="e">
        <f>IF(ISBLANK('SQL Builder'!K1209)=FALSE,(DATE(LEFT('SQL Builder'!K1209,4),MID('SQL Builder'!K1209,6,2),MID('SQL Builder'!K1209,9,2))),NA())</f>
        <v>#N/A</v>
      </c>
      <c r="C1234" s="50" t="str">
        <f>IF(ISBLANK('SQL Builder'!K1209)=FALSE,'SQL Builder'!L1209,"")</f>
        <v/>
      </c>
      <c r="D1234" s="1" t="str">
        <f>IF(ISBLANK('SQL Builder'!K1209)=FALSE,'SQL Builder'!O1209,"")</f>
        <v/>
      </c>
      <c r="H1234" s="43" t="str">
        <f>IF(ISBLANK('SQL Builder'!K1208)=FALSE,H1233+1,"")</f>
        <v/>
      </c>
      <c r="I1234" s="1" t="str">
        <f>IF(ISBLANK('SQL Builder'!P1209)=FALSE,'SQL Builder'!N1209,"")</f>
        <v/>
      </c>
      <c r="J1234" s="79">
        <f t="shared" si="18"/>
        <v>0</v>
      </c>
    </row>
    <row r="1235" spans="2:10" ht="16.5" x14ac:dyDescent="0.25">
      <c r="B1235" s="49" t="e">
        <f>IF(ISBLANK('SQL Builder'!K1210)=FALSE,(DATE(LEFT('SQL Builder'!K1210,4),MID('SQL Builder'!K1210,6,2),MID('SQL Builder'!K1210,9,2))),NA())</f>
        <v>#N/A</v>
      </c>
      <c r="C1235" s="50" t="str">
        <f>IF(ISBLANK('SQL Builder'!K1210)=FALSE,'SQL Builder'!L1210,"")</f>
        <v/>
      </c>
      <c r="D1235" s="1" t="str">
        <f>IF(ISBLANK('SQL Builder'!K1210)=FALSE,'SQL Builder'!O1210,"")</f>
        <v/>
      </c>
      <c r="H1235" s="43" t="str">
        <f>IF(ISBLANK('SQL Builder'!K1209)=FALSE,H1234+1,"")</f>
        <v/>
      </c>
      <c r="I1235" s="1" t="str">
        <f>IF(ISBLANK('SQL Builder'!P1210)=FALSE,'SQL Builder'!N1210,"")</f>
        <v/>
      </c>
      <c r="J1235" s="79">
        <f t="shared" si="18"/>
        <v>0</v>
      </c>
    </row>
    <row r="1236" spans="2:10" ht="16.5" x14ac:dyDescent="0.25">
      <c r="B1236" s="49" t="e">
        <f>IF(ISBLANK('SQL Builder'!K1211)=FALSE,(DATE(LEFT('SQL Builder'!K1211,4),MID('SQL Builder'!K1211,6,2),MID('SQL Builder'!K1211,9,2))),NA())</f>
        <v>#N/A</v>
      </c>
      <c r="C1236" s="50" t="str">
        <f>IF(ISBLANK('SQL Builder'!K1211)=FALSE,'SQL Builder'!L1211,"")</f>
        <v/>
      </c>
      <c r="D1236" s="1" t="str">
        <f>IF(ISBLANK('SQL Builder'!K1211)=FALSE,'SQL Builder'!O1211,"")</f>
        <v/>
      </c>
      <c r="H1236" s="43" t="str">
        <f>IF(ISBLANK('SQL Builder'!K1210)=FALSE,H1235+1,"")</f>
        <v/>
      </c>
      <c r="I1236" s="1" t="str">
        <f>IF(ISBLANK('SQL Builder'!P1211)=FALSE,'SQL Builder'!N1211,"")</f>
        <v/>
      </c>
      <c r="J1236" s="79">
        <f t="shared" si="18"/>
        <v>0</v>
      </c>
    </row>
    <row r="1237" spans="2:10" ht="16.5" x14ac:dyDescent="0.25">
      <c r="B1237" s="49" t="e">
        <f>IF(ISBLANK('SQL Builder'!K1212)=FALSE,(DATE(LEFT('SQL Builder'!K1212,4),MID('SQL Builder'!K1212,6,2),MID('SQL Builder'!K1212,9,2))),NA())</f>
        <v>#N/A</v>
      </c>
      <c r="C1237" s="50" t="str">
        <f>IF(ISBLANK('SQL Builder'!K1212)=FALSE,'SQL Builder'!L1212,"")</f>
        <v/>
      </c>
      <c r="D1237" s="1" t="str">
        <f>IF(ISBLANK('SQL Builder'!K1212)=FALSE,'SQL Builder'!O1212,"")</f>
        <v/>
      </c>
      <c r="H1237" s="43" t="str">
        <f>IF(ISBLANK('SQL Builder'!K1211)=FALSE,H1236+1,"")</f>
        <v/>
      </c>
      <c r="I1237" s="1" t="str">
        <f>IF(ISBLANK('SQL Builder'!P1212)=FALSE,'SQL Builder'!N1212,"")</f>
        <v/>
      </c>
      <c r="J1237" s="79">
        <f t="shared" si="18"/>
        <v>0</v>
      </c>
    </row>
    <row r="1238" spans="2:10" ht="16.5" x14ac:dyDescent="0.25">
      <c r="B1238" s="49" t="e">
        <f>IF(ISBLANK('SQL Builder'!K1213)=FALSE,(DATE(LEFT('SQL Builder'!K1213,4),MID('SQL Builder'!K1213,6,2),MID('SQL Builder'!K1213,9,2))),NA())</f>
        <v>#N/A</v>
      </c>
      <c r="C1238" s="50" t="str">
        <f>IF(ISBLANK('SQL Builder'!K1213)=FALSE,'SQL Builder'!L1213,"")</f>
        <v/>
      </c>
      <c r="D1238" s="1" t="str">
        <f>IF(ISBLANK('SQL Builder'!K1213)=FALSE,'SQL Builder'!O1213,"")</f>
        <v/>
      </c>
      <c r="H1238" s="43" t="str">
        <f>IF(ISBLANK('SQL Builder'!K1212)=FALSE,H1237+1,"")</f>
        <v/>
      </c>
      <c r="I1238" s="1" t="str">
        <f>IF(ISBLANK('SQL Builder'!P1213)=FALSE,'SQL Builder'!N1213,"")</f>
        <v/>
      </c>
      <c r="J1238" s="79">
        <f t="shared" si="18"/>
        <v>0</v>
      </c>
    </row>
    <row r="1239" spans="2:10" ht="16.5" x14ac:dyDescent="0.25">
      <c r="B1239" s="49" t="e">
        <f>IF(ISBLANK('SQL Builder'!K1214)=FALSE,(DATE(LEFT('SQL Builder'!K1214,4),MID('SQL Builder'!K1214,6,2),MID('SQL Builder'!K1214,9,2))),NA())</f>
        <v>#N/A</v>
      </c>
      <c r="C1239" s="50" t="str">
        <f>IF(ISBLANK('SQL Builder'!K1214)=FALSE,'SQL Builder'!L1214,"")</f>
        <v/>
      </c>
      <c r="D1239" s="1" t="str">
        <f>IF(ISBLANK('SQL Builder'!K1214)=FALSE,'SQL Builder'!O1214,"")</f>
        <v/>
      </c>
      <c r="H1239" s="43" t="str">
        <f>IF(ISBLANK('SQL Builder'!K1213)=FALSE,H1238+1,"")</f>
        <v/>
      </c>
      <c r="I1239" s="1" t="str">
        <f>IF(ISBLANK('SQL Builder'!P1214)=FALSE,'SQL Builder'!N1214,"")</f>
        <v/>
      </c>
      <c r="J1239" s="79">
        <f t="shared" si="18"/>
        <v>0</v>
      </c>
    </row>
    <row r="1240" spans="2:10" ht="16.5" x14ac:dyDescent="0.25">
      <c r="B1240" s="49" t="e">
        <f>IF(ISBLANK('SQL Builder'!K1215)=FALSE,(DATE(LEFT('SQL Builder'!K1215,4),MID('SQL Builder'!K1215,6,2),MID('SQL Builder'!K1215,9,2))),NA())</f>
        <v>#N/A</v>
      </c>
      <c r="C1240" s="50" t="str">
        <f>IF(ISBLANK('SQL Builder'!K1215)=FALSE,'SQL Builder'!L1215,"")</f>
        <v/>
      </c>
      <c r="D1240" s="1" t="str">
        <f>IF(ISBLANK('SQL Builder'!K1215)=FALSE,'SQL Builder'!O1215,"")</f>
        <v/>
      </c>
      <c r="H1240" s="43" t="str">
        <f>IF(ISBLANK('SQL Builder'!K1214)=FALSE,H1239+1,"")</f>
        <v/>
      </c>
      <c r="I1240" s="1" t="str">
        <f>IF(ISBLANK('SQL Builder'!P1215)=FALSE,'SQL Builder'!N1215,"")</f>
        <v/>
      </c>
      <c r="J1240" s="79">
        <f t="shared" si="18"/>
        <v>0</v>
      </c>
    </row>
    <row r="1241" spans="2:10" ht="16.5" x14ac:dyDescent="0.25">
      <c r="B1241" s="49" t="e">
        <f>IF(ISBLANK('SQL Builder'!K1216)=FALSE,(DATE(LEFT('SQL Builder'!K1216,4),MID('SQL Builder'!K1216,6,2),MID('SQL Builder'!K1216,9,2))),NA())</f>
        <v>#N/A</v>
      </c>
      <c r="C1241" s="50" t="str">
        <f>IF(ISBLANK('SQL Builder'!K1216)=FALSE,'SQL Builder'!L1216,"")</f>
        <v/>
      </c>
      <c r="D1241" s="1" t="str">
        <f>IF(ISBLANK('SQL Builder'!K1216)=FALSE,'SQL Builder'!O1216,"")</f>
        <v/>
      </c>
      <c r="H1241" s="43" t="str">
        <f>IF(ISBLANK('SQL Builder'!K1215)=FALSE,H1240+1,"")</f>
        <v/>
      </c>
      <c r="I1241" s="1" t="str">
        <f>IF(ISBLANK('SQL Builder'!P1216)=FALSE,'SQL Builder'!N1216,"")</f>
        <v/>
      </c>
      <c r="J1241" s="79">
        <f t="shared" si="18"/>
        <v>0</v>
      </c>
    </row>
    <row r="1242" spans="2:10" ht="16.5" x14ac:dyDescent="0.25">
      <c r="B1242" s="49" t="e">
        <f>IF(ISBLANK('SQL Builder'!K1217)=FALSE,(DATE(LEFT('SQL Builder'!K1217,4),MID('SQL Builder'!K1217,6,2),MID('SQL Builder'!K1217,9,2))),NA())</f>
        <v>#N/A</v>
      </c>
      <c r="C1242" s="50" t="str">
        <f>IF(ISBLANK('SQL Builder'!K1217)=FALSE,'SQL Builder'!L1217,"")</f>
        <v/>
      </c>
      <c r="D1242" s="1" t="str">
        <f>IF(ISBLANK('SQL Builder'!K1217)=FALSE,'SQL Builder'!O1217,"")</f>
        <v/>
      </c>
      <c r="H1242" s="43" t="str">
        <f>IF(ISBLANK('SQL Builder'!K1216)=FALSE,H1241+1,"")</f>
        <v/>
      </c>
      <c r="I1242" s="1" t="str">
        <f>IF(ISBLANK('SQL Builder'!P1217)=FALSE,'SQL Builder'!N1217,"")</f>
        <v/>
      </c>
      <c r="J1242" s="79">
        <f t="shared" si="18"/>
        <v>0</v>
      </c>
    </row>
    <row r="1243" spans="2:10" ht="16.5" x14ac:dyDescent="0.25">
      <c r="B1243" s="49" t="e">
        <f>IF(ISBLANK('SQL Builder'!K1218)=FALSE,(DATE(LEFT('SQL Builder'!K1218,4),MID('SQL Builder'!K1218,6,2),MID('SQL Builder'!K1218,9,2))),NA())</f>
        <v>#N/A</v>
      </c>
      <c r="C1243" s="50" t="str">
        <f>IF(ISBLANK('SQL Builder'!K1218)=FALSE,'SQL Builder'!L1218,"")</f>
        <v/>
      </c>
      <c r="D1243" s="1" t="str">
        <f>IF(ISBLANK('SQL Builder'!K1218)=FALSE,'SQL Builder'!O1218,"")</f>
        <v/>
      </c>
      <c r="H1243" s="43" t="str">
        <f>IF(ISBLANK('SQL Builder'!K1217)=FALSE,H1242+1,"")</f>
        <v/>
      </c>
      <c r="I1243" s="1" t="str">
        <f>IF(ISBLANK('SQL Builder'!P1218)=FALSE,'SQL Builder'!N1218,"")</f>
        <v/>
      </c>
      <c r="J1243" s="79">
        <f t="shared" si="18"/>
        <v>0</v>
      </c>
    </row>
    <row r="1244" spans="2:10" ht="16.5" x14ac:dyDescent="0.25">
      <c r="B1244" s="49" t="e">
        <f>IF(ISBLANK('SQL Builder'!K1219)=FALSE,(DATE(LEFT('SQL Builder'!K1219,4),MID('SQL Builder'!K1219,6,2),MID('SQL Builder'!K1219,9,2))),NA())</f>
        <v>#N/A</v>
      </c>
      <c r="C1244" s="50" t="str">
        <f>IF(ISBLANK('SQL Builder'!K1219)=FALSE,'SQL Builder'!L1219,"")</f>
        <v/>
      </c>
      <c r="D1244" s="1" t="str">
        <f>IF(ISBLANK('SQL Builder'!K1219)=FALSE,'SQL Builder'!O1219,"")</f>
        <v/>
      </c>
      <c r="H1244" s="43" t="str">
        <f>IF(ISBLANK('SQL Builder'!K1218)=FALSE,H1243+1,"")</f>
        <v/>
      </c>
      <c r="I1244" s="1" t="str">
        <f>IF(ISBLANK('SQL Builder'!P1219)=FALSE,'SQL Builder'!N1219,"")</f>
        <v/>
      </c>
      <c r="J1244" s="79">
        <f t="shared" si="18"/>
        <v>0</v>
      </c>
    </row>
    <row r="1245" spans="2:10" ht="16.5" x14ac:dyDescent="0.25">
      <c r="B1245" s="49" t="e">
        <f>IF(ISBLANK('SQL Builder'!K1220)=FALSE,(DATE(LEFT('SQL Builder'!K1220,4),MID('SQL Builder'!K1220,6,2),MID('SQL Builder'!K1220,9,2))),NA())</f>
        <v>#N/A</v>
      </c>
      <c r="C1245" s="50" t="str">
        <f>IF(ISBLANK('SQL Builder'!K1220)=FALSE,'SQL Builder'!L1220,"")</f>
        <v/>
      </c>
      <c r="D1245" s="1" t="str">
        <f>IF(ISBLANK('SQL Builder'!K1220)=FALSE,'SQL Builder'!O1220,"")</f>
        <v/>
      </c>
      <c r="H1245" s="43" t="str">
        <f>IF(ISBLANK('SQL Builder'!K1219)=FALSE,H1244+1,"")</f>
        <v/>
      </c>
      <c r="I1245" s="1" t="str">
        <f>IF(ISBLANK('SQL Builder'!P1220)=FALSE,'SQL Builder'!N1220,"")</f>
        <v/>
      </c>
      <c r="J1245" s="79">
        <f t="shared" si="18"/>
        <v>0</v>
      </c>
    </row>
    <row r="1246" spans="2:10" ht="16.5" x14ac:dyDescent="0.25">
      <c r="B1246" s="49" t="e">
        <f>IF(ISBLANK('SQL Builder'!K1221)=FALSE,(DATE(LEFT('SQL Builder'!K1221,4),MID('SQL Builder'!K1221,6,2),MID('SQL Builder'!K1221,9,2))),NA())</f>
        <v>#N/A</v>
      </c>
      <c r="C1246" s="50" t="str">
        <f>IF(ISBLANK('SQL Builder'!K1221)=FALSE,'SQL Builder'!L1221,"")</f>
        <v/>
      </c>
      <c r="D1246" s="1" t="str">
        <f>IF(ISBLANK('SQL Builder'!K1221)=FALSE,'SQL Builder'!O1221,"")</f>
        <v/>
      </c>
      <c r="H1246" s="43" t="str">
        <f>IF(ISBLANK('SQL Builder'!K1220)=FALSE,H1245+1,"")</f>
        <v/>
      </c>
      <c r="I1246" s="1" t="str">
        <f>IF(ISBLANK('SQL Builder'!P1221)=FALSE,'SQL Builder'!N1221,"")</f>
        <v/>
      </c>
      <c r="J1246" s="79">
        <f t="shared" si="18"/>
        <v>0</v>
      </c>
    </row>
    <row r="1247" spans="2:10" ht="16.5" x14ac:dyDescent="0.25">
      <c r="B1247" s="49" t="e">
        <f>IF(ISBLANK('SQL Builder'!K1222)=FALSE,(DATE(LEFT('SQL Builder'!K1222,4),MID('SQL Builder'!K1222,6,2),MID('SQL Builder'!K1222,9,2))),NA())</f>
        <v>#N/A</v>
      </c>
      <c r="C1247" s="50" t="str">
        <f>IF(ISBLANK('SQL Builder'!K1222)=FALSE,'SQL Builder'!L1222,"")</f>
        <v/>
      </c>
      <c r="D1247" s="1" t="str">
        <f>IF(ISBLANK('SQL Builder'!K1222)=FALSE,'SQL Builder'!O1222,"")</f>
        <v/>
      </c>
      <c r="H1247" s="43" t="str">
        <f>IF(ISBLANK('SQL Builder'!K1221)=FALSE,H1246+1,"")</f>
        <v/>
      </c>
      <c r="I1247" s="1" t="str">
        <f>IF(ISBLANK('SQL Builder'!P1222)=FALSE,'SQL Builder'!N1222,"")</f>
        <v/>
      </c>
      <c r="J1247" s="79">
        <f t="shared" ref="J1247:J1310" si="19">IF(I1247="",0,IF(I1247=C$5,2,1))</f>
        <v>0</v>
      </c>
    </row>
    <row r="1248" spans="2:10" ht="16.5" x14ac:dyDescent="0.25">
      <c r="B1248" s="49" t="e">
        <f>IF(ISBLANK('SQL Builder'!K1223)=FALSE,(DATE(LEFT('SQL Builder'!K1223,4),MID('SQL Builder'!K1223,6,2),MID('SQL Builder'!K1223,9,2))),NA())</f>
        <v>#N/A</v>
      </c>
      <c r="C1248" s="50" t="str">
        <f>IF(ISBLANK('SQL Builder'!K1223)=FALSE,'SQL Builder'!L1223,"")</f>
        <v/>
      </c>
      <c r="D1248" s="1" t="str">
        <f>IF(ISBLANK('SQL Builder'!K1223)=FALSE,'SQL Builder'!O1223,"")</f>
        <v/>
      </c>
      <c r="H1248" s="43" t="str">
        <f>IF(ISBLANK('SQL Builder'!K1222)=FALSE,H1247+1,"")</f>
        <v/>
      </c>
      <c r="I1248" s="1" t="str">
        <f>IF(ISBLANK('SQL Builder'!P1223)=FALSE,'SQL Builder'!N1223,"")</f>
        <v/>
      </c>
      <c r="J1248" s="79">
        <f t="shared" si="19"/>
        <v>0</v>
      </c>
    </row>
    <row r="1249" spans="2:10" ht="16.5" x14ac:dyDescent="0.25">
      <c r="B1249" s="49" t="e">
        <f>IF(ISBLANK('SQL Builder'!K1224)=FALSE,(DATE(LEFT('SQL Builder'!K1224,4),MID('SQL Builder'!K1224,6,2),MID('SQL Builder'!K1224,9,2))),NA())</f>
        <v>#N/A</v>
      </c>
      <c r="C1249" s="50" t="str">
        <f>IF(ISBLANK('SQL Builder'!K1224)=FALSE,'SQL Builder'!L1224,"")</f>
        <v/>
      </c>
      <c r="D1249" s="1" t="str">
        <f>IF(ISBLANK('SQL Builder'!K1224)=FALSE,'SQL Builder'!O1224,"")</f>
        <v/>
      </c>
      <c r="H1249" s="43" t="str">
        <f>IF(ISBLANK('SQL Builder'!K1223)=FALSE,H1248+1,"")</f>
        <v/>
      </c>
      <c r="I1249" s="1" t="str">
        <f>IF(ISBLANK('SQL Builder'!P1224)=FALSE,'SQL Builder'!N1224,"")</f>
        <v/>
      </c>
      <c r="J1249" s="79">
        <f t="shared" si="19"/>
        <v>0</v>
      </c>
    </row>
    <row r="1250" spans="2:10" ht="16.5" x14ac:dyDescent="0.25">
      <c r="B1250" s="49" t="e">
        <f>IF(ISBLANK('SQL Builder'!K1225)=FALSE,(DATE(LEFT('SQL Builder'!K1225,4),MID('SQL Builder'!K1225,6,2),MID('SQL Builder'!K1225,9,2))),NA())</f>
        <v>#N/A</v>
      </c>
      <c r="C1250" s="50" t="str">
        <f>IF(ISBLANK('SQL Builder'!K1225)=FALSE,'SQL Builder'!L1225,"")</f>
        <v/>
      </c>
      <c r="D1250" s="1" t="str">
        <f>IF(ISBLANK('SQL Builder'!K1225)=FALSE,'SQL Builder'!O1225,"")</f>
        <v/>
      </c>
      <c r="H1250" s="43" t="str">
        <f>IF(ISBLANK('SQL Builder'!K1224)=FALSE,H1249+1,"")</f>
        <v/>
      </c>
      <c r="I1250" s="1" t="str">
        <f>IF(ISBLANK('SQL Builder'!P1225)=FALSE,'SQL Builder'!N1225,"")</f>
        <v/>
      </c>
      <c r="J1250" s="79">
        <f t="shared" si="19"/>
        <v>0</v>
      </c>
    </row>
    <row r="1251" spans="2:10" ht="16.5" x14ac:dyDescent="0.25">
      <c r="B1251" s="49" t="e">
        <f>IF(ISBLANK('SQL Builder'!K1226)=FALSE,(DATE(LEFT('SQL Builder'!K1226,4),MID('SQL Builder'!K1226,6,2),MID('SQL Builder'!K1226,9,2))),NA())</f>
        <v>#N/A</v>
      </c>
      <c r="C1251" s="50" t="str">
        <f>IF(ISBLANK('SQL Builder'!K1226)=FALSE,'SQL Builder'!L1226,"")</f>
        <v/>
      </c>
      <c r="D1251" s="1" t="str">
        <f>IF(ISBLANK('SQL Builder'!K1226)=FALSE,'SQL Builder'!O1226,"")</f>
        <v/>
      </c>
      <c r="H1251" s="43" t="str">
        <f>IF(ISBLANK('SQL Builder'!K1225)=FALSE,H1250+1,"")</f>
        <v/>
      </c>
      <c r="I1251" s="1" t="str">
        <f>IF(ISBLANK('SQL Builder'!P1226)=FALSE,'SQL Builder'!N1226,"")</f>
        <v/>
      </c>
      <c r="J1251" s="79">
        <f t="shared" si="19"/>
        <v>0</v>
      </c>
    </row>
    <row r="1252" spans="2:10" ht="16.5" x14ac:dyDescent="0.25">
      <c r="B1252" s="49" t="e">
        <f>IF(ISBLANK('SQL Builder'!K1227)=FALSE,(DATE(LEFT('SQL Builder'!K1227,4),MID('SQL Builder'!K1227,6,2),MID('SQL Builder'!K1227,9,2))),NA())</f>
        <v>#N/A</v>
      </c>
      <c r="C1252" s="50" t="str">
        <f>IF(ISBLANK('SQL Builder'!K1227)=FALSE,'SQL Builder'!L1227,"")</f>
        <v/>
      </c>
      <c r="D1252" s="1" t="str">
        <f>IF(ISBLANK('SQL Builder'!K1227)=FALSE,'SQL Builder'!O1227,"")</f>
        <v/>
      </c>
      <c r="H1252" s="43" t="str">
        <f>IF(ISBLANK('SQL Builder'!K1226)=FALSE,H1251+1,"")</f>
        <v/>
      </c>
      <c r="I1252" s="1" t="str">
        <f>IF(ISBLANK('SQL Builder'!P1227)=FALSE,'SQL Builder'!N1227,"")</f>
        <v/>
      </c>
      <c r="J1252" s="79">
        <f t="shared" si="19"/>
        <v>0</v>
      </c>
    </row>
    <row r="1253" spans="2:10" ht="16.5" x14ac:dyDescent="0.25">
      <c r="B1253" s="49" t="e">
        <f>IF(ISBLANK('SQL Builder'!K1228)=FALSE,(DATE(LEFT('SQL Builder'!K1228,4),MID('SQL Builder'!K1228,6,2),MID('SQL Builder'!K1228,9,2))),NA())</f>
        <v>#N/A</v>
      </c>
      <c r="C1253" s="50" t="str">
        <f>IF(ISBLANK('SQL Builder'!K1228)=FALSE,'SQL Builder'!L1228,"")</f>
        <v/>
      </c>
      <c r="D1253" s="1" t="str">
        <f>IF(ISBLANK('SQL Builder'!K1228)=FALSE,'SQL Builder'!O1228,"")</f>
        <v/>
      </c>
      <c r="H1253" s="43" t="str">
        <f>IF(ISBLANK('SQL Builder'!K1227)=FALSE,H1252+1,"")</f>
        <v/>
      </c>
      <c r="I1253" s="1" t="str">
        <f>IF(ISBLANK('SQL Builder'!P1228)=FALSE,'SQL Builder'!N1228,"")</f>
        <v/>
      </c>
      <c r="J1253" s="79">
        <f t="shared" si="19"/>
        <v>0</v>
      </c>
    </row>
    <row r="1254" spans="2:10" ht="16.5" x14ac:dyDescent="0.25">
      <c r="B1254" s="49" t="e">
        <f>IF(ISBLANK('SQL Builder'!K1229)=FALSE,(DATE(LEFT('SQL Builder'!K1229,4),MID('SQL Builder'!K1229,6,2),MID('SQL Builder'!K1229,9,2))),NA())</f>
        <v>#N/A</v>
      </c>
      <c r="C1254" s="50" t="str">
        <f>IF(ISBLANK('SQL Builder'!K1229)=FALSE,'SQL Builder'!L1229,"")</f>
        <v/>
      </c>
      <c r="D1254" s="1" t="str">
        <f>IF(ISBLANK('SQL Builder'!K1229)=FALSE,'SQL Builder'!O1229,"")</f>
        <v/>
      </c>
      <c r="H1254" s="43" t="str">
        <f>IF(ISBLANK('SQL Builder'!K1228)=FALSE,H1253+1,"")</f>
        <v/>
      </c>
      <c r="I1254" s="1" t="str">
        <f>IF(ISBLANK('SQL Builder'!P1229)=FALSE,'SQL Builder'!N1229,"")</f>
        <v/>
      </c>
      <c r="J1254" s="79">
        <f t="shared" si="19"/>
        <v>0</v>
      </c>
    </row>
    <row r="1255" spans="2:10" ht="16.5" x14ac:dyDescent="0.25">
      <c r="B1255" s="49" t="e">
        <f>IF(ISBLANK('SQL Builder'!K1230)=FALSE,(DATE(LEFT('SQL Builder'!K1230,4),MID('SQL Builder'!K1230,6,2),MID('SQL Builder'!K1230,9,2))),NA())</f>
        <v>#N/A</v>
      </c>
      <c r="C1255" s="50" t="str">
        <f>IF(ISBLANK('SQL Builder'!K1230)=FALSE,'SQL Builder'!L1230,"")</f>
        <v/>
      </c>
      <c r="D1255" s="1" t="str">
        <f>IF(ISBLANK('SQL Builder'!K1230)=FALSE,'SQL Builder'!O1230,"")</f>
        <v/>
      </c>
      <c r="H1255" s="43" t="str">
        <f>IF(ISBLANK('SQL Builder'!K1229)=FALSE,H1254+1,"")</f>
        <v/>
      </c>
      <c r="I1255" s="1" t="str">
        <f>IF(ISBLANK('SQL Builder'!P1230)=FALSE,'SQL Builder'!N1230,"")</f>
        <v/>
      </c>
      <c r="J1255" s="79">
        <f t="shared" si="19"/>
        <v>0</v>
      </c>
    </row>
    <row r="1256" spans="2:10" ht="16.5" x14ac:dyDescent="0.25">
      <c r="B1256" s="49" t="e">
        <f>IF(ISBLANK('SQL Builder'!K1231)=FALSE,(DATE(LEFT('SQL Builder'!K1231,4),MID('SQL Builder'!K1231,6,2),MID('SQL Builder'!K1231,9,2))),NA())</f>
        <v>#N/A</v>
      </c>
      <c r="C1256" s="50" t="str">
        <f>IF(ISBLANK('SQL Builder'!K1231)=FALSE,'SQL Builder'!L1231,"")</f>
        <v/>
      </c>
      <c r="D1256" s="1" t="str">
        <f>IF(ISBLANK('SQL Builder'!K1231)=FALSE,'SQL Builder'!O1231,"")</f>
        <v/>
      </c>
      <c r="H1256" s="43" t="str">
        <f>IF(ISBLANK('SQL Builder'!K1230)=FALSE,H1255+1,"")</f>
        <v/>
      </c>
      <c r="I1256" s="1" t="str">
        <f>IF(ISBLANK('SQL Builder'!P1231)=FALSE,'SQL Builder'!N1231,"")</f>
        <v/>
      </c>
      <c r="J1256" s="79">
        <f t="shared" si="19"/>
        <v>0</v>
      </c>
    </row>
    <row r="1257" spans="2:10" ht="16.5" x14ac:dyDescent="0.25">
      <c r="B1257" s="49" t="e">
        <f>IF(ISBLANK('SQL Builder'!K1232)=FALSE,(DATE(LEFT('SQL Builder'!K1232,4),MID('SQL Builder'!K1232,6,2),MID('SQL Builder'!K1232,9,2))),NA())</f>
        <v>#N/A</v>
      </c>
      <c r="C1257" s="50" t="str">
        <f>IF(ISBLANK('SQL Builder'!K1232)=FALSE,'SQL Builder'!L1232,"")</f>
        <v/>
      </c>
      <c r="D1257" s="1" t="str">
        <f>IF(ISBLANK('SQL Builder'!K1232)=FALSE,'SQL Builder'!O1232,"")</f>
        <v/>
      </c>
      <c r="H1257" s="43" t="str">
        <f>IF(ISBLANK('SQL Builder'!K1231)=FALSE,H1256+1,"")</f>
        <v/>
      </c>
      <c r="I1257" s="1" t="str">
        <f>IF(ISBLANK('SQL Builder'!P1232)=FALSE,'SQL Builder'!N1232,"")</f>
        <v/>
      </c>
      <c r="J1257" s="79">
        <f t="shared" si="19"/>
        <v>0</v>
      </c>
    </row>
    <row r="1258" spans="2:10" ht="16.5" x14ac:dyDescent="0.25">
      <c r="B1258" s="49" t="e">
        <f>IF(ISBLANK('SQL Builder'!K1233)=FALSE,(DATE(LEFT('SQL Builder'!K1233,4),MID('SQL Builder'!K1233,6,2),MID('SQL Builder'!K1233,9,2))),NA())</f>
        <v>#N/A</v>
      </c>
      <c r="C1258" s="50" t="str">
        <f>IF(ISBLANK('SQL Builder'!K1233)=FALSE,'SQL Builder'!L1233,"")</f>
        <v/>
      </c>
      <c r="D1258" s="1" t="str">
        <f>IF(ISBLANK('SQL Builder'!K1233)=FALSE,'SQL Builder'!O1233,"")</f>
        <v/>
      </c>
      <c r="H1258" s="43" t="str">
        <f>IF(ISBLANK('SQL Builder'!K1232)=FALSE,H1257+1,"")</f>
        <v/>
      </c>
      <c r="I1258" s="1" t="str">
        <f>IF(ISBLANK('SQL Builder'!P1233)=FALSE,'SQL Builder'!N1233,"")</f>
        <v/>
      </c>
      <c r="J1258" s="79">
        <f t="shared" si="19"/>
        <v>0</v>
      </c>
    </row>
    <row r="1259" spans="2:10" ht="16.5" x14ac:dyDescent="0.25">
      <c r="B1259" s="49" t="e">
        <f>IF(ISBLANK('SQL Builder'!K1234)=FALSE,(DATE(LEFT('SQL Builder'!K1234,4),MID('SQL Builder'!K1234,6,2),MID('SQL Builder'!K1234,9,2))),NA())</f>
        <v>#N/A</v>
      </c>
      <c r="C1259" s="50" t="str">
        <f>IF(ISBLANK('SQL Builder'!K1234)=FALSE,'SQL Builder'!L1234,"")</f>
        <v/>
      </c>
      <c r="D1259" s="1" t="str">
        <f>IF(ISBLANK('SQL Builder'!K1234)=FALSE,'SQL Builder'!O1234,"")</f>
        <v/>
      </c>
      <c r="H1259" s="43" t="str">
        <f>IF(ISBLANK('SQL Builder'!K1233)=FALSE,H1258+1,"")</f>
        <v/>
      </c>
      <c r="I1259" s="1" t="str">
        <f>IF(ISBLANK('SQL Builder'!P1234)=FALSE,'SQL Builder'!N1234,"")</f>
        <v/>
      </c>
      <c r="J1259" s="79">
        <f t="shared" si="19"/>
        <v>0</v>
      </c>
    </row>
    <row r="1260" spans="2:10" ht="16.5" x14ac:dyDescent="0.25">
      <c r="B1260" s="49" t="e">
        <f>IF(ISBLANK('SQL Builder'!K1235)=FALSE,(DATE(LEFT('SQL Builder'!K1235,4),MID('SQL Builder'!K1235,6,2),MID('SQL Builder'!K1235,9,2))),NA())</f>
        <v>#N/A</v>
      </c>
      <c r="C1260" s="50" t="str">
        <f>IF(ISBLANK('SQL Builder'!K1235)=FALSE,'SQL Builder'!L1235,"")</f>
        <v/>
      </c>
      <c r="D1260" s="1" t="str">
        <f>IF(ISBLANK('SQL Builder'!K1235)=FALSE,'SQL Builder'!O1235,"")</f>
        <v/>
      </c>
      <c r="H1260" s="43" t="str">
        <f>IF(ISBLANK('SQL Builder'!K1234)=FALSE,H1259+1,"")</f>
        <v/>
      </c>
      <c r="I1260" s="1" t="str">
        <f>IF(ISBLANK('SQL Builder'!P1235)=FALSE,'SQL Builder'!N1235,"")</f>
        <v/>
      </c>
      <c r="J1260" s="79">
        <f t="shared" si="19"/>
        <v>0</v>
      </c>
    </row>
    <row r="1261" spans="2:10" ht="16.5" x14ac:dyDescent="0.25">
      <c r="B1261" s="49" t="e">
        <f>IF(ISBLANK('SQL Builder'!K1236)=FALSE,(DATE(LEFT('SQL Builder'!K1236,4),MID('SQL Builder'!K1236,6,2),MID('SQL Builder'!K1236,9,2))),NA())</f>
        <v>#N/A</v>
      </c>
      <c r="C1261" s="50" t="str">
        <f>IF(ISBLANK('SQL Builder'!K1236)=FALSE,'SQL Builder'!L1236,"")</f>
        <v/>
      </c>
      <c r="D1261" s="1" t="str">
        <f>IF(ISBLANK('SQL Builder'!K1236)=FALSE,'SQL Builder'!O1236,"")</f>
        <v/>
      </c>
      <c r="H1261" s="43" t="str">
        <f>IF(ISBLANK('SQL Builder'!K1235)=FALSE,H1260+1,"")</f>
        <v/>
      </c>
      <c r="I1261" s="1" t="str">
        <f>IF(ISBLANK('SQL Builder'!P1236)=FALSE,'SQL Builder'!N1236,"")</f>
        <v/>
      </c>
      <c r="J1261" s="79">
        <f t="shared" si="19"/>
        <v>0</v>
      </c>
    </row>
    <row r="1262" spans="2:10" ht="16.5" x14ac:dyDescent="0.25">
      <c r="B1262" s="49" t="e">
        <f>IF(ISBLANK('SQL Builder'!K1237)=FALSE,(DATE(LEFT('SQL Builder'!K1237,4),MID('SQL Builder'!K1237,6,2),MID('SQL Builder'!K1237,9,2))),NA())</f>
        <v>#N/A</v>
      </c>
      <c r="C1262" s="50" t="str">
        <f>IF(ISBLANK('SQL Builder'!K1237)=FALSE,'SQL Builder'!L1237,"")</f>
        <v/>
      </c>
      <c r="D1262" s="1" t="str">
        <f>IF(ISBLANK('SQL Builder'!K1237)=FALSE,'SQL Builder'!O1237,"")</f>
        <v/>
      </c>
      <c r="H1262" s="43" t="str">
        <f>IF(ISBLANK('SQL Builder'!K1236)=FALSE,H1261+1,"")</f>
        <v/>
      </c>
      <c r="I1262" s="1" t="str">
        <f>IF(ISBLANK('SQL Builder'!P1237)=FALSE,'SQL Builder'!N1237,"")</f>
        <v/>
      </c>
      <c r="J1262" s="79">
        <f t="shared" si="19"/>
        <v>0</v>
      </c>
    </row>
    <row r="1263" spans="2:10" ht="16.5" x14ac:dyDescent="0.25">
      <c r="B1263" s="49" t="e">
        <f>IF(ISBLANK('SQL Builder'!K1238)=FALSE,(DATE(LEFT('SQL Builder'!K1238,4),MID('SQL Builder'!K1238,6,2),MID('SQL Builder'!K1238,9,2))),NA())</f>
        <v>#N/A</v>
      </c>
      <c r="C1263" s="50" t="str">
        <f>IF(ISBLANK('SQL Builder'!K1238)=FALSE,'SQL Builder'!L1238,"")</f>
        <v/>
      </c>
      <c r="D1263" s="1" t="str">
        <f>IF(ISBLANK('SQL Builder'!K1238)=FALSE,'SQL Builder'!O1238,"")</f>
        <v/>
      </c>
      <c r="H1263" s="43" t="str">
        <f>IF(ISBLANK('SQL Builder'!K1237)=FALSE,H1262+1,"")</f>
        <v/>
      </c>
      <c r="I1263" s="1" t="str">
        <f>IF(ISBLANK('SQL Builder'!P1238)=FALSE,'SQL Builder'!N1238,"")</f>
        <v/>
      </c>
      <c r="J1263" s="79">
        <f t="shared" si="19"/>
        <v>0</v>
      </c>
    </row>
    <row r="1264" spans="2:10" ht="16.5" x14ac:dyDescent="0.25">
      <c r="B1264" s="49" t="e">
        <f>IF(ISBLANK('SQL Builder'!K1239)=FALSE,(DATE(LEFT('SQL Builder'!K1239,4),MID('SQL Builder'!K1239,6,2),MID('SQL Builder'!K1239,9,2))),NA())</f>
        <v>#N/A</v>
      </c>
      <c r="C1264" s="50" t="str">
        <f>IF(ISBLANK('SQL Builder'!K1239)=FALSE,'SQL Builder'!L1239,"")</f>
        <v/>
      </c>
      <c r="D1264" s="1" t="str">
        <f>IF(ISBLANK('SQL Builder'!K1239)=FALSE,'SQL Builder'!O1239,"")</f>
        <v/>
      </c>
      <c r="H1264" s="43" t="str">
        <f>IF(ISBLANK('SQL Builder'!K1238)=FALSE,H1263+1,"")</f>
        <v/>
      </c>
      <c r="I1264" s="1" t="str">
        <f>IF(ISBLANK('SQL Builder'!P1239)=FALSE,'SQL Builder'!N1239,"")</f>
        <v/>
      </c>
      <c r="J1264" s="79">
        <f t="shared" si="19"/>
        <v>0</v>
      </c>
    </row>
    <row r="1265" spans="2:10" ht="16.5" x14ac:dyDescent="0.25">
      <c r="B1265" s="49" t="e">
        <f>IF(ISBLANK('SQL Builder'!K1240)=FALSE,(DATE(LEFT('SQL Builder'!K1240,4),MID('SQL Builder'!K1240,6,2),MID('SQL Builder'!K1240,9,2))),NA())</f>
        <v>#N/A</v>
      </c>
      <c r="C1265" s="50" t="str">
        <f>IF(ISBLANK('SQL Builder'!K1240)=FALSE,'SQL Builder'!L1240,"")</f>
        <v/>
      </c>
      <c r="D1265" s="1" t="str">
        <f>IF(ISBLANK('SQL Builder'!K1240)=FALSE,'SQL Builder'!O1240,"")</f>
        <v/>
      </c>
      <c r="H1265" s="43" t="str">
        <f>IF(ISBLANK('SQL Builder'!K1239)=FALSE,H1264+1,"")</f>
        <v/>
      </c>
      <c r="I1265" s="1" t="str">
        <f>IF(ISBLANK('SQL Builder'!P1240)=FALSE,'SQL Builder'!N1240,"")</f>
        <v/>
      </c>
      <c r="J1265" s="79">
        <f t="shared" si="19"/>
        <v>0</v>
      </c>
    </row>
    <row r="1266" spans="2:10" ht="16.5" x14ac:dyDescent="0.25">
      <c r="B1266" s="49" t="e">
        <f>IF(ISBLANK('SQL Builder'!K1241)=FALSE,(DATE(LEFT('SQL Builder'!K1241,4),MID('SQL Builder'!K1241,6,2),MID('SQL Builder'!K1241,9,2))),NA())</f>
        <v>#N/A</v>
      </c>
      <c r="C1266" s="50" t="str">
        <f>IF(ISBLANK('SQL Builder'!K1241)=FALSE,'SQL Builder'!L1241,"")</f>
        <v/>
      </c>
      <c r="D1266" s="1" t="str">
        <f>IF(ISBLANK('SQL Builder'!K1241)=FALSE,'SQL Builder'!O1241,"")</f>
        <v/>
      </c>
      <c r="H1266" s="43" t="str">
        <f>IF(ISBLANK('SQL Builder'!K1240)=FALSE,H1265+1,"")</f>
        <v/>
      </c>
      <c r="I1266" s="1" t="str">
        <f>IF(ISBLANK('SQL Builder'!P1241)=FALSE,'SQL Builder'!N1241,"")</f>
        <v/>
      </c>
      <c r="J1266" s="79">
        <f t="shared" si="19"/>
        <v>0</v>
      </c>
    </row>
    <row r="1267" spans="2:10" ht="16.5" x14ac:dyDescent="0.25">
      <c r="B1267" s="49" t="e">
        <f>IF(ISBLANK('SQL Builder'!K1242)=FALSE,(DATE(LEFT('SQL Builder'!K1242,4),MID('SQL Builder'!K1242,6,2),MID('SQL Builder'!K1242,9,2))),NA())</f>
        <v>#N/A</v>
      </c>
      <c r="C1267" s="50" t="str">
        <f>IF(ISBLANK('SQL Builder'!K1242)=FALSE,'SQL Builder'!L1242,"")</f>
        <v/>
      </c>
      <c r="D1267" s="1" t="str">
        <f>IF(ISBLANK('SQL Builder'!K1242)=FALSE,'SQL Builder'!O1242,"")</f>
        <v/>
      </c>
      <c r="H1267" s="43" t="str">
        <f>IF(ISBLANK('SQL Builder'!K1241)=FALSE,H1266+1,"")</f>
        <v/>
      </c>
      <c r="I1267" s="1" t="str">
        <f>IF(ISBLANK('SQL Builder'!P1242)=FALSE,'SQL Builder'!N1242,"")</f>
        <v/>
      </c>
      <c r="J1267" s="79">
        <f t="shared" si="19"/>
        <v>0</v>
      </c>
    </row>
    <row r="1268" spans="2:10" ht="16.5" x14ac:dyDescent="0.25">
      <c r="B1268" s="49" t="e">
        <f>IF(ISBLANK('SQL Builder'!K1243)=FALSE,(DATE(LEFT('SQL Builder'!K1243,4),MID('SQL Builder'!K1243,6,2),MID('SQL Builder'!K1243,9,2))),NA())</f>
        <v>#N/A</v>
      </c>
      <c r="C1268" s="50" t="str">
        <f>IF(ISBLANK('SQL Builder'!K1243)=FALSE,'SQL Builder'!L1243,"")</f>
        <v/>
      </c>
      <c r="D1268" s="1" t="str">
        <f>IF(ISBLANK('SQL Builder'!K1243)=FALSE,'SQL Builder'!O1243,"")</f>
        <v/>
      </c>
      <c r="H1268" s="43" t="str">
        <f>IF(ISBLANK('SQL Builder'!K1242)=FALSE,H1267+1,"")</f>
        <v/>
      </c>
      <c r="I1268" s="1" t="str">
        <f>IF(ISBLANK('SQL Builder'!P1243)=FALSE,'SQL Builder'!N1243,"")</f>
        <v/>
      </c>
      <c r="J1268" s="79">
        <f t="shared" si="19"/>
        <v>0</v>
      </c>
    </row>
    <row r="1269" spans="2:10" ht="16.5" x14ac:dyDescent="0.25">
      <c r="B1269" s="49" t="e">
        <f>IF(ISBLANK('SQL Builder'!K1244)=FALSE,(DATE(LEFT('SQL Builder'!K1244,4),MID('SQL Builder'!K1244,6,2),MID('SQL Builder'!K1244,9,2))),NA())</f>
        <v>#N/A</v>
      </c>
      <c r="C1269" s="50" t="str">
        <f>IF(ISBLANK('SQL Builder'!K1244)=FALSE,'SQL Builder'!L1244,"")</f>
        <v/>
      </c>
      <c r="D1269" s="1" t="str">
        <f>IF(ISBLANK('SQL Builder'!K1244)=FALSE,'SQL Builder'!O1244,"")</f>
        <v/>
      </c>
      <c r="H1269" s="43" t="str">
        <f>IF(ISBLANK('SQL Builder'!K1243)=FALSE,H1268+1,"")</f>
        <v/>
      </c>
      <c r="I1269" s="1" t="str">
        <f>IF(ISBLANK('SQL Builder'!P1244)=FALSE,'SQL Builder'!N1244,"")</f>
        <v/>
      </c>
      <c r="J1269" s="79">
        <f t="shared" si="19"/>
        <v>0</v>
      </c>
    </row>
    <row r="1270" spans="2:10" ht="16.5" x14ac:dyDescent="0.25">
      <c r="B1270" s="49" t="e">
        <f>IF(ISBLANK('SQL Builder'!K1245)=FALSE,(DATE(LEFT('SQL Builder'!K1245,4),MID('SQL Builder'!K1245,6,2),MID('SQL Builder'!K1245,9,2))),NA())</f>
        <v>#N/A</v>
      </c>
      <c r="C1270" s="50" t="str">
        <f>IF(ISBLANK('SQL Builder'!K1245)=FALSE,'SQL Builder'!L1245,"")</f>
        <v/>
      </c>
      <c r="D1270" s="1" t="str">
        <f>IF(ISBLANK('SQL Builder'!K1245)=FALSE,'SQL Builder'!O1245,"")</f>
        <v/>
      </c>
      <c r="H1270" s="43" t="str">
        <f>IF(ISBLANK('SQL Builder'!K1244)=FALSE,H1269+1,"")</f>
        <v/>
      </c>
      <c r="I1270" s="1" t="str">
        <f>IF(ISBLANK('SQL Builder'!P1245)=FALSE,'SQL Builder'!N1245,"")</f>
        <v/>
      </c>
      <c r="J1270" s="79">
        <f t="shared" si="19"/>
        <v>0</v>
      </c>
    </row>
    <row r="1271" spans="2:10" ht="16.5" x14ac:dyDescent="0.25">
      <c r="B1271" s="49" t="e">
        <f>IF(ISBLANK('SQL Builder'!K1246)=FALSE,(DATE(LEFT('SQL Builder'!K1246,4),MID('SQL Builder'!K1246,6,2),MID('SQL Builder'!K1246,9,2))),NA())</f>
        <v>#N/A</v>
      </c>
      <c r="C1271" s="50" t="str">
        <f>IF(ISBLANK('SQL Builder'!K1246)=FALSE,'SQL Builder'!L1246,"")</f>
        <v/>
      </c>
      <c r="D1271" s="1" t="str">
        <f>IF(ISBLANK('SQL Builder'!K1246)=FALSE,'SQL Builder'!O1246,"")</f>
        <v/>
      </c>
      <c r="H1271" s="43" t="str">
        <f>IF(ISBLANK('SQL Builder'!K1245)=FALSE,H1270+1,"")</f>
        <v/>
      </c>
      <c r="I1271" s="1" t="str">
        <f>IF(ISBLANK('SQL Builder'!P1246)=FALSE,'SQL Builder'!N1246,"")</f>
        <v/>
      </c>
      <c r="J1271" s="79">
        <f t="shared" si="19"/>
        <v>0</v>
      </c>
    </row>
    <row r="1272" spans="2:10" ht="16.5" x14ac:dyDescent="0.25">
      <c r="B1272" s="49" t="e">
        <f>IF(ISBLANK('SQL Builder'!K1247)=FALSE,(DATE(LEFT('SQL Builder'!K1247,4),MID('SQL Builder'!K1247,6,2),MID('SQL Builder'!K1247,9,2))),NA())</f>
        <v>#N/A</v>
      </c>
      <c r="C1272" s="50" t="str">
        <f>IF(ISBLANK('SQL Builder'!K1247)=FALSE,'SQL Builder'!L1247,"")</f>
        <v/>
      </c>
      <c r="D1272" s="1" t="str">
        <f>IF(ISBLANK('SQL Builder'!K1247)=FALSE,'SQL Builder'!O1247,"")</f>
        <v/>
      </c>
      <c r="H1272" s="43" t="str">
        <f>IF(ISBLANK('SQL Builder'!K1246)=FALSE,H1271+1,"")</f>
        <v/>
      </c>
      <c r="I1272" s="1" t="str">
        <f>IF(ISBLANK('SQL Builder'!P1247)=FALSE,'SQL Builder'!N1247,"")</f>
        <v/>
      </c>
      <c r="J1272" s="79">
        <f t="shared" si="19"/>
        <v>0</v>
      </c>
    </row>
    <row r="1273" spans="2:10" ht="16.5" x14ac:dyDescent="0.25">
      <c r="B1273" s="49" t="e">
        <f>IF(ISBLANK('SQL Builder'!K1248)=FALSE,(DATE(LEFT('SQL Builder'!K1248,4),MID('SQL Builder'!K1248,6,2),MID('SQL Builder'!K1248,9,2))),NA())</f>
        <v>#N/A</v>
      </c>
      <c r="C1273" s="50" t="str">
        <f>IF(ISBLANK('SQL Builder'!K1248)=FALSE,'SQL Builder'!L1248,"")</f>
        <v/>
      </c>
      <c r="D1273" s="1" t="str">
        <f>IF(ISBLANK('SQL Builder'!K1248)=FALSE,'SQL Builder'!O1248,"")</f>
        <v/>
      </c>
      <c r="H1273" s="43" t="str">
        <f>IF(ISBLANK('SQL Builder'!K1247)=FALSE,H1272+1,"")</f>
        <v/>
      </c>
      <c r="I1273" s="1" t="str">
        <f>IF(ISBLANK('SQL Builder'!P1248)=FALSE,'SQL Builder'!N1248,"")</f>
        <v/>
      </c>
      <c r="J1273" s="79">
        <f t="shared" si="19"/>
        <v>0</v>
      </c>
    </row>
    <row r="1274" spans="2:10" ht="16.5" x14ac:dyDescent="0.25">
      <c r="B1274" s="49" t="e">
        <f>IF(ISBLANK('SQL Builder'!K1249)=FALSE,(DATE(LEFT('SQL Builder'!K1249,4),MID('SQL Builder'!K1249,6,2),MID('SQL Builder'!K1249,9,2))),NA())</f>
        <v>#N/A</v>
      </c>
      <c r="C1274" s="50" t="str">
        <f>IF(ISBLANK('SQL Builder'!K1249)=FALSE,'SQL Builder'!L1249,"")</f>
        <v/>
      </c>
      <c r="D1274" s="1" t="str">
        <f>IF(ISBLANK('SQL Builder'!K1249)=FALSE,'SQL Builder'!O1249,"")</f>
        <v/>
      </c>
      <c r="H1274" s="43" t="str">
        <f>IF(ISBLANK('SQL Builder'!K1248)=FALSE,H1273+1,"")</f>
        <v/>
      </c>
      <c r="I1274" s="1" t="str">
        <f>IF(ISBLANK('SQL Builder'!P1249)=FALSE,'SQL Builder'!N1249,"")</f>
        <v/>
      </c>
      <c r="J1274" s="79">
        <f t="shared" si="19"/>
        <v>0</v>
      </c>
    </row>
    <row r="1275" spans="2:10" ht="16.5" x14ac:dyDescent="0.25">
      <c r="B1275" s="49" t="e">
        <f>IF(ISBLANK('SQL Builder'!K1250)=FALSE,(DATE(LEFT('SQL Builder'!K1250,4),MID('SQL Builder'!K1250,6,2),MID('SQL Builder'!K1250,9,2))),NA())</f>
        <v>#N/A</v>
      </c>
      <c r="C1275" s="50" t="str">
        <f>IF(ISBLANK('SQL Builder'!K1250)=FALSE,'SQL Builder'!L1250,"")</f>
        <v/>
      </c>
      <c r="D1275" s="1" t="str">
        <f>IF(ISBLANK('SQL Builder'!K1250)=FALSE,'SQL Builder'!O1250,"")</f>
        <v/>
      </c>
      <c r="H1275" s="43" t="str">
        <f>IF(ISBLANK('SQL Builder'!K1249)=FALSE,H1274+1,"")</f>
        <v/>
      </c>
      <c r="I1275" s="1" t="str">
        <f>IF(ISBLANK('SQL Builder'!P1250)=FALSE,'SQL Builder'!N1250,"")</f>
        <v/>
      </c>
      <c r="J1275" s="79">
        <f t="shared" si="19"/>
        <v>0</v>
      </c>
    </row>
    <row r="1276" spans="2:10" ht="16.5" x14ac:dyDescent="0.25">
      <c r="B1276" s="49" t="e">
        <f>IF(ISBLANK('SQL Builder'!K1251)=FALSE,(DATE(LEFT('SQL Builder'!K1251,4),MID('SQL Builder'!K1251,6,2),MID('SQL Builder'!K1251,9,2))),NA())</f>
        <v>#N/A</v>
      </c>
      <c r="C1276" s="50" t="str">
        <f>IF(ISBLANK('SQL Builder'!K1251)=FALSE,'SQL Builder'!L1251,"")</f>
        <v/>
      </c>
      <c r="D1276" s="1" t="str">
        <f>IF(ISBLANK('SQL Builder'!K1251)=FALSE,'SQL Builder'!O1251,"")</f>
        <v/>
      </c>
      <c r="H1276" s="43" t="str">
        <f>IF(ISBLANK('SQL Builder'!K1250)=FALSE,H1275+1,"")</f>
        <v/>
      </c>
      <c r="I1276" s="1" t="str">
        <f>IF(ISBLANK('SQL Builder'!P1251)=FALSE,'SQL Builder'!N1251,"")</f>
        <v/>
      </c>
      <c r="J1276" s="79">
        <f t="shared" si="19"/>
        <v>0</v>
      </c>
    </row>
    <row r="1277" spans="2:10" ht="16.5" x14ac:dyDescent="0.25">
      <c r="B1277" s="49" t="e">
        <f>IF(ISBLANK('SQL Builder'!K1252)=FALSE,(DATE(LEFT('SQL Builder'!K1252,4),MID('SQL Builder'!K1252,6,2),MID('SQL Builder'!K1252,9,2))),NA())</f>
        <v>#N/A</v>
      </c>
      <c r="C1277" s="50" t="str">
        <f>IF(ISBLANK('SQL Builder'!K1252)=FALSE,'SQL Builder'!L1252,"")</f>
        <v/>
      </c>
      <c r="D1277" s="1" t="str">
        <f>IF(ISBLANK('SQL Builder'!K1252)=FALSE,'SQL Builder'!O1252,"")</f>
        <v/>
      </c>
      <c r="H1277" s="43" t="str">
        <f>IF(ISBLANK('SQL Builder'!K1251)=FALSE,H1276+1,"")</f>
        <v/>
      </c>
      <c r="I1277" s="1" t="str">
        <f>IF(ISBLANK('SQL Builder'!P1252)=FALSE,'SQL Builder'!N1252,"")</f>
        <v/>
      </c>
      <c r="J1277" s="79">
        <f t="shared" si="19"/>
        <v>0</v>
      </c>
    </row>
    <row r="1278" spans="2:10" ht="16.5" x14ac:dyDescent="0.25">
      <c r="B1278" s="49" t="e">
        <f>IF(ISBLANK('SQL Builder'!K1253)=FALSE,(DATE(LEFT('SQL Builder'!K1253,4),MID('SQL Builder'!K1253,6,2),MID('SQL Builder'!K1253,9,2))),NA())</f>
        <v>#N/A</v>
      </c>
      <c r="C1278" s="50" t="str">
        <f>IF(ISBLANK('SQL Builder'!K1253)=FALSE,'SQL Builder'!L1253,"")</f>
        <v/>
      </c>
      <c r="D1278" s="1" t="str">
        <f>IF(ISBLANK('SQL Builder'!K1253)=FALSE,'SQL Builder'!O1253,"")</f>
        <v/>
      </c>
      <c r="H1278" s="43" t="str">
        <f>IF(ISBLANK('SQL Builder'!K1252)=FALSE,H1277+1,"")</f>
        <v/>
      </c>
      <c r="I1278" s="1" t="str">
        <f>IF(ISBLANK('SQL Builder'!P1253)=FALSE,'SQL Builder'!N1253,"")</f>
        <v/>
      </c>
      <c r="J1278" s="79">
        <f t="shared" si="19"/>
        <v>0</v>
      </c>
    </row>
    <row r="1279" spans="2:10" ht="16.5" x14ac:dyDescent="0.25">
      <c r="B1279" s="49" t="e">
        <f>IF(ISBLANK('SQL Builder'!K1254)=FALSE,(DATE(LEFT('SQL Builder'!K1254,4),MID('SQL Builder'!K1254,6,2),MID('SQL Builder'!K1254,9,2))),NA())</f>
        <v>#N/A</v>
      </c>
      <c r="C1279" s="50" t="str">
        <f>IF(ISBLANK('SQL Builder'!K1254)=FALSE,'SQL Builder'!L1254,"")</f>
        <v/>
      </c>
      <c r="D1279" s="1" t="str">
        <f>IF(ISBLANK('SQL Builder'!K1254)=FALSE,'SQL Builder'!O1254,"")</f>
        <v/>
      </c>
      <c r="H1279" s="43" t="str">
        <f>IF(ISBLANK('SQL Builder'!K1253)=FALSE,H1278+1,"")</f>
        <v/>
      </c>
      <c r="I1279" s="1" t="str">
        <f>IF(ISBLANK('SQL Builder'!P1254)=FALSE,'SQL Builder'!N1254,"")</f>
        <v/>
      </c>
      <c r="J1279" s="79">
        <f t="shared" si="19"/>
        <v>0</v>
      </c>
    </row>
    <row r="1280" spans="2:10" ht="16.5" x14ac:dyDescent="0.25">
      <c r="B1280" s="49" t="e">
        <f>IF(ISBLANK('SQL Builder'!K1255)=FALSE,(DATE(LEFT('SQL Builder'!K1255,4),MID('SQL Builder'!K1255,6,2),MID('SQL Builder'!K1255,9,2))),NA())</f>
        <v>#N/A</v>
      </c>
      <c r="C1280" s="50" t="str">
        <f>IF(ISBLANK('SQL Builder'!K1255)=FALSE,'SQL Builder'!L1255,"")</f>
        <v/>
      </c>
      <c r="D1280" s="1" t="str">
        <f>IF(ISBLANK('SQL Builder'!K1255)=FALSE,'SQL Builder'!O1255,"")</f>
        <v/>
      </c>
      <c r="H1280" s="43" t="str">
        <f>IF(ISBLANK('SQL Builder'!K1254)=FALSE,H1279+1,"")</f>
        <v/>
      </c>
      <c r="I1280" s="1" t="str">
        <f>IF(ISBLANK('SQL Builder'!P1255)=FALSE,'SQL Builder'!N1255,"")</f>
        <v/>
      </c>
      <c r="J1280" s="79">
        <f t="shared" si="19"/>
        <v>0</v>
      </c>
    </row>
    <row r="1281" spans="2:10" ht="16.5" x14ac:dyDescent="0.25">
      <c r="B1281" s="49" t="e">
        <f>IF(ISBLANK('SQL Builder'!K1256)=FALSE,(DATE(LEFT('SQL Builder'!K1256,4),MID('SQL Builder'!K1256,6,2),MID('SQL Builder'!K1256,9,2))),NA())</f>
        <v>#N/A</v>
      </c>
      <c r="C1281" s="50" t="str">
        <f>IF(ISBLANK('SQL Builder'!K1256)=FALSE,'SQL Builder'!L1256,"")</f>
        <v/>
      </c>
      <c r="D1281" s="1" t="str">
        <f>IF(ISBLANK('SQL Builder'!K1256)=FALSE,'SQL Builder'!O1256,"")</f>
        <v/>
      </c>
      <c r="H1281" s="43" t="str">
        <f>IF(ISBLANK('SQL Builder'!K1255)=FALSE,H1280+1,"")</f>
        <v/>
      </c>
      <c r="I1281" s="1" t="str">
        <f>IF(ISBLANK('SQL Builder'!P1256)=FALSE,'SQL Builder'!N1256,"")</f>
        <v/>
      </c>
      <c r="J1281" s="79">
        <f t="shared" si="19"/>
        <v>0</v>
      </c>
    </row>
    <row r="1282" spans="2:10" ht="16.5" x14ac:dyDescent="0.25">
      <c r="B1282" s="49" t="e">
        <f>IF(ISBLANK('SQL Builder'!K1257)=FALSE,(DATE(LEFT('SQL Builder'!K1257,4),MID('SQL Builder'!K1257,6,2),MID('SQL Builder'!K1257,9,2))),NA())</f>
        <v>#N/A</v>
      </c>
      <c r="C1282" s="50" t="str">
        <f>IF(ISBLANK('SQL Builder'!K1257)=FALSE,'SQL Builder'!L1257,"")</f>
        <v/>
      </c>
      <c r="D1282" s="1" t="str">
        <f>IF(ISBLANK('SQL Builder'!K1257)=FALSE,'SQL Builder'!O1257,"")</f>
        <v/>
      </c>
      <c r="H1282" s="43" t="str">
        <f>IF(ISBLANK('SQL Builder'!K1256)=FALSE,H1281+1,"")</f>
        <v/>
      </c>
      <c r="I1282" s="1" t="str">
        <f>IF(ISBLANK('SQL Builder'!P1257)=FALSE,'SQL Builder'!N1257,"")</f>
        <v/>
      </c>
      <c r="J1282" s="79">
        <f t="shared" si="19"/>
        <v>0</v>
      </c>
    </row>
    <row r="1283" spans="2:10" ht="16.5" x14ac:dyDescent="0.25">
      <c r="B1283" s="49" t="e">
        <f>IF(ISBLANK('SQL Builder'!K1258)=FALSE,(DATE(LEFT('SQL Builder'!K1258,4),MID('SQL Builder'!K1258,6,2),MID('SQL Builder'!K1258,9,2))),NA())</f>
        <v>#N/A</v>
      </c>
      <c r="C1283" s="50" t="str">
        <f>IF(ISBLANK('SQL Builder'!K1258)=FALSE,'SQL Builder'!L1258,"")</f>
        <v/>
      </c>
      <c r="D1283" s="1" t="str">
        <f>IF(ISBLANK('SQL Builder'!K1258)=FALSE,'SQL Builder'!O1258,"")</f>
        <v/>
      </c>
      <c r="H1283" s="43" t="str">
        <f>IF(ISBLANK('SQL Builder'!K1257)=FALSE,H1282+1,"")</f>
        <v/>
      </c>
      <c r="I1283" s="1" t="str">
        <f>IF(ISBLANK('SQL Builder'!P1258)=FALSE,'SQL Builder'!N1258,"")</f>
        <v/>
      </c>
      <c r="J1283" s="79">
        <f t="shared" si="19"/>
        <v>0</v>
      </c>
    </row>
    <row r="1284" spans="2:10" ht="16.5" x14ac:dyDescent="0.25">
      <c r="B1284" s="49" t="e">
        <f>IF(ISBLANK('SQL Builder'!K1259)=FALSE,(DATE(LEFT('SQL Builder'!K1259,4),MID('SQL Builder'!K1259,6,2),MID('SQL Builder'!K1259,9,2))),NA())</f>
        <v>#N/A</v>
      </c>
      <c r="C1284" s="50" t="str">
        <f>IF(ISBLANK('SQL Builder'!K1259)=FALSE,'SQL Builder'!L1259,"")</f>
        <v/>
      </c>
      <c r="D1284" s="1" t="str">
        <f>IF(ISBLANK('SQL Builder'!K1259)=FALSE,'SQL Builder'!O1259,"")</f>
        <v/>
      </c>
      <c r="H1284" s="43" t="str">
        <f>IF(ISBLANK('SQL Builder'!K1258)=FALSE,H1283+1,"")</f>
        <v/>
      </c>
      <c r="I1284" s="1" t="str">
        <f>IF(ISBLANK('SQL Builder'!P1259)=FALSE,'SQL Builder'!N1259,"")</f>
        <v/>
      </c>
      <c r="J1284" s="79">
        <f t="shared" si="19"/>
        <v>0</v>
      </c>
    </row>
    <row r="1285" spans="2:10" ht="16.5" x14ac:dyDescent="0.25">
      <c r="B1285" s="49" t="e">
        <f>IF(ISBLANK('SQL Builder'!K1260)=FALSE,(DATE(LEFT('SQL Builder'!K1260,4),MID('SQL Builder'!K1260,6,2),MID('SQL Builder'!K1260,9,2))),NA())</f>
        <v>#N/A</v>
      </c>
      <c r="C1285" s="50" t="str">
        <f>IF(ISBLANK('SQL Builder'!K1260)=FALSE,'SQL Builder'!L1260,"")</f>
        <v/>
      </c>
      <c r="D1285" s="1" t="str">
        <f>IF(ISBLANK('SQL Builder'!K1260)=FALSE,'SQL Builder'!O1260,"")</f>
        <v/>
      </c>
      <c r="H1285" s="43" t="str">
        <f>IF(ISBLANK('SQL Builder'!K1259)=FALSE,H1284+1,"")</f>
        <v/>
      </c>
      <c r="I1285" s="1" t="str">
        <f>IF(ISBLANK('SQL Builder'!P1260)=FALSE,'SQL Builder'!N1260,"")</f>
        <v/>
      </c>
      <c r="J1285" s="79">
        <f t="shared" si="19"/>
        <v>0</v>
      </c>
    </row>
    <row r="1286" spans="2:10" ht="16.5" x14ac:dyDescent="0.25">
      <c r="B1286" s="49" t="e">
        <f>IF(ISBLANK('SQL Builder'!K1261)=FALSE,(DATE(LEFT('SQL Builder'!K1261,4),MID('SQL Builder'!K1261,6,2),MID('SQL Builder'!K1261,9,2))),NA())</f>
        <v>#N/A</v>
      </c>
      <c r="C1286" s="50" t="str">
        <f>IF(ISBLANK('SQL Builder'!K1261)=FALSE,'SQL Builder'!L1261,"")</f>
        <v/>
      </c>
      <c r="D1286" s="1" t="str">
        <f>IF(ISBLANK('SQL Builder'!K1261)=FALSE,'SQL Builder'!O1261,"")</f>
        <v/>
      </c>
      <c r="H1286" s="43" t="str">
        <f>IF(ISBLANK('SQL Builder'!K1260)=FALSE,H1285+1,"")</f>
        <v/>
      </c>
      <c r="I1286" s="1" t="str">
        <f>IF(ISBLANK('SQL Builder'!P1261)=FALSE,'SQL Builder'!N1261,"")</f>
        <v/>
      </c>
      <c r="J1286" s="79">
        <f t="shared" si="19"/>
        <v>0</v>
      </c>
    </row>
    <row r="1287" spans="2:10" ht="16.5" x14ac:dyDescent="0.25">
      <c r="B1287" s="49" t="e">
        <f>IF(ISBLANK('SQL Builder'!K1262)=FALSE,(DATE(LEFT('SQL Builder'!K1262,4),MID('SQL Builder'!K1262,6,2),MID('SQL Builder'!K1262,9,2))),NA())</f>
        <v>#N/A</v>
      </c>
      <c r="C1287" s="50" t="str">
        <f>IF(ISBLANK('SQL Builder'!K1262)=FALSE,'SQL Builder'!L1262,"")</f>
        <v/>
      </c>
      <c r="D1287" s="1" t="str">
        <f>IF(ISBLANK('SQL Builder'!K1262)=FALSE,'SQL Builder'!O1262,"")</f>
        <v/>
      </c>
      <c r="H1287" s="43" t="str">
        <f>IF(ISBLANK('SQL Builder'!K1261)=FALSE,H1286+1,"")</f>
        <v/>
      </c>
      <c r="I1287" s="1" t="str">
        <f>IF(ISBLANK('SQL Builder'!P1262)=FALSE,'SQL Builder'!N1262,"")</f>
        <v/>
      </c>
      <c r="J1287" s="79">
        <f t="shared" si="19"/>
        <v>0</v>
      </c>
    </row>
    <row r="1288" spans="2:10" ht="16.5" x14ac:dyDescent="0.25">
      <c r="B1288" s="49" t="e">
        <f>IF(ISBLANK('SQL Builder'!K1263)=FALSE,(DATE(LEFT('SQL Builder'!K1263,4),MID('SQL Builder'!K1263,6,2),MID('SQL Builder'!K1263,9,2))),NA())</f>
        <v>#N/A</v>
      </c>
      <c r="C1288" s="50" t="str">
        <f>IF(ISBLANK('SQL Builder'!K1263)=FALSE,'SQL Builder'!L1263,"")</f>
        <v/>
      </c>
      <c r="D1288" s="1" t="str">
        <f>IF(ISBLANK('SQL Builder'!K1263)=FALSE,'SQL Builder'!O1263,"")</f>
        <v/>
      </c>
      <c r="H1288" s="43" t="str">
        <f>IF(ISBLANK('SQL Builder'!K1262)=FALSE,H1287+1,"")</f>
        <v/>
      </c>
      <c r="I1288" s="1" t="str">
        <f>IF(ISBLANK('SQL Builder'!P1263)=FALSE,'SQL Builder'!N1263,"")</f>
        <v/>
      </c>
      <c r="J1288" s="79">
        <f t="shared" si="19"/>
        <v>0</v>
      </c>
    </row>
    <row r="1289" spans="2:10" ht="16.5" x14ac:dyDescent="0.25">
      <c r="B1289" s="49" t="e">
        <f>IF(ISBLANK('SQL Builder'!K1264)=FALSE,(DATE(LEFT('SQL Builder'!K1264,4),MID('SQL Builder'!K1264,6,2),MID('SQL Builder'!K1264,9,2))),NA())</f>
        <v>#N/A</v>
      </c>
      <c r="C1289" s="50" t="str">
        <f>IF(ISBLANK('SQL Builder'!K1264)=FALSE,'SQL Builder'!L1264,"")</f>
        <v/>
      </c>
      <c r="D1289" s="1" t="str">
        <f>IF(ISBLANK('SQL Builder'!K1264)=FALSE,'SQL Builder'!O1264,"")</f>
        <v/>
      </c>
      <c r="H1289" s="43" t="str">
        <f>IF(ISBLANK('SQL Builder'!K1263)=FALSE,H1288+1,"")</f>
        <v/>
      </c>
      <c r="I1289" s="1" t="str">
        <f>IF(ISBLANK('SQL Builder'!P1264)=FALSE,'SQL Builder'!N1264,"")</f>
        <v/>
      </c>
      <c r="J1289" s="79">
        <f t="shared" si="19"/>
        <v>0</v>
      </c>
    </row>
    <row r="1290" spans="2:10" ht="16.5" x14ac:dyDescent="0.25">
      <c r="B1290" s="49" t="e">
        <f>IF(ISBLANK('SQL Builder'!K1265)=FALSE,(DATE(LEFT('SQL Builder'!K1265,4),MID('SQL Builder'!K1265,6,2),MID('SQL Builder'!K1265,9,2))),NA())</f>
        <v>#N/A</v>
      </c>
      <c r="C1290" s="50" t="str">
        <f>IF(ISBLANK('SQL Builder'!K1265)=FALSE,'SQL Builder'!L1265,"")</f>
        <v/>
      </c>
      <c r="D1290" s="1" t="str">
        <f>IF(ISBLANK('SQL Builder'!K1265)=FALSE,'SQL Builder'!O1265,"")</f>
        <v/>
      </c>
      <c r="H1290" s="43" t="str">
        <f>IF(ISBLANK('SQL Builder'!K1264)=FALSE,H1289+1,"")</f>
        <v/>
      </c>
      <c r="I1290" s="1" t="str">
        <f>IF(ISBLANK('SQL Builder'!P1265)=FALSE,'SQL Builder'!N1265,"")</f>
        <v/>
      </c>
      <c r="J1290" s="79">
        <f t="shared" si="19"/>
        <v>0</v>
      </c>
    </row>
    <row r="1291" spans="2:10" ht="16.5" x14ac:dyDescent="0.25">
      <c r="B1291" s="49" t="e">
        <f>IF(ISBLANK('SQL Builder'!K1266)=FALSE,(DATE(LEFT('SQL Builder'!K1266,4),MID('SQL Builder'!K1266,6,2),MID('SQL Builder'!K1266,9,2))),NA())</f>
        <v>#N/A</v>
      </c>
      <c r="C1291" s="50" t="str">
        <f>IF(ISBLANK('SQL Builder'!K1266)=FALSE,'SQL Builder'!L1266,"")</f>
        <v/>
      </c>
      <c r="D1291" s="1" t="str">
        <f>IF(ISBLANK('SQL Builder'!K1266)=FALSE,'SQL Builder'!O1266,"")</f>
        <v/>
      </c>
      <c r="H1291" s="43" t="str">
        <f>IF(ISBLANK('SQL Builder'!K1265)=FALSE,H1290+1,"")</f>
        <v/>
      </c>
      <c r="I1291" s="1" t="str">
        <f>IF(ISBLANK('SQL Builder'!P1266)=FALSE,'SQL Builder'!N1266,"")</f>
        <v/>
      </c>
      <c r="J1291" s="79">
        <f t="shared" si="19"/>
        <v>0</v>
      </c>
    </row>
    <row r="1292" spans="2:10" ht="16.5" x14ac:dyDescent="0.25">
      <c r="B1292" s="49" t="e">
        <f>IF(ISBLANK('SQL Builder'!K1267)=FALSE,(DATE(LEFT('SQL Builder'!K1267,4),MID('SQL Builder'!K1267,6,2),MID('SQL Builder'!K1267,9,2))),NA())</f>
        <v>#N/A</v>
      </c>
      <c r="C1292" s="50" t="str">
        <f>IF(ISBLANK('SQL Builder'!K1267)=FALSE,'SQL Builder'!L1267,"")</f>
        <v/>
      </c>
      <c r="D1292" s="1" t="str">
        <f>IF(ISBLANK('SQL Builder'!K1267)=FALSE,'SQL Builder'!O1267,"")</f>
        <v/>
      </c>
      <c r="H1292" s="43" t="str">
        <f>IF(ISBLANK('SQL Builder'!K1266)=FALSE,H1291+1,"")</f>
        <v/>
      </c>
      <c r="I1292" s="1" t="str">
        <f>IF(ISBLANK('SQL Builder'!P1267)=FALSE,'SQL Builder'!N1267,"")</f>
        <v/>
      </c>
      <c r="J1292" s="79">
        <f t="shared" si="19"/>
        <v>0</v>
      </c>
    </row>
    <row r="1293" spans="2:10" ht="16.5" x14ac:dyDescent="0.25">
      <c r="B1293" s="49" t="e">
        <f>IF(ISBLANK('SQL Builder'!K1268)=FALSE,(DATE(LEFT('SQL Builder'!K1268,4),MID('SQL Builder'!K1268,6,2),MID('SQL Builder'!K1268,9,2))),NA())</f>
        <v>#N/A</v>
      </c>
      <c r="C1293" s="50" t="str">
        <f>IF(ISBLANK('SQL Builder'!K1268)=FALSE,'SQL Builder'!L1268,"")</f>
        <v/>
      </c>
      <c r="D1293" s="1" t="str">
        <f>IF(ISBLANK('SQL Builder'!K1268)=FALSE,'SQL Builder'!O1268,"")</f>
        <v/>
      </c>
      <c r="H1293" s="43" t="str">
        <f>IF(ISBLANK('SQL Builder'!K1267)=FALSE,H1292+1,"")</f>
        <v/>
      </c>
      <c r="I1293" s="1" t="str">
        <f>IF(ISBLANK('SQL Builder'!P1268)=FALSE,'SQL Builder'!N1268,"")</f>
        <v/>
      </c>
      <c r="J1293" s="79">
        <f t="shared" si="19"/>
        <v>0</v>
      </c>
    </row>
    <row r="1294" spans="2:10" ht="16.5" x14ac:dyDescent="0.25">
      <c r="B1294" s="49" t="e">
        <f>IF(ISBLANK('SQL Builder'!K1269)=FALSE,(DATE(LEFT('SQL Builder'!K1269,4),MID('SQL Builder'!K1269,6,2),MID('SQL Builder'!K1269,9,2))),NA())</f>
        <v>#N/A</v>
      </c>
      <c r="C1294" s="50" t="str">
        <f>IF(ISBLANK('SQL Builder'!K1269)=FALSE,'SQL Builder'!L1269,"")</f>
        <v/>
      </c>
      <c r="D1294" s="1" t="str">
        <f>IF(ISBLANK('SQL Builder'!K1269)=FALSE,'SQL Builder'!O1269,"")</f>
        <v/>
      </c>
      <c r="H1294" s="43" t="str">
        <f>IF(ISBLANK('SQL Builder'!K1268)=FALSE,H1293+1,"")</f>
        <v/>
      </c>
      <c r="I1294" s="1" t="str">
        <f>IF(ISBLANK('SQL Builder'!P1269)=FALSE,'SQL Builder'!N1269,"")</f>
        <v/>
      </c>
      <c r="J1294" s="79">
        <f t="shared" si="19"/>
        <v>0</v>
      </c>
    </row>
    <row r="1295" spans="2:10" ht="16.5" x14ac:dyDescent="0.25">
      <c r="B1295" s="49" t="e">
        <f>IF(ISBLANK('SQL Builder'!K1270)=FALSE,(DATE(LEFT('SQL Builder'!K1270,4),MID('SQL Builder'!K1270,6,2),MID('SQL Builder'!K1270,9,2))),NA())</f>
        <v>#N/A</v>
      </c>
      <c r="C1295" s="50" t="str">
        <f>IF(ISBLANK('SQL Builder'!K1270)=FALSE,'SQL Builder'!L1270,"")</f>
        <v/>
      </c>
      <c r="D1295" s="1" t="str">
        <f>IF(ISBLANK('SQL Builder'!K1270)=FALSE,'SQL Builder'!O1270,"")</f>
        <v/>
      </c>
      <c r="H1295" s="43" t="str">
        <f>IF(ISBLANK('SQL Builder'!K1269)=FALSE,H1294+1,"")</f>
        <v/>
      </c>
      <c r="I1295" s="1" t="str">
        <f>IF(ISBLANK('SQL Builder'!P1270)=FALSE,'SQL Builder'!N1270,"")</f>
        <v/>
      </c>
      <c r="J1295" s="79">
        <f t="shared" si="19"/>
        <v>0</v>
      </c>
    </row>
    <row r="1296" spans="2:10" ht="16.5" x14ac:dyDescent="0.25">
      <c r="B1296" s="49" t="e">
        <f>IF(ISBLANK('SQL Builder'!K1271)=FALSE,(DATE(LEFT('SQL Builder'!K1271,4),MID('SQL Builder'!K1271,6,2),MID('SQL Builder'!K1271,9,2))),NA())</f>
        <v>#N/A</v>
      </c>
      <c r="C1296" s="50" t="str">
        <f>IF(ISBLANK('SQL Builder'!K1271)=FALSE,'SQL Builder'!L1271,"")</f>
        <v/>
      </c>
      <c r="D1296" s="1" t="str">
        <f>IF(ISBLANK('SQL Builder'!K1271)=FALSE,'SQL Builder'!O1271,"")</f>
        <v/>
      </c>
      <c r="H1296" s="43" t="str">
        <f>IF(ISBLANK('SQL Builder'!K1270)=FALSE,H1295+1,"")</f>
        <v/>
      </c>
      <c r="I1296" s="1" t="str">
        <f>IF(ISBLANK('SQL Builder'!P1271)=FALSE,'SQL Builder'!N1271,"")</f>
        <v/>
      </c>
      <c r="J1296" s="79">
        <f t="shared" si="19"/>
        <v>0</v>
      </c>
    </row>
    <row r="1297" spans="2:10" ht="16.5" x14ac:dyDescent="0.25">
      <c r="B1297" s="49" t="e">
        <f>IF(ISBLANK('SQL Builder'!K1272)=FALSE,(DATE(LEFT('SQL Builder'!K1272,4),MID('SQL Builder'!K1272,6,2),MID('SQL Builder'!K1272,9,2))),NA())</f>
        <v>#N/A</v>
      </c>
      <c r="C1297" s="50" t="str">
        <f>IF(ISBLANK('SQL Builder'!K1272)=FALSE,'SQL Builder'!L1272,"")</f>
        <v/>
      </c>
      <c r="D1297" s="1" t="str">
        <f>IF(ISBLANK('SQL Builder'!K1272)=FALSE,'SQL Builder'!O1272,"")</f>
        <v/>
      </c>
      <c r="H1297" s="43" t="str">
        <f>IF(ISBLANK('SQL Builder'!K1271)=FALSE,H1296+1,"")</f>
        <v/>
      </c>
      <c r="I1297" s="1" t="str">
        <f>IF(ISBLANK('SQL Builder'!P1272)=FALSE,'SQL Builder'!N1272,"")</f>
        <v/>
      </c>
      <c r="J1297" s="79">
        <f t="shared" si="19"/>
        <v>0</v>
      </c>
    </row>
    <row r="1298" spans="2:10" ht="16.5" x14ac:dyDescent="0.25">
      <c r="B1298" s="49" t="e">
        <f>IF(ISBLANK('SQL Builder'!K1273)=FALSE,(DATE(LEFT('SQL Builder'!K1273,4),MID('SQL Builder'!K1273,6,2),MID('SQL Builder'!K1273,9,2))),NA())</f>
        <v>#N/A</v>
      </c>
      <c r="C1298" s="50" t="str">
        <f>IF(ISBLANK('SQL Builder'!K1273)=FALSE,'SQL Builder'!L1273,"")</f>
        <v/>
      </c>
      <c r="D1298" s="1" t="str">
        <f>IF(ISBLANK('SQL Builder'!K1273)=FALSE,'SQL Builder'!O1273,"")</f>
        <v/>
      </c>
      <c r="H1298" s="43" t="str">
        <f>IF(ISBLANK('SQL Builder'!K1272)=FALSE,H1297+1,"")</f>
        <v/>
      </c>
      <c r="I1298" s="1" t="str">
        <f>IF(ISBLANK('SQL Builder'!P1273)=FALSE,'SQL Builder'!N1273,"")</f>
        <v/>
      </c>
      <c r="J1298" s="79">
        <f t="shared" si="19"/>
        <v>0</v>
      </c>
    </row>
    <row r="1299" spans="2:10" ht="16.5" x14ac:dyDescent="0.25">
      <c r="B1299" s="49" t="e">
        <f>IF(ISBLANK('SQL Builder'!K1274)=FALSE,(DATE(LEFT('SQL Builder'!K1274,4),MID('SQL Builder'!K1274,6,2),MID('SQL Builder'!K1274,9,2))),NA())</f>
        <v>#N/A</v>
      </c>
      <c r="C1299" s="50" t="str">
        <f>IF(ISBLANK('SQL Builder'!K1274)=FALSE,'SQL Builder'!L1274,"")</f>
        <v/>
      </c>
      <c r="D1299" s="1" t="str">
        <f>IF(ISBLANK('SQL Builder'!K1274)=FALSE,'SQL Builder'!O1274,"")</f>
        <v/>
      </c>
      <c r="H1299" s="43" t="str">
        <f>IF(ISBLANK('SQL Builder'!K1273)=FALSE,H1298+1,"")</f>
        <v/>
      </c>
      <c r="I1299" s="1" t="str">
        <f>IF(ISBLANK('SQL Builder'!P1274)=FALSE,'SQL Builder'!N1274,"")</f>
        <v/>
      </c>
      <c r="J1299" s="79">
        <f t="shared" si="19"/>
        <v>0</v>
      </c>
    </row>
    <row r="1300" spans="2:10" ht="16.5" x14ac:dyDescent="0.25">
      <c r="B1300" s="49" t="e">
        <f>IF(ISBLANK('SQL Builder'!K1275)=FALSE,(DATE(LEFT('SQL Builder'!K1275,4),MID('SQL Builder'!K1275,6,2),MID('SQL Builder'!K1275,9,2))),NA())</f>
        <v>#N/A</v>
      </c>
      <c r="C1300" s="50" t="str">
        <f>IF(ISBLANK('SQL Builder'!K1275)=FALSE,'SQL Builder'!L1275,"")</f>
        <v/>
      </c>
      <c r="D1300" s="1" t="str">
        <f>IF(ISBLANK('SQL Builder'!K1275)=FALSE,'SQL Builder'!O1275,"")</f>
        <v/>
      </c>
      <c r="H1300" s="43" t="str">
        <f>IF(ISBLANK('SQL Builder'!K1274)=FALSE,H1299+1,"")</f>
        <v/>
      </c>
      <c r="I1300" s="1" t="str">
        <f>IF(ISBLANK('SQL Builder'!P1275)=FALSE,'SQL Builder'!N1275,"")</f>
        <v/>
      </c>
      <c r="J1300" s="79">
        <f t="shared" si="19"/>
        <v>0</v>
      </c>
    </row>
    <row r="1301" spans="2:10" ht="16.5" x14ac:dyDescent="0.25">
      <c r="B1301" s="49" t="e">
        <f>IF(ISBLANK('SQL Builder'!K1276)=FALSE,(DATE(LEFT('SQL Builder'!K1276,4),MID('SQL Builder'!K1276,6,2),MID('SQL Builder'!K1276,9,2))),NA())</f>
        <v>#N/A</v>
      </c>
      <c r="C1301" s="50" t="str">
        <f>IF(ISBLANK('SQL Builder'!K1276)=FALSE,'SQL Builder'!L1276,"")</f>
        <v/>
      </c>
      <c r="D1301" s="1" t="str">
        <f>IF(ISBLANK('SQL Builder'!K1276)=FALSE,'SQL Builder'!O1276,"")</f>
        <v/>
      </c>
      <c r="H1301" s="43" t="str">
        <f>IF(ISBLANK('SQL Builder'!K1275)=FALSE,H1300+1,"")</f>
        <v/>
      </c>
      <c r="I1301" s="1" t="str">
        <f>IF(ISBLANK('SQL Builder'!P1276)=FALSE,'SQL Builder'!N1276,"")</f>
        <v/>
      </c>
      <c r="J1301" s="79">
        <f t="shared" si="19"/>
        <v>0</v>
      </c>
    </row>
    <row r="1302" spans="2:10" ht="16.5" x14ac:dyDescent="0.25">
      <c r="B1302" s="49" t="e">
        <f>IF(ISBLANK('SQL Builder'!K1277)=FALSE,(DATE(LEFT('SQL Builder'!K1277,4),MID('SQL Builder'!K1277,6,2),MID('SQL Builder'!K1277,9,2))),NA())</f>
        <v>#N/A</v>
      </c>
      <c r="C1302" s="50" t="str">
        <f>IF(ISBLANK('SQL Builder'!K1277)=FALSE,'SQL Builder'!L1277,"")</f>
        <v/>
      </c>
      <c r="D1302" s="1" t="str">
        <f>IF(ISBLANK('SQL Builder'!K1277)=FALSE,'SQL Builder'!O1277,"")</f>
        <v/>
      </c>
      <c r="H1302" s="43" t="str">
        <f>IF(ISBLANK('SQL Builder'!K1276)=FALSE,H1301+1,"")</f>
        <v/>
      </c>
      <c r="I1302" s="1" t="str">
        <f>IF(ISBLANK('SQL Builder'!P1277)=FALSE,'SQL Builder'!N1277,"")</f>
        <v/>
      </c>
      <c r="J1302" s="79">
        <f t="shared" si="19"/>
        <v>0</v>
      </c>
    </row>
    <row r="1303" spans="2:10" ht="16.5" x14ac:dyDescent="0.25">
      <c r="B1303" s="49" t="e">
        <f>IF(ISBLANK('SQL Builder'!K1278)=FALSE,(DATE(LEFT('SQL Builder'!K1278,4),MID('SQL Builder'!K1278,6,2),MID('SQL Builder'!K1278,9,2))),NA())</f>
        <v>#N/A</v>
      </c>
      <c r="C1303" s="50" t="str">
        <f>IF(ISBLANK('SQL Builder'!K1278)=FALSE,'SQL Builder'!L1278,"")</f>
        <v/>
      </c>
      <c r="D1303" s="1" t="str">
        <f>IF(ISBLANK('SQL Builder'!K1278)=FALSE,'SQL Builder'!O1278,"")</f>
        <v/>
      </c>
      <c r="H1303" s="43" t="str">
        <f>IF(ISBLANK('SQL Builder'!K1277)=FALSE,H1302+1,"")</f>
        <v/>
      </c>
      <c r="I1303" s="1" t="str">
        <f>IF(ISBLANK('SQL Builder'!P1278)=FALSE,'SQL Builder'!N1278,"")</f>
        <v/>
      </c>
      <c r="J1303" s="79">
        <f t="shared" si="19"/>
        <v>0</v>
      </c>
    </row>
    <row r="1304" spans="2:10" ht="16.5" x14ac:dyDescent="0.25">
      <c r="B1304" s="49" t="e">
        <f>IF(ISBLANK('SQL Builder'!K1279)=FALSE,(DATE(LEFT('SQL Builder'!K1279,4),MID('SQL Builder'!K1279,6,2),MID('SQL Builder'!K1279,9,2))),NA())</f>
        <v>#N/A</v>
      </c>
      <c r="C1304" s="50" t="str">
        <f>IF(ISBLANK('SQL Builder'!K1279)=FALSE,'SQL Builder'!L1279,"")</f>
        <v/>
      </c>
      <c r="D1304" s="1" t="str">
        <f>IF(ISBLANK('SQL Builder'!K1279)=FALSE,'SQL Builder'!O1279,"")</f>
        <v/>
      </c>
      <c r="H1304" s="43" t="str">
        <f>IF(ISBLANK('SQL Builder'!K1278)=FALSE,H1303+1,"")</f>
        <v/>
      </c>
      <c r="I1304" s="1" t="str">
        <f>IF(ISBLANK('SQL Builder'!P1279)=FALSE,'SQL Builder'!N1279,"")</f>
        <v/>
      </c>
      <c r="J1304" s="79">
        <f t="shared" si="19"/>
        <v>0</v>
      </c>
    </row>
    <row r="1305" spans="2:10" ht="16.5" x14ac:dyDescent="0.25">
      <c r="B1305" s="49" t="e">
        <f>IF(ISBLANK('SQL Builder'!K1280)=FALSE,(DATE(LEFT('SQL Builder'!K1280,4),MID('SQL Builder'!K1280,6,2),MID('SQL Builder'!K1280,9,2))),NA())</f>
        <v>#N/A</v>
      </c>
      <c r="C1305" s="50" t="str">
        <f>IF(ISBLANK('SQL Builder'!K1280)=FALSE,'SQL Builder'!L1280,"")</f>
        <v/>
      </c>
      <c r="D1305" s="1" t="str">
        <f>IF(ISBLANK('SQL Builder'!K1280)=FALSE,'SQL Builder'!O1280,"")</f>
        <v/>
      </c>
      <c r="H1305" s="43" t="str">
        <f>IF(ISBLANK('SQL Builder'!K1279)=FALSE,H1304+1,"")</f>
        <v/>
      </c>
      <c r="I1305" s="1" t="str">
        <f>IF(ISBLANK('SQL Builder'!P1280)=FALSE,'SQL Builder'!N1280,"")</f>
        <v/>
      </c>
      <c r="J1305" s="79">
        <f t="shared" si="19"/>
        <v>0</v>
      </c>
    </row>
    <row r="1306" spans="2:10" ht="16.5" x14ac:dyDescent="0.25">
      <c r="B1306" s="49" t="e">
        <f>IF(ISBLANK('SQL Builder'!K1281)=FALSE,(DATE(LEFT('SQL Builder'!K1281,4),MID('SQL Builder'!K1281,6,2),MID('SQL Builder'!K1281,9,2))),NA())</f>
        <v>#N/A</v>
      </c>
      <c r="C1306" s="50" t="str">
        <f>IF(ISBLANK('SQL Builder'!K1281)=FALSE,'SQL Builder'!L1281,"")</f>
        <v/>
      </c>
      <c r="D1306" s="1" t="str">
        <f>IF(ISBLANK('SQL Builder'!K1281)=FALSE,'SQL Builder'!O1281,"")</f>
        <v/>
      </c>
      <c r="H1306" s="43" t="str">
        <f>IF(ISBLANK('SQL Builder'!K1280)=FALSE,H1305+1,"")</f>
        <v/>
      </c>
      <c r="I1306" s="1" t="str">
        <f>IF(ISBLANK('SQL Builder'!P1281)=FALSE,'SQL Builder'!N1281,"")</f>
        <v/>
      </c>
      <c r="J1306" s="79">
        <f t="shared" si="19"/>
        <v>0</v>
      </c>
    </row>
    <row r="1307" spans="2:10" ht="16.5" x14ac:dyDescent="0.25">
      <c r="B1307" s="49" t="e">
        <f>IF(ISBLANK('SQL Builder'!K1282)=FALSE,(DATE(LEFT('SQL Builder'!K1282,4),MID('SQL Builder'!K1282,6,2),MID('SQL Builder'!K1282,9,2))),NA())</f>
        <v>#N/A</v>
      </c>
      <c r="C1307" s="50" t="str">
        <f>IF(ISBLANK('SQL Builder'!K1282)=FALSE,'SQL Builder'!L1282,"")</f>
        <v/>
      </c>
      <c r="D1307" s="1" t="str">
        <f>IF(ISBLANK('SQL Builder'!K1282)=FALSE,'SQL Builder'!O1282,"")</f>
        <v/>
      </c>
      <c r="H1307" s="43" t="str">
        <f>IF(ISBLANK('SQL Builder'!K1281)=FALSE,H1306+1,"")</f>
        <v/>
      </c>
      <c r="I1307" s="1" t="str">
        <f>IF(ISBLANK('SQL Builder'!P1282)=FALSE,'SQL Builder'!N1282,"")</f>
        <v/>
      </c>
      <c r="J1307" s="79">
        <f t="shared" si="19"/>
        <v>0</v>
      </c>
    </row>
    <row r="1308" spans="2:10" ht="16.5" x14ac:dyDescent="0.25">
      <c r="B1308" s="49" t="e">
        <f>IF(ISBLANK('SQL Builder'!K1283)=FALSE,(DATE(LEFT('SQL Builder'!K1283,4),MID('SQL Builder'!K1283,6,2),MID('SQL Builder'!K1283,9,2))),NA())</f>
        <v>#N/A</v>
      </c>
      <c r="C1308" s="50" t="str">
        <f>IF(ISBLANK('SQL Builder'!K1283)=FALSE,'SQL Builder'!L1283,"")</f>
        <v/>
      </c>
      <c r="D1308" s="1" t="str">
        <f>IF(ISBLANK('SQL Builder'!K1283)=FALSE,'SQL Builder'!O1283,"")</f>
        <v/>
      </c>
      <c r="H1308" s="43" t="str">
        <f>IF(ISBLANK('SQL Builder'!K1282)=FALSE,H1307+1,"")</f>
        <v/>
      </c>
      <c r="I1308" s="1" t="str">
        <f>IF(ISBLANK('SQL Builder'!P1283)=FALSE,'SQL Builder'!N1283,"")</f>
        <v/>
      </c>
      <c r="J1308" s="79">
        <f t="shared" si="19"/>
        <v>0</v>
      </c>
    </row>
    <row r="1309" spans="2:10" ht="16.5" x14ac:dyDescent="0.25">
      <c r="B1309" s="49" t="e">
        <f>IF(ISBLANK('SQL Builder'!K1284)=FALSE,(DATE(LEFT('SQL Builder'!K1284,4),MID('SQL Builder'!K1284,6,2),MID('SQL Builder'!K1284,9,2))),NA())</f>
        <v>#N/A</v>
      </c>
      <c r="C1309" s="50" t="str">
        <f>IF(ISBLANK('SQL Builder'!K1284)=FALSE,'SQL Builder'!L1284,"")</f>
        <v/>
      </c>
      <c r="D1309" s="1" t="str">
        <f>IF(ISBLANK('SQL Builder'!K1284)=FALSE,'SQL Builder'!O1284,"")</f>
        <v/>
      </c>
      <c r="H1309" s="43" t="str">
        <f>IF(ISBLANK('SQL Builder'!K1283)=FALSE,H1308+1,"")</f>
        <v/>
      </c>
      <c r="I1309" s="1" t="str">
        <f>IF(ISBLANK('SQL Builder'!P1284)=FALSE,'SQL Builder'!N1284,"")</f>
        <v/>
      </c>
      <c r="J1309" s="79">
        <f t="shared" si="19"/>
        <v>0</v>
      </c>
    </row>
    <row r="1310" spans="2:10" ht="16.5" x14ac:dyDescent="0.25">
      <c r="B1310" s="49" t="e">
        <f>IF(ISBLANK('SQL Builder'!K1285)=FALSE,(DATE(LEFT('SQL Builder'!K1285,4),MID('SQL Builder'!K1285,6,2),MID('SQL Builder'!K1285,9,2))),NA())</f>
        <v>#N/A</v>
      </c>
      <c r="C1310" s="50" t="str">
        <f>IF(ISBLANK('SQL Builder'!K1285)=FALSE,'SQL Builder'!L1285,"")</f>
        <v/>
      </c>
      <c r="D1310" s="1" t="str">
        <f>IF(ISBLANK('SQL Builder'!K1285)=FALSE,'SQL Builder'!O1285,"")</f>
        <v/>
      </c>
      <c r="H1310" s="43" t="str">
        <f>IF(ISBLANK('SQL Builder'!K1284)=FALSE,H1309+1,"")</f>
        <v/>
      </c>
      <c r="I1310" s="1" t="str">
        <f>IF(ISBLANK('SQL Builder'!P1285)=FALSE,'SQL Builder'!N1285,"")</f>
        <v/>
      </c>
      <c r="J1310" s="79">
        <f t="shared" si="19"/>
        <v>0</v>
      </c>
    </row>
    <row r="1311" spans="2:10" ht="16.5" x14ac:dyDescent="0.25">
      <c r="B1311" s="49" t="e">
        <f>IF(ISBLANK('SQL Builder'!K1286)=FALSE,(DATE(LEFT('SQL Builder'!K1286,4),MID('SQL Builder'!K1286,6,2),MID('SQL Builder'!K1286,9,2))),NA())</f>
        <v>#N/A</v>
      </c>
      <c r="C1311" s="50" t="str">
        <f>IF(ISBLANK('SQL Builder'!K1286)=FALSE,'SQL Builder'!L1286,"")</f>
        <v/>
      </c>
      <c r="D1311" s="1" t="str">
        <f>IF(ISBLANK('SQL Builder'!K1286)=FALSE,'SQL Builder'!O1286,"")</f>
        <v/>
      </c>
      <c r="H1311" s="43" t="str">
        <f>IF(ISBLANK('SQL Builder'!K1285)=FALSE,H1310+1,"")</f>
        <v/>
      </c>
      <c r="I1311" s="1" t="str">
        <f>IF(ISBLANK('SQL Builder'!P1286)=FALSE,'SQL Builder'!N1286,"")</f>
        <v/>
      </c>
      <c r="J1311" s="79">
        <f t="shared" ref="J1311:J1374" si="20">IF(I1311="",0,IF(I1311=C$5,2,1))</f>
        <v>0</v>
      </c>
    </row>
    <row r="1312" spans="2:10" ht="16.5" x14ac:dyDescent="0.25">
      <c r="B1312" s="49" t="e">
        <f>IF(ISBLANK('SQL Builder'!K1287)=FALSE,(DATE(LEFT('SQL Builder'!K1287,4),MID('SQL Builder'!K1287,6,2),MID('SQL Builder'!K1287,9,2))),NA())</f>
        <v>#N/A</v>
      </c>
      <c r="C1312" s="50" t="str">
        <f>IF(ISBLANK('SQL Builder'!K1287)=FALSE,'SQL Builder'!L1287,"")</f>
        <v/>
      </c>
      <c r="D1312" s="1" t="str">
        <f>IF(ISBLANK('SQL Builder'!K1287)=FALSE,'SQL Builder'!O1287,"")</f>
        <v/>
      </c>
      <c r="H1312" s="43" t="str">
        <f>IF(ISBLANK('SQL Builder'!K1286)=FALSE,H1311+1,"")</f>
        <v/>
      </c>
      <c r="I1312" s="1" t="str">
        <f>IF(ISBLANK('SQL Builder'!P1287)=FALSE,'SQL Builder'!N1287,"")</f>
        <v/>
      </c>
      <c r="J1312" s="79">
        <f t="shared" si="20"/>
        <v>0</v>
      </c>
    </row>
    <row r="1313" spans="2:10" ht="16.5" x14ac:dyDescent="0.25">
      <c r="B1313" s="49" t="e">
        <f>IF(ISBLANK('SQL Builder'!K1288)=FALSE,(DATE(LEFT('SQL Builder'!K1288,4),MID('SQL Builder'!K1288,6,2),MID('SQL Builder'!K1288,9,2))),NA())</f>
        <v>#N/A</v>
      </c>
      <c r="C1313" s="50" t="str">
        <f>IF(ISBLANK('SQL Builder'!K1288)=FALSE,'SQL Builder'!L1288,"")</f>
        <v/>
      </c>
      <c r="D1313" s="1" t="str">
        <f>IF(ISBLANK('SQL Builder'!K1288)=FALSE,'SQL Builder'!O1288,"")</f>
        <v/>
      </c>
      <c r="H1313" s="43" t="str">
        <f>IF(ISBLANK('SQL Builder'!K1287)=FALSE,H1312+1,"")</f>
        <v/>
      </c>
      <c r="I1313" s="1" t="str">
        <f>IF(ISBLANK('SQL Builder'!P1288)=FALSE,'SQL Builder'!N1288,"")</f>
        <v/>
      </c>
      <c r="J1313" s="79">
        <f t="shared" si="20"/>
        <v>0</v>
      </c>
    </row>
    <row r="1314" spans="2:10" ht="16.5" x14ac:dyDescent="0.25">
      <c r="B1314" s="49" t="e">
        <f>IF(ISBLANK('SQL Builder'!K1289)=FALSE,(DATE(LEFT('SQL Builder'!K1289,4),MID('SQL Builder'!K1289,6,2),MID('SQL Builder'!K1289,9,2))),NA())</f>
        <v>#N/A</v>
      </c>
      <c r="C1314" s="50" t="str">
        <f>IF(ISBLANK('SQL Builder'!K1289)=FALSE,'SQL Builder'!L1289,"")</f>
        <v/>
      </c>
      <c r="D1314" s="1" t="str">
        <f>IF(ISBLANK('SQL Builder'!K1289)=FALSE,'SQL Builder'!O1289,"")</f>
        <v/>
      </c>
      <c r="H1314" s="43" t="str">
        <f>IF(ISBLANK('SQL Builder'!K1288)=FALSE,H1313+1,"")</f>
        <v/>
      </c>
      <c r="I1314" s="1" t="str">
        <f>IF(ISBLANK('SQL Builder'!P1289)=FALSE,'SQL Builder'!N1289,"")</f>
        <v/>
      </c>
      <c r="J1314" s="79">
        <f t="shared" si="20"/>
        <v>0</v>
      </c>
    </row>
    <row r="1315" spans="2:10" ht="16.5" x14ac:dyDescent="0.25">
      <c r="B1315" s="49" t="e">
        <f>IF(ISBLANK('SQL Builder'!K1290)=FALSE,(DATE(LEFT('SQL Builder'!K1290,4),MID('SQL Builder'!K1290,6,2),MID('SQL Builder'!K1290,9,2))),NA())</f>
        <v>#N/A</v>
      </c>
      <c r="C1315" s="50" t="str">
        <f>IF(ISBLANK('SQL Builder'!K1290)=FALSE,'SQL Builder'!L1290,"")</f>
        <v/>
      </c>
      <c r="D1315" s="1" t="str">
        <f>IF(ISBLANK('SQL Builder'!K1290)=FALSE,'SQL Builder'!O1290,"")</f>
        <v/>
      </c>
      <c r="H1315" s="43" t="str">
        <f>IF(ISBLANK('SQL Builder'!K1289)=FALSE,H1314+1,"")</f>
        <v/>
      </c>
      <c r="I1315" s="1" t="str">
        <f>IF(ISBLANK('SQL Builder'!P1290)=FALSE,'SQL Builder'!N1290,"")</f>
        <v/>
      </c>
      <c r="J1315" s="79">
        <f t="shared" si="20"/>
        <v>0</v>
      </c>
    </row>
    <row r="1316" spans="2:10" ht="16.5" x14ac:dyDescent="0.25">
      <c r="B1316" s="49" t="e">
        <f>IF(ISBLANK('SQL Builder'!K1291)=FALSE,(DATE(LEFT('SQL Builder'!K1291,4),MID('SQL Builder'!K1291,6,2),MID('SQL Builder'!K1291,9,2))),NA())</f>
        <v>#N/A</v>
      </c>
      <c r="C1316" s="50" t="str">
        <f>IF(ISBLANK('SQL Builder'!K1291)=FALSE,'SQL Builder'!L1291,"")</f>
        <v/>
      </c>
      <c r="D1316" s="1" t="str">
        <f>IF(ISBLANK('SQL Builder'!K1291)=FALSE,'SQL Builder'!O1291,"")</f>
        <v/>
      </c>
      <c r="H1316" s="43" t="str">
        <f>IF(ISBLANK('SQL Builder'!K1290)=FALSE,H1315+1,"")</f>
        <v/>
      </c>
      <c r="I1316" s="1" t="str">
        <f>IF(ISBLANK('SQL Builder'!P1291)=FALSE,'SQL Builder'!N1291,"")</f>
        <v/>
      </c>
      <c r="J1316" s="79">
        <f t="shared" si="20"/>
        <v>0</v>
      </c>
    </row>
    <row r="1317" spans="2:10" ht="16.5" x14ac:dyDescent="0.25">
      <c r="B1317" s="49" t="e">
        <f>IF(ISBLANK('SQL Builder'!K1292)=FALSE,(DATE(LEFT('SQL Builder'!K1292,4),MID('SQL Builder'!K1292,6,2),MID('SQL Builder'!K1292,9,2))),NA())</f>
        <v>#N/A</v>
      </c>
      <c r="C1317" s="50" t="str">
        <f>IF(ISBLANK('SQL Builder'!K1292)=FALSE,'SQL Builder'!L1292,"")</f>
        <v/>
      </c>
      <c r="D1317" s="1" t="str">
        <f>IF(ISBLANK('SQL Builder'!K1292)=FALSE,'SQL Builder'!O1292,"")</f>
        <v/>
      </c>
      <c r="H1317" s="43" t="str">
        <f>IF(ISBLANK('SQL Builder'!K1291)=FALSE,H1316+1,"")</f>
        <v/>
      </c>
      <c r="I1317" s="1" t="str">
        <f>IF(ISBLANK('SQL Builder'!P1292)=FALSE,'SQL Builder'!N1292,"")</f>
        <v/>
      </c>
      <c r="J1317" s="79">
        <f t="shared" si="20"/>
        <v>0</v>
      </c>
    </row>
    <row r="1318" spans="2:10" ht="16.5" x14ac:dyDescent="0.25">
      <c r="B1318" s="49" t="e">
        <f>IF(ISBLANK('SQL Builder'!K1293)=FALSE,(DATE(LEFT('SQL Builder'!K1293,4),MID('SQL Builder'!K1293,6,2),MID('SQL Builder'!K1293,9,2))),NA())</f>
        <v>#N/A</v>
      </c>
      <c r="C1318" s="50" t="str">
        <f>IF(ISBLANK('SQL Builder'!K1293)=FALSE,'SQL Builder'!L1293,"")</f>
        <v/>
      </c>
      <c r="D1318" s="1" t="str">
        <f>IF(ISBLANK('SQL Builder'!K1293)=FALSE,'SQL Builder'!O1293,"")</f>
        <v/>
      </c>
      <c r="H1318" s="43" t="str">
        <f>IF(ISBLANK('SQL Builder'!K1292)=FALSE,H1317+1,"")</f>
        <v/>
      </c>
      <c r="I1318" s="1" t="str">
        <f>IF(ISBLANK('SQL Builder'!P1293)=FALSE,'SQL Builder'!N1293,"")</f>
        <v/>
      </c>
      <c r="J1318" s="79">
        <f t="shared" si="20"/>
        <v>0</v>
      </c>
    </row>
    <row r="1319" spans="2:10" ht="16.5" x14ac:dyDescent="0.25">
      <c r="B1319" s="49" t="e">
        <f>IF(ISBLANK('SQL Builder'!K1294)=FALSE,(DATE(LEFT('SQL Builder'!K1294,4),MID('SQL Builder'!K1294,6,2),MID('SQL Builder'!K1294,9,2))),NA())</f>
        <v>#N/A</v>
      </c>
      <c r="C1319" s="50" t="str">
        <f>IF(ISBLANK('SQL Builder'!K1294)=FALSE,'SQL Builder'!L1294,"")</f>
        <v/>
      </c>
      <c r="D1319" s="1" t="str">
        <f>IF(ISBLANK('SQL Builder'!K1294)=FALSE,'SQL Builder'!O1294,"")</f>
        <v/>
      </c>
      <c r="H1319" s="43" t="str">
        <f>IF(ISBLANK('SQL Builder'!K1293)=FALSE,H1318+1,"")</f>
        <v/>
      </c>
      <c r="I1319" s="1" t="str">
        <f>IF(ISBLANK('SQL Builder'!P1294)=FALSE,'SQL Builder'!N1294,"")</f>
        <v/>
      </c>
      <c r="J1319" s="79">
        <f t="shared" si="20"/>
        <v>0</v>
      </c>
    </row>
    <row r="1320" spans="2:10" ht="16.5" x14ac:dyDescent="0.25">
      <c r="B1320" s="49" t="e">
        <f>IF(ISBLANK('SQL Builder'!K1295)=FALSE,(DATE(LEFT('SQL Builder'!K1295,4),MID('SQL Builder'!K1295,6,2),MID('SQL Builder'!K1295,9,2))),NA())</f>
        <v>#N/A</v>
      </c>
      <c r="C1320" s="50" t="str">
        <f>IF(ISBLANK('SQL Builder'!K1295)=FALSE,'SQL Builder'!L1295,"")</f>
        <v/>
      </c>
      <c r="D1320" s="1" t="str">
        <f>IF(ISBLANK('SQL Builder'!K1295)=FALSE,'SQL Builder'!O1295,"")</f>
        <v/>
      </c>
      <c r="H1320" s="43" t="str">
        <f>IF(ISBLANK('SQL Builder'!K1294)=FALSE,H1319+1,"")</f>
        <v/>
      </c>
      <c r="I1320" s="1" t="str">
        <f>IF(ISBLANK('SQL Builder'!P1295)=FALSE,'SQL Builder'!N1295,"")</f>
        <v/>
      </c>
      <c r="J1320" s="79">
        <f t="shared" si="20"/>
        <v>0</v>
      </c>
    </row>
    <row r="1321" spans="2:10" ht="16.5" x14ac:dyDescent="0.25">
      <c r="B1321" s="49" t="e">
        <f>IF(ISBLANK('SQL Builder'!K1296)=FALSE,(DATE(LEFT('SQL Builder'!K1296,4),MID('SQL Builder'!K1296,6,2),MID('SQL Builder'!K1296,9,2))),NA())</f>
        <v>#N/A</v>
      </c>
      <c r="C1321" s="50" t="str">
        <f>IF(ISBLANK('SQL Builder'!K1296)=FALSE,'SQL Builder'!L1296,"")</f>
        <v/>
      </c>
      <c r="D1321" s="1" t="str">
        <f>IF(ISBLANK('SQL Builder'!K1296)=FALSE,'SQL Builder'!O1296,"")</f>
        <v/>
      </c>
      <c r="H1321" s="43" t="str">
        <f>IF(ISBLANK('SQL Builder'!K1295)=FALSE,H1320+1,"")</f>
        <v/>
      </c>
      <c r="I1321" s="1" t="str">
        <f>IF(ISBLANK('SQL Builder'!P1296)=FALSE,'SQL Builder'!N1296,"")</f>
        <v/>
      </c>
      <c r="J1321" s="79">
        <f t="shared" si="20"/>
        <v>0</v>
      </c>
    </row>
    <row r="1322" spans="2:10" ht="16.5" x14ac:dyDescent="0.25">
      <c r="B1322" s="49" t="e">
        <f>IF(ISBLANK('SQL Builder'!K1297)=FALSE,(DATE(LEFT('SQL Builder'!K1297,4),MID('SQL Builder'!K1297,6,2),MID('SQL Builder'!K1297,9,2))),NA())</f>
        <v>#N/A</v>
      </c>
      <c r="C1322" s="50" t="str">
        <f>IF(ISBLANK('SQL Builder'!K1297)=FALSE,'SQL Builder'!L1297,"")</f>
        <v/>
      </c>
      <c r="D1322" s="1" t="str">
        <f>IF(ISBLANK('SQL Builder'!K1297)=FALSE,'SQL Builder'!O1297,"")</f>
        <v/>
      </c>
      <c r="H1322" s="43" t="str">
        <f>IF(ISBLANK('SQL Builder'!K1296)=FALSE,H1321+1,"")</f>
        <v/>
      </c>
      <c r="I1322" s="1" t="str">
        <f>IF(ISBLANK('SQL Builder'!P1297)=FALSE,'SQL Builder'!N1297,"")</f>
        <v/>
      </c>
      <c r="J1322" s="79">
        <f t="shared" si="20"/>
        <v>0</v>
      </c>
    </row>
    <row r="1323" spans="2:10" ht="16.5" x14ac:dyDescent="0.25">
      <c r="B1323" s="49" t="e">
        <f>IF(ISBLANK('SQL Builder'!K1298)=FALSE,(DATE(LEFT('SQL Builder'!K1298,4),MID('SQL Builder'!K1298,6,2),MID('SQL Builder'!K1298,9,2))),NA())</f>
        <v>#N/A</v>
      </c>
      <c r="C1323" s="50" t="str">
        <f>IF(ISBLANK('SQL Builder'!K1298)=FALSE,'SQL Builder'!L1298,"")</f>
        <v/>
      </c>
      <c r="D1323" s="1" t="str">
        <f>IF(ISBLANK('SQL Builder'!K1298)=FALSE,'SQL Builder'!O1298,"")</f>
        <v/>
      </c>
      <c r="H1323" s="43" t="str">
        <f>IF(ISBLANK('SQL Builder'!K1297)=FALSE,H1322+1,"")</f>
        <v/>
      </c>
      <c r="I1323" s="1" t="str">
        <f>IF(ISBLANK('SQL Builder'!P1298)=FALSE,'SQL Builder'!N1298,"")</f>
        <v/>
      </c>
      <c r="J1323" s="79">
        <f t="shared" si="20"/>
        <v>0</v>
      </c>
    </row>
    <row r="1324" spans="2:10" ht="16.5" x14ac:dyDescent="0.25">
      <c r="B1324" s="49" t="e">
        <f>IF(ISBLANK('SQL Builder'!K1299)=FALSE,(DATE(LEFT('SQL Builder'!K1299,4),MID('SQL Builder'!K1299,6,2),MID('SQL Builder'!K1299,9,2))),NA())</f>
        <v>#N/A</v>
      </c>
      <c r="C1324" s="50" t="str">
        <f>IF(ISBLANK('SQL Builder'!K1299)=FALSE,'SQL Builder'!L1299,"")</f>
        <v/>
      </c>
      <c r="D1324" s="1" t="str">
        <f>IF(ISBLANK('SQL Builder'!K1299)=FALSE,'SQL Builder'!O1299,"")</f>
        <v/>
      </c>
      <c r="H1324" s="43" t="str">
        <f>IF(ISBLANK('SQL Builder'!K1298)=FALSE,H1323+1,"")</f>
        <v/>
      </c>
      <c r="I1324" s="1" t="str">
        <f>IF(ISBLANK('SQL Builder'!P1299)=FALSE,'SQL Builder'!N1299,"")</f>
        <v/>
      </c>
      <c r="J1324" s="79">
        <f t="shared" si="20"/>
        <v>0</v>
      </c>
    </row>
    <row r="1325" spans="2:10" ht="16.5" x14ac:dyDescent="0.25">
      <c r="B1325" s="49" t="e">
        <f>IF(ISBLANK('SQL Builder'!K1300)=FALSE,(DATE(LEFT('SQL Builder'!K1300,4),MID('SQL Builder'!K1300,6,2),MID('SQL Builder'!K1300,9,2))),NA())</f>
        <v>#N/A</v>
      </c>
      <c r="C1325" s="50" t="str">
        <f>IF(ISBLANK('SQL Builder'!K1300)=FALSE,'SQL Builder'!L1300,"")</f>
        <v/>
      </c>
      <c r="D1325" s="1" t="str">
        <f>IF(ISBLANK('SQL Builder'!K1300)=FALSE,'SQL Builder'!O1300,"")</f>
        <v/>
      </c>
      <c r="H1325" s="43" t="str">
        <f>IF(ISBLANK('SQL Builder'!K1299)=FALSE,H1324+1,"")</f>
        <v/>
      </c>
      <c r="I1325" s="1" t="str">
        <f>IF(ISBLANK('SQL Builder'!P1300)=FALSE,'SQL Builder'!N1300,"")</f>
        <v/>
      </c>
      <c r="J1325" s="79">
        <f t="shared" si="20"/>
        <v>0</v>
      </c>
    </row>
    <row r="1326" spans="2:10" ht="16.5" x14ac:dyDescent="0.25">
      <c r="B1326" s="49" t="e">
        <f>IF(ISBLANK('SQL Builder'!K1301)=FALSE,(DATE(LEFT('SQL Builder'!K1301,4),MID('SQL Builder'!K1301,6,2),MID('SQL Builder'!K1301,9,2))),NA())</f>
        <v>#N/A</v>
      </c>
      <c r="C1326" s="50" t="str">
        <f>IF(ISBLANK('SQL Builder'!K1301)=FALSE,'SQL Builder'!L1301,"")</f>
        <v/>
      </c>
      <c r="D1326" s="1" t="str">
        <f>IF(ISBLANK('SQL Builder'!K1301)=FALSE,'SQL Builder'!O1301,"")</f>
        <v/>
      </c>
      <c r="H1326" s="43" t="str">
        <f>IF(ISBLANK('SQL Builder'!K1300)=FALSE,H1325+1,"")</f>
        <v/>
      </c>
      <c r="I1326" s="1" t="str">
        <f>IF(ISBLANK('SQL Builder'!P1301)=FALSE,'SQL Builder'!N1301,"")</f>
        <v/>
      </c>
      <c r="J1326" s="79">
        <f t="shared" si="20"/>
        <v>0</v>
      </c>
    </row>
    <row r="1327" spans="2:10" ht="16.5" x14ac:dyDescent="0.25">
      <c r="B1327" s="49" t="e">
        <f>IF(ISBLANK('SQL Builder'!K1302)=FALSE,(DATE(LEFT('SQL Builder'!K1302,4),MID('SQL Builder'!K1302,6,2),MID('SQL Builder'!K1302,9,2))),NA())</f>
        <v>#N/A</v>
      </c>
      <c r="C1327" s="50" t="str">
        <f>IF(ISBLANK('SQL Builder'!K1302)=FALSE,'SQL Builder'!L1302,"")</f>
        <v/>
      </c>
      <c r="D1327" s="1" t="str">
        <f>IF(ISBLANK('SQL Builder'!K1302)=FALSE,'SQL Builder'!O1302,"")</f>
        <v/>
      </c>
      <c r="H1327" s="43" t="str">
        <f>IF(ISBLANK('SQL Builder'!K1301)=FALSE,H1326+1,"")</f>
        <v/>
      </c>
      <c r="I1327" s="1" t="str">
        <f>IF(ISBLANK('SQL Builder'!P1302)=FALSE,'SQL Builder'!N1302,"")</f>
        <v/>
      </c>
      <c r="J1327" s="79">
        <f t="shared" si="20"/>
        <v>0</v>
      </c>
    </row>
    <row r="1328" spans="2:10" ht="16.5" x14ac:dyDescent="0.25">
      <c r="B1328" s="49" t="e">
        <f>IF(ISBLANK('SQL Builder'!K1303)=FALSE,(DATE(LEFT('SQL Builder'!K1303,4),MID('SQL Builder'!K1303,6,2),MID('SQL Builder'!K1303,9,2))),NA())</f>
        <v>#N/A</v>
      </c>
      <c r="C1328" s="50" t="str">
        <f>IF(ISBLANK('SQL Builder'!K1303)=FALSE,'SQL Builder'!L1303,"")</f>
        <v/>
      </c>
      <c r="D1328" s="1" t="str">
        <f>IF(ISBLANK('SQL Builder'!K1303)=FALSE,'SQL Builder'!O1303,"")</f>
        <v/>
      </c>
      <c r="H1328" s="43" t="str">
        <f>IF(ISBLANK('SQL Builder'!K1302)=FALSE,H1327+1,"")</f>
        <v/>
      </c>
      <c r="I1328" s="1" t="str">
        <f>IF(ISBLANK('SQL Builder'!P1303)=FALSE,'SQL Builder'!N1303,"")</f>
        <v/>
      </c>
      <c r="J1328" s="79">
        <f t="shared" si="20"/>
        <v>0</v>
      </c>
    </row>
    <row r="1329" spans="2:10" ht="16.5" x14ac:dyDescent="0.25">
      <c r="B1329" s="49" t="e">
        <f>IF(ISBLANK('SQL Builder'!K1304)=FALSE,(DATE(LEFT('SQL Builder'!K1304,4),MID('SQL Builder'!K1304,6,2),MID('SQL Builder'!K1304,9,2))),NA())</f>
        <v>#N/A</v>
      </c>
      <c r="C1329" s="50" t="str">
        <f>IF(ISBLANK('SQL Builder'!K1304)=FALSE,'SQL Builder'!L1304,"")</f>
        <v/>
      </c>
      <c r="D1329" s="1" t="str">
        <f>IF(ISBLANK('SQL Builder'!K1304)=FALSE,'SQL Builder'!O1304,"")</f>
        <v/>
      </c>
      <c r="H1329" s="43" t="str">
        <f>IF(ISBLANK('SQL Builder'!K1303)=FALSE,H1328+1,"")</f>
        <v/>
      </c>
      <c r="I1329" s="1" t="str">
        <f>IF(ISBLANK('SQL Builder'!P1304)=FALSE,'SQL Builder'!N1304,"")</f>
        <v/>
      </c>
      <c r="J1329" s="79">
        <f t="shared" si="20"/>
        <v>0</v>
      </c>
    </row>
    <row r="1330" spans="2:10" ht="16.5" x14ac:dyDescent="0.25">
      <c r="B1330" s="49" t="e">
        <f>IF(ISBLANK('SQL Builder'!K1305)=FALSE,(DATE(LEFT('SQL Builder'!K1305,4),MID('SQL Builder'!K1305,6,2),MID('SQL Builder'!K1305,9,2))),NA())</f>
        <v>#N/A</v>
      </c>
      <c r="C1330" s="50" t="str">
        <f>IF(ISBLANK('SQL Builder'!K1305)=FALSE,'SQL Builder'!L1305,"")</f>
        <v/>
      </c>
      <c r="D1330" s="1" t="str">
        <f>IF(ISBLANK('SQL Builder'!K1305)=FALSE,'SQL Builder'!O1305,"")</f>
        <v/>
      </c>
      <c r="H1330" s="43" t="str">
        <f>IF(ISBLANK('SQL Builder'!K1304)=FALSE,H1329+1,"")</f>
        <v/>
      </c>
      <c r="I1330" s="1" t="str">
        <f>IF(ISBLANK('SQL Builder'!P1305)=FALSE,'SQL Builder'!N1305,"")</f>
        <v/>
      </c>
      <c r="J1330" s="79">
        <f t="shared" si="20"/>
        <v>0</v>
      </c>
    </row>
    <row r="1331" spans="2:10" ht="16.5" x14ac:dyDescent="0.25">
      <c r="B1331" s="49" t="e">
        <f>IF(ISBLANK('SQL Builder'!K1306)=FALSE,(DATE(LEFT('SQL Builder'!K1306,4),MID('SQL Builder'!K1306,6,2),MID('SQL Builder'!K1306,9,2))),NA())</f>
        <v>#N/A</v>
      </c>
      <c r="C1331" s="50" t="str">
        <f>IF(ISBLANK('SQL Builder'!K1306)=FALSE,'SQL Builder'!L1306,"")</f>
        <v/>
      </c>
      <c r="D1331" s="1" t="str">
        <f>IF(ISBLANK('SQL Builder'!K1306)=FALSE,'SQL Builder'!O1306,"")</f>
        <v/>
      </c>
      <c r="H1331" s="43" t="str">
        <f>IF(ISBLANK('SQL Builder'!K1305)=FALSE,H1330+1,"")</f>
        <v/>
      </c>
      <c r="I1331" s="1" t="str">
        <f>IF(ISBLANK('SQL Builder'!P1306)=FALSE,'SQL Builder'!N1306,"")</f>
        <v/>
      </c>
      <c r="J1331" s="79">
        <f t="shared" si="20"/>
        <v>0</v>
      </c>
    </row>
    <row r="1332" spans="2:10" ht="16.5" x14ac:dyDescent="0.25">
      <c r="B1332" s="49" t="e">
        <f>IF(ISBLANK('SQL Builder'!K1307)=FALSE,(DATE(LEFT('SQL Builder'!K1307,4),MID('SQL Builder'!K1307,6,2),MID('SQL Builder'!K1307,9,2))),NA())</f>
        <v>#N/A</v>
      </c>
      <c r="C1332" s="50" t="str">
        <f>IF(ISBLANK('SQL Builder'!K1307)=FALSE,'SQL Builder'!L1307,"")</f>
        <v/>
      </c>
      <c r="D1332" s="1" t="str">
        <f>IF(ISBLANK('SQL Builder'!K1307)=FALSE,'SQL Builder'!O1307,"")</f>
        <v/>
      </c>
      <c r="H1332" s="43" t="str">
        <f>IF(ISBLANK('SQL Builder'!K1306)=FALSE,H1331+1,"")</f>
        <v/>
      </c>
      <c r="I1332" s="1" t="str">
        <f>IF(ISBLANK('SQL Builder'!P1307)=FALSE,'SQL Builder'!N1307,"")</f>
        <v/>
      </c>
      <c r="J1332" s="79">
        <f t="shared" si="20"/>
        <v>0</v>
      </c>
    </row>
    <row r="1333" spans="2:10" ht="16.5" x14ac:dyDescent="0.25">
      <c r="B1333" s="49" t="e">
        <f>IF(ISBLANK('SQL Builder'!K1308)=FALSE,(DATE(LEFT('SQL Builder'!K1308,4),MID('SQL Builder'!K1308,6,2),MID('SQL Builder'!K1308,9,2))),NA())</f>
        <v>#N/A</v>
      </c>
      <c r="C1333" s="50" t="str">
        <f>IF(ISBLANK('SQL Builder'!K1308)=FALSE,'SQL Builder'!L1308,"")</f>
        <v/>
      </c>
      <c r="D1333" s="1" t="str">
        <f>IF(ISBLANK('SQL Builder'!K1308)=FALSE,'SQL Builder'!O1308,"")</f>
        <v/>
      </c>
      <c r="H1333" s="43" t="str">
        <f>IF(ISBLANK('SQL Builder'!K1307)=FALSE,H1332+1,"")</f>
        <v/>
      </c>
      <c r="I1333" s="1" t="str">
        <f>IF(ISBLANK('SQL Builder'!P1308)=FALSE,'SQL Builder'!N1308,"")</f>
        <v/>
      </c>
      <c r="J1333" s="79">
        <f t="shared" si="20"/>
        <v>0</v>
      </c>
    </row>
    <row r="1334" spans="2:10" ht="16.5" x14ac:dyDescent="0.25">
      <c r="B1334" s="49" t="e">
        <f>IF(ISBLANK('SQL Builder'!K1309)=FALSE,(DATE(LEFT('SQL Builder'!K1309,4),MID('SQL Builder'!K1309,6,2),MID('SQL Builder'!K1309,9,2))),NA())</f>
        <v>#N/A</v>
      </c>
      <c r="C1334" s="50" t="str">
        <f>IF(ISBLANK('SQL Builder'!K1309)=FALSE,'SQL Builder'!L1309,"")</f>
        <v/>
      </c>
      <c r="D1334" s="1" t="str">
        <f>IF(ISBLANK('SQL Builder'!K1309)=FALSE,'SQL Builder'!O1309,"")</f>
        <v/>
      </c>
      <c r="H1334" s="43" t="str">
        <f>IF(ISBLANK('SQL Builder'!K1308)=FALSE,H1333+1,"")</f>
        <v/>
      </c>
      <c r="I1334" s="1" t="str">
        <f>IF(ISBLANK('SQL Builder'!P1309)=FALSE,'SQL Builder'!N1309,"")</f>
        <v/>
      </c>
      <c r="J1334" s="79">
        <f t="shared" si="20"/>
        <v>0</v>
      </c>
    </row>
    <row r="1335" spans="2:10" ht="16.5" x14ac:dyDescent="0.25">
      <c r="B1335" s="49" t="e">
        <f>IF(ISBLANK('SQL Builder'!K1310)=FALSE,(DATE(LEFT('SQL Builder'!K1310,4),MID('SQL Builder'!K1310,6,2),MID('SQL Builder'!K1310,9,2))),NA())</f>
        <v>#N/A</v>
      </c>
      <c r="C1335" s="50" t="str">
        <f>IF(ISBLANK('SQL Builder'!K1310)=FALSE,'SQL Builder'!L1310,"")</f>
        <v/>
      </c>
      <c r="D1335" s="1" t="str">
        <f>IF(ISBLANK('SQL Builder'!K1310)=FALSE,'SQL Builder'!O1310,"")</f>
        <v/>
      </c>
      <c r="H1335" s="43" t="str">
        <f>IF(ISBLANK('SQL Builder'!K1309)=FALSE,H1334+1,"")</f>
        <v/>
      </c>
      <c r="I1335" s="1" t="str">
        <f>IF(ISBLANK('SQL Builder'!P1310)=FALSE,'SQL Builder'!N1310,"")</f>
        <v/>
      </c>
      <c r="J1335" s="79">
        <f t="shared" si="20"/>
        <v>0</v>
      </c>
    </row>
    <row r="1336" spans="2:10" ht="16.5" x14ac:dyDescent="0.25">
      <c r="B1336" s="49" t="e">
        <f>IF(ISBLANK('SQL Builder'!K1311)=FALSE,(DATE(LEFT('SQL Builder'!K1311,4),MID('SQL Builder'!K1311,6,2),MID('SQL Builder'!K1311,9,2))),NA())</f>
        <v>#N/A</v>
      </c>
      <c r="C1336" s="50" t="str">
        <f>IF(ISBLANK('SQL Builder'!K1311)=FALSE,'SQL Builder'!L1311,"")</f>
        <v/>
      </c>
      <c r="D1336" s="1" t="str">
        <f>IF(ISBLANK('SQL Builder'!K1311)=FALSE,'SQL Builder'!O1311,"")</f>
        <v/>
      </c>
      <c r="H1336" s="43" t="str">
        <f>IF(ISBLANK('SQL Builder'!K1310)=FALSE,H1335+1,"")</f>
        <v/>
      </c>
      <c r="I1336" s="1" t="str">
        <f>IF(ISBLANK('SQL Builder'!P1311)=FALSE,'SQL Builder'!N1311,"")</f>
        <v/>
      </c>
      <c r="J1336" s="79">
        <f t="shared" si="20"/>
        <v>0</v>
      </c>
    </row>
    <row r="1337" spans="2:10" ht="16.5" x14ac:dyDescent="0.25">
      <c r="B1337" s="49" t="e">
        <f>IF(ISBLANK('SQL Builder'!K1312)=FALSE,(DATE(LEFT('SQL Builder'!K1312,4),MID('SQL Builder'!K1312,6,2),MID('SQL Builder'!K1312,9,2))),NA())</f>
        <v>#N/A</v>
      </c>
      <c r="C1337" s="50" t="str">
        <f>IF(ISBLANK('SQL Builder'!K1312)=FALSE,'SQL Builder'!L1312,"")</f>
        <v/>
      </c>
      <c r="D1337" s="1" t="str">
        <f>IF(ISBLANK('SQL Builder'!K1312)=FALSE,'SQL Builder'!O1312,"")</f>
        <v/>
      </c>
      <c r="H1337" s="43" t="str">
        <f>IF(ISBLANK('SQL Builder'!K1311)=FALSE,H1336+1,"")</f>
        <v/>
      </c>
      <c r="I1337" s="1" t="str">
        <f>IF(ISBLANK('SQL Builder'!P1312)=FALSE,'SQL Builder'!N1312,"")</f>
        <v/>
      </c>
      <c r="J1337" s="79">
        <f t="shared" si="20"/>
        <v>0</v>
      </c>
    </row>
    <row r="1338" spans="2:10" ht="16.5" x14ac:dyDescent="0.25">
      <c r="B1338" s="49" t="e">
        <f>IF(ISBLANK('SQL Builder'!K1313)=FALSE,(DATE(LEFT('SQL Builder'!K1313,4),MID('SQL Builder'!K1313,6,2),MID('SQL Builder'!K1313,9,2))),NA())</f>
        <v>#N/A</v>
      </c>
      <c r="C1338" s="50" t="str">
        <f>IF(ISBLANK('SQL Builder'!K1313)=FALSE,'SQL Builder'!L1313,"")</f>
        <v/>
      </c>
      <c r="D1338" s="1" t="str">
        <f>IF(ISBLANK('SQL Builder'!K1313)=FALSE,'SQL Builder'!O1313,"")</f>
        <v/>
      </c>
      <c r="H1338" s="43" t="str">
        <f>IF(ISBLANK('SQL Builder'!K1312)=FALSE,H1337+1,"")</f>
        <v/>
      </c>
      <c r="I1338" s="1" t="str">
        <f>IF(ISBLANK('SQL Builder'!P1313)=FALSE,'SQL Builder'!N1313,"")</f>
        <v/>
      </c>
      <c r="J1338" s="79">
        <f t="shared" si="20"/>
        <v>0</v>
      </c>
    </row>
    <row r="1339" spans="2:10" ht="16.5" x14ac:dyDescent="0.25">
      <c r="B1339" s="49" t="e">
        <f>IF(ISBLANK('SQL Builder'!K1314)=FALSE,(DATE(LEFT('SQL Builder'!K1314,4),MID('SQL Builder'!K1314,6,2),MID('SQL Builder'!K1314,9,2))),NA())</f>
        <v>#N/A</v>
      </c>
      <c r="C1339" s="50" t="str">
        <f>IF(ISBLANK('SQL Builder'!K1314)=FALSE,'SQL Builder'!L1314,"")</f>
        <v/>
      </c>
      <c r="D1339" s="1" t="str">
        <f>IF(ISBLANK('SQL Builder'!K1314)=FALSE,'SQL Builder'!O1314,"")</f>
        <v/>
      </c>
      <c r="H1339" s="43" t="str">
        <f>IF(ISBLANK('SQL Builder'!K1313)=FALSE,H1338+1,"")</f>
        <v/>
      </c>
      <c r="I1339" s="1" t="str">
        <f>IF(ISBLANK('SQL Builder'!P1314)=FALSE,'SQL Builder'!N1314,"")</f>
        <v/>
      </c>
      <c r="J1339" s="79">
        <f t="shared" si="20"/>
        <v>0</v>
      </c>
    </row>
    <row r="1340" spans="2:10" ht="16.5" x14ac:dyDescent="0.25">
      <c r="B1340" s="49" t="e">
        <f>IF(ISBLANK('SQL Builder'!K1315)=FALSE,(DATE(LEFT('SQL Builder'!K1315,4),MID('SQL Builder'!K1315,6,2),MID('SQL Builder'!K1315,9,2))),NA())</f>
        <v>#N/A</v>
      </c>
      <c r="C1340" s="50" t="str">
        <f>IF(ISBLANK('SQL Builder'!K1315)=FALSE,'SQL Builder'!L1315,"")</f>
        <v/>
      </c>
      <c r="D1340" s="1" t="str">
        <f>IF(ISBLANK('SQL Builder'!K1315)=FALSE,'SQL Builder'!O1315,"")</f>
        <v/>
      </c>
      <c r="H1340" s="43" t="str">
        <f>IF(ISBLANK('SQL Builder'!K1314)=FALSE,H1339+1,"")</f>
        <v/>
      </c>
      <c r="I1340" s="1" t="str">
        <f>IF(ISBLANK('SQL Builder'!P1315)=FALSE,'SQL Builder'!N1315,"")</f>
        <v/>
      </c>
      <c r="J1340" s="79">
        <f t="shared" si="20"/>
        <v>0</v>
      </c>
    </row>
    <row r="1341" spans="2:10" ht="16.5" x14ac:dyDescent="0.25">
      <c r="B1341" s="49" t="e">
        <f>IF(ISBLANK('SQL Builder'!K1316)=FALSE,(DATE(LEFT('SQL Builder'!K1316,4),MID('SQL Builder'!K1316,6,2),MID('SQL Builder'!K1316,9,2))),NA())</f>
        <v>#N/A</v>
      </c>
      <c r="C1341" s="50" t="str">
        <f>IF(ISBLANK('SQL Builder'!K1316)=FALSE,'SQL Builder'!L1316,"")</f>
        <v/>
      </c>
      <c r="D1341" s="1" t="str">
        <f>IF(ISBLANK('SQL Builder'!K1316)=FALSE,'SQL Builder'!O1316,"")</f>
        <v/>
      </c>
      <c r="H1341" s="43" t="str">
        <f>IF(ISBLANK('SQL Builder'!K1315)=FALSE,H1340+1,"")</f>
        <v/>
      </c>
      <c r="I1341" s="1" t="str">
        <f>IF(ISBLANK('SQL Builder'!P1316)=FALSE,'SQL Builder'!N1316,"")</f>
        <v/>
      </c>
      <c r="J1341" s="79">
        <f t="shared" si="20"/>
        <v>0</v>
      </c>
    </row>
    <row r="1342" spans="2:10" ht="16.5" x14ac:dyDescent="0.25">
      <c r="B1342" s="49" t="e">
        <f>IF(ISBLANK('SQL Builder'!K1317)=FALSE,(DATE(LEFT('SQL Builder'!K1317,4),MID('SQL Builder'!K1317,6,2),MID('SQL Builder'!K1317,9,2))),NA())</f>
        <v>#N/A</v>
      </c>
      <c r="C1342" s="50" t="str">
        <f>IF(ISBLANK('SQL Builder'!K1317)=FALSE,'SQL Builder'!L1317,"")</f>
        <v/>
      </c>
      <c r="D1342" s="1" t="str">
        <f>IF(ISBLANK('SQL Builder'!K1317)=FALSE,'SQL Builder'!O1317,"")</f>
        <v/>
      </c>
      <c r="H1342" s="43" t="str">
        <f>IF(ISBLANK('SQL Builder'!K1316)=FALSE,H1341+1,"")</f>
        <v/>
      </c>
      <c r="I1342" s="1" t="str">
        <f>IF(ISBLANK('SQL Builder'!P1317)=FALSE,'SQL Builder'!N1317,"")</f>
        <v/>
      </c>
      <c r="J1342" s="79">
        <f t="shared" si="20"/>
        <v>0</v>
      </c>
    </row>
    <row r="1343" spans="2:10" ht="16.5" x14ac:dyDescent="0.25">
      <c r="B1343" s="49" t="e">
        <f>IF(ISBLANK('SQL Builder'!K1318)=FALSE,(DATE(LEFT('SQL Builder'!K1318,4),MID('SQL Builder'!K1318,6,2),MID('SQL Builder'!K1318,9,2))),NA())</f>
        <v>#N/A</v>
      </c>
      <c r="C1343" s="50" t="str">
        <f>IF(ISBLANK('SQL Builder'!K1318)=FALSE,'SQL Builder'!L1318,"")</f>
        <v/>
      </c>
      <c r="D1343" s="1" t="str">
        <f>IF(ISBLANK('SQL Builder'!K1318)=FALSE,'SQL Builder'!O1318,"")</f>
        <v/>
      </c>
      <c r="H1343" s="43" t="str">
        <f>IF(ISBLANK('SQL Builder'!K1317)=FALSE,H1342+1,"")</f>
        <v/>
      </c>
      <c r="I1343" s="1" t="str">
        <f>IF(ISBLANK('SQL Builder'!P1318)=FALSE,'SQL Builder'!N1318,"")</f>
        <v/>
      </c>
      <c r="J1343" s="79">
        <f t="shared" si="20"/>
        <v>0</v>
      </c>
    </row>
    <row r="1344" spans="2:10" ht="16.5" x14ac:dyDescent="0.25">
      <c r="B1344" s="49" t="e">
        <f>IF(ISBLANK('SQL Builder'!K1319)=FALSE,(DATE(LEFT('SQL Builder'!K1319,4),MID('SQL Builder'!K1319,6,2),MID('SQL Builder'!K1319,9,2))),NA())</f>
        <v>#N/A</v>
      </c>
      <c r="C1344" s="50" t="str">
        <f>IF(ISBLANK('SQL Builder'!K1319)=FALSE,'SQL Builder'!L1319,"")</f>
        <v/>
      </c>
      <c r="D1344" s="1" t="str">
        <f>IF(ISBLANK('SQL Builder'!K1319)=FALSE,'SQL Builder'!O1319,"")</f>
        <v/>
      </c>
      <c r="H1344" s="43" t="str">
        <f>IF(ISBLANK('SQL Builder'!K1318)=FALSE,H1343+1,"")</f>
        <v/>
      </c>
      <c r="I1344" s="1" t="str">
        <f>IF(ISBLANK('SQL Builder'!P1319)=FALSE,'SQL Builder'!N1319,"")</f>
        <v/>
      </c>
      <c r="J1344" s="79">
        <f t="shared" si="20"/>
        <v>0</v>
      </c>
    </row>
    <row r="1345" spans="2:10" ht="16.5" x14ac:dyDescent="0.25">
      <c r="B1345" s="49" t="e">
        <f>IF(ISBLANK('SQL Builder'!K1320)=FALSE,(DATE(LEFT('SQL Builder'!K1320,4),MID('SQL Builder'!K1320,6,2),MID('SQL Builder'!K1320,9,2))),NA())</f>
        <v>#N/A</v>
      </c>
      <c r="C1345" s="50" t="str">
        <f>IF(ISBLANK('SQL Builder'!K1320)=FALSE,'SQL Builder'!L1320,"")</f>
        <v/>
      </c>
      <c r="D1345" s="1" t="str">
        <f>IF(ISBLANK('SQL Builder'!K1320)=FALSE,'SQL Builder'!O1320,"")</f>
        <v/>
      </c>
      <c r="H1345" s="43" t="str">
        <f>IF(ISBLANK('SQL Builder'!K1319)=FALSE,H1344+1,"")</f>
        <v/>
      </c>
      <c r="I1345" s="1" t="str">
        <f>IF(ISBLANK('SQL Builder'!P1320)=FALSE,'SQL Builder'!N1320,"")</f>
        <v/>
      </c>
      <c r="J1345" s="79">
        <f t="shared" si="20"/>
        <v>0</v>
      </c>
    </row>
    <row r="1346" spans="2:10" ht="16.5" x14ac:dyDescent="0.25">
      <c r="B1346" s="49" t="e">
        <f>IF(ISBLANK('SQL Builder'!K1321)=FALSE,(DATE(LEFT('SQL Builder'!K1321,4),MID('SQL Builder'!K1321,6,2),MID('SQL Builder'!K1321,9,2))),NA())</f>
        <v>#N/A</v>
      </c>
      <c r="C1346" s="50" t="str">
        <f>IF(ISBLANK('SQL Builder'!K1321)=FALSE,'SQL Builder'!L1321,"")</f>
        <v/>
      </c>
      <c r="D1346" s="1" t="str">
        <f>IF(ISBLANK('SQL Builder'!K1321)=FALSE,'SQL Builder'!O1321,"")</f>
        <v/>
      </c>
      <c r="H1346" s="43" t="str">
        <f>IF(ISBLANK('SQL Builder'!K1320)=FALSE,H1345+1,"")</f>
        <v/>
      </c>
      <c r="I1346" s="1" t="str">
        <f>IF(ISBLANK('SQL Builder'!P1321)=FALSE,'SQL Builder'!N1321,"")</f>
        <v/>
      </c>
      <c r="J1346" s="79">
        <f t="shared" si="20"/>
        <v>0</v>
      </c>
    </row>
    <row r="1347" spans="2:10" ht="16.5" x14ac:dyDescent="0.25">
      <c r="B1347" s="49" t="e">
        <f>IF(ISBLANK('SQL Builder'!K1322)=FALSE,(DATE(LEFT('SQL Builder'!K1322,4),MID('SQL Builder'!K1322,6,2),MID('SQL Builder'!K1322,9,2))),NA())</f>
        <v>#N/A</v>
      </c>
      <c r="C1347" s="50" t="str">
        <f>IF(ISBLANK('SQL Builder'!K1322)=FALSE,'SQL Builder'!L1322,"")</f>
        <v/>
      </c>
      <c r="D1347" s="1" t="str">
        <f>IF(ISBLANK('SQL Builder'!K1322)=FALSE,'SQL Builder'!O1322,"")</f>
        <v/>
      </c>
      <c r="H1347" s="43" t="str">
        <f>IF(ISBLANK('SQL Builder'!K1321)=FALSE,H1346+1,"")</f>
        <v/>
      </c>
      <c r="I1347" s="1" t="str">
        <f>IF(ISBLANK('SQL Builder'!P1322)=FALSE,'SQL Builder'!N1322,"")</f>
        <v/>
      </c>
      <c r="J1347" s="79">
        <f t="shared" si="20"/>
        <v>0</v>
      </c>
    </row>
    <row r="1348" spans="2:10" ht="16.5" x14ac:dyDescent="0.25">
      <c r="B1348" s="49" t="e">
        <f>IF(ISBLANK('SQL Builder'!K1323)=FALSE,(DATE(LEFT('SQL Builder'!K1323,4),MID('SQL Builder'!K1323,6,2),MID('SQL Builder'!K1323,9,2))),NA())</f>
        <v>#N/A</v>
      </c>
      <c r="C1348" s="50" t="str">
        <f>IF(ISBLANK('SQL Builder'!K1323)=FALSE,'SQL Builder'!L1323,"")</f>
        <v/>
      </c>
      <c r="D1348" s="1" t="str">
        <f>IF(ISBLANK('SQL Builder'!K1323)=FALSE,'SQL Builder'!O1323,"")</f>
        <v/>
      </c>
      <c r="H1348" s="43" t="str">
        <f>IF(ISBLANK('SQL Builder'!K1322)=FALSE,H1347+1,"")</f>
        <v/>
      </c>
      <c r="I1348" s="1" t="str">
        <f>IF(ISBLANK('SQL Builder'!P1323)=FALSE,'SQL Builder'!N1323,"")</f>
        <v/>
      </c>
      <c r="J1348" s="79">
        <f t="shared" si="20"/>
        <v>0</v>
      </c>
    </row>
    <row r="1349" spans="2:10" ht="16.5" x14ac:dyDescent="0.25">
      <c r="B1349" s="49" t="e">
        <f>IF(ISBLANK('SQL Builder'!K1324)=FALSE,(DATE(LEFT('SQL Builder'!K1324,4),MID('SQL Builder'!K1324,6,2),MID('SQL Builder'!K1324,9,2))),NA())</f>
        <v>#N/A</v>
      </c>
      <c r="C1349" s="50" t="str">
        <f>IF(ISBLANK('SQL Builder'!K1324)=FALSE,'SQL Builder'!L1324,"")</f>
        <v/>
      </c>
      <c r="D1349" s="1" t="str">
        <f>IF(ISBLANK('SQL Builder'!K1324)=FALSE,'SQL Builder'!O1324,"")</f>
        <v/>
      </c>
      <c r="H1349" s="43" t="str">
        <f>IF(ISBLANK('SQL Builder'!K1323)=FALSE,H1348+1,"")</f>
        <v/>
      </c>
      <c r="I1349" s="1" t="str">
        <f>IF(ISBLANK('SQL Builder'!P1324)=FALSE,'SQL Builder'!N1324,"")</f>
        <v/>
      </c>
      <c r="J1349" s="79">
        <f t="shared" si="20"/>
        <v>0</v>
      </c>
    </row>
    <row r="1350" spans="2:10" ht="16.5" x14ac:dyDescent="0.25">
      <c r="B1350" s="49" t="e">
        <f>IF(ISBLANK('SQL Builder'!K1325)=FALSE,(DATE(LEFT('SQL Builder'!K1325,4),MID('SQL Builder'!K1325,6,2),MID('SQL Builder'!K1325,9,2))),NA())</f>
        <v>#N/A</v>
      </c>
      <c r="C1350" s="50" t="str">
        <f>IF(ISBLANK('SQL Builder'!K1325)=FALSE,'SQL Builder'!L1325,"")</f>
        <v/>
      </c>
      <c r="D1350" s="1" t="str">
        <f>IF(ISBLANK('SQL Builder'!K1325)=FALSE,'SQL Builder'!O1325,"")</f>
        <v/>
      </c>
      <c r="H1350" s="43" t="str">
        <f>IF(ISBLANK('SQL Builder'!K1324)=FALSE,H1349+1,"")</f>
        <v/>
      </c>
      <c r="I1350" s="1" t="str">
        <f>IF(ISBLANK('SQL Builder'!P1325)=FALSE,'SQL Builder'!N1325,"")</f>
        <v/>
      </c>
      <c r="J1350" s="79">
        <f t="shared" si="20"/>
        <v>0</v>
      </c>
    </row>
    <row r="1351" spans="2:10" ht="16.5" x14ac:dyDescent="0.25">
      <c r="B1351" s="49" t="e">
        <f>IF(ISBLANK('SQL Builder'!K1326)=FALSE,(DATE(LEFT('SQL Builder'!K1326,4),MID('SQL Builder'!K1326,6,2),MID('SQL Builder'!K1326,9,2))),NA())</f>
        <v>#N/A</v>
      </c>
      <c r="C1351" s="50" t="str">
        <f>IF(ISBLANK('SQL Builder'!K1326)=FALSE,'SQL Builder'!L1326,"")</f>
        <v/>
      </c>
      <c r="D1351" s="1" t="str">
        <f>IF(ISBLANK('SQL Builder'!K1326)=FALSE,'SQL Builder'!O1326,"")</f>
        <v/>
      </c>
      <c r="H1351" s="43" t="str">
        <f>IF(ISBLANK('SQL Builder'!K1325)=FALSE,H1350+1,"")</f>
        <v/>
      </c>
      <c r="I1351" s="1" t="str">
        <f>IF(ISBLANK('SQL Builder'!P1326)=FALSE,'SQL Builder'!N1326,"")</f>
        <v/>
      </c>
      <c r="J1351" s="79">
        <f t="shared" si="20"/>
        <v>0</v>
      </c>
    </row>
    <row r="1352" spans="2:10" ht="16.5" x14ac:dyDescent="0.25">
      <c r="B1352" s="49" t="e">
        <f>IF(ISBLANK('SQL Builder'!K1327)=FALSE,(DATE(LEFT('SQL Builder'!K1327,4),MID('SQL Builder'!K1327,6,2),MID('SQL Builder'!K1327,9,2))),NA())</f>
        <v>#N/A</v>
      </c>
      <c r="C1352" s="50" t="str">
        <f>IF(ISBLANK('SQL Builder'!K1327)=FALSE,'SQL Builder'!L1327,"")</f>
        <v/>
      </c>
      <c r="D1352" s="1" t="str">
        <f>IF(ISBLANK('SQL Builder'!K1327)=FALSE,'SQL Builder'!O1327,"")</f>
        <v/>
      </c>
      <c r="H1352" s="43" t="str">
        <f>IF(ISBLANK('SQL Builder'!K1326)=FALSE,H1351+1,"")</f>
        <v/>
      </c>
      <c r="I1352" s="1" t="str">
        <f>IF(ISBLANK('SQL Builder'!P1327)=FALSE,'SQL Builder'!N1327,"")</f>
        <v/>
      </c>
      <c r="J1352" s="79">
        <f t="shared" si="20"/>
        <v>0</v>
      </c>
    </row>
    <row r="1353" spans="2:10" ht="16.5" x14ac:dyDescent="0.25">
      <c r="B1353" s="49" t="e">
        <f>IF(ISBLANK('SQL Builder'!K1328)=FALSE,(DATE(LEFT('SQL Builder'!K1328,4),MID('SQL Builder'!K1328,6,2),MID('SQL Builder'!K1328,9,2))),NA())</f>
        <v>#N/A</v>
      </c>
      <c r="C1353" s="50" t="str">
        <f>IF(ISBLANK('SQL Builder'!K1328)=FALSE,'SQL Builder'!L1328,"")</f>
        <v/>
      </c>
      <c r="D1353" s="1" t="str">
        <f>IF(ISBLANK('SQL Builder'!K1328)=FALSE,'SQL Builder'!O1328,"")</f>
        <v/>
      </c>
      <c r="H1353" s="43" t="str">
        <f>IF(ISBLANK('SQL Builder'!K1327)=FALSE,H1352+1,"")</f>
        <v/>
      </c>
      <c r="I1353" s="1" t="str">
        <f>IF(ISBLANK('SQL Builder'!P1328)=FALSE,'SQL Builder'!N1328,"")</f>
        <v/>
      </c>
      <c r="J1353" s="79">
        <f t="shared" si="20"/>
        <v>0</v>
      </c>
    </row>
    <row r="1354" spans="2:10" ht="16.5" x14ac:dyDescent="0.25">
      <c r="B1354" s="49" t="e">
        <f>IF(ISBLANK('SQL Builder'!K1329)=FALSE,(DATE(LEFT('SQL Builder'!K1329,4),MID('SQL Builder'!K1329,6,2),MID('SQL Builder'!K1329,9,2))),NA())</f>
        <v>#N/A</v>
      </c>
      <c r="C1354" s="50" t="str">
        <f>IF(ISBLANK('SQL Builder'!K1329)=FALSE,'SQL Builder'!L1329,"")</f>
        <v/>
      </c>
      <c r="D1354" s="1" t="str">
        <f>IF(ISBLANK('SQL Builder'!K1329)=FALSE,'SQL Builder'!O1329,"")</f>
        <v/>
      </c>
      <c r="H1354" s="43" t="str">
        <f>IF(ISBLANK('SQL Builder'!K1328)=FALSE,H1353+1,"")</f>
        <v/>
      </c>
      <c r="I1354" s="1" t="str">
        <f>IF(ISBLANK('SQL Builder'!P1329)=FALSE,'SQL Builder'!N1329,"")</f>
        <v/>
      </c>
      <c r="J1354" s="79">
        <f t="shared" si="20"/>
        <v>0</v>
      </c>
    </row>
    <row r="1355" spans="2:10" ht="16.5" x14ac:dyDescent="0.25">
      <c r="B1355" s="49" t="e">
        <f>IF(ISBLANK('SQL Builder'!K1330)=FALSE,(DATE(LEFT('SQL Builder'!K1330,4),MID('SQL Builder'!K1330,6,2),MID('SQL Builder'!K1330,9,2))),NA())</f>
        <v>#N/A</v>
      </c>
      <c r="C1355" s="50" t="str">
        <f>IF(ISBLANK('SQL Builder'!K1330)=FALSE,'SQL Builder'!L1330,"")</f>
        <v/>
      </c>
      <c r="D1355" s="1" t="str">
        <f>IF(ISBLANK('SQL Builder'!K1330)=FALSE,'SQL Builder'!O1330,"")</f>
        <v/>
      </c>
      <c r="H1355" s="43" t="str">
        <f>IF(ISBLANK('SQL Builder'!K1329)=FALSE,H1354+1,"")</f>
        <v/>
      </c>
      <c r="I1355" s="1" t="str">
        <f>IF(ISBLANK('SQL Builder'!P1330)=FALSE,'SQL Builder'!N1330,"")</f>
        <v/>
      </c>
      <c r="J1355" s="79">
        <f t="shared" si="20"/>
        <v>0</v>
      </c>
    </row>
    <row r="1356" spans="2:10" ht="16.5" x14ac:dyDescent="0.25">
      <c r="B1356" s="49" t="e">
        <f>IF(ISBLANK('SQL Builder'!K1331)=FALSE,(DATE(LEFT('SQL Builder'!K1331,4),MID('SQL Builder'!K1331,6,2),MID('SQL Builder'!K1331,9,2))),NA())</f>
        <v>#N/A</v>
      </c>
      <c r="C1356" s="50" t="str">
        <f>IF(ISBLANK('SQL Builder'!K1331)=FALSE,'SQL Builder'!L1331,"")</f>
        <v/>
      </c>
      <c r="D1356" s="1" t="str">
        <f>IF(ISBLANK('SQL Builder'!K1331)=FALSE,'SQL Builder'!O1331,"")</f>
        <v/>
      </c>
      <c r="H1356" s="43" t="str">
        <f>IF(ISBLANK('SQL Builder'!K1330)=FALSE,H1355+1,"")</f>
        <v/>
      </c>
      <c r="I1356" s="1" t="str">
        <f>IF(ISBLANK('SQL Builder'!P1331)=FALSE,'SQL Builder'!N1331,"")</f>
        <v/>
      </c>
      <c r="J1356" s="79">
        <f t="shared" si="20"/>
        <v>0</v>
      </c>
    </row>
    <row r="1357" spans="2:10" ht="16.5" x14ac:dyDescent="0.25">
      <c r="B1357" s="49" t="e">
        <f>IF(ISBLANK('SQL Builder'!K1332)=FALSE,(DATE(LEFT('SQL Builder'!K1332,4),MID('SQL Builder'!K1332,6,2),MID('SQL Builder'!K1332,9,2))),NA())</f>
        <v>#N/A</v>
      </c>
      <c r="C1357" s="50" t="str">
        <f>IF(ISBLANK('SQL Builder'!K1332)=FALSE,'SQL Builder'!L1332,"")</f>
        <v/>
      </c>
      <c r="D1357" s="1" t="str">
        <f>IF(ISBLANK('SQL Builder'!K1332)=FALSE,'SQL Builder'!O1332,"")</f>
        <v/>
      </c>
      <c r="H1357" s="43" t="str">
        <f>IF(ISBLANK('SQL Builder'!K1331)=FALSE,H1356+1,"")</f>
        <v/>
      </c>
      <c r="I1357" s="1" t="str">
        <f>IF(ISBLANK('SQL Builder'!P1332)=FALSE,'SQL Builder'!N1332,"")</f>
        <v/>
      </c>
      <c r="J1357" s="79">
        <f t="shared" si="20"/>
        <v>0</v>
      </c>
    </row>
    <row r="1358" spans="2:10" ht="16.5" x14ac:dyDescent="0.25">
      <c r="B1358" s="49" t="e">
        <f>IF(ISBLANK('SQL Builder'!K1333)=FALSE,(DATE(LEFT('SQL Builder'!K1333,4),MID('SQL Builder'!K1333,6,2),MID('SQL Builder'!K1333,9,2))),NA())</f>
        <v>#N/A</v>
      </c>
      <c r="C1358" s="50" t="str">
        <f>IF(ISBLANK('SQL Builder'!K1333)=FALSE,'SQL Builder'!L1333,"")</f>
        <v/>
      </c>
      <c r="D1358" s="1" t="str">
        <f>IF(ISBLANK('SQL Builder'!K1333)=FALSE,'SQL Builder'!O1333,"")</f>
        <v/>
      </c>
      <c r="H1358" s="43" t="str">
        <f>IF(ISBLANK('SQL Builder'!K1332)=FALSE,H1357+1,"")</f>
        <v/>
      </c>
      <c r="I1358" s="1" t="str">
        <f>IF(ISBLANK('SQL Builder'!P1333)=FALSE,'SQL Builder'!N1333,"")</f>
        <v/>
      </c>
      <c r="J1358" s="79">
        <f t="shared" si="20"/>
        <v>0</v>
      </c>
    </row>
    <row r="1359" spans="2:10" ht="16.5" x14ac:dyDescent="0.25">
      <c r="B1359" s="49" t="e">
        <f>IF(ISBLANK('SQL Builder'!K1334)=FALSE,(DATE(LEFT('SQL Builder'!K1334,4),MID('SQL Builder'!K1334,6,2),MID('SQL Builder'!K1334,9,2))),NA())</f>
        <v>#N/A</v>
      </c>
      <c r="C1359" s="50" t="str">
        <f>IF(ISBLANK('SQL Builder'!K1334)=FALSE,'SQL Builder'!L1334,"")</f>
        <v/>
      </c>
      <c r="D1359" s="1" t="str">
        <f>IF(ISBLANK('SQL Builder'!K1334)=FALSE,'SQL Builder'!O1334,"")</f>
        <v/>
      </c>
      <c r="H1359" s="43" t="str">
        <f>IF(ISBLANK('SQL Builder'!K1333)=FALSE,H1358+1,"")</f>
        <v/>
      </c>
      <c r="I1359" s="1" t="str">
        <f>IF(ISBLANK('SQL Builder'!P1334)=FALSE,'SQL Builder'!N1334,"")</f>
        <v/>
      </c>
      <c r="J1359" s="79">
        <f t="shared" si="20"/>
        <v>0</v>
      </c>
    </row>
    <row r="1360" spans="2:10" ht="16.5" x14ac:dyDescent="0.25">
      <c r="B1360" s="49" t="e">
        <f>IF(ISBLANK('SQL Builder'!K1335)=FALSE,(DATE(LEFT('SQL Builder'!K1335,4),MID('SQL Builder'!K1335,6,2),MID('SQL Builder'!K1335,9,2))),NA())</f>
        <v>#N/A</v>
      </c>
      <c r="C1360" s="50" t="str">
        <f>IF(ISBLANK('SQL Builder'!K1335)=FALSE,'SQL Builder'!L1335,"")</f>
        <v/>
      </c>
      <c r="D1360" s="1" t="str">
        <f>IF(ISBLANK('SQL Builder'!K1335)=FALSE,'SQL Builder'!O1335,"")</f>
        <v/>
      </c>
      <c r="H1360" s="43" t="str">
        <f>IF(ISBLANK('SQL Builder'!K1334)=FALSE,H1359+1,"")</f>
        <v/>
      </c>
      <c r="I1360" s="1" t="str">
        <f>IF(ISBLANK('SQL Builder'!P1335)=FALSE,'SQL Builder'!N1335,"")</f>
        <v/>
      </c>
      <c r="J1360" s="79">
        <f t="shared" si="20"/>
        <v>0</v>
      </c>
    </row>
    <row r="1361" spans="2:10" ht="16.5" x14ac:dyDescent="0.25">
      <c r="B1361" s="49" t="e">
        <f>IF(ISBLANK('SQL Builder'!K1336)=FALSE,(DATE(LEFT('SQL Builder'!K1336,4),MID('SQL Builder'!K1336,6,2),MID('SQL Builder'!K1336,9,2))),NA())</f>
        <v>#N/A</v>
      </c>
      <c r="C1361" s="50" t="str">
        <f>IF(ISBLANK('SQL Builder'!K1336)=FALSE,'SQL Builder'!L1336,"")</f>
        <v/>
      </c>
      <c r="D1361" s="1" t="str">
        <f>IF(ISBLANK('SQL Builder'!K1336)=FALSE,'SQL Builder'!O1336,"")</f>
        <v/>
      </c>
      <c r="H1361" s="43" t="str">
        <f>IF(ISBLANK('SQL Builder'!K1335)=FALSE,H1360+1,"")</f>
        <v/>
      </c>
      <c r="I1361" s="1" t="str">
        <f>IF(ISBLANK('SQL Builder'!P1336)=FALSE,'SQL Builder'!N1336,"")</f>
        <v/>
      </c>
      <c r="J1361" s="79">
        <f t="shared" si="20"/>
        <v>0</v>
      </c>
    </row>
    <row r="1362" spans="2:10" ht="16.5" x14ac:dyDescent="0.25">
      <c r="B1362" s="49" t="e">
        <f>IF(ISBLANK('SQL Builder'!K1337)=FALSE,(DATE(LEFT('SQL Builder'!K1337,4),MID('SQL Builder'!K1337,6,2),MID('SQL Builder'!K1337,9,2))),NA())</f>
        <v>#N/A</v>
      </c>
      <c r="C1362" s="50" t="str">
        <f>IF(ISBLANK('SQL Builder'!K1337)=FALSE,'SQL Builder'!L1337,"")</f>
        <v/>
      </c>
      <c r="D1362" s="1" t="str">
        <f>IF(ISBLANK('SQL Builder'!K1337)=FALSE,'SQL Builder'!O1337,"")</f>
        <v/>
      </c>
      <c r="H1362" s="43" t="str">
        <f>IF(ISBLANK('SQL Builder'!K1336)=FALSE,H1361+1,"")</f>
        <v/>
      </c>
      <c r="I1362" s="1" t="str">
        <f>IF(ISBLANK('SQL Builder'!P1337)=FALSE,'SQL Builder'!N1337,"")</f>
        <v/>
      </c>
      <c r="J1362" s="79">
        <f t="shared" si="20"/>
        <v>0</v>
      </c>
    </row>
    <row r="1363" spans="2:10" ht="16.5" x14ac:dyDescent="0.25">
      <c r="B1363" s="49" t="e">
        <f>IF(ISBLANK('SQL Builder'!K1338)=FALSE,(DATE(LEFT('SQL Builder'!K1338,4),MID('SQL Builder'!K1338,6,2),MID('SQL Builder'!K1338,9,2))),NA())</f>
        <v>#N/A</v>
      </c>
      <c r="C1363" s="50" t="str">
        <f>IF(ISBLANK('SQL Builder'!K1338)=FALSE,'SQL Builder'!L1338,"")</f>
        <v/>
      </c>
      <c r="D1363" s="1" t="str">
        <f>IF(ISBLANK('SQL Builder'!K1338)=FALSE,'SQL Builder'!O1338,"")</f>
        <v/>
      </c>
      <c r="H1363" s="43" t="str">
        <f>IF(ISBLANK('SQL Builder'!K1337)=FALSE,H1362+1,"")</f>
        <v/>
      </c>
      <c r="I1363" s="1" t="str">
        <f>IF(ISBLANK('SQL Builder'!P1338)=FALSE,'SQL Builder'!N1338,"")</f>
        <v/>
      </c>
      <c r="J1363" s="79">
        <f t="shared" si="20"/>
        <v>0</v>
      </c>
    </row>
    <row r="1364" spans="2:10" ht="16.5" x14ac:dyDescent="0.25">
      <c r="B1364" s="49" t="e">
        <f>IF(ISBLANK('SQL Builder'!K1339)=FALSE,(DATE(LEFT('SQL Builder'!K1339,4),MID('SQL Builder'!K1339,6,2),MID('SQL Builder'!K1339,9,2))),NA())</f>
        <v>#N/A</v>
      </c>
      <c r="C1364" s="50" t="str">
        <f>IF(ISBLANK('SQL Builder'!K1339)=FALSE,'SQL Builder'!L1339,"")</f>
        <v/>
      </c>
      <c r="D1364" s="1" t="str">
        <f>IF(ISBLANK('SQL Builder'!K1339)=FALSE,'SQL Builder'!O1339,"")</f>
        <v/>
      </c>
      <c r="H1364" s="43" t="str">
        <f>IF(ISBLANK('SQL Builder'!K1338)=FALSE,H1363+1,"")</f>
        <v/>
      </c>
      <c r="I1364" s="1" t="str">
        <f>IF(ISBLANK('SQL Builder'!P1339)=FALSE,'SQL Builder'!N1339,"")</f>
        <v/>
      </c>
      <c r="J1364" s="79">
        <f t="shared" si="20"/>
        <v>0</v>
      </c>
    </row>
    <row r="1365" spans="2:10" ht="16.5" x14ac:dyDescent="0.25">
      <c r="B1365" s="49" t="e">
        <f>IF(ISBLANK('SQL Builder'!K1340)=FALSE,(DATE(LEFT('SQL Builder'!K1340,4),MID('SQL Builder'!K1340,6,2),MID('SQL Builder'!K1340,9,2))),NA())</f>
        <v>#N/A</v>
      </c>
      <c r="C1365" s="50" t="str">
        <f>IF(ISBLANK('SQL Builder'!K1340)=FALSE,'SQL Builder'!L1340,"")</f>
        <v/>
      </c>
      <c r="D1365" s="1" t="str">
        <f>IF(ISBLANK('SQL Builder'!K1340)=FALSE,'SQL Builder'!O1340,"")</f>
        <v/>
      </c>
      <c r="H1365" s="43" t="str">
        <f>IF(ISBLANK('SQL Builder'!K1339)=FALSE,H1364+1,"")</f>
        <v/>
      </c>
      <c r="I1365" s="1" t="str">
        <f>IF(ISBLANK('SQL Builder'!P1340)=FALSE,'SQL Builder'!N1340,"")</f>
        <v/>
      </c>
      <c r="J1365" s="79">
        <f t="shared" si="20"/>
        <v>0</v>
      </c>
    </row>
    <row r="1366" spans="2:10" ht="16.5" x14ac:dyDescent="0.25">
      <c r="B1366" s="49" t="e">
        <f>IF(ISBLANK('SQL Builder'!K1341)=FALSE,(DATE(LEFT('SQL Builder'!K1341,4),MID('SQL Builder'!K1341,6,2),MID('SQL Builder'!K1341,9,2))),NA())</f>
        <v>#N/A</v>
      </c>
      <c r="C1366" s="50" t="str">
        <f>IF(ISBLANK('SQL Builder'!K1341)=FALSE,'SQL Builder'!L1341,"")</f>
        <v/>
      </c>
      <c r="D1366" s="1" t="str">
        <f>IF(ISBLANK('SQL Builder'!K1341)=FALSE,'SQL Builder'!O1341,"")</f>
        <v/>
      </c>
      <c r="H1366" s="43" t="str">
        <f>IF(ISBLANK('SQL Builder'!K1340)=FALSE,H1365+1,"")</f>
        <v/>
      </c>
      <c r="I1366" s="1" t="str">
        <f>IF(ISBLANK('SQL Builder'!P1341)=FALSE,'SQL Builder'!N1341,"")</f>
        <v/>
      </c>
      <c r="J1366" s="79">
        <f t="shared" si="20"/>
        <v>0</v>
      </c>
    </row>
    <row r="1367" spans="2:10" ht="16.5" x14ac:dyDescent="0.25">
      <c r="B1367" s="49" t="e">
        <f>IF(ISBLANK('SQL Builder'!K1342)=FALSE,(DATE(LEFT('SQL Builder'!K1342,4),MID('SQL Builder'!K1342,6,2),MID('SQL Builder'!K1342,9,2))),NA())</f>
        <v>#N/A</v>
      </c>
      <c r="C1367" s="50" t="str">
        <f>IF(ISBLANK('SQL Builder'!K1342)=FALSE,'SQL Builder'!L1342,"")</f>
        <v/>
      </c>
      <c r="D1367" s="1" t="str">
        <f>IF(ISBLANK('SQL Builder'!K1342)=FALSE,'SQL Builder'!O1342,"")</f>
        <v/>
      </c>
      <c r="H1367" s="43" t="str">
        <f>IF(ISBLANK('SQL Builder'!K1341)=FALSE,H1366+1,"")</f>
        <v/>
      </c>
      <c r="I1367" s="1" t="str">
        <f>IF(ISBLANK('SQL Builder'!P1342)=FALSE,'SQL Builder'!N1342,"")</f>
        <v/>
      </c>
      <c r="J1367" s="79">
        <f t="shared" si="20"/>
        <v>0</v>
      </c>
    </row>
    <row r="1368" spans="2:10" ht="16.5" x14ac:dyDescent="0.25">
      <c r="B1368" s="49" t="e">
        <f>IF(ISBLANK('SQL Builder'!K1343)=FALSE,(DATE(LEFT('SQL Builder'!K1343,4),MID('SQL Builder'!K1343,6,2),MID('SQL Builder'!K1343,9,2))),NA())</f>
        <v>#N/A</v>
      </c>
      <c r="C1368" s="50" t="str">
        <f>IF(ISBLANK('SQL Builder'!K1343)=FALSE,'SQL Builder'!L1343,"")</f>
        <v/>
      </c>
      <c r="D1368" s="1" t="str">
        <f>IF(ISBLANK('SQL Builder'!K1343)=FALSE,'SQL Builder'!O1343,"")</f>
        <v/>
      </c>
      <c r="H1368" s="43" t="str">
        <f>IF(ISBLANK('SQL Builder'!K1342)=FALSE,H1367+1,"")</f>
        <v/>
      </c>
      <c r="I1368" s="1" t="str">
        <f>IF(ISBLANK('SQL Builder'!P1343)=FALSE,'SQL Builder'!N1343,"")</f>
        <v/>
      </c>
      <c r="J1368" s="79">
        <f t="shared" si="20"/>
        <v>0</v>
      </c>
    </row>
    <row r="1369" spans="2:10" ht="16.5" x14ac:dyDescent="0.25">
      <c r="B1369" s="49" t="e">
        <f>IF(ISBLANK('SQL Builder'!K1344)=FALSE,(DATE(LEFT('SQL Builder'!K1344,4),MID('SQL Builder'!K1344,6,2),MID('SQL Builder'!K1344,9,2))),NA())</f>
        <v>#N/A</v>
      </c>
      <c r="C1369" s="50" t="str">
        <f>IF(ISBLANK('SQL Builder'!K1344)=FALSE,'SQL Builder'!L1344,"")</f>
        <v/>
      </c>
      <c r="D1369" s="1" t="str">
        <f>IF(ISBLANK('SQL Builder'!K1344)=FALSE,'SQL Builder'!O1344,"")</f>
        <v/>
      </c>
      <c r="H1369" s="43" t="str">
        <f>IF(ISBLANK('SQL Builder'!K1343)=FALSE,H1368+1,"")</f>
        <v/>
      </c>
      <c r="I1369" s="1" t="str">
        <f>IF(ISBLANK('SQL Builder'!P1344)=FALSE,'SQL Builder'!N1344,"")</f>
        <v/>
      </c>
      <c r="J1369" s="79">
        <f t="shared" si="20"/>
        <v>0</v>
      </c>
    </row>
    <row r="1370" spans="2:10" ht="16.5" x14ac:dyDescent="0.25">
      <c r="B1370" s="49" t="e">
        <f>IF(ISBLANK('SQL Builder'!K1345)=FALSE,(DATE(LEFT('SQL Builder'!K1345,4),MID('SQL Builder'!K1345,6,2),MID('SQL Builder'!K1345,9,2))),NA())</f>
        <v>#N/A</v>
      </c>
      <c r="C1370" s="50" t="str">
        <f>IF(ISBLANK('SQL Builder'!K1345)=FALSE,'SQL Builder'!L1345,"")</f>
        <v/>
      </c>
      <c r="D1370" s="1" t="str">
        <f>IF(ISBLANK('SQL Builder'!K1345)=FALSE,'SQL Builder'!O1345,"")</f>
        <v/>
      </c>
      <c r="H1370" s="43" t="str">
        <f>IF(ISBLANK('SQL Builder'!K1344)=FALSE,H1369+1,"")</f>
        <v/>
      </c>
      <c r="I1370" s="1" t="str">
        <f>IF(ISBLANK('SQL Builder'!P1345)=FALSE,'SQL Builder'!N1345,"")</f>
        <v/>
      </c>
      <c r="J1370" s="79">
        <f t="shared" si="20"/>
        <v>0</v>
      </c>
    </row>
    <row r="1371" spans="2:10" ht="16.5" x14ac:dyDescent="0.25">
      <c r="B1371" s="49" t="e">
        <f>IF(ISBLANK('SQL Builder'!K1346)=FALSE,(DATE(LEFT('SQL Builder'!K1346,4),MID('SQL Builder'!K1346,6,2),MID('SQL Builder'!K1346,9,2))),NA())</f>
        <v>#N/A</v>
      </c>
      <c r="C1371" s="50" t="str">
        <f>IF(ISBLANK('SQL Builder'!K1346)=FALSE,'SQL Builder'!L1346,"")</f>
        <v/>
      </c>
      <c r="D1371" s="1" t="str">
        <f>IF(ISBLANK('SQL Builder'!K1346)=FALSE,'SQL Builder'!O1346,"")</f>
        <v/>
      </c>
      <c r="H1371" s="43" t="str">
        <f>IF(ISBLANK('SQL Builder'!K1345)=FALSE,H1370+1,"")</f>
        <v/>
      </c>
      <c r="I1371" s="1" t="str">
        <f>IF(ISBLANK('SQL Builder'!P1346)=FALSE,'SQL Builder'!N1346,"")</f>
        <v/>
      </c>
      <c r="J1371" s="79">
        <f t="shared" si="20"/>
        <v>0</v>
      </c>
    </row>
    <row r="1372" spans="2:10" ht="16.5" x14ac:dyDescent="0.25">
      <c r="B1372" s="49" t="e">
        <f>IF(ISBLANK('SQL Builder'!K1347)=FALSE,(DATE(LEFT('SQL Builder'!K1347,4),MID('SQL Builder'!K1347,6,2),MID('SQL Builder'!K1347,9,2))),NA())</f>
        <v>#N/A</v>
      </c>
      <c r="C1372" s="50" t="str">
        <f>IF(ISBLANK('SQL Builder'!K1347)=FALSE,'SQL Builder'!L1347,"")</f>
        <v/>
      </c>
      <c r="D1372" s="1" t="str">
        <f>IF(ISBLANK('SQL Builder'!K1347)=FALSE,'SQL Builder'!O1347,"")</f>
        <v/>
      </c>
      <c r="H1372" s="43" t="str">
        <f>IF(ISBLANK('SQL Builder'!K1346)=FALSE,H1371+1,"")</f>
        <v/>
      </c>
      <c r="I1372" s="1" t="str">
        <f>IF(ISBLANK('SQL Builder'!P1347)=FALSE,'SQL Builder'!N1347,"")</f>
        <v/>
      </c>
      <c r="J1372" s="79">
        <f t="shared" si="20"/>
        <v>0</v>
      </c>
    </row>
    <row r="1373" spans="2:10" ht="16.5" x14ac:dyDescent="0.25">
      <c r="B1373" s="49" t="e">
        <f>IF(ISBLANK('SQL Builder'!K1348)=FALSE,(DATE(LEFT('SQL Builder'!K1348,4),MID('SQL Builder'!K1348,6,2),MID('SQL Builder'!K1348,9,2))),NA())</f>
        <v>#N/A</v>
      </c>
      <c r="C1373" s="50" t="str">
        <f>IF(ISBLANK('SQL Builder'!K1348)=FALSE,'SQL Builder'!L1348,"")</f>
        <v/>
      </c>
      <c r="D1373" s="1" t="str">
        <f>IF(ISBLANK('SQL Builder'!K1348)=FALSE,'SQL Builder'!O1348,"")</f>
        <v/>
      </c>
      <c r="H1373" s="43" t="str">
        <f>IF(ISBLANK('SQL Builder'!K1347)=FALSE,H1372+1,"")</f>
        <v/>
      </c>
      <c r="I1373" s="1" t="str">
        <f>IF(ISBLANK('SQL Builder'!P1348)=FALSE,'SQL Builder'!N1348,"")</f>
        <v/>
      </c>
      <c r="J1373" s="79">
        <f t="shared" si="20"/>
        <v>0</v>
      </c>
    </row>
    <row r="1374" spans="2:10" ht="16.5" x14ac:dyDescent="0.25">
      <c r="B1374" s="49" t="e">
        <f>IF(ISBLANK('SQL Builder'!K1349)=FALSE,(DATE(LEFT('SQL Builder'!K1349,4),MID('SQL Builder'!K1349,6,2),MID('SQL Builder'!K1349,9,2))),NA())</f>
        <v>#N/A</v>
      </c>
      <c r="C1374" s="50" t="str">
        <f>IF(ISBLANK('SQL Builder'!K1349)=FALSE,'SQL Builder'!L1349,"")</f>
        <v/>
      </c>
      <c r="D1374" s="1" t="str">
        <f>IF(ISBLANK('SQL Builder'!K1349)=FALSE,'SQL Builder'!O1349,"")</f>
        <v/>
      </c>
      <c r="H1374" s="43" t="str">
        <f>IF(ISBLANK('SQL Builder'!K1348)=FALSE,H1373+1,"")</f>
        <v/>
      </c>
      <c r="I1374" s="1" t="str">
        <f>IF(ISBLANK('SQL Builder'!P1349)=FALSE,'SQL Builder'!N1349,"")</f>
        <v/>
      </c>
      <c r="J1374" s="79">
        <f t="shared" si="20"/>
        <v>0</v>
      </c>
    </row>
    <row r="1375" spans="2:10" ht="16.5" x14ac:dyDescent="0.25">
      <c r="B1375" s="49" t="e">
        <f>IF(ISBLANK('SQL Builder'!K1350)=FALSE,(DATE(LEFT('SQL Builder'!K1350,4),MID('SQL Builder'!K1350,6,2),MID('SQL Builder'!K1350,9,2))),NA())</f>
        <v>#N/A</v>
      </c>
      <c r="C1375" s="50" t="str">
        <f>IF(ISBLANK('SQL Builder'!K1350)=FALSE,'SQL Builder'!L1350,"")</f>
        <v/>
      </c>
      <c r="D1375" s="1" t="str">
        <f>IF(ISBLANK('SQL Builder'!K1350)=FALSE,'SQL Builder'!O1350,"")</f>
        <v/>
      </c>
      <c r="H1375" s="43" t="str">
        <f>IF(ISBLANK('SQL Builder'!K1349)=FALSE,H1374+1,"")</f>
        <v/>
      </c>
      <c r="I1375" s="1" t="str">
        <f>IF(ISBLANK('SQL Builder'!P1350)=FALSE,'SQL Builder'!N1350,"")</f>
        <v/>
      </c>
      <c r="J1375" s="79">
        <f t="shared" ref="J1375:J1438" si="21">IF(I1375="",0,IF(I1375=C$5,2,1))</f>
        <v>0</v>
      </c>
    </row>
    <row r="1376" spans="2:10" ht="16.5" x14ac:dyDescent="0.25">
      <c r="B1376" s="49" t="e">
        <f>IF(ISBLANK('SQL Builder'!K1351)=FALSE,(DATE(LEFT('SQL Builder'!K1351,4),MID('SQL Builder'!K1351,6,2),MID('SQL Builder'!K1351,9,2))),NA())</f>
        <v>#N/A</v>
      </c>
      <c r="C1376" s="50" t="str">
        <f>IF(ISBLANK('SQL Builder'!K1351)=FALSE,'SQL Builder'!L1351,"")</f>
        <v/>
      </c>
      <c r="D1376" s="1" t="str">
        <f>IF(ISBLANK('SQL Builder'!K1351)=FALSE,'SQL Builder'!O1351,"")</f>
        <v/>
      </c>
      <c r="H1376" s="43" t="str">
        <f>IF(ISBLANK('SQL Builder'!K1350)=FALSE,H1375+1,"")</f>
        <v/>
      </c>
      <c r="I1376" s="1" t="str">
        <f>IF(ISBLANK('SQL Builder'!P1351)=FALSE,'SQL Builder'!N1351,"")</f>
        <v/>
      </c>
      <c r="J1376" s="79">
        <f t="shared" si="21"/>
        <v>0</v>
      </c>
    </row>
    <row r="1377" spans="2:10" ht="16.5" x14ac:dyDescent="0.25">
      <c r="B1377" s="49" t="e">
        <f>IF(ISBLANK('SQL Builder'!K1352)=FALSE,(DATE(LEFT('SQL Builder'!K1352,4),MID('SQL Builder'!K1352,6,2),MID('SQL Builder'!K1352,9,2))),NA())</f>
        <v>#N/A</v>
      </c>
      <c r="C1377" s="50" t="str">
        <f>IF(ISBLANK('SQL Builder'!K1352)=FALSE,'SQL Builder'!L1352,"")</f>
        <v/>
      </c>
      <c r="D1377" s="1" t="str">
        <f>IF(ISBLANK('SQL Builder'!K1352)=FALSE,'SQL Builder'!O1352,"")</f>
        <v/>
      </c>
      <c r="H1377" s="43" t="str">
        <f>IF(ISBLANK('SQL Builder'!K1351)=FALSE,H1376+1,"")</f>
        <v/>
      </c>
      <c r="I1377" s="1" t="str">
        <f>IF(ISBLANK('SQL Builder'!P1352)=FALSE,'SQL Builder'!N1352,"")</f>
        <v/>
      </c>
      <c r="J1377" s="79">
        <f t="shared" si="21"/>
        <v>0</v>
      </c>
    </row>
    <row r="1378" spans="2:10" ht="16.5" x14ac:dyDescent="0.25">
      <c r="B1378" s="49" t="e">
        <f>IF(ISBLANK('SQL Builder'!K1353)=FALSE,(DATE(LEFT('SQL Builder'!K1353,4),MID('SQL Builder'!K1353,6,2),MID('SQL Builder'!K1353,9,2))),NA())</f>
        <v>#N/A</v>
      </c>
      <c r="C1378" s="50" t="str">
        <f>IF(ISBLANK('SQL Builder'!K1353)=FALSE,'SQL Builder'!L1353,"")</f>
        <v/>
      </c>
      <c r="D1378" s="1" t="str">
        <f>IF(ISBLANK('SQL Builder'!K1353)=FALSE,'SQL Builder'!O1353,"")</f>
        <v/>
      </c>
      <c r="H1378" s="43" t="str">
        <f>IF(ISBLANK('SQL Builder'!K1352)=FALSE,H1377+1,"")</f>
        <v/>
      </c>
      <c r="I1378" s="1" t="str">
        <f>IF(ISBLANK('SQL Builder'!P1353)=FALSE,'SQL Builder'!N1353,"")</f>
        <v/>
      </c>
      <c r="J1378" s="79">
        <f t="shared" si="21"/>
        <v>0</v>
      </c>
    </row>
    <row r="1379" spans="2:10" ht="16.5" x14ac:dyDescent="0.25">
      <c r="B1379" s="49" t="e">
        <f>IF(ISBLANK('SQL Builder'!K1354)=FALSE,(DATE(LEFT('SQL Builder'!K1354,4),MID('SQL Builder'!K1354,6,2),MID('SQL Builder'!K1354,9,2))),NA())</f>
        <v>#N/A</v>
      </c>
      <c r="C1379" s="50" t="str">
        <f>IF(ISBLANK('SQL Builder'!K1354)=FALSE,'SQL Builder'!L1354,"")</f>
        <v/>
      </c>
      <c r="D1379" s="1" t="str">
        <f>IF(ISBLANK('SQL Builder'!K1354)=FALSE,'SQL Builder'!O1354,"")</f>
        <v/>
      </c>
      <c r="H1379" s="43" t="str">
        <f>IF(ISBLANK('SQL Builder'!K1353)=FALSE,H1378+1,"")</f>
        <v/>
      </c>
      <c r="I1379" s="1" t="str">
        <f>IF(ISBLANK('SQL Builder'!P1354)=FALSE,'SQL Builder'!N1354,"")</f>
        <v/>
      </c>
      <c r="J1379" s="79">
        <f t="shared" si="21"/>
        <v>0</v>
      </c>
    </row>
    <row r="1380" spans="2:10" ht="16.5" x14ac:dyDescent="0.25">
      <c r="B1380" s="49" t="e">
        <f>IF(ISBLANK('SQL Builder'!K1355)=FALSE,(DATE(LEFT('SQL Builder'!K1355,4),MID('SQL Builder'!K1355,6,2),MID('SQL Builder'!K1355,9,2))),NA())</f>
        <v>#N/A</v>
      </c>
      <c r="C1380" s="50" t="str">
        <f>IF(ISBLANK('SQL Builder'!K1355)=FALSE,'SQL Builder'!L1355,"")</f>
        <v/>
      </c>
      <c r="D1380" s="1" t="str">
        <f>IF(ISBLANK('SQL Builder'!K1355)=FALSE,'SQL Builder'!O1355,"")</f>
        <v/>
      </c>
      <c r="H1380" s="43" t="str">
        <f>IF(ISBLANK('SQL Builder'!K1354)=FALSE,H1379+1,"")</f>
        <v/>
      </c>
      <c r="I1380" s="1" t="str">
        <f>IF(ISBLANK('SQL Builder'!P1355)=FALSE,'SQL Builder'!N1355,"")</f>
        <v/>
      </c>
      <c r="J1380" s="79">
        <f t="shared" si="21"/>
        <v>0</v>
      </c>
    </row>
    <row r="1381" spans="2:10" ht="16.5" x14ac:dyDescent="0.25">
      <c r="B1381" s="49" t="e">
        <f>IF(ISBLANK('SQL Builder'!K1356)=FALSE,(DATE(LEFT('SQL Builder'!K1356,4),MID('SQL Builder'!K1356,6,2),MID('SQL Builder'!K1356,9,2))),NA())</f>
        <v>#N/A</v>
      </c>
      <c r="C1381" s="50" t="str">
        <f>IF(ISBLANK('SQL Builder'!K1356)=FALSE,'SQL Builder'!L1356,"")</f>
        <v/>
      </c>
      <c r="D1381" s="1" t="str">
        <f>IF(ISBLANK('SQL Builder'!K1356)=FALSE,'SQL Builder'!O1356,"")</f>
        <v/>
      </c>
      <c r="H1381" s="43" t="str">
        <f>IF(ISBLANK('SQL Builder'!K1355)=FALSE,H1380+1,"")</f>
        <v/>
      </c>
      <c r="I1381" s="1" t="str">
        <f>IF(ISBLANK('SQL Builder'!P1356)=FALSE,'SQL Builder'!N1356,"")</f>
        <v/>
      </c>
      <c r="J1381" s="79">
        <f t="shared" si="21"/>
        <v>0</v>
      </c>
    </row>
    <row r="1382" spans="2:10" ht="16.5" x14ac:dyDescent="0.25">
      <c r="B1382" s="49" t="e">
        <f>IF(ISBLANK('SQL Builder'!K1357)=FALSE,(DATE(LEFT('SQL Builder'!K1357,4),MID('SQL Builder'!K1357,6,2),MID('SQL Builder'!K1357,9,2))),NA())</f>
        <v>#N/A</v>
      </c>
      <c r="C1382" s="50" t="str">
        <f>IF(ISBLANK('SQL Builder'!K1357)=FALSE,'SQL Builder'!L1357,"")</f>
        <v/>
      </c>
      <c r="D1382" s="1" t="str">
        <f>IF(ISBLANK('SQL Builder'!K1357)=FALSE,'SQL Builder'!O1357,"")</f>
        <v/>
      </c>
      <c r="H1382" s="43" t="str">
        <f>IF(ISBLANK('SQL Builder'!K1356)=FALSE,H1381+1,"")</f>
        <v/>
      </c>
      <c r="I1382" s="1" t="str">
        <f>IF(ISBLANK('SQL Builder'!P1357)=FALSE,'SQL Builder'!N1357,"")</f>
        <v/>
      </c>
      <c r="J1382" s="79">
        <f t="shared" si="21"/>
        <v>0</v>
      </c>
    </row>
    <row r="1383" spans="2:10" ht="16.5" x14ac:dyDescent="0.25">
      <c r="B1383" s="49" t="e">
        <f>IF(ISBLANK('SQL Builder'!K1358)=FALSE,(DATE(LEFT('SQL Builder'!K1358,4),MID('SQL Builder'!K1358,6,2),MID('SQL Builder'!K1358,9,2))),NA())</f>
        <v>#N/A</v>
      </c>
      <c r="C1383" s="50" t="str">
        <f>IF(ISBLANK('SQL Builder'!K1358)=FALSE,'SQL Builder'!L1358,"")</f>
        <v/>
      </c>
      <c r="D1383" s="1" t="str">
        <f>IF(ISBLANK('SQL Builder'!K1358)=FALSE,'SQL Builder'!O1358,"")</f>
        <v/>
      </c>
      <c r="H1383" s="43" t="str">
        <f>IF(ISBLANK('SQL Builder'!K1357)=FALSE,H1382+1,"")</f>
        <v/>
      </c>
      <c r="I1383" s="1" t="str">
        <f>IF(ISBLANK('SQL Builder'!P1358)=FALSE,'SQL Builder'!N1358,"")</f>
        <v/>
      </c>
      <c r="J1383" s="79">
        <f t="shared" si="21"/>
        <v>0</v>
      </c>
    </row>
    <row r="1384" spans="2:10" ht="16.5" x14ac:dyDescent="0.25">
      <c r="B1384" s="49" t="e">
        <f>IF(ISBLANK('SQL Builder'!K1359)=FALSE,(DATE(LEFT('SQL Builder'!K1359,4),MID('SQL Builder'!K1359,6,2),MID('SQL Builder'!K1359,9,2))),NA())</f>
        <v>#N/A</v>
      </c>
      <c r="C1384" s="50" t="str">
        <f>IF(ISBLANK('SQL Builder'!K1359)=FALSE,'SQL Builder'!L1359,"")</f>
        <v/>
      </c>
      <c r="D1384" s="1" t="str">
        <f>IF(ISBLANK('SQL Builder'!K1359)=FALSE,'SQL Builder'!O1359,"")</f>
        <v/>
      </c>
      <c r="H1384" s="43" t="str">
        <f>IF(ISBLANK('SQL Builder'!K1358)=FALSE,H1383+1,"")</f>
        <v/>
      </c>
      <c r="I1384" s="1" t="str">
        <f>IF(ISBLANK('SQL Builder'!P1359)=FALSE,'SQL Builder'!N1359,"")</f>
        <v/>
      </c>
      <c r="J1384" s="79">
        <f t="shared" si="21"/>
        <v>0</v>
      </c>
    </row>
    <row r="1385" spans="2:10" ht="16.5" x14ac:dyDescent="0.25">
      <c r="B1385" s="49" t="e">
        <f>IF(ISBLANK('SQL Builder'!K1360)=FALSE,(DATE(LEFT('SQL Builder'!K1360,4),MID('SQL Builder'!K1360,6,2),MID('SQL Builder'!K1360,9,2))),NA())</f>
        <v>#N/A</v>
      </c>
      <c r="C1385" s="50" t="str">
        <f>IF(ISBLANK('SQL Builder'!K1360)=FALSE,'SQL Builder'!L1360,"")</f>
        <v/>
      </c>
      <c r="D1385" s="1" t="str">
        <f>IF(ISBLANK('SQL Builder'!K1360)=FALSE,'SQL Builder'!O1360,"")</f>
        <v/>
      </c>
      <c r="H1385" s="43" t="str">
        <f>IF(ISBLANK('SQL Builder'!K1359)=FALSE,H1384+1,"")</f>
        <v/>
      </c>
      <c r="I1385" s="1" t="str">
        <f>IF(ISBLANK('SQL Builder'!P1360)=FALSE,'SQL Builder'!N1360,"")</f>
        <v/>
      </c>
      <c r="J1385" s="79">
        <f t="shared" si="21"/>
        <v>0</v>
      </c>
    </row>
    <row r="1386" spans="2:10" ht="16.5" x14ac:dyDescent="0.25">
      <c r="B1386" s="49" t="e">
        <f>IF(ISBLANK('SQL Builder'!K1361)=FALSE,(DATE(LEFT('SQL Builder'!K1361,4),MID('SQL Builder'!K1361,6,2),MID('SQL Builder'!K1361,9,2))),NA())</f>
        <v>#N/A</v>
      </c>
      <c r="C1386" s="50" t="str">
        <f>IF(ISBLANK('SQL Builder'!K1361)=FALSE,'SQL Builder'!L1361,"")</f>
        <v/>
      </c>
      <c r="D1386" s="1" t="str">
        <f>IF(ISBLANK('SQL Builder'!K1361)=FALSE,'SQL Builder'!O1361,"")</f>
        <v/>
      </c>
      <c r="H1386" s="43" t="str">
        <f>IF(ISBLANK('SQL Builder'!K1360)=FALSE,H1385+1,"")</f>
        <v/>
      </c>
      <c r="I1386" s="1" t="str">
        <f>IF(ISBLANK('SQL Builder'!P1361)=FALSE,'SQL Builder'!N1361,"")</f>
        <v/>
      </c>
      <c r="J1386" s="79">
        <f t="shared" si="21"/>
        <v>0</v>
      </c>
    </row>
    <row r="1387" spans="2:10" ht="16.5" x14ac:dyDescent="0.25">
      <c r="B1387" s="49" t="e">
        <f>IF(ISBLANK('SQL Builder'!K1362)=FALSE,(DATE(LEFT('SQL Builder'!K1362,4),MID('SQL Builder'!K1362,6,2),MID('SQL Builder'!K1362,9,2))),NA())</f>
        <v>#N/A</v>
      </c>
      <c r="C1387" s="50" t="str">
        <f>IF(ISBLANK('SQL Builder'!K1362)=FALSE,'SQL Builder'!L1362,"")</f>
        <v/>
      </c>
      <c r="D1387" s="1" t="str">
        <f>IF(ISBLANK('SQL Builder'!K1362)=FALSE,'SQL Builder'!O1362,"")</f>
        <v/>
      </c>
      <c r="H1387" s="43" t="str">
        <f>IF(ISBLANK('SQL Builder'!K1361)=FALSE,H1386+1,"")</f>
        <v/>
      </c>
      <c r="I1387" s="1" t="str">
        <f>IF(ISBLANK('SQL Builder'!P1362)=FALSE,'SQL Builder'!N1362,"")</f>
        <v/>
      </c>
      <c r="J1387" s="79">
        <f t="shared" si="21"/>
        <v>0</v>
      </c>
    </row>
    <row r="1388" spans="2:10" ht="16.5" x14ac:dyDescent="0.25">
      <c r="B1388" s="49" t="e">
        <f>IF(ISBLANK('SQL Builder'!K1363)=FALSE,(DATE(LEFT('SQL Builder'!K1363,4),MID('SQL Builder'!K1363,6,2),MID('SQL Builder'!K1363,9,2))),NA())</f>
        <v>#N/A</v>
      </c>
      <c r="C1388" s="50" t="str">
        <f>IF(ISBLANK('SQL Builder'!K1363)=FALSE,'SQL Builder'!L1363,"")</f>
        <v/>
      </c>
      <c r="D1388" s="1" t="str">
        <f>IF(ISBLANK('SQL Builder'!K1363)=FALSE,'SQL Builder'!O1363,"")</f>
        <v/>
      </c>
      <c r="H1388" s="43" t="str">
        <f>IF(ISBLANK('SQL Builder'!K1362)=FALSE,H1387+1,"")</f>
        <v/>
      </c>
      <c r="I1388" s="1" t="str">
        <f>IF(ISBLANK('SQL Builder'!P1363)=FALSE,'SQL Builder'!N1363,"")</f>
        <v/>
      </c>
      <c r="J1388" s="79">
        <f t="shared" si="21"/>
        <v>0</v>
      </c>
    </row>
    <row r="1389" spans="2:10" ht="16.5" x14ac:dyDescent="0.25">
      <c r="B1389" s="49" t="e">
        <f>IF(ISBLANK('SQL Builder'!K1364)=FALSE,(DATE(LEFT('SQL Builder'!K1364,4),MID('SQL Builder'!K1364,6,2),MID('SQL Builder'!K1364,9,2))),NA())</f>
        <v>#N/A</v>
      </c>
      <c r="C1389" s="50" t="str">
        <f>IF(ISBLANK('SQL Builder'!K1364)=FALSE,'SQL Builder'!L1364,"")</f>
        <v/>
      </c>
      <c r="D1389" s="1" t="str">
        <f>IF(ISBLANK('SQL Builder'!K1364)=FALSE,'SQL Builder'!O1364,"")</f>
        <v/>
      </c>
      <c r="H1389" s="43" t="str">
        <f>IF(ISBLANK('SQL Builder'!K1363)=FALSE,H1388+1,"")</f>
        <v/>
      </c>
      <c r="I1389" s="1" t="str">
        <f>IF(ISBLANK('SQL Builder'!P1364)=FALSE,'SQL Builder'!N1364,"")</f>
        <v/>
      </c>
      <c r="J1389" s="79">
        <f t="shared" si="21"/>
        <v>0</v>
      </c>
    </row>
    <row r="1390" spans="2:10" ht="16.5" x14ac:dyDescent="0.25">
      <c r="B1390" s="49" t="e">
        <f>IF(ISBLANK('SQL Builder'!K1365)=FALSE,(DATE(LEFT('SQL Builder'!K1365,4),MID('SQL Builder'!K1365,6,2),MID('SQL Builder'!K1365,9,2))),NA())</f>
        <v>#N/A</v>
      </c>
      <c r="C1390" s="50" t="str">
        <f>IF(ISBLANK('SQL Builder'!K1365)=FALSE,'SQL Builder'!L1365,"")</f>
        <v/>
      </c>
      <c r="D1390" s="1" t="str">
        <f>IF(ISBLANK('SQL Builder'!K1365)=FALSE,'SQL Builder'!O1365,"")</f>
        <v/>
      </c>
      <c r="H1390" s="43" t="str">
        <f>IF(ISBLANK('SQL Builder'!K1364)=FALSE,H1389+1,"")</f>
        <v/>
      </c>
      <c r="I1390" s="1" t="str">
        <f>IF(ISBLANK('SQL Builder'!P1365)=FALSE,'SQL Builder'!N1365,"")</f>
        <v/>
      </c>
      <c r="J1390" s="79">
        <f t="shared" si="21"/>
        <v>0</v>
      </c>
    </row>
    <row r="1391" spans="2:10" ht="16.5" x14ac:dyDescent="0.25">
      <c r="B1391" s="49" t="e">
        <f>IF(ISBLANK('SQL Builder'!K1366)=FALSE,(DATE(LEFT('SQL Builder'!K1366,4),MID('SQL Builder'!K1366,6,2),MID('SQL Builder'!K1366,9,2))),NA())</f>
        <v>#N/A</v>
      </c>
      <c r="C1391" s="50" t="str">
        <f>IF(ISBLANK('SQL Builder'!K1366)=FALSE,'SQL Builder'!L1366,"")</f>
        <v/>
      </c>
      <c r="D1391" s="1" t="str">
        <f>IF(ISBLANK('SQL Builder'!K1366)=FALSE,'SQL Builder'!O1366,"")</f>
        <v/>
      </c>
      <c r="H1391" s="43" t="str">
        <f>IF(ISBLANK('SQL Builder'!K1365)=FALSE,H1390+1,"")</f>
        <v/>
      </c>
      <c r="I1391" s="1" t="str">
        <f>IF(ISBLANK('SQL Builder'!P1366)=FALSE,'SQL Builder'!N1366,"")</f>
        <v/>
      </c>
      <c r="J1391" s="79">
        <f t="shared" si="21"/>
        <v>0</v>
      </c>
    </row>
    <row r="1392" spans="2:10" ht="16.5" x14ac:dyDescent="0.25">
      <c r="B1392" s="49" t="e">
        <f>IF(ISBLANK('SQL Builder'!K1367)=FALSE,(DATE(LEFT('SQL Builder'!K1367,4),MID('SQL Builder'!K1367,6,2),MID('SQL Builder'!K1367,9,2))),NA())</f>
        <v>#N/A</v>
      </c>
      <c r="C1392" s="50" t="str">
        <f>IF(ISBLANK('SQL Builder'!K1367)=FALSE,'SQL Builder'!L1367,"")</f>
        <v/>
      </c>
      <c r="D1392" s="1" t="str">
        <f>IF(ISBLANK('SQL Builder'!K1367)=FALSE,'SQL Builder'!O1367,"")</f>
        <v/>
      </c>
      <c r="H1392" s="43" t="str">
        <f>IF(ISBLANK('SQL Builder'!K1366)=FALSE,H1391+1,"")</f>
        <v/>
      </c>
      <c r="I1392" s="1" t="str">
        <f>IF(ISBLANK('SQL Builder'!P1367)=FALSE,'SQL Builder'!N1367,"")</f>
        <v/>
      </c>
      <c r="J1392" s="79">
        <f t="shared" si="21"/>
        <v>0</v>
      </c>
    </row>
    <row r="1393" spans="2:10" ht="16.5" x14ac:dyDescent="0.25">
      <c r="B1393" s="49" t="e">
        <f>IF(ISBLANK('SQL Builder'!K1368)=FALSE,(DATE(LEFT('SQL Builder'!K1368,4),MID('SQL Builder'!K1368,6,2),MID('SQL Builder'!K1368,9,2))),NA())</f>
        <v>#N/A</v>
      </c>
      <c r="C1393" s="50" t="str">
        <f>IF(ISBLANK('SQL Builder'!K1368)=FALSE,'SQL Builder'!L1368,"")</f>
        <v/>
      </c>
      <c r="D1393" s="1" t="str">
        <f>IF(ISBLANK('SQL Builder'!K1368)=FALSE,'SQL Builder'!O1368,"")</f>
        <v/>
      </c>
      <c r="H1393" s="43" t="str">
        <f>IF(ISBLANK('SQL Builder'!K1367)=FALSE,H1392+1,"")</f>
        <v/>
      </c>
      <c r="I1393" s="1" t="str">
        <f>IF(ISBLANK('SQL Builder'!P1368)=FALSE,'SQL Builder'!N1368,"")</f>
        <v/>
      </c>
      <c r="J1393" s="79">
        <f t="shared" si="21"/>
        <v>0</v>
      </c>
    </row>
    <row r="1394" spans="2:10" ht="16.5" x14ac:dyDescent="0.25">
      <c r="B1394" s="49" t="e">
        <f>IF(ISBLANK('SQL Builder'!K1369)=FALSE,(DATE(LEFT('SQL Builder'!K1369,4),MID('SQL Builder'!K1369,6,2),MID('SQL Builder'!K1369,9,2))),NA())</f>
        <v>#N/A</v>
      </c>
      <c r="C1394" s="50" t="str">
        <f>IF(ISBLANK('SQL Builder'!K1369)=FALSE,'SQL Builder'!L1369,"")</f>
        <v/>
      </c>
      <c r="D1394" s="1" t="str">
        <f>IF(ISBLANK('SQL Builder'!K1369)=FALSE,'SQL Builder'!O1369,"")</f>
        <v/>
      </c>
      <c r="H1394" s="43" t="str">
        <f>IF(ISBLANK('SQL Builder'!K1368)=FALSE,H1393+1,"")</f>
        <v/>
      </c>
      <c r="I1394" s="1" t="str">
        <f>IF(ISBLANK('SQL Builder'!P1369)=FALSE,'SQL Builder'!N1369,"")</f>
        <v/>
      </c>
      <c r="J1394" s="79">
        <f t="shared" si="21"/>
        <v>0</v>
      </c>
    </row>
    <row r="1395" spans="2:10" ht="16.5" x14ac:dyDescent="0.25">
      <c r="B1395" s="49" t="e">
        <f>IF(ISBLANK('SQL Builder'!K1370)=FALSE,(DATE(LEFT('SQL Builder'!K1370,4),MID('SQL Builder'!K1370,6,2),MID('SQL Builder'!K1370,9,2))),NA())</f>
        <v>#N/A</v>
      </c>
      <c r="C1395" s="50" t="str">
        <f>IF(ISBLANK('SQL Builder'!K1370)=FALSE,'SQL Builder'!L1370,"")</f>
        <v/>
      </c>
      <c r="D1395" s="1" t="str">
        <f>IF(ISBLANK('SQL Builder'!K1370)=FALSE,'SQL Builder'!O1370,"")</f>
        <v/>
      </c>
      <c r="H1395" s="43" t="str">
        <f>IF(ISBLANK('SQL Builder'!K1369)=FALSE,H1394+1,"")</f>
        <v/>
      </c>
      <c r="I1395" s="1" t="str">
        <f>IF(ISBLANK('SQL Builder'!P1370)=FALSE,'SQL Builder'!N1370,"")</f>
        <v/>
      </c>
      <c r="J1395" s="79">
        <f t="shared" si="21"/>
        <v>0</v>
      </c>
    </row>
    <row r="1396" spans="2:10" ht="16.5" x14ac:dyDescent="0.25">
      <c r="B1396" s="49" t="e">
        <f>IF(ISBLANK('SQL Builder'!K1371)=FALSE,(DATE(LEFT('SQL Builder'!K1371,4),MID('SQL Builder'!K1371,6,2),MID('SQL Builder'!K1371,9,2))),NA())</f>
        <v>#N/A</v>
      </c>
      <c r="C1396" s="50" t="str">
        <f>IF(ISBLANK('SQL Builder'!K1371)=FALSE,'SQL Builder'!L1371,"")</f>
        <v/>
      </c>
      <c r="D1396" s="1" t="str">
        <f>IF(ISBLANK('SQL Builder'!K1371)=FALSE,'SQL Builder'!O1371,"")</f>
        <v/>
      </c>
      <c r="H1396" s="43" t="str">
        <f>IF(ISBLANK('SQL Builder'!K1370)=FALSE,H1395+1,"")</f>
        <v/>
      </c>
      <c r="I1396" s="1" t="str">
        <f>IF(ISBLANK('SQL Builder'!P1371)=FALSE,'SQL Builder'!N1371,"")</f>
        <v/>
      </c>
      <c r="J1396" s="79">
        <f t="shared" si="21"/>
        <v>0</v>
      </c>
    </row>
    <row r="1397" spans="2:10" ht="16.5" x14ac:dyDescent="0.25">
      <c r="B1397" s="49" t="e">
        <f>IF(ISBLANK('SQL Builder'!K1372)=FALSE,(DATE(LEFT('SQL Builder'!K1372,4),MID('SQL Builder'!K1372,6,2),MID('SQL Builder'!K1372,9,2))),NA())</f>
        <v>#N/A</v>
      </c>
      <c r="C1397" s="50" t="str">
        <f>IF(ISBLANK('SQL Builder'!K1372)=FALSE,'SQL Builder'!L1372,"")</f>
        <v/>
      </c>
      <c r="D1397" s="1" t="str">
        <f>IF(ISBLANK('SQL Builder'!K1372)=FALSE,'SQL Builder'!O1372,"")</f>
        <v/>
      </c>
      <c r="H1397" s="43" t="str">
        <f>IF(ISBLANK('SQL Builder'!K1371)=FALSE,H1396+1,"")</f>
        <v/>
      </c>
      <c r="I1397" s="1" t="str">
        <f>IF(ISBLANK('SQL Builder'!P1372)=FALSE,'SQL Builder'!N1372,"")</f>
        <v/>
      </c>
      <c r="J1397" s="79">
        <f t="shared" si="21"/>
        <v>0</v>
      </c>
    </row>
    <row r="1398" spans="2:10" ht="16.5" x14ac:dyDescent="0.25">
      <c r="B1398" s="49" t="e">
        <f>IF(ISBLANK('SQL Builder'!K1373)=FALSE,(DATE(LEFT('SQL Builder'!K1373,4),MID('SQL Builder'!K1373,6,2),MID('SQL Builder'!K1373,9,2))),NA())</f>
        <v>#N/A</v>
      </c>
      <c r="C1398" s="50" t="str">
        <f>IF(ISBLANK('SQL Builder'!K1373)=FALSE,'SQL Builder'!L1373,"")</f>
        <v/>
      </c>
      <c r="D1398" s="1" t="str">
        <f>IF(ISBLANK('SQL Builder'!K1373)=FALSE,'SQL Builder'!O1373,"")</f>
        <v/>
      </c>
      <c r="H1398" s="43" t="str">
        <f>IF(ISBLANK('SQL Builder'!K1372)=FALSE,H1397+1,"")</f>
        <v/>
      </c>
      <c r="I1398" s="1" t="str">
        <f>IF(ISBLANK('SQL Builder'!P1373)=FALSE,'SQL Builder'!N1373,"")</f>
        <v/>
      </c>
      <c r="J1398" s="79">
        <f t="shared" si="21"/>
        <v>0</v>
      </c>
    </row>
    <row r="1399" spans="2:10" ht="16.5" x14ac:dyDescent="0.25">
      <c r="B1399" s="49" t="e">
        <f>IF(ISBLANK('SQL Builder'!K1374)=FALSE,(DATE(LEFT('SQL Builder'!K1374,4),MID('SQL Builder'!K1374,6,2),MID('SQL Builder'!K1374,9,2))),NA())</f>
        <v>#N/A</v>
      </c>
      <c r="C1399" s="50" t="str">
        <f>IF(ISBLANK('SQL Builder'!K1374)=FALSE,'SQL Builder'!L1374,"")</f>
        <v/>
      </c>
      <c r="D1399" s="1" t="str">
        <f>IF(ISBLANK('SQL Builder'!K1374)=FALSE,'SQL Builder'!O1374,"")</f>
        <v/>
      </c>
      <c r="H1399" s="43" t="str">
        <f>IF(ISBLANK('SQL Builder'!K1373)=FALSE,H1398+1,"")</f>
        <v/>
      </c>
      <c r="I1399" s="1" t="str">
        <f>IF(ISBLANK('SQL Builder'!P1374)=FALSE,'SQL Builder'!N1374,"")</f>
        <v/>
      </c>
      <c r="J1399" s="79">
        <f t="shared" si="21"/>
        <v>0</v>
      </c>
    </row>
    <row r="1400" spans="2:10" ht="16.5" x14ac:dyDescent="0.25">
      <c r="B1400" s="49" t="e">
        <f>IF(ISBLANK('SQL Builder'!K1375)=FALSE,(DATE(LEFT('SQL Builder'!K1375,4),MID('SQL Builder'!K1375,6,2),MID('SQL Builder'!K1375,9,2))),NA())</f>
        <v>#N/A</v>
      </c>
      <c r="C1400" s="50" t="str">
        <f>IF(ISBLANK('SQL Builder'!K1375)=FALSE,'SQL Builder'!L1375,"")</f>
        <v/>
      </c>
      <c r="D1400" s="1" t="str">
        <f>IF(ISBLANK('SQL Builder'!K1375)=FALSE,'SQL Builder'!O1375,"")</f>
        <v/>
      </c>
      <c r="H1400" s="43" t="str">
        <f>IF(ISBLANK('SQL Builder'!K1374)=FALSE,H1399+1,"")</f>
        <v/>
      </c>
      <c r="I1400" s="1" t="str">
        <f>IF(ISBLANK('SQL Builder'!P1375)=FALSE,'SQL Builder'!N1375,"")</f>
        <v/>
      </c>
      <c r="J1400" s="79">
        <f t="shared" si="21"/>
        <v>0</v>
      </c>
    </row>
    <row r="1401" spans="2:10" ht="16.5" x14ac:dyDescent="0.25">
      <c r="B1401" s="49" t="e">
        <f>IF(ISBLANK('SQL Builder'!K1376)=FALSE,(DATE(LEFT('SQL Builder'!K1376,4),MID('SQL Builder'!K1376,6,2),MID('SQL Builder'!K1376,9,2))),NA())</f>
        <v>#N/A</v>
      </c>
      <c r="C1401" s="50" t="str">
        <f>IF(ISBLANK('SQL Builder'!K1376)=FALSE,'SQL Builder'!L1376,"")</f>
        <v/>
      </c>
      <c r="D1401" s="1" t="str">
        <f>IF(ISBLANK('SQL Builder'!K1376)=FALSE,'SQL Builder'!O1376,"")</f>
        <v/>
      </c>
      <c r="H1401" s="43" t="str">
        <f>IF(ISBLANK('SQL Builder'!K1375)=FALSE,H1400+1,"")</f>
        <v/>
      </c>
      <c r="I1401" s="1" t="str">
        <f>IF(ISBLANK('SQL Builder'!P1376)=FALSE,'SQL Builder'!N1376,"")</f>
        <v/>
      </c>
      <c r="J1401" s="79">
        <f t="shared" si="21"/>
        <v>0</v>
      </c>
    </row>
    <row r="1402" spans="2:10" ht="16.5" x14ac:dyDescent="0.25">
      <c r="B1402" s="49" t="e">
        <f>IF(ISBLANK('SQL Builder'!K1377)=FALSE,(DATE(LEFT('SQL Builder'!K1377,4),MID('SQL Builder'!K1377,6,2),MID('SQL Builder'!K1377,9,2))),NA())</f>
        <v>#N/A</v>
      </c>
      <c r="C1402" s="50" t="str">
        <f>IF(ISBLANK('SQL Builder'!K1377)=FALSE,'SQL Builder'!L1377,"")</f>
        <v/>
      </c>
      <c r="D1402" s="1" t="str">
        <f>IF(ISBLANK('SQL Builder'!K1377)=FALSE,'SQL Builder'!O1377,"")</f>
        <v/>
      </c>
      <c r="H1402" s="43" t="str">
        <f>IF(ISBLANK('SQL Builder'!K1376)=FALSE,H1401+1,"")</f>
        <v/>
      </c>
      <c r="I1402" s="1" t="str">
        <f>IF(ISBLANK('SQL Builder'!P1377)=FALSE,'SQL Builder'!N1377,"")</f>
        <v/>
      </c>
      <c r="J1402" s="79">
        <f t="shared" si="21"/>
        <v>0</v>
      </c>
    </row>
    <row r="1403" spans="2:10" ht="16.5" x14ac:dyDescent="0.25">
      <c r="B1403" s="49" t="e">
        <f>IF(ISBLANK('SQL Builder'!K1378)=FALSE,(DATE(LEFT('SQL Builder'!K1378,4),MID('SQL Builder'!K1378,6,2),MID('SQL Builder'!K1378,9,2))),NA())</f>
        <v>#N/A</v>
      </c>
      <c r="C1403" s="50" t="str">
        <f>IF(ISBLANK('SQL Builder'!K1378)=FALSE,'SQL Builder'!L1378,"")</f>
        <v/>
      </c>
      <c r="D1403" s="1" t="str">
        <f>IF(ISBLANK('SQL Builder'!K1378)=FALSE,'SQL Builder'!O1378,"")</f>
        <v/>
      </c>
      <c r="H1403" s="43" t="str">
        <f>IF(ISBLANK('SQL Builder'!K1377)=FALSE,H1402+1,"")</f>
        <v/>
      </c>
      <c r="I1403" s="1" t="str">
        <f>IF(ISBLANK('SQL Builder'!P1378)=FALSE,'SQL Builder'!N1378,"")</f>
        <v/>
      </c>
      <c r="J1403" s="79">
        <f t="shared" si="21"/>
        <v>0</v>
      </c>
    </row>
    <row r="1404" spans="2:10" ht="16.5" x14ac:dyDescent="0.25">
      <c r="B1404" s="49" t="e">
        <f>IF(ISBLANK('SQL Builder'!K1379)=FALSE,(DATE(LEFT('SQL Builder'!K1379,4),MID('SQL Builder'!K1379,6,2),MID('SQL Builder'!K1379,9,2))),NA())</f>
        <v>#N/A</v>
      </c>
      <c r="C1404" s="50" t="str">
        <f>IF(ISBLANK('SQL Builder'!K1379)=FALSE,'SQL Builder'!L1379,"")</f>
        <v/>
      </c>
      <c r="D1404" s="1" t="str">
        <f>IF(ISBLANK('SQL Builder'!K1379)=FALSE,'SQL Builder'!O1379,"")</f>
        <v/>
      </c>
      <c r="H1404" s="43" t="str">
        <f>IF(ISBLANK('SQL Builder'!K1378)=FALSE,H1403+1,"")</f>
        <v/>
      </c>
      <c r="I1404" s="1" t="str">
        <f>IF(ISBLANK('SQL Builder'!P1379)=FALSE,'SQL Builder'!N1379,"")</f>
        <v/>
      </c>
      <c r="J1404" s="79">
        <f t="shared" si="21"/>
        <v>0</v>
      </c>
    </row>
    <row r="1405" spans="2:10" ht="16.5" x14ac:dyDescent="0.25">
      <c r="B1405" s="49" t="e">
        <f>IF(ISBLANK('SQL Builder'!K1380)=FALSE,(DATE(LEFT('SQL Builder'!K1380,4),MID('SQL Builder'!K1380,6,2),MID('SQL Builder'!K1380,9,2))),NA())</f>
        <v>#N/A</v>
      </c>
      <c r="C1405" s="50" t="str">
        <f>IF(ISBLANK('SQL Builder'!K1380)=FALSE,'SQL Builder'!L1380,"")</f>
        <v/>
      </c>
      <c r="D1405" s="1" t="str">
        <f>IF(ISBLANK('SQL Builder'!K1380)=FALSE,'SQL Builder'!O1380,"")</f>
        <v/>
      </c>
      <c r="H1405" s="43" t="str">
        <f>IF(ISBLANK('SQL Builder'!K1379)=FALSE,H1404+1,"")</f>
        <v/>
      </c>
      <c r="I1405" s="1" t="str">
        <f>IF(ISBLANK('SQL Builder'!P1380)=FALSE,'SQL Builder'!N1380,"")</f>
        <v/>
      </c>
      <c r="J1405" s="79">
        <f t="shared" si="21"/>
        <v>0</v>
      </c>
    </row>
    <row r="1406" spans="2:10" ht="16.5" x14ac:dyDescent="0.25">
      <c r="B1406" s="49" t="e">
        <f>IF(ISBLANK('SQL Builder'!K1381)=FALSE,(DATE(LEFT('SQL Builder'!K1381,4),MID('SQL Builder'!K1381,6,2),MID('SQL Builder'!K1381,9,2))),NA())</f>
        <v>#N/A</v>
      </c>
      <c r="C1406" s="50" t="str">
        <f>IF(ISBLANK('SQL Builder'!K1381)=FALSE,'SQL Builder'!L1381,"")</f>
        <v/>
      </c>
      <c r="D1406" s="1" t="str">
        <f>IF(ISBLANK('SQL Builder'!K1381)=FALSE,'SQL Builder'!O1381,"")</f>
        <v/>
      </c>
      <c r="H1406" s="43" t="str">
        <f>IF(ISBLANK('SQL Builder'!K1380)=FALSE,H1405+1,"")</f>
        <v/>
      </c>
      <c r="I1406" s="1" t="str">
        <f>IF(ISBLANK('SQL Builder'!P1381)=FALSE,'SQL Builder'!N1381,"")</f>
        <v/>
      </c>
      <c r="J1406" s="79">
        <f t="shared" si="21"/>
        <v>0</v>
      </c>
    </row>
    <row r="1407" spans="2:10" ht="16.5" x14ac:dyDescent="0.25">
      <c r="B1407" s="49" t="e">
        <f>IF(ISBLANK('SQL Builder'!K1382)=FALSE,(DATE(LEFT('SQL Builder'!K1382,4),MID('SQL Builder'!K1382,6,2),MID('SQL Builder'!K1382,9,2))),NA())</f>
        <v>#N/A</v>
      </c>
      <c r="C1407" s="50" t="str">
        <f>IF(ISBLANK('SQL Builder'!K1382)=FALSE,'SQL Builder'!L1382,"")</f>
        <v/>
      </c>
      <c r="D1407" s="1" t="str">
        <f>IF(ISBLANK('SQL Builder'!K1382)=FALSE,'SQL Builder'!O1382,"")</f>
        <v/>
      </c>
      <c r="H1407" s="43" t="str">
        <f>IF(ISBLANK('SQL Builder'!K1381)=FALSE,H1406+1,"")</f>
        <v/>
      </c>
      <c r="I1407" s="1" t="str">
        <f>IF(ISBLANK('SQL Builder'!P1382)=FALSE,'SQL Builder'!N1382,"")</f>
        <v/>
      </c>
      <c r="J1407" s="79">
        <f t="shared" si="21"/>
        <v>0</v>
      </c>
    </row>
    <row r="1408" spans="2:10" ht="16.5" x14ac:dyDescent="0.25">
      <c r="B1408" s="49" t="e">
        <f>IF(ISBLANK('SQL Builder'!K1383)=FALSE,(DATE(LEFT('SQL Builder'!K1383,4),MID('SQL Builder'!K1383,6,2),MID('SQL Builder'!K1383,9,2))),NA())</f>
        <v>#N/A</v>
      </c>
      <c r="C1408" s="50" t="str">
        <f>IF(ISBLANK('SQL Builder'!K1383)=FALSE,'SQL Builder'!L1383,"")</f>
        <v/>
      </c>
      <c r="D1408" s="1" t="str">
        <f>IF(ISBLANK('SQL Builder'!K1383)=FALSE,'SQL Builder'!O1383,"")</f>
        <v/>
      </c>
      <c r="H1408" s="43" t="str">
        <f>IF(ISBLANK('SQL Builder'!K1382)=FALSE,H1407+1,"")</f>
        <v/>
      </c>
      <c r="I1408" s="1" t="str">
        <f>IF(ISBLANK('SQL Builder'!P1383)=FALSE,'SQL Builder'!N1383,"")</f>
        <v/>
      </c>
      <c r="J1408" s="79">
        <f t="shared" si="21"/>
        <v>0</v>
      </c>
    </row>
    <row r="1409" spans="2:10" ht="16.5" x14ac:dyDescent="0.25">
      <c r="B1409" s="49" t="e">
        <f>IF(ISBLANK('SQL Builder'!K1384)=FALSE,(DATE(LEFT('SQL Builder'!K1384,4),MID('SQL Builder'!K1384,6,2),MID('SQL Builder'!K1384,9,2))),NA())</f>
        <v>#N/A</v>
      </c>
      <c r="C1409" s="50" t="str">
        <f>IF(ISBLANK('SQL Builder'!K1384)=FALSE,'SQL Builder'!L1384,"")</f>
        <v/>
      </c>
      <c r="D1409" s="1" t="str">
        <f>IF(ISBLANK('SQL Builder'!K1384)=FALSE,'SQL Builder'!O1384,"")</f>
        <v/>
      </c>
      <c r="H1409" s="43" t="str">
        <f>IF(ISBLANK('SQL Builder'!K1383)=FALSE,H1408+1,"")</f>
        <v/>
      </c>
      <c r="I1409" s="1" t="str">
        <f>IF(ISBLANK('SQL Builder'!P1384)=FALSE,'SQL Builder'!N1384,"")</f>
        <v/>
      </c>
      <c r="J1409" s="79">
        <f t="shared" si="21"/>
        <v>0</v>
      </c>
    </row>
    <row r="1410" spans="2:10" ht="16.5" x14ac:dyDescent="0.25">
      <c r="B1410" s="49" t="e">
        <f>IF(ISBLANK('SQL Builder'!K1385)=FALSE,(DATE(LEFT('SQL Builder'!K1385,4),MID('SQL Builder'!K1385,6,2),MID('SQL Builder'!K1385,9,2))),NA())</f>
        <v>#N/A</v>
      </c>
      <c r="C1410" s="50" t="str">
        <f>IF(ISBLANK('SQL Builder'!K1385)=FALSE,'SQL Builder'!L1385,"")</f>
        <v/>
      </c>
      <c r="D1410" s="1" t="str">
        <f>IF(ISBLANK('SQL Builder'!K1385)=FALSE,'SQL Builder'!O1385,"")</f>
        <v/>
      </c>
      <c r="H1410" s="43" t="str">
        <f>IF(ISBLANK('SQL Builder'!K1384)=FALSE,H1409+1,"")</f>
        <v/>
      </c>
      <c r="I1410" s="1" t="str">
        <f>IF(ISBLANK('SQL Builder'!P1385)=FALSE,'SQL Builder'!N1385,"")</f>
        <v/>
      </c>
      <c r="J1410" s="79">
        <f t="shared" si="21"/>
        <v>0</v>
      </c>
    </row>
    <row r="1411" spans="2:10" ht="16.5" x14ac:dyDescent="0.25">
      <c r="B1411" s="49" t="e">
        <f>IF(ISBLANK('SQL Builder'!K1386)=FALSE,(DATE(LEFT('SQL Builder'!K1386,4),MID('SQL Builder'!K1386,6,2),MID('SQL Builder'!K1386,9,2))),NA())</f>
        <v>#N/A</v>
      </c>
      <c r="C1411" s="50" t="str">
        <f>IF(ISBLANK('SQL Builder'!K1386)=FALSE,'SQL Builder'!L1386,"")</f>
        <v/>
      </c>
      <c r="D1411" s="1" t="str">
        <f>IF(ISBLANK('SQL Builder'!K1386)=FALSE,'SQL Builder'!O1386,"")</f>
        <v/>
      </c>
      <c r="H1411" s="43" t="str">
        <f>IF(ISBLANK('SQL Builder'!K1385)=FALSE,H1410+1,"")</f>
        <v/>
      </c>
      <c r="I1411" s="1" t="str">
        <f>IF(ISBLANK('SQL Builder'!P1386)=FALSE,'SQL Builder'!N1386,"")</f>
        <v/>
      </c>
      <c r="J1411" s="79">
        <f t="shared" si="21"/>
        <v>0</v>
      </c>
    </row>
    <row r="1412" spans="2:10" ht="16.5" x14ac:dyDescent="0.25">
      <c r="B1412" s="49" t="e">
        <f>IF(ISBLANK('SQL Builder'!K1387)=FALSE,(DATE(LEFT('SQL Builder'!K1387,4),MID('SQL Builder'!K1387,6,2),MID('SQL Builder'!K1387,9,2))),NA())</f>
        <v>#N/A</v>
      </c>
      <c r="C1412" s="50" t="str">
        <f>IF(ISBLANK('SQL Builder'!K1387)=FALSE,'SQL Builder'!L1387,"")</f>
        <v/>
      </c>
      <c r="D1412" s="1" t="str">
        <f>IF(ISBLANK('SQL Builder'!K1387)=FALSE,'SQL Builder'!O1387,"")</f>
        <v/>
      </c>
      <c r="H1412" s="43" t="str">
        <f>IF(ISBLANK('SQL Builder'!K1386)=FALSE,H1411+1,"")</f>
        <v/>
      </c>
      <c r="I1412" s="1" t="str">
        <f>IF(ISBLANK('SQL Builder'!P1387)=FALSE,'SQL Builder'!N1387,"")</f>
        <v/>
      </c>
      <c r="J1412" s="79">
        <f t="shared" si="21"/>
        <v>0</v>
      </c>
    </row>
    <row r="1413" spans="2:10" ht="16.5" x14ac:dyDescent="0.25">
      <c r="B1413" s="49" t="e">
        <f>IF(ISBLANK('SQL Builder'!K1388)=FALSE,(DATE(LEFT('SQL Builder'!K1388,4),MID('SQL Builder'!K1388,6,2),MID('SQL Builder'!K1388,9,2))),NA())</f>
        <v>#N/A</v>
      </c>
      <c r="C1413" s="50" t="str">
        <f>IF(ISBLANK('SQL Builder'!K1388)=FALSE,'SQL Builder'!L1388,"")</f>
        <v/>
      </c>
      <c r="D1413" s="1" t="str">
        <f>IF(ISBLANK('SQL Builder'!K1388)=FALSE,'SQL Builder'!O1388,"")</f>
        <v/>
      </c>
      <c r="H1413" s="43" t="str">
        <f>IF(ISBLANK('SQL Builder'!K1387)=FALSE,H1412+1,"")</f>
        <v/>
      </c>
      <c r="I1413" s="1" t="str">
        <f>IF(ISBLANK('SQL Builder'!P1388)=FALSE,'SQL Builder'!N1388,"")</f>
        <v/>
      </c>
      <c r="J1413" s="79">
        <f t="shared" si="21"/>
        <v>0</v>
      </c>
    </row>
    <row r="1414" spans="2:10" ht="16.5" x14ac:dyDescent="0.25">
      <c r="B1414" s="49" t="e">
        <f>IF(ISBLANK('SQL Builder'!K1389)=FALSE,(DATE(LEFT('SQL Builder'!K1389,4),MID('SQL Builder'!K1389,6,2),MID('SQL Builder'!K1389,9,2))),NA())</f>
        <v>#N/A</v>
      </c>
      <c r="C1414" s="50" t="str">
        <f>IF(ISBLANK('SQL Builder'!K1389)=FALSE,'SQL Builder'!L1389,"")</f>
        <v/>
      </c>
      <c r="D1414" s="1" t="str">
        <f>IF(ISBLANK('SQL Builder'!K1389)=FALSE,'SQL Builder'!O1389,"")</f>
        <v/>
      </c>
      <c r="H1414" s="43" t="str">
        <f>IF(ISBLANK('SQL Builder'!K1388)=FALSE,H1413+1,"")</f>
        <v/>
      </c>
      <c r="I1414" s="1" t="str">
        <f>IF(ISBLANK('SQL Builder'!P1389)=FALSE,'SQL Builder'!N1389,"")</f>
        <v/>
      </c>
      <c r="J1414" s="79">
        <f t="shared" si="21"/>
        <v>0</v>
      </c>
    </row>
    <row r="1415" spans="2:10" ht="16.5" x14ac:dyDescent="0.25">
      <c r="B1415" s="49" t="e">
        <f>IF(ISBLANK('SQL Builder'!K1390)=FALSE,(DATE(LEFT('SQL Builder'!K1390,4),MID('SQL Builder'!K1390,6,2),MID('SQL Builder'!K1390,9,2))),NA())</f>
        <v>#N/A</v>
      </c>
      <c r="C1415" s="50" t="str">
        <f>IF(ISBLANK('SQL Builder'!K1390)=FALSE,'SQL Builder'!L1390,"")</f>
        <v/>
      </c>
      <c r="D1415" s="1" t="str">
        <f>IF(ISBLANK('SQL Builder'!K1390)=FALSE,'SQL Builder'!O1390,"")</f>
        <v/>
      </c>
      <c r="H1415" s="43" t="str">
        <f>IF(ISBLANK('SQL Builder'!K1389)=FALSE,H1414+1,"")</f>
        <v/>
      </c>
      <c r="I1415" s="1" t="str">
        <f>IF(ISBLANK('SQL Builder'!P1390)=FALSE,'SQL Builder'!N1390,"")</f>
        <v/>
      </c>
      <c r="J1415" s="79">
        <f t="shared" si="21"/>
        <v>0</v>
      </c>
    </row>
    <row r="1416" spans="2:10" ht="16.5" x14ac:dyDescent="0.25">
      <c r="B1416" s="49" t="e">
        <f>IF(ISBLANK('SQL Builder'!K1391)=FALSE,(DATE(LEFT('SQL Builder'!K1391,4),MID('SQL Builder'!K1391,6,2),MID('SQL Builder'!K1391,9,2))),NA())</f>
        <v>#N/A</v>
      </c>
      <c r="C1416" s="50" t="str">
        <f>IF(ISBLANK('SQL Builder'!K1391)=FALSE,'SQL Builder'!L1391,"")</f>
        <v/>
      </c>
      <c r="D1416" s="1" t="str">
        <f>IF(ISBLANK('SQL Builder'!K1391)=FALSE,'SQL Builder'!O1391,"")</f>
        <v/>
      </c>
      <c r="H1416" s="43" t="str">
        <f>IF(ISBLANK('SQL Builder'!K1390)=FALSE,H1415+1,"")</f>
        <v/>
      </c>
      <c r="I1416" s="1" t="str">
        <f>IF(ISBLANK('SQL Builder'!P1391)=FALSE,'SQL Builder'!N1391,"")</f>
        <v/>
      </c>
      <c r="J1416" s="79">
        <f t="shared" si="21"/>
        <v>0</v>
      </c>
    </row>
    <row r="1417" spans="2:10" ht="16.5" x14ac:dyDescent="0.25">
      <c r="B1417" s="49" t="e">
        <f>IF(ISBLANK('SQL Builder'!K1392)=FALSE,(DATE(LEFT('SQL Builder'!K1392,4),MID('SQL Builder'!K1392,6,2),MID('SQL Builder'!K1392,9,2))),NA())</f>
        <v>#N/A</v>
      </c>
      <c r="C1417" s="50" t="str">
        <f>IF(ISBLANK('SQL Builder'!K1392)=FALSE,'SQL Builder'!L1392,"")</f>
        <v/>
      </c>
      <c r="D1417" s="1" t="str">
        <f>IF(ISBLANK('SQL Builder'!K1392)=FALSE,'SQL Builder'!O1392,"")</f>
        <v/>
      </c>
      <c r="H1417" s="43" t="str">
        <f>IF(ISBLANK('SQL Builder'!K1391)=FALSE,H1416+1,"")</f>
        <v/>
      </c>
      <c r="I1417" s="1" t="str">
        <f>IF(ISBLANK('SQL Builder'!P1392)=FALSE,'SQL Builder'!N1392,"")</f>
        <v/>
      </c>
      <c r="J1417" s="79">
        <f t="shared" si="21"/>
        <v>0</v>
      </c>
    </row>
    <row r="1418" spans="2:10" ht="16.5" x14ac:dyDescent="0.25">
      <c r="B1418" s="49" t="e">
        <f>IF(ISBLANK('SQL Builder'!K1393)=FALSE,(DATE(LEFT('SQL Builder'!K1393,4),MID('SQL Builder'!K1393,6,2),MID('SQL Builder'!K1393,9,2))),NA())</f>
        <v>#N/A</v>
      </c>
      <c r="C1418" s="50" t="str">
        <f>IF(ISBLANK('SQL Builder'!K1393)=FALSE,'SQL Builder'!L1393,"")</f>
        <v/>
      </c>
      <c r="D1418" s="1" t="str">
        <f>IF(ISBLANK('SQL Builder'!K1393)=FALSE,'SQL Builder'!O1393,"")</f>
        <v/>
      </c>
      <c r="H1418" s="43" t="str">
        <f>IF(ISBLANK('SQL Builder'!K1392)=FALSE,H1417+1,"")</f>
        <v/>
      </c>
      <c r="I1418" s="1" t="str">
        <f>IF(ISBLANK('SQL Builder'!P1393)=FALSE,'SQL Builder'!N1393,"")</f>
        <v/>
      </c>
      <c r="J1418" s="79">
        <f t="shared" si="21"/>
        <v>0</v>
      </c>
    </row>
    <row r="1419" spans="2:10" ht="16.5" x14ac:dyDescent="0.25">
      <c r="B1419" s="49" t="e">
        <f>IF(ISBLANK('SQL Builder'!K1394)=FALSE,(DATE(LEFT('SQL Builder'!K1394,4),MID('SQL Builder'!K1394,6,2),MID('SQL Builder'!K1394,9,2))),NA())</f>
        <v>#N/A</v>
      </c>
      <c r="C1419" s="50" t="str">
        <f>IF(ISBLANK('SQL Builder'!K1394)=FALSE,'SQL Builder'!L1394,"")</f>
        <v/>
      </c>
      <c r="D1419" s="1" t="str">
        <f>IF(ISBLANK('SQL Builder'!K1394)=FALSE,'SQL Builder'!O1394,"")</f>
        <v/>
      </c>
      <c r="H1419" s="43" t="str">
        <f>IF(ISBLANK('SQL Builder'!K1393)=FALSE,H1418+1,"")</f>
        <v/>
      </c>
      <c r="I1419" s="1" t="str">
        <f>IF(ISBLANK('SQL Builder'!P1394)=FALSE,'SQL Builder'!N1394,"")</f>
        <v/>
      </c>
      <c r="J1419" s="79">
        <f t="shared" si="21"/>
        <v>0</v>
      </c>
    </row>
    <row r="1420" spans="2:10" ht="16.5" x14ac:dyDescent="0.25">
      <c r="B1420" s="49" t="e">
        <f>IF(ISBLANK('SQL Builder'!K1395)=FALSE,(DATE(LEFT('SQL Builder'!K1395,4),MID('SQL Builder'!K1395,6,2),MID('SQL Builder'!K1395,9,2))),NA())</f>
        <v>#N/A</v>
      </c>
      <c r="C1420" s="50" t="str">
        <f>IF(ISBLANK('SQL Builder'!K1395)=FALSE,'SQL Builder'!L1395,"")</f>
        <v/>
      </c>
      <c r="D1420" s="1" t="str">
        <f>IF(ISBLANK('SQL Builder'!K1395)=FALSE,'SQL Builder'!O1395,"")</f>
        <v/>
      </c>
      <c r="H1420" s="43" t="str">
        <f>IF(ISBLANK('SQL Builder'!K1394)=FALSE,H1419+1,"")</f>
        <v/>
      </c>
      <c r="I1420" s="1" t="str">
        <f>IF(ISBLANK('SQL Builder'!P1395)=FALSE,'SQL Builder'!N1395,"")</f>
        <v/>
      </c>
      <c r="J1420" s="79">
        <f t="shared" si="21"/>
        <v>0</v>
      </c>
    </row>
    <row r="1421" spans="2:10" ht="16.5" x14ac:dyDescent="0.25">
      <c r="B1421" s="49" t="e">
        <f>IF(ISBLANK('SQL Builder'!K1396)=FALSE,(DATE(LEFT('SQL Builder'!K1396,4),MID('SQL Builder'!K1396,6,2),MID('SQL Builder'!K1396,9,2))),NA())</f>
        <v>#N/A</v>
      </c>
      <c r="C1421" s="50" t="str">
        <f>IF(ISBLANK('SQL Builder'!K1396)=FALSE,'SQL Builder'!L1396,"")</f>
        <v/>
      </c>
      <c r="D1421" s="1" t="str">
        <f>IF(ISBLANK('SQL Builder'!K1396)=FALSE,'SQL Builder'!O1396,"")</f>
        <v/>
      </c>
      <c r="H1421" s="43" t="str">
        <f>IF(ISBLANK('SQL Builder'!K1395)=FALSE,H1420+1,"")</f>
        <v/>
      </c>
      <c r="I1421" s="1" t="str">
        <f>IF(ISBLANK('SQL Builder'!P1396)=FALSE,'SQL Builder'!N1396,"")</f>
        <v/>
      </c>
      <c r="J1421" s="79">
        <f t="shared" si="21"/>
        <v>0</v>
      </c>
    </row>
    <row r="1422" spans="2:10" ht="16.5" x14ac:dyDescent="0.25">
      <c r="B1422" s="49" t="e">
        <f>IF(ISBLANK('SQL Builder'!K1397)=FALSE,(DATE(LEFT('SQL Builder'!K1397,4),MID('SQL Builder'!K1397,6,2),MID('SQL Builder'!K1397,9,2))),NA())</f>
        <v>#N/A</v>
      </c>
      <c r="C1422" s="50" t="str">
        <f>IF(ISBLANK('SQL Builder'!K1397)=FALSE,'SQL Builder'!L1397,"")</f>
        <v/>
      </c>
      <c r="D1422" s="1" t="str">
        <f>IF(ISBLANK('SQL Builder'!K1397)=FALSE,'SQL Builder'!O1397,"")</f>
        <v/>
      </c>
      <c r="H1422" s="43" t="str">
        <f>IF(ISBLANK('SQL Builder'!K1396)=FALSE,H1421+1,"")</f>
        <v/>
      </c>
      <c r="I1422" s="1" t="str">
        <f>IF(ISBLANK('SQL Builder'!P1397)=FALSE,'SQL Builder'!N1397,"")</f>
        <v/>
      </c>
      <c r="J1422" s="79">
        <f t="shared" si="21"/>
        <v>0</v>
      </c>
    </row>
    <row r="1423" spans="2:10" ht="16.5" x14ac:dyDescent="0.25">
      <c r="B1423" s="49" t="e">
        <f>IF(ISBLANK('SQL Builder'!K1398)=FALSE,(DATE(LEFT('SQL Builder'!K1398,4),MID('SQL Builder'!K1398,6,2),MID('SQL Builder'!K1398,9,2))),NA())</f>
        <v>#N/A</v>
      </c>
      <c r="C1423" s="50" t="str">
        <f>IF(ISBLANK('SQL Builder'!K1398)=FALSE,'SQL Builder'!L1398,"")</f>
        <v/>
      </c>
      <c r="D1423" s="1" t="str">
        <f>IF(ISBLANK('SQL Builder'!K1398)=FALSE,'SQL Builder'!O1398,"")</f>
        <v/>
      </c>
      <c r="H1423" s="43" t="str">
        <f>IF(ISBLANK('SQL Builder'!K1397)=FALSE,H1422+1,"")</f>
        <v/>
      </c>
      <c r="I1423" s="1" t="str">
        <f>IF(ISBLANK('SQL Builder'!P1398)=FALSE,'SQL Builder'!N1398,"")</f>
        <v/>
      </c>
      <c r="J1423" s="79">
        <f t="shared" si="21"/>
        <v>0</v>
      </c>
    </row>
    <row r="1424" spans="2:10" ht="16.5" x14ac:dyDescent="0.25">
      <c r="B1424" s="49" t="e">
        <f>IF(ISBLANK('SQL Builder'!K1399)=FALSE,(DATE(LEFT('SQL Builder'!K1399,4),MID('SQL Builder'!K1399,6,2),MID('SQL Builder'!K1399,9,2))),NA())</f>
        <v>#N/A</v>
      </c>
      <c r="C1424" s="50" t="str">
        <f>IF(ISBLANK('SQL Builder'!K1399)=FALSE,'SQL Builder'!L1399,"")</f>
        <v/>
      </c>
      <c r="D1424" s="1" t="str">
        <f>IF(ISBLANK('SQL Builder'!K1399)=FALSE,'SQL Builder'!O1399,"")</f>
        <v/>
      </c>
      <c r="H1424" s="43" t="str">
        <f>IF(ISBLANK('SQL Builder'!K1398)=FALSE,H1423+1,"")</f>
        <v/>
      </c>
      <c r="I1424" s="1" t="str">
        <f>IF(ISBLANK('SQL Builder'!P1399)=FALSE,'SQL Builder'!N1399,"")</f>
        <v/>
      </c>
      <c r="J1424" s="79">
        <f t="shared" si="21"/>
        <v>0</v>
      </c>
    </row>
    <row r="1425" spans="2:10" ht="16.5" x14ac:dyDescent="0.25">
      <c r="B1425" s="49" t="e">
        <f>IF(ISBLANK('SQL Builder'!K1400)=FALSE,(DATE(LEFT('SQL Builder'!K1400,4),MID('SQL Builder'!K1400,6,2),MID('SQL Builder'!K1400,9,2))),NA())</f>
        <v>#N/A</v>
      </c>
      <c r="C1425" s="50" t="str">
        <f>IF(ISBLANK('SQL Builder'!K1400)=FALSE,'SQL Builder'!L1400,"")</f>
        <v/>
      </c>
      <c r="D1425" s="1" t="str">
        <f>IF(ISBLANK('SQL Builder'!K1400)=FALSE,'SQL Builder'!O1400,"")</f>
        <v/>
      </c>
      <c r="H1425" s="43" t="str">
        <f>IF(ISBLANK('SQL Builder'!K1399)=FALSE,H1424+1,"")</f>
        <v/>
      </c>
      <c r="I1425" s="1" t="str">
        <f>IF(ISBLANK('SQL Builder'!P1400)=FALSE,'SQL Builder'!N1400,"")</f>
        <v/>
      </c>
      <c r="J1425" s="79">
        <f t="shared" si="21"/>
        <v>0</v>
      </c>
    </row>
    <row r="1426" spans="2:10" ht="16.5" x14ac:dyDescent="0.25">
      <c r="B1426" s="49" t="e">
        <f>IF(ISBLANK('SQL Builder'!K1401)=FALSE,(DATE(LEFT('SQL Builder'!K1401,4),MID('SQL Builder'!K1401,6,2),MID('SQL Builder'!K1401,9,2))),NA())</f>
        <v>#N/A</v>
      </c>
      <c r="C1426" s="50" t="str">
        <f>IF(ISBLANK('SQL Builder'!K1401)=FALSE,'SQL Builder'!L1401,"")</f>
        <v/>
      </c>
      <c r="D1426" s="1" t="str">
        <f>IF(ISBLANK('SQL Builder'!K1401)=FALSE,'SQL Builder'!O1401,"")</f>
        <v/>
      </c>
      <c r="H1426" s="43" t="str">
        <f>IF(ISBLANK('SQL Builder'!K1400)=FALSE,H1425+1,"")</f>
        <v/>
      </c>
      <c r="I1426" s="1" t="str">
        <f>IF(ISBLANK('SQL Builder'!P1401)=FALSE,'SQL Builder'!N1401,"")</f>
        <v/>
      </c>
      <c r="J1426" s="79">
        <f t="shared" si="21"/>
        <v>0</v>
      </c>
    </row>
    <row r="1427" spans="2:10" ht="16.5" x14ac:dyDescent="0.25">
      <c r="B1427" s="49" t="e">
        <f>IF(ISBLANK('SQL Builder'!K1402)=FALSE,(DATE(LEFT('SQL Builder'!K1402,4),MID('SQL Builder'!K1402,6,2),MID('SQL Builder'!K1402,9,2))),NA())</f>
        <v>#N/A</v>
      </c>
      <c r="C1427" s="50" t="str">
        <f>IF(ISBLANK('SQL Builder'!K1402)=FALSE,'SQL Builder'!L1402,"")</f>
        <v/>
      </c>
      <c r="D1427" s="1" t="str">
        <f>IF(ISBLANK('SQL Builder'!K1402)=FALSE,'SQL Builder'!O1402,"")</f>
        <v/>
      </c>
      <c r="H1427" s="43" t="str">
        <f>IF(ISBLANK('SQL Builder'!K1401)=FALSE,H1426+1,"")</f>
        <v/>
      </c>
      <c r="I1427" s="1" t="str">
        <f>IF(ISBLANK('SQL Builder'!P1402)=FALSE,'SQL Builder'!N1402,"")</f>
        <v/>
      </c>
      <c r="J1427" s="79">
        <f t="shared" si="21"/>
        <v>0</v>
      </c>
    </row>
    <row r="1428" spans="2:10" ht="16.5" x14ac:dyDescent="0.25">
      <c r="B1428" s="49" t="e">
        <f>IF(ISBLANK('SQL Builder'!K1403)=FALSE,(DATE(LEFT('SQL Builder'!K1403,4),MID('SQL Builder'!K1403,6,2),MID('SQL Builder'!K1403,9,2))),NA())</f>
        <v>#N/A</v>
      </c>
      <c r="C1428" s="50" t="str">
        <f>IF(ISBLANK('SQL Builder'!K1403)=FALSE,'SQL Builder'!L1403,"")</f>
        <v/>
      </c>
      <c r="D1428" s="1" t="str">
        <f>IF(ISBLANK('SQL Builder'!K1403)=FALSE,'SQL Builder'!O1403,"")</f>
        <v/>
      </c>
      <c r="H1428" s="43" t="str">
        <f>IF(ISBLANK('SQL Builder'!K1402)=FALSE,H1427+1,"")</f>
        <v/>
      </c>
      <c r="I1428" s="1" t="str">
        <f>IF(ISBLANK('SQL Builder'!P1403)=FALSE,'SQL Builder'!N1403,"")</f>
        <v/>
      </c>
      <c r="J1428" s="79">
        <f t="shared" si="21"/>
        <v>0</v>
      </c>
    </row>
    <row r="1429" spans="2:10" ht="16.5" x14ac:dyDescent="0.25">
      <c r="B1429" s="49" t="e">
        <f>IF(ISBLANK('SQL Builder'!K1404)=FALSE,(DATE(LEFT('SQL Builder'!K1404,4),MID('SQL Builder'!K1404,6,2),MID('SQL Builder'!K1404,9,2))),NA())</f>
        <v>#N/A</v>
      </c>
      <c r="C1429" s="50" t="str">
        <f>IF(ISBLANK('SQL Builder'!K1404)=FALSE,'SQL Builder'!L1404,"")</f>
        <v/>
      </c>
      <c r="D1429" s="1" t="str">
        <f>IF(ISBLANK('SQL Builder'!K1404)=FALSE,'SQL Builder'!O1404,"")</f>
        <v/>
      </c>
      <c r="H1429" s="43" t="str">
        <f>IF(ISBLANK('SQL Builder'!K1403)=FALSE,H1428+1,"")</f>
        <v/>
      </c>
      <c r="I1429" s="1" t="str">
        <f>IF(ISBLANK('SQL Builder'!P1404)=FALSE,'SQL Builder'!N1404,"")</f>
        <v/>
      </c>
      <c r="J1429" s="79">
        <f t="shared" si="21"/>
        <v>0</v>
      </c>
    </row>
    <row r="1430" spans="2:10" ht="16.5" x14ac:dyDescent="0.25">
      <c r="B1430" s="49" t="e">
        <f>IF(ISBLANK('SQL Builder'!K1405)=FALSE,(DATE(LEFT('SQL Builder'!K1405,4),MID('SQL Builder'!K1405,6,2),MID('SQL Builder'!K1405,9,2))),NA())</f>
        <v>#N/A</v>
      </c>
      <c r="C1430" s="50" t="str">
        <f>IF(ISBLANK('SQL Builder'!K1405)=FALSE,'SQL Builder'!L1405,"")</f>
        <v/>
      </c>
      <c r="D1430" s="1" t="str">
        <f>IF(ISBLANK('SQL Builder'!K1405)=FALSE,'SQL Builder'!O1405,"")</f>
        <v/>
      </c>
      <c r="H1430" s="43" t="str">
        <f>IF(ISBLANK('SQL Builder'!K1404)=FALSE,H1429+1,"")</f>
        <v/>
      </c>
      <c r="I1430" s="1" t="str">
        <f>IF(ISBLANK('SQL Builder'!P1405)=FALSE,'SQL Builder'!N1405,"")</f>
        <v/>
      </c>
      <c r="J1430" s="79">
        <f t="shared" si="21"/>
        <v>0</v>
      </c>
    </row>
    <row r="1431" spans="2:10" ht="16.5" x14ac:dyDescent="0.25">
      <c r="B1431" s="49" t="e">
        <f>IF(ISBLANK('SQL Builder'!K1406)=FALSE,(DATE(LEFT('SQL Builder'!K1406,4),MID('SQL Builder'!K1406,6,2),MID('SQL Builder'!K1406,9,2))),NA())</f>
        <v>#N/A</v>
      </c>
      <c r="C1431" s="50" t="str">
        <f>IF(ISBLANK('SQL Builder'!K1406)=FALSE,'SQL Builder'!L1406,"")</f>
        <v/>
      </c>
      <c r="D1431" s="1" t="str">
        <f>IF(ISBLANK('SQL Builder'!K1406)=FALSE,'SQL Builder'!O1406,"")</f>
        <v/>
      </c>
      <c r="H1431" s="43" t="str">
        <f>IF(ISBLANK('SQL Builder'!K1405)=FALSE,H1430+1,"")</f>
        <v/>
      </c>
      <c r="I1431" s="1" t="str">
        <f>IF(ISBLANK('SQL Builder'!P1406)=FALSE,'SQL Builder'!N1406,"")</f>
        <v/>
      </c>
      <c r="J1431" s="79">
        <f t="shared" si="21"/>
        <v>0</v>
      </c>
    </row>
    <row r="1432" spans="2:10" ht="16.5" x14ac:dyDescent="0.25">
      <c r="B1432" s="49" t="e">
        <f>IF(ISBLANK('SQL Builder'!K1407)=FALSE,(DATE(LEFT('SQL Builder'!K1407,4),MID('SQL Builder'!K1407,6,2),MID('SQL Builder'!K1407,9,2))),NA())</f>
        <v>#N/A</v>
      </c>
      <c r="C1432" s="50" t="str">
        <f>IF(ISBLANK('SQL Builder'!K1407)=FALSE,'SQL Builder'!L1407,"")</f>
        <v/>
      </c>
      <c r="D1432" s="1" t="str">
        <f>IF(ISBLANK('SQL Builder'!K1407)=FALSE,'SQL Builder'!O1407,"")</f>
        <v/>
      </c>
      <c r="H1432" s="43" t="str">
        <f>IF(ISBLANK('SQL Builder'!K1406)=FALSE,H1431+1,"")</f>
        <v/>
      </c>
      <c r="I1432" s="1" t="str">
        <f>IF(ISBLANK('SQL Builder'!P1407)=FALSE,'SQL Builder'!N1407,"")</f>
        <v/>
      </c>
      <c r="J1432" s="79">
        <f t="shared" si="21"/>
        <v>0</v>
      </c>
    </row>
    <row r="1433" spans="2:10" ht="16.5" x14ac:dyDescent="0.25">
      <c r="B1433" s="49" t="e">
        <f>IF(ISBLANK('SQL Builder'!K1408)=FALSE,(DATE(LEFT('SQL Builder'!K1408,4),MID('SQL Builder'!K1408,6,2),MID('SQL Builder'!K1408,9,2))),NA())</f>
        <v>#N/A</v>
      </c>
      <c r="C1433" s="50" t="str">
        <f>IF(ISBLANK('SQL Builder'!K1408)=FALSE,'SQL Builder'!L1408,"")</f>
        <v/>
      </c>
      <c r="D1433" s="1" t="str">
        <f>IF(ISBLANK('SQL Builder'!K1408)=FALSE,'SQL Builder'!O1408,"")</f>
        <v/>
      </c>
      <c r="H1433" s="43" t="str">
        <f>IF(ISBLANK('SQL Builder'!K1407)=FALSE,H1432+1,"")</f>
        <v/>
      </c>
      <c r="I1433" s="1" t="str">
        <f>IF(ISBLANK('SQL Builder'!P1408)=FALSE,'SQL Builder'!N1408,"")</f>
        <v/>
      </c>
      <c r="J1433" s="79">
        <f t="shared" si="21"/>
        <v>0</v>
      </c>
    </row>
    <row r="1434" spans="2:10" ht="16.5" x14ac:dyDescent="0.25">
      <c r="B1434" s="49" t="e">
        <f>IF(ISBLANK('SQL Builder'!K1409)=FALSE,(DATE(LEFT('SQL Builder'!K1409,4),MID('SQL Builder'!K1409,6,2),MID('SQL Builder'!K1409,9,2))),NA())</f>
        <v>#N/A</v>
      </c>
      <c r="C1434" s="50" t="str">
        <f>IF(ISBLANK('SQL Builder'!K1409)=FALSE,'SQL Builder'!L1409,"")</f>
        <v/>
      </c>
      <c r="D1434" s="1" t="str">
        <f>IF(ISBLANK('SQL Builder'!K1409)=FALSE,'SQL Builder'!O1409,"")</f>
        <v/>
      </c>
      <c r="H1434" s="43" t="str">
        <f>IF(ISBLANK('SQL Builder'!K1408)=FALSE,H1433+1,"")</f>
        <v/>
      </c>
      <c r="I1434" s="1" t="str">
        <f>IF(ISBLANK('SQL Builder'!P1409)=FALSE,'SQL Builder'!N1409,"")</f>
        <v/>
      </c>
      <c r="J1434" s="79">
        <f t="shared" si="21"/>
        <v>0</v>
      </c>
    </row>
    <row r="1435" spans="2:10" ht="16.5" x14ac:dyDescent="0.25">
      <c r="B1435" s="49" t="e">
        <f>IF(ISBLANK('SQL Builder'!K1410)=FALSE,(DATE(LEFT('SQL Builder'!K1410,4),MID('SQL Builder'!K1410,6,2),MID('SQL Builder'!K1410,9,2))),NA())</f>
        <v>#N/A</v>
      </c>
      <c r="C1435" s="50" t="str">
        <f>IF(ISBLANK('SQL Builder'!K1410)=FALSE,'SQL Builder'!L1410,"")</f>
        <v/>
      </c>
      <c r="D1435" s="1" t="str">
        <f>IF(ISBLANK('SQL Builder'!K1410)=FALSE,'SQL Builder'!O1410,"")</f>
        <v/>
      </c>
      <c r="H1435" s="43" t="str">
        <f>IF(ISBLANK('SQL Builder'!K1409)=FALSE,H1434+1,"")</f>
        <v/>
      </c>
      <c r="I1435" s="1" t="str">
        <f>IF(ISBLANK('SQL Builder'!P1410)=FALSE,'SQL Builder'!N1410,"")</f>
        <v/>
      </c>
      <c r="J1435" s="79">
        <f t="shared" si="21"/>
        <v>0</v>
      </c>
    </row>
    <row r="1436" spans="2:10" ht="16.5" x14ac:dyDescent="0.25">
      <c r="B1436" s="49" t="e">
        <f>IF(ISBLANK('SQL Builder'!K1411)=FALSE,(DATE(LEFT('SQL Builder'!K1411,4),MID('SQL Builder'!K1411,6,2),MID('SQL Builder'!K1411,9,2))),NA())</f>
        <v>#N/A</v>
      </c>
      <c r="C1436" s="50" t="str">
        <f>IF(ISBLANK('SQL Builder'!K1411)=FALSE,'SQL Builder'!L1411,"")</f>
        <v/>
      </c>
      <c r="D1436" s="1" t="str">
        <f>IF(ISBLANK('SQL Builder'!K1411)=FALSE,'SQL Builder'!O1411,"")</f>
        <v/>
      </c>
      <c r="H1436" s="43" t="str">
        <f>IF(ISBLANK('SQL Builder'!K1410)=FALSE,H1435+1,"")</f>
        <v/>
      </c>
      <c r="I1436" s="1" t="str">
        <f>IF(ISBLANK('SQL Builder'!P1411)=FALSE,'SQL Builder'!N1411,"")</f>
        <v/>
      </c>
      <c r="J1436" s="79">
        <f t="shared" si="21"/>
        <v>0</v>
      </c>
    </row>
    <row r="1437" spans="2:10" ht="16.5" x14ac:dyDescent="0.25">
      <c r="B1437" s="49" t="e">
        <f>IF(ISBLANK('SQL Builder'!K1412)=FALSE,(DATE(LEFT('SQL Builder'!K1412,4),MID('SQL Builder'!K1412,6,2),MID('SQL Builder'!K1412,9,2))),NA())</f>
        <v>#N/A</v>
      </c>
      <c r="C1437" s="50" t="str">
        <f>IF(ISBLANK('SQL Builder'!K1412)=FALSE,'SQL Builder'!L1412,"")</f>
        <v/>
      </c>
      <c r="D1437" s="1" t="str">
        <f>IF(ISBLANK('SQL Builder'!K1412)=FALSE,'SQL Builder'!O1412,"")</f>
        <v/>
      </c>
      <c r="H1437" s="43" t="str">
        <f>IF(ISBLANK('SQL Builder'!K1411)=FALSE,H1436+1,"")</f>
        <v/>
      </c>
      <c r="I1437" s="1" t="str">
        <f>IF(ISBLANK('SQL Builder'!P1412)=FALSE,'SQL Builder'!N1412,"")</f>
        <v/>
      </c>
      <c r="J1437" s="79">
        <f t="shared" si="21"/>
        <v>0</v>
      </c>
    </row>
    <row r="1438" spans="2:10" ht="16.5" x14ac:dyDescent="0.25">
      <c r="B1438" s="49" t="e">
        <f>IF(ISBLANK('SQL Builder'!K1413)=FALSE,(DATE(LEFT('SQL Builder'!K1413,4),MID('SQL Builder'!K1413,6,2),MID('SQL Builder'!K1413,9,2))),NA())</f>
        <v>#N/A</v>
      </c>
      <c r="C1438" s="50" t="str">
        <f>IF(ISBLANK('SQL Builder'!K1413)=FALSE,'SQL Builder'!L1413,"")</f>
        <v/>
      </c>
      <c r="D1438" s="1" t="str">
        <f>IF(ISBLANK('SQL Builder'!K1413)=FALSE,'SQL Builder'!O1413,"")</f>
        <v/>
      </c>
      <c r="H1438" s="43" t="str">
        <f>IF(ISBLANK('SQL Builder'!K1412)=FALSE,H1437+1,"")</f>
        <v/>
      </c>
      <c r="I1438" s="1" t="str">
        <f>IF(ISBLANK('SQL Builder'!P1413)=FALSE,'SQL Builder'!N1413,"")</f>
        <v/>
      </c>
      <c r="J1438" s="79">
        <f t="shared" si="21"/>
        <v>0</v>
      </c>
    </row>
    <row r="1439" spans="2:10" ht="16.5" x14ac:dyDescent="0.25">
      <c r="B1439" s="49" t="e">
        <f>IF(ISBLANK('SQL Builder'!K1414)=FALSE,(DATE(LEFT('SQL Builder'!K1414,4),MID('SQL Builder'!K1414,6,2),MID('SQL Builder'!K1414,9,2))),NA())</f>
        <v>#N/A</v>
      </c>
      <c r="C1439" s="50" t="str">
        <f>IF(ISBLANK('SQL Builder'!K1414)=FALSE,'SQL Builder'!L1414,"")</f>
        <v/>
      </c>
      <c r="D1439" s="1" t="str">
        <f>IF(ISBLANK('SQL Builder'!K1414)=FALSE,'SQL Builder'!O1414,"")</f>
        <v/>
      </c>
      <c r="H1439" s="43" t="str">
        <f>IF(ISBLANK('SQL Builder'!K1413)=FALSE,H1438+1,"")</f>
        <v/>
      </c>
      <c r="I1439" s="1" t="str">
        <f>IF(ISBLANK('SQL Builder'!P1414)=FALSE,'SQL Builder'!N1414,"")</f>
        <v/>
      </c>
      <c r="J1439" s="79">
        <f t="shared" ref="J1439:J1502" si="22">IF(I1439="",0,IF(I1439=C$5,2,1))</f>
        <v>0</v>
      </c>
    </row>
    <row r="1440" spans="2:10" ht="16.5" x14ac:dyDescent="0.25">
      <c r="B1440" s="49" t="e">
        <f>IF(ISBLANK('SQL Builder'!K1415)=FALSE,(DATE(LEFT('SQL Builder'!K1415,4),MID('SQL Builder'!K1415,6,2),MID('SQL Builder'!K1415,9,2))),NA())</f>
        <v>#N/A</v>
      </c>
      <c r="C1440" s="50" t="str">
        <f>IF(ISBLANK('SQL Builder'!K1415)=FALSE,'SQL Builder'!L1415,"")</f>
        <v/>
      </c>
      <c r="D1440" s="1" t="str">
        <f>IF(ISBLANK('SQL Builder'!K1415)=FALSE,'SQL Builder'!O1415,"")</f>
        <v/>
      </c>
      <c r="H1440" s="43" t="str">
        <f>IF(ISBLANK('SQL Builder'!K1414)=FALSE,H1439+1,"")</f>
        <v/>
      </c>
      <c r="I1440" s="1" t="str">
        <f>IF(ISBLANK('SQL Builder'!P1415)=FALSE,'SQL Builder'!N1415,"")</f>
        <v/>
      </c>
      <c r="J1440" s="79">
        <f t="shared" si="22"/>
        <v>0</v>
      </c>
    </row>
    <row r="1441" spans="2:10" ht="16.5" x14ac:dyDescent="0.25">
      <c r="B1441" s="49" t="e">
        <f>IF(ISBLANK('SQL Builder'!K1416)=FALSE,(DATE(LEFT('SQL Builder'!K1416,4),MID('SQL Builder'!K1416,6,2),MID('SQL Builder'!K1416,9,2))),NA())</f>
        <v>#N/A</v>
      </c>
      <c r="C1441" s="50" t="str">
        <f>IF(ISBLANK('SQL Builder'!K1416)=FALSE,'SQL Builder'!L1416,"")</f>
        <v/>
      </c>
      <c r="D1441" s="1" t="str">
        <f>IF(ISBLANK('SQL Builder'!K1416)=FALSE,'SQL Builder'!O1416,"")</f>
        <v/>
      </c>
      <c r="H1441" s="43" t="str">
        <f>IF(ISBLANK('SQL Builder'!K1415)=FALSE,H1440+1,"")</f>
        <v/>
      </c>
      <c r="I1441" s="1" t="str">
        <f>IF(ISBLANK('SQL Builder'!P1416)=FALSE,'SQL Builder'!N1416,"")</f>
        <v/>
      </c>
      <c r="J1441" s="79">
        <f t="shared" si="22"/>
        <v>0</v>
      </c>
    </row>
    <row r="1442" spans="2:10" ht="16.5" x14ac:dyDescent="0.25">
      <c r="B1442" s="49" t="e">
        <f>IF(ISBLANK('SQL Builder'!K1417)=FALSE,(DATE(LEFT('SQL Builder'!K1417,4),MID('SQL Builder'!K1417,6,2),MID('SQL Builder'!K1417,9,2))),NA())</f>
        <v>#N/A</v>
      </c>
      <c r="C1442" s="50" t="str">
        <f>IF(ISBLANK('SQL Builder'!K1417)=FALSE,'SQL Builder'!L1417,"")</f>
        <v/>
      </c>
      <c r="D1442" s="1" t="str">
        <f>IF(ISBLANK('SQL Builder'!K1417)=FALSE,'SQL Builder'!O1417,"")</f>
        <v/>
      </c>
      <c r="H1442" s="43" t="str">
        <f>IF(ISBLANK('SQL Builder'!K1416)=FALSE,H1441+1,"")</f>
        <v/>
      </c>
      <c r="I1442" s="1" t="str">
        <f>IF(ISBLANK('SQL Builder'!P1417)=FALSE,'SQL Builder'!N1417,"")</f>
        <v/>
      </c>
      <c r="J1442" s="79">
        <f t="shared" si="22"/>
        <v>0</v>
      </c>
    </row>
    <row r="1443" spans="2:10" ht="16.5" x14ac:dyDescent="0.25">
      <c r="B1443" s="49" t="e">
        <f>IF(ISBLANK('SQL Builder'!K1418)=FALSE,(DATE(LEFT('SQL Builder'!K1418,4),MID('SQL Builder'!K1418,6,2),MID('SQL Builder'!K1418,9,2))),NA())</f>
        <v>#N/A</v>
      </c>
      <c r="C1443" s="50" t="str">
        <f>IF(ISBLANK('SQL Builder'!K1418)=FALSE,'SQL Builder'!L1418,"")</f>
        <v/>
      </c>
      <c r="D1443" s="1" t="str">
        <f>IF(ISBLANK('SQL Builder'!K1418)=FALSE,'SQL Builder'!O1418,"")</f>
        <v/>
      </c>
      <c r="H1443" s="43" t="str">
        <f>IF(ISBLANK('SQL Builder'!K1417)=FALSE,H1442+1,"")</f>
        <v/>
      </c>
      <c r="I1443" s="1" t="str">
        <f>IF(ISBLANK('SQL Builder'!P1418)=FALSE,'SQL Builder'!N1418,"")</f>
        <v/>
      </c>
      <c r="J1443" s="79">
        <f t="shared" si="22"/>
        <v>0</v>
      </c>
    </row>
    <row r="1444" spans="2:10" ht="16.5" x14ac:dyDescent="0.25">
      <c r="B1444" s="49" t="e">
        <f>IF(ISBLANK('SQL Builder'!K1419)=FALSE,(DATE(LEFT('SQL Builder'!K1419,4),MID('SQL Builder'!K1419,6,2),MID('SQL Builder'!K1419,9,2))),NA())</f>
        <v>#N/A</v>
      </c>
      <c r="C1444" s="50" t="str">
        <f>IF(ISBLANK('SQL Builder'!K1419)=FALSE,'SQL Builder'!L1419,"")</f>
        <v/>
      </c>
      <c r="D1444" s="1" t="str">
        <f>IF(ISBLANK('SQL Builder'!K1419)=FALSE,'SQL Builder'!O1419,"")</f>
        <v/>
      </c>
      <c r="H1444" s="43" t="str">
        <f>IF(ISBLANK('SQL Builder'!K1418)=FALSE,H1443+1,"")</f>
        <v/>
      </c>
      <c r="I1444" s="1" t="str">
        <f>IF(ISBLANK('SQL Builder'!P1419)=FALSE,'SQL Builder'!N1419,"")</f>
        <v/>
      </c>
      <c r="J1444" s="79">
        <f t="shared" si="22"/>
        <v>0</v>
      </c>
    </row>
    <row r="1445" spans="2:10" ht="16.5" x14ac:dyDescent="0.25">
      <c r="B1445" s="49" t="e">
        <f>IF(ISBLANK('SQL Builder'!K1420)=FALSE,(DATE(LEFT('SQL Builder'!K1420,4),MID('SQL Builder'!K1420,6,2),MID('SQL Builder'!K1420,9,2))),NA())</f>
        <v>#N/A</v>
      </c>
      <c r="C1445" s="50" t="str">
        <f>IF(ISBLANK('SQL Builder'!K1420)=FALSE,'SQL Builder'!L1420,"")</f>
        <v/>
      </c>
      <c r="D1445" s="1" t="str">
        <f>IF(ISBLANK('SQL Builder'!K1420)=FALSE,'SQL Builder'!O1420,"")</f>
        <v/>
      </c>
      <c r="H1445" s="43" t="str">
        <f>IF(ISBLANK('SQL Builder'!K1419)=FALSE,H1444+1,"")</f>
        <v/>
      </c>
      <c r="I1445" s="1" t="str">
        <f>IF(ISBLANK('SQL Builder'!P1420)=FALSE,'SQL Builder'!N1420,"")</f>
        <v/>
      </c>
      <c r="J1445" s="79">
        <f t="shared" si="22"/>
        <v>0</v>
      </c>
    </row>
    <row r="1446" spans="2:10" ht="16.5" x14ac:dyDescent="0.25">
      <c r="B1446" s="49" t="e">
        <f>IF(ISBLANK('SQL Builder'!K1421)=FALSE,(DATE(LEFT('SQL Builder'!K1421,4),MID('SQL Builder'!K1421,6,2),MID('SQL Builder'!K1421,9,2))),NA())</f>
        <v>#N/A</v>
      </c>
      <c r="C1446" s="50" t="str">
        <f>IF(ISBLANK('SQL Builder'!K1421)=FALSE,'SQL Builder'!L1421,"")</f>
        <v/>
      </c>
      <c r="D1446" s="1" t="str">
        <f>IF(ISBLANK('SQL Builder'!K1421)=FALSE,'SQL Builder'!O1421,"")</f>
        <v/>
      </c>
      <c r="H1446" s="43" t="str">
        <f>IF(ISBLANK('SQL Builder'!K1420)=FALSE,H1445+1,"")</f>
        <v/>
      </c>
      <c r="I1446" s="1" t="str">
        <f>IF(ISBLANK('SQL Builder'!P1421)=FALSE,'SQL Builder'!N1421,"")</f>
        <v/>
      </c>
      <c r="J1446" s="79">
        <f t="shared" si="22"/>
        <v>0</v>
      </c>
    </row>
    <row r="1447" spans="2:10" ht="16.5" x14ac:dyDescent="0.25">
      <c r="B1447" s="49" t="e">
        <f>IF(ISBLANK('SQL Builder'!K1422)=FALSE,(DATE(LEFT('SQL Builder'!K1422,4),MID('SQL Builder'!K1422,6,2),MID('SQL Builder'!K1422,9,2))),NA())</f>
        <v>#N/A</v>
      </c>
      <c r="C1447" s="50" t="str">
        <f>IF(ISBLANK('SQL Builder'!K1422)=FALSE,'SQL Builder'!L1422,"")</f>
        <v/>
      </c>
      <c r="D1447" s="1" t="str">
        <f>IF(ISBLANK('SQL Builder'!K1422)=FALSE,'SQL Builder'!O1422,"")</f>
        <v/>
      </c>
      <c r="H1447" s="43" t="str">
        <f>IF(ISBLANK('SQL Builder'!K1421)=FALSE,H1446+1,"")</f>
        <v/>
      </c>
      <c r="I1447" s="1" t="str">
        <f>IF(ISBLANK('SQL Builder'!P1422)=FALSE,'SQL Builder'!N1422,"")</f>
        <v/>
      </c>
      <c r="J1447" s="79">
        <f t="shared" si="22"/>
        <v>0</v>
      </c>
    </row>
    <row r="1448" spans="2:10" ht="16.5" x14ac:dyDescent="0.25">
      <c r="B1448" s="49" t="e">
        <f>IF(ISBLANK('SQL Builder'!K1423)=FALSE,(DATE(LEFT('SQL Builder'!K1423,4),MID('SQL Builder'!K1423,6,2),MID('SQL Builder'!K1423,9,2))),NA())</f>
        <v>#N/A</v>
      </c>
      <c r="C1448" s="50" t="str">
        <f>IF(ISBLANK('SQL Builder'!K1423)=FALSE,'SQL Builder'!L1423,"")</f>
        <v/>
      </c>
      <c r="D1448" s="1" t="str">
        <f>IF(ISBLANK('SQL Builder'!K1423)=FALSE,'SQL Builder'!O1423,"")</f>
        <v/>
      </c>
      <c r="H1448" s="43" t="str">
        <f>IF(ISBLANK('SQL Builder'!K1422)=FALSE,H1447+1,"")</f>
        <v/>
      </c>
      <c r="I1448" s="1" t="str">
        <f>IF(ISBLANK('SQL Builder'!P1423)=FALSE,'SQL Builder'!N1423,"")</f>
        <v/>
      </c>
      <c r="J1448" s="79">
        <f t="shared" si="22"/>
        <v>0</v>
      </c>
    </row>
    <row r="1449" spans="2:10" ht="16.5" x14ac:dyDescent="0.25">
      <c r="B1449" s="49" t="e">
        <f>IF(ISBLANK('SQL Builder'!K1424)=FALSE,(DATE(LEFT('SQL Builder'!K1424,4),MID('SQL Builder'!K1424,6,2),MID('SQL Builder'!K1424,9,2))),NA())</f>
        <v>#N/A</v>
      </c>
      <c r="C1449" s="50" t="str">
        <f>IF(ISBLANK('SQL Builder'!K1424)=FALSE,'SQL Builder'!L1424,"")</f>
        <v/>
      </c>
      <c r="D1449" s="1" t="str">
        <f>IF(ISBLANK('SQL Builder'!K1424)=FALSE,'SQL Builder'!O1424,"")</f>
        <v/>
      </c>
      <c r="H1449" s="43" t="str">
        <f>IF(ISBLANK('SQL Builder'!K1423)=FALSE,H1448+1,"")</f>
        <v/>
      </c>
      <c r="I1449" s="1" t="str">
        <f>IF(ISBLANK('SQL Builder'!P1424)=FALSE,'SQL Builder'!N1424,"")</f>
        <v/>
      </c>
      <c r="J1449" s="79">
        <f t="shared" si="22"/>
        <v>0</v>
      </c>
    </row>
    <row r="1450" spans="2:10" ht="16.5" x14ac:dyDescent="0.25">
      <c r="B1450" s="49" t="e">
        <f>IF(ISBLANK('SQL Builder'!K1425)=FALSE,(DATE(LEFT('SQL Builder'!K1425,4),MID('SQL Builder'!K1425,6,2),MID('SQL Builder'!K1425,9,2))),NA())</f>
        <v>#N/A</v>
      </c>
      <c r="C1450" s="50" t="str">
        <f>IF(ISBLANK('SQL Builder'!K1425)=FALSE,'SQL Builder'!L1425,"")</f>
        <v/>
      </c>
      <c r="D1450" s="1" t="str">
        <f>IF(ISBLANK('SQL Builder'!K1425)=FALSE,'SQL Builder'!O1425,"")</f>
        <v/>
      </c>
      <c r="H1450" s="43" t="str">
        <f>IF(ISBLANK('SQL Builder'!K1424)=FALSE,H1449+1,"")</f>
        <v/>
      </c>
      <c r="I1450" s="1" t="str">
        <f>IF(ISBLANK('SQL Builder'!P1425)=FALSE,'SQL Builder'!N1425,"")</f>
        <v/>
      </c>
      <c r="J1450" s="79">
        <f t="shared" si="22"/>
        <v>0</v>
      </c>
    </row>
    <row r="1451" spans="2:10" ht="16.5" x14ac:dyDescent="0.25">
      <c r="B1451" s="49" t="e">
        <f>IF(ISBLANK('SQL Builder'!K1426)=FALSE,(DATE(LEFT('SQL Builder'!K1426,4),MID('SQL Builder'!K1426,6,2),MID('SQL Builder'!K1426,9,2))),NA())</f>
        <v>#N/A</v>
      </c>
      <c r="C1451" s="50" t="str">
        <f>IF(ISBLANK('SQL Builder'!K1426)=FALSE,'SQL Builder'!L1426,"")</f>
        <v/>
      </c>
      <c r="D1451" s="1" t="str">
        <f>IF(ISBLANK('SQL Builder'!K1426)=FALSE,'SQL Builder'!O1426,"")</f>
        <v/>
      </c>
      <c r="H1451" s="43" t="str">
        <f>IF(ISBLANK('SQL Builder'!K1425)=FALSE,H1450+1,"")</f>
        <v/>
      </c>
      <c r="I1451" s="1" t="str">
        <f>IF(ISBLANK('SQL Builder'!P1426)=FALSE,'SQL Builder'!N1426,"")</f>
        <v/>
      </c>
      <c r="J1451" s="79">
        <f t="shared" si="22"/>
        <v>0</v>
      </c>
    </row>
    <row r="1452" spans="2:10" ht="16.5" x14ac:dyDescent="0.25">
      <c r="B1452" s="49" t="e">
        <f>IF(ISBLANK('SQL Builder'!K1427)=FALSE,(DATE(LEFT('SQL Builder'!K1427,4),MID('SQL Builder'!K1427,6,2),MID('SQL Builder'!K1427,9,2))),NA())</f>
        <v>#N/A</v>
      </c>
      <c r="C1452" s="50" t="str">
        <f>IF(ISBLANK('SQL Builder'!K1427)=FALSE,'SQL Builder'!L1427,"")</f>
        <v/>
      </c>
      <c r="D1452" s="1" t="str">
        <f>IF(ISBLANK('SQL Builder'!K1427)=FALSE,'SQL Builder'!O1427,"")</f>
        <v/>
      </c>
      <c r="H1452" s="43" t="str">
        <f>IF(ISBLANK('SQL Builder'!K1426)=FALSE,H1451+1,"")</f>
        <v/>
      </c>
      <c r="I1452" s="1" t="str">
        <f>IF(ISBLANK('SQL Builder'!P1427)=FALSE,'SQL Builder'!N1427,"")</f>
        <v/>
      </c>
      <c r="J1452" s="79">
        <f t="shared" si="22"/>
        <v>0</v>
      </c>
    </row>
    <row r="1453" spans="2:10" ht="16.5" x14ac:dyDescent="0.25">
      <c r="B1453" s="49" t="e">
        <f>IF(ISBLANK('SQL Builder'!K1428)=FALSE,(DATE(LEFT('SQL Builder'!K1428,4),MID('SQL Builder'!K1428,6,2),MID('SQL Builder'!K1428,9,2))),NA())</f>
        <v>#N/A</v>
      </c>
      <c r="C1453" s="50" t="str">
        <f>IF(ISBLANK('SQL Builder'!K1428)=FALSE,'SQL Builder'!L1428,"")</f>
        <v/>
      </c>
      <c r="D1453" s="1" t="str">
        <f>IF(ISBLANK('SQL Builder'!K1428)=FALSE,'SQL Builder'!O1428,"")</f>
        <v/>
      </c>
      <c r="H1453" s="43" t="str">
        <f>IF(ISBLANK('SQL Builder'!K1427)=FALSE,H1452+1,"")</f>
        <v/>
      </c>
      <c r="I1453" s="1" t="str">
        <f>IF(ISBLANK('SQL Builder'!P1428)=FALSE,'SQL Builder'!N1428,"")</f>
        <v/>
      </c>
      <c r="J1453" s="79">
        <f t="shared" si="22"/>
        <v>0</v>
      </c>
    </row>
    <row r="1454" spans="2:10" ht="16.5" x14ac:dyDescent="0.25">
      <c r="B1454" s="49" t="e">
        <f>IF(ISBLANK('SQL Builder'!K1429)=FALSE,(DATE(LEFT('SQL Builder'!K1429,4),MID('SQL Builder'!K1429,6,2),MID('SQL Builder'!K1429,9,2))),NA())</f>
        <v>#N/A</v>
      </c>
      <c r="C1454" s="50" t="str">
        <f>IF(ISBLANK('SQL Builder'!K1429)=FALSE,'SQL Builder'!L1429,"")</f>
        <v/>
      </c>
      <c r="D1454" s="1" t="str">
        <f>IF(ISBLANK('SQL Builder'!K1429)=FALSE,'SQL Builder'!O1429,"")</f>
        <v/>
      </c>
      <c r="H1454" s="43" t="str">
        <f>IF(ISBLANK('SQL Builder'!K1428)=FALSE,H1453+1,"")</f>
        <v/>
      </c>
      <c r="I1454" s="1" t="str">
        <f>IF(ISBLANK('SQL Builder'!P1429)=FALSE,'SQL Builder'!N1429,"")</f>
        <v/>
      </c>
      <c r="J1454" s="79">
        <f t="shared" si="22"/>
        <v>0</v>
      </c>
    </row>
    <row r="1455" spans="2:10" ht="16.5" x14ac:dyDescent="0.25">
      <c r="B1455" s="49" t="e">
        <f>IF(ISBLANK('SQL Builder'!K1430)=FALSE,(DATE(LEFT('SQL Builder'!K1430,4),MID('SQL Builder'!K1430,6,2),MID('SQL Builder'!K1430,9,2))),NA())</f>
        <v>#N/A</v>
      </c>
      <c r="C1455" s="50" t="str">
        <f>IF(ISBLANK('SQL Builder'!K1430)=FALSE,'SQL Builder'!L1430,"")</f>
        <v/>
      </c>
      <c r="D1455" s="1" t="str">
        <f>IF(ISBLANK('SQL Builder'!K1430)=FALSE,'SQL Builder'!O1430,"")</f>
        <v/>
      </c>
      <c r="H1455" s="43" t="str">
        <f>IF(ISBLANK('SQL Builder'!K1429)=FALSE,H1454+1,"")</f>
        <v/>
      </c>
      <c r="I1455" s="1" t="str">
        <f>IF(ISBLANK('SQL Builder'!P1430)=FALSE,'SQL Builder'!N1430,"")</f>
        <v/>
      </c>
      <c r="J1455" s="79">
        <f t="shared" si="22"/>
        <v>0</v>
      </c>
    </row>
    <row r="1456" spans="2:10" ht="16.5" x14ac:dyDescent="0.25">
      <c r="B1456" s="49" t="e">
        <f>IF(ISBLANK('SQL Builder'!K1431)=FALSE,(DATE(LEFT('SQL Builder'!K1431,4),MID('SQL Builder'!K1431,6,2),MID('SQL Builder'!K1431,9,2))),NA())</f>
        <v>#N/A</v>
      </c>
      <c r="C1456" s="50" t="str">
        <f>IF(ISBLANK('SQL Builder'!K1431)=FALSE,'SQL Builder'!L1431,"")</f>
        <v/>
      </c>
      <c r="D1456" s="1" t="str">
        <f>IF(ISBLANK('SQL Builder'!K1431)=FALSE,'SQL Builder'!O1431,"")</f>
        <v/>
      </c>
      <c r="H1456" s="43" t="str">
        <f>IF(ISBLANK('SQL Builder'!K1430)=FALSE,H1455+1,"")</f>
        <v/>
      </c>
      <c r="I1456" s="1" t="str">
        <f>IF(ISBLANK('SQL Builder'!P1431)=FALSE,'SQL Builder'!N1431,"")</f>
        <v/>
      </c>
      <c r="J1456" s="79">
        <f t="shared" si="22"/>
        <v>0</v>
      </c>
    </row>
    <row r="1457" spans="2:10" ht="16.5" x14ac:dyDescent="0.25">
      <c r="B1457" s="49" t="e">
        <f>IF(ISBLANK('SQL Builder'!K1432)=FALSE,(DATE(LEFT('SQL Builder'!K1432,4),MID('SQL Builder'!K1432,6,2),MID('SQL Builder'!K1432,9,2))),NA())</f>
        <v>#N/A</v>
      </c>
      <c r="C1457" s="50" t="str">
        <f>IF(ISBLANK('SQL Builder'!K1432)=FALSE,'SQL Builder'!L1432,"")</f>
        <v/>
      </c>
      <c r="D1457" s="1" t="str">
        <f>IF(ISBLANK('SQL Builder'!K1432)=FALSE,'SQL Builder'!O1432,"")</f>
        <v/>
      </c>
      <c r="H1457" s="43" t="str">
        <f>IF(ISBLANK('SQL Builder'!K1431)=FALSE,H1456+1,"")</f>
        <v/>
      </c>
      <c r="I1457" s="1" t="str">
        <f>IF(ISBLANK('SQL Builder'!P1432)=FALSE,'SQL Builder'!N1432,"")</f>
        <v/>
      </c>
      <c r="J1457" s="79">
        <f t="shared" si="22"/>
        <v>0</v>
      </c>
    </row>
    <row r="1458" spans="2:10" ht="16.5" x14ac:dyDescent="0.25">
      <c r="B1458" s="49" t="e">
        <f>IF(ISBLANK('SQL Builder'!K1433)=FALSE,(DATE(LEFT('SQL Builder'!K1433,4),MID('SQL Builder'!K1433,6,2),MID('SQL Builder'!K1433,9,2))),NA())</f>
        <v>#N/A</v>
      </c>
      <c r="C1458" s="50" t="str">
        <f>IF(ISBLANK('SQL Builder'!K1433)=FALSE,'SQL Builder'!L1433,"")</f>
        <v/>
      </c>
      <c r="D1458" s="1" t="str">
        <f>IF(ISBLANK('SQL Builder'!K1433)=FALSE,'SQL Builder'!O1433,"")</f>
        <v/>
      </c>
      <c r="H1458" s="43" t="str">
        <f>IF(ISBLANK('SQL Builder'!K1432)=FALSE,H1457+1,"")</f>
        <v/>
      </c>
      <c r="I1458" s="1" t="str">
        <f>IF(ISBLANK('SQL Builder'!P1433)=FALSE,'SQL Builder'!N1433,"")</f>
        <v/>
      </c>
      <c r="J1458" s="79">
        <f t="shared" si="22"/>
        <v>0</v>
      </c>
    </row>
    <row r="1459" spans="2:10" ht="16.5" x14ac:dyDescent="0.25">
      <c r="B1459" s="49" t="e">
        <f>IF(ISBLANK('SQL Builder'!K1434)=FALSE,(DATE(LEFT('SQL Builder'!K1434,4),MID('SQL Builder'!K1434,6,2),MID('SQL Builder'!K1434,9,2))),NA())</f>
        <v>#N/A</v>
      </c>
      <c r="C1459" s="50" t="str">
        <f>IF(ISBLANK('SQL Builder'!K1434)=FALSE,'SQL Builder'!L1434,"")</f>
        <v/>
      </c>
      <c r="D1459" s="1" t="str">
        <f>IF(ISBLANK('SQL Builder'!K1434)=FALSE,'SQL Builder'!O1434,"")</f>
        <v/>
      </c>
      <c r="H1459" s="43" t="str">
        <f>IF(ISBLANK('SQL Builder'!K1433)=FALSE,H1458+1,"")</f>
        <v/>
      </c>
      <c r="I1459" s="1" t="str">
        <f>IF(ISBLANK('SQL Builder'!P1434)=FALSE,'SQL Builder'!N1434,"")</f>
        <v/>
      </c>
      <c r="J1459" s="79">
        <f t="shared" si="22"/>
        <v>0</v>
      </c>
    </row>
    <row r="1460" spans="2:10" ht="16.5" x14ac:dyDescent="0.25">
      <c r="B1460" s="49" t="e">
        <f>IF(ISBLANK('SQL Builder'!K1435)=FALSE,(DATE(LEFT('SQL Builder'!K1435,4),MID('SQL Builder'!K1435,6,2),MID('SQL Builder'!K1435,9,2))),NA())</f>
        <v>#N/A</v>
      </c>
      <c r="C1460" s="50" t="str">
        <f>IF(ISBLANK('SQL Builder'!K1435)=FALSE,'SQL Builder'!L1435,"")</f>
        <v/>
      </c>
      <c r="D1460" s="1" t="str">
        <f>IF(ISBLANK('SQL Builder'!K1435)=FALSE,'SQL Builder'!O1435,"")</f>
        <v/>
      </c>
      <c r="H1460" s="43" t="str">
        <f>IF(ISBLANK('SQL Builder'!K1434)=FALSE,H1459+1,"")</f>
        <v/>
      </c>
      <c r="I1460" s="1" t="str">
        <f>IF(ISBLANK('SQL Builder'!P1435)=FALSE,'SQL Builder'!N1435,"")</f>
        <v/>
      </c>
      <c r="J1460" s="79">
        <f t="shared" si="22"/>
        <v>0</v>
      </c>
    </row>
    <row r="1461" spans="2:10" ht="16.5" x14ac:dyDescent="0.25">
      <c r="B1461" s="49" t="e">
        <f>IF(ISBLANK('SQL Builder'!K1436)=FALSE,(DATE(LEFT('SQL Builder'!K1436,4),MID('SQL Builder'!K1436,6,2),MID('SQL Builder'!K1436,9,2))),NA())</f>
        <v>#N/A</v>
      </c>
      <c r="C1461" s="50" t="str">
        <f>IF(ISBLANK('SQL Builder'!K1436)=FALSE,'SQL Builder'!L1436,"")</f>
        <v/>
      </c>
      <c r="D1461" s="1" t="str">
        <f>IF(ISBLANK('SQL Builder'!K1436)=FALSE,'SQL Builder'!O1436,"")</f>
        <v/>
      </c>
      <c r="H1461" s="43" t="str">
        <f>IF(ISBLANK('SQL Builder'!K1435)=FALSE,H1460+1,"")</f>
        <v/>
      </c>
      <c r="I1461" s="1" t="str">
        <f>IF(ISBLANK('SQL Builder'!P1436)=FALSE,'SQL Builder'!N1436,"")</f>
        <v/>
      </c>
      <c r="J1461" s="79">
        <f t="shared" si="22"/>
        <v>0</v>
      </c>
    </row>
    <row r="1462" spans="2:10" ht="16.5" x14ac:dyDescent="0.25">
      <c r="B1462" s="49" t="e">
        <f>IF(ISBLANK('SQL Builder'!K1437)=FALSE,(DATE(LEFT('SQL Builder'!K1437,4),MID('SQL Builder'!K1437,6,2),MID('SQL Builder'!K1437,9,2))),NA())</f>
        <v>#N/A</v>
      </c>
      <c r="C1462" s="50" t="str">
        <f>IF(ISBLANK('SQL Builder'!K1437)=FALSE,'SQL Builder'!L1437,"")</f>
        <v/>
      </c>
      <c r="D1462" s="1" t="str">
        <f>IF(ISBLANK('SQL Builder'!K1437)=FALSE,'SQL Builder'!O1437,"")</f>
        <v/>
      </c>
      <c r="H1462" s="43" t="str">
        <f>IF(ISBLANK('SQL Builder'!K1436)=FALSE,H1461+1,"")</f>
        <v/>
      </c>
      <c r="I1462" s="1" t="str">
        <f>IF(ISBLANK('SQL Builder'!P1437)=FALSE,'SQL Builder'!N1437,"")</f>
        <v/>
      </c>
      <c r="J1462" s="79">
        <f t="shared" si="22"/>
        <v>0</v>
      </c>
    </row>
    <row r="1463" spans="2:10" ht="16.5" x14ac:dyDescent="0.25">
      <c r="B1463" s="49" t="e">
        <f>IF(ISBLANK('SQL Builder'!K1438)=FALSE,(DATE(LEFT('SQL Builder'!K1438,4),MID('SQL Builder'!K1438,6,2),MID('SQL Builder'!K1438,9,2))),NA())</f>
        <v>#N/A</v>
      </c>
      <c r="C1463" s="50" t="str">
        <f>IF(ISBLANK('SQL Builder'!K1438)=FALSE,'SQL Builder'!L1438,"")</f>
        <v/>
      </c>
      <c r="D1463" s="1" t="str">
        <f>IF(ISBLANK('SQL Builder'!K1438)=FALSE,'SQL Builder'!O1438,"")</f>
        <v/>
      </c>
      <c r="H1463" s="43" t="str">
        <f>IF(ISBLANK('SQL Builder'!K1437)=FALSE,H1462+1,"")</f>
        <v/>
      </c>
      <c r="I1463" s="1" t="str">
        <f>IF(ISBLANK('SQL Builder'!P1438)=FALSE,'SQL Builder'!N1438,"")</f>
        <v/>
      </c>
      <c r="J1463" s="79">
        <f t="shared" si="22"/>
        <v>0</v>
      </c>
    </row>
    <row r="1464" spans="2:10" ht="16.5" x14ac:dyDescent="0.25">
      <c r="B1464" s="49" t="e">
        <f>IF(ISBLANK('SQL Builder'!K1439)=FALSE,(DATE(LEFT('SQL Builder'!K1439,4),MID('SQL Builder'!K1439,6,2),MID('SQL Builder'!K1439,9,2))),NA())</f>
        <v>#N/A</v>
      </c>
      <c r="C1464" s="50" t="str">
        <f>IF(ISBLANK('SQL Builder'!K1439)=FALSE,'SQL Builder'!L1439,"")</f>
        <v/>
      </c>
      <c r="D1464" s="1" t="str">
        <f>IF(ISBLANK('SQL Builder'!K1439)=FALSE,'SQL Builder'!O1439,"")</f>
        <v/>
      </c>
      <c r="H1464" s="43" t="str">
        <f>IF(ISBLANK('SQL Builder'!K1438)=FALSE,H1463+1,"")</f>
        <v/>
      </c>
      <c r="I1464" s="1" t="str">
        <f>IF(ISBLANK('SQL Builder'!P1439)=FALSE,'SQL Builder'!N1439,"")</f>
        <v/>
      </c>
      <c r="J1464" s="79">
        <f t="shared" si="22"/>
        <v>0</v>
      </c>
    </row>
    <row r="1465" spans="2:10" ht="16.5" x14ac:dyDescent="0.25">
      <c r="B1465" s="49" t="e">
        <f>IF(ISBLANK('SQL Builder'!K1440)=FALSE,(DATE(LEFT('SQL Builder'!K1440,4),MID('SQL Builder'!K1440,6,2),MID('SQL Builder'!K1440,9,2))),NA())</f>
        <v>#N/A</v>
      </c>
      <c r="C1465" s="50" t="str">
        <f>IF(ISBLANK('SQL Builder'!K1440)=FALSE,'SQL Builder'!L1440,"")</f>
        <v/>
      </c>
      <c r="D1465" s="1" t="str">
        <f>IF(ISBLANK('SQL Builder'!K1440)=FALSE,'SQL Builder'!O1440,"")</f>
        <v/>
      </c>
      <c r="H1465" s="43" t="str">
        <f>IF(ISBLANK('SQL Builder'!K1439)=FALSE,H1464+1,"")</f>
        <v/>
      </c>
      <c r="I1465" s="1" t="str">
        <f>IF(ISBLANK('SQL Builder'!P1440)=FALSE,'SQL Builder'!N1440,"")</f>
        <v/>
      </c>
      <c r="J1465" s="79">
        <f t="shared" si="22"/>
        <v>0</v>
      </c>
    </row>
    <row r="1466" spans="2:10" ht="16.5" x14ac:dyDescent="0.25">
      <c r="B1466" s="49" t="e">
        <f>IF(ISBLANK('SQL Builder'!K1441)=FALSE,(DATE(LEFT('SQL Builder'!K1441,4),MID('SQL Builder'!K1441,6,2),MID('SQL Builder'!K1441,9,2))),NA())</f>
        <v>#N/A</v>
      </c>
      <c r="C1466" s="50" t="str">
        <f>IF(ISBLANK('SQL Builder'!K1441)=FALSE,'SQL Builder'!L1441,"")</f>
        <v/>
      </c>
      <c r="D1466" s="1" t="str">
        <f>IF(ISBLANK('SQL Builder'!K1441)=FALSE,'SQL Builder'!O1441,"")</f>
        <v/>
      </c>
      <c r="H1466" s="43" t="str">
        <f>IF(ISBLANK('SQL Builder'!K1440)=FALSE,H1465+1,"")</f>
        <v/>
      </c>
      <c r="I1466" s="1" t="str">
        <f>IF(ISBLANK('SQL Builder'!P1441)=FALSE,'SQL Builder'!N1441,"")</f>
        <v/>
      </c>
      <c r="J1466" s="79">
        <f t="shared" si="22"/>
        <v>0</v>
      </c>
    </row>
    <row r="1467" spans="2:10" ht="16.5" x14ac:dyDescent="0.25">
      <c r="B1467" s="49" t="e">
        <f>IF(ISBLANK('SQL Builder'!K1442)=FALSE,(DATE(LEFT('SQL Builder'!K1442,4),MID('SQL Builder'!K1442,6,2),MID('SQL Builder'!K1442,9,2))),NA())</f>
        <v>#N/A</v>
      </c>
      <c r="C1467" s="50" t="str">
        <f>IF(ISBLANK('SQL Builder'!K1442)=FALSE,'SQL Builder'!L1442,"")</f>
        <v/>
      </c>
      <c r="D1467" s="1" t="str">
        <f>IF(ISBLANK('SQL Builder'!K1442)=FALSE,'SQL Builder'!O1442,"")</f>
        <v/>
      </c>
      <c r="H1467" s="43" t="str">
        <f>IF(ISBLANK('SQL Builder'!K1441)=FALSE,H1466+1,"")</f>
        <v/>
      </c>
      <c r="I1467" s="1" t="str">
        <f>IF(ISBLANK('SQL Builder'!P1442)=FALSE,'SQL Builder'!N1442,"")</f>
        <v/>
      </c>
      <c r="J1467" s="79">
        <f t="shared" si="22"/>
        <v>0</v>
      </c>
    </row>
    <row r="1468" spans="2:10" ht="16.5" x14ac:dyDescent="0.25">
      <c r="B1468" s="49" t="e">
        <f>IF(ISBLANK('SQL Builder'!K1443)=FALSE,(DATE(LEFT('SQL Builder'!K1443,4),MID('SQL Builder'!K1443,6,2),MID('SQL Builder'!K1443,9,2))),NA())</f>
        <v>#N/A</v>
      </c>
      <c r="C1468" s="50" t="str">
        <f>IF(ISBLANK('SQL Builder'!K1443)=FALSE,'SQL Builder'!L1443,"")</f>
        <v/>
      </c>
      <c r="D1468" s="1" t="str">
        <f>IF(ISBLANK('SQL Builder'!K1443)=FALSE,'SQL Builder'!O1443,"")</f>
        <v/>
      </c>
      <c r="H1468" s="43" t="str">
        <f>IF(ISBLANK('SQL Builder'!K1442)=FALSE,H1467+1,"")</f>
        <v/>
      </c>
      <c r="I1468" s="1" t="str">
        <f>IF(ISBLANK('SQL Builder'!P1443)=FALSE,'SQL Builder'!N1443,"")</f>
        <v/>
      </c>
      <c r="J1468" s="79">
        <f t="shared" si="22"/>
        <v>0</v>
      </c>
    </row>
    <row r="1469" spans="2:10" ht="16.5" x14ac:dyDescent="0.25">
      <c r="B1469" s="49" t="e">
        <f>IF(ISBLANK('SQL Builder'!K1444)=FALSE,(DATE(LEFT('SQL Builder'!K1444,4),MID('SQL Builder'!K1444,6,2),MID('SQL Builder'!K1444,9,2))),NA())</f>
        <v>#N/A</v>
      </c>
      <c r="C1469" s="50" t="str">
        <f>IF(ISBLANK('SQL Builder'!K1444)=FALSE,'SQL Builder'!L1444,"")</f>
        <v/>
      </c>
      <c r="D1469" s="1" t="str">
        <f>IF(ISBLANK('SQL Builder'!K1444)=FALSE,'SQL Builder'!O1444,"")</f>
        <v/>
      </c>
      <c r="H1469" s="43" t="str">
        <f>IF(ISBLANK('SQL Builder'!K1443)=FALSE,H1468+1,"")</f>
        <v/>
      </c>
      <c r="I1469" s="1" t="str">
        <f>IF(ISBLANK('SQL Builder'!P1444)=FALSE,'SQL Builder'!N1444,"")</f>
        <v/>
      </c>
      <c r="J1469" s="79">
        <f t="shared" si="22"/>
        <v>0</v>
      </c>
    </row>
    <row r="1470" spans="2:10" ht="16.5" x14ac:dyDescent="0.25">
      <c r="B1470" s="49" t="e">
        <f>IF(ISBLANK('SQL Builder'!K1445)=FALSE,(DATE(LEFT('SQL Builder'!K1445,4),MID('SQL Builder'!K1445,6,2),MID('SQL Builder'!K1445,9,2))),NA())</f>
        <v>#N/A</v>
      </c>
      <c r="C1470" s="50" t="str">
        <f>IF(ISBLANK('SQL Builder'!K1445)=FALSE,'SQL Builder'!L1445,"")</f>
        <v/>
      </c>
      <c r="D1470" s="1" t="str">
        <f>IF(ISBLANK('SQL Builder'!K1445)=FALSE,'SQL Builder'!O1445,"")</f>
        <v/>
      </c>
      <c r="H1470" s="43" t="str">
        <f>IF(ISBLANK('SQL Builder'!K1444)=FALSE,H1469+1,"")</f>
        <v/>
      </c>
      <c r="I1470" s="1" t="str">
        <f>IF(ISBLANK('SQL Builder'!P1445)=FALSE,'SQL Builder'!N1445,"")</f>
        <v/>
      </c>
      <c r="J1470" s="79">
        <f t="shared" si="22"/>
        <v>0</v>
      </c>
    </row>
    <row r="1471" spans="2:10" ht="16.5" x14ac:dyDescent="0.25">
      <c r="B1471" s="49" t="e">
        <f>IF(ISBLANK('SQL Builder'!K1446)=FALSE,(DATE(LEFT('SQL Builder'!K1446,4),MID('SQL Builder'!K1446,6,2),MID('SQL Builder'!K1446,9,2))),NA())</f>
        <v>#N/A</v>
      </c>
      <c r="C1471" s="50" t="str">
        <f>IF(ISBLANK('SQL Builder'!K1446)=FALSE,'SQL Builder'!L1446,"")</f>
        <v/>
      </c>
      <c r="D1471" s="1" t="str">
        <f>IF(ISBLANK('SQL Builder'!K1446)=FALSE,'SQL Builder'!O1446,"")</f>
        <v/>
      </c>
      <c r="H1471" s="43" t="str">
        <f>IF(ISBLANK('SQL Builder'!K1445)=FALSE,H1470+1,"")</f>
        <v/>
      </c>
      <c r="I1471" s="1" t="str">
        <f>IF(ISBLANK('SQL Builder'!P1446)=FALSE,'SQL Builder'!N1446,"")</f>
        <v/>
      </c>
      <c r="J1471" s="79">
        <f t="shared" si="22"/>
        <v>0</v>
      </c>
    </row>
    <row r="1472" spans="2:10" ht="16.5" x14ac:dyDescent="0.25">
      <c r="B1472" s="49" t="e">
        <f>IF(ISBLANK('SQL Builder'!K1447)=FALSE,(DATE(LEFT('SQL Builder'!K1447,4),MID('SQL Builder'!K1447,6,2),MID('SQL Builder'!K1447,9,2))),NA())</f>
        <v>#N/A</v>
      </c>
      <c r="C1472" s="50" t="str">
        <f>IF(ISBLANK('SQL Builder'!K1447)=FALSE,'SQL Builder'!L1447,"")</f>
        <v/>
      </c>
      <c r="D1472" s="1" t="str">
        <f>IF(ISBLANK('SQL Builder'!K1447)=FALSE,'SQL Builder'!O1447,"")</f>
        <v/>
      </c>
      <c r="H1472" s="43" t="str">
        <f>IF(ISBLANK('SQL Builder'!K1446)=FALSE,H1471+1,"")</f>
        <v/>
      </c>
      <c r="I1472" s="1" t="str">
        <f>IF(ISBLANK('SQL Builder'!P1447)=FALSE,'SQL Builder'!N1447,"")</f>
        <v/>
      </c>
      <c r="J1472" s="79">
        <f t="shared" si="22"/>
        <v>0</v>
      </c>
    </row>
    <row r="1473" spans="2:10" ht="16.5" x14ac:dyDescent="0.25">
      <c r="B1473" s="49" t="e">
        <f>IF(ISBLANK('SQL Builder'!K1448)=FALSE,(DATE(LEFT('SQL Builder'!K1448,4),MID('SQL Builder'!K1448,6,2),MID('SQL Builder'!K1448,9,2))),NA())</f>
        <v>#N/A</v>
      </c>
      <c r="C1473" s="50" t="str">
        <f>IF(ISBLANK('SQL Builder'!K1448)=FALSE,'SQL Builder'!L1448,"")</f>
        <v/>
      </c>
      <c r="D1473" s="1" t="str">
        <f>IF(ISBLANK('SQL Builder'!K1448)=FALSE,'SQL Builder'!O1448,"")</f>
        <v/>
      </c>
      <c r="H1473" s="43" t="str">
        <f>IF(ISBLANK('SQL Builder'!K1447)=FALSE,H1472+1,"")</f>
        <v/>
      </c>
      <c r="I1473" s="1" t="str">
        <f>IF(ISBLANK('SQL Builder'!P1448)=FALSE,'SQL Builder'!N1448,"")</f>
        <v/>
      </c>
      <c r="J1473" s="79">
        <f t="shared" si="22"/>
        <v>0</v>
      </c>
    </row>
    <row r="1474" spans="2:10" ht="16.5" x14ac:dyDescent="0.25">
      <c r="B1474" s="49" t="e">
        <f>IF(ISBLANK('SQL Builder'!K1449)=FALSE,(DATE(LEFT('SQL Builder'!K1449,4),MID('SQL Builder'!K1449,6,2),MID('SQL Builder'!K1449,9,2))),NA())</f>
        <v>#N/A</v>
      </c>
      <c r="C1474" s="50" t="str">
        <f>IF(ISBLANK('SQL Builder'!K1449)=FALSE,'SQL Builder'!L1449,"")</f>
        <v/>
      </c>
      <c r="D1474" s="1" t="str">
        <f>IF(ISBLANK('SQL Builder'!K1449)=FALSE,'SQL Builder'!O1449,"")</f>
        <v/>
      </c>
      <c r="H1474" s="43" t="str">
        <f>IF(ISBLANK('SQL Builder'!K1448)=FALSE,H1473+1,"")</f>
        <v/>
      </c>
      <c r="I1474" s="1" t="str">
        <f>IF(ISBLANK('SQL Builder'!P1449)=FALSE,'SQL Builder'!N1449,"")</f>
        <v/>
      </c>
      <c r="J1474" s="79">
        <f t="shared" si="22"/>
        <v>0</v>
      </c>
    </row>
    <row r="1475" spans="2:10" ht="16.5" x14ac:dyDescent="0.25">
      <c r="B1475" s="49" t="e">
        <f>IF(ISBLANK('SQL Builder'!K1450)=FALSE,(DATE(LEFT('SQL Builder'!K1450,4),MID('SQL Builder'!K1450,6,2),MID('SQL Builder'!K1450,9,2))),NA())</f>
        <v>#N/A</v>
      </c>
      <c r="C1475" s="50" t="str">
        <f>IF(ISBLANK('SQL Builder'!K1450)=FALSE,'SQL Builder'!L1450,"")</f>
        <v/>
      </c>
      <c r="D1475" s="1" t="str">
        <f>IF(ISBLANK('SQL Builder'!K1450)=FALSE,'SQL Builder'!O1450,"")</f>
        <v/>
      </c>
      <c r="H1475" s="43" t="str">
        <f>IF(ISBLANK('SQL Builder'!K1449)=FALSE,H1474+1,"")</f>
        <v/>
      </c>
      <c r="I1475" s="1" t="str">
        <f>IF(ISBLANK('SQL Builder'!P1450)=FALSE,'SQL Builder'!N1450,"")</f>
        <v/>
      </c>
      <c r="J1475" s="79">
        <f t="shared" si="22"/>
        <v>0</v>
      </c>
    </row>
    <row r="1476" spans="2:10" ht="16.5" x14ac:dyDescent="0.25">
      <c r="B1476" s="49" t="e">
        <f>IF(ISBLANK('SQL Builder'!K1451)=FALSE,(DATE(LEFT('SQL Builder'!K1451,4),MID('SQL Builder'!K1451,6,2),MID('SQL Builder'!K1451,9,2))),NA())</f>
        <v>#N/A</v>
      </c>
      <c r="C1476" s="50" t="str">
        <f>IF(ISBLANK('SQL Builder'!K1451)=FALSE,'SQL Builder'!L1451,"")</f>
        <v/>
      </c>
      <c r="D1476" s="1" t="str">
        <f>IF(ISBLANK('SQL Builder'!K1451)=FALSE,'SQL Builder'!O1451,"")</f>
        <v/>
      </c>
      <c r="H1476" s="43" t="str">
        <f>IF(ISBLANK('SQL Builder'!K1450)=FALSE,H1475+1,"")</f>
        <v/>
      </c>
      <c r="I1476" s="1" t="str">
        <f>IF(ISBLANK('SQL Builder'!P1451)=FALSE,'SQL Builder'!N1451,"")</f>
        <v/>
      </c>
      <c r="J1476" s="79">
        <f t="shared" si="22"/>
        <v>0</v>
      </c>
    </row>
    <row r="1477" spans="2:10" ht="16.5" x14ac:dyDescent="0.25">
      <c r="B1477" s="49" t="e">
        <f>IF(ISBLANK('SQL Builder'!K1452)=FALSE,(DATE(LEFT('SQL Builder'!K1452,4),MID('SQL Builder'!K1452,6,2),MID('SQL Builder'!K1452,9,2))),NA())</f>
        <v>#N/A</v>
      </c>
      <c r="C1477" s="50" t="str">
        <f>IF(ISBLANK('SQL Builder'!K1452)=FALSE,'SQL Builder'!L1452,"")</f>
        <v/>
      </c>
      <c r="D1477" s="1" t="str">
        <f>IF(ISBLANK('SQL Builder'!K1452)=FALSE,'SQL Builder'!O1452,"")</f>
        <v/>
      </c>
      <c r="H1477" s="43" t="str">
        <f>IF(ISBLANK('SQL Builder'!K1451)=FALSE,H1476+1,"")</f>
        <v/>
      </c>
      <c r="I1477" s="1" t="str">
        <f>IF(ISBLANK('SQL Builder'!P1452)=FALSE,'SQL Builder'!N1452,"")</f>
        <v/>
      </c>
      <c r="J1477" s="79">
        <f t="shared" si="22"/>
        <v>0</v>
      </c>
    </row>
    <row r="1478" spans="2:10" ht="16.5" x14ac:dyDescent="0.25">
      <c r="B1478" s="49" t="e">
        <f>IF(ISBLANK('SQL Builder'!K1453)=FALSE,(DATE(LEFT('SQL Builder'!K1453,4),MID('SQL Builder'!K1453,6,2),MID('SQL Builder'!K1453,9,2))),NA())</f>
        <v>#N/A</v>
      </c>
      <c r="C1478" s="50" t="str">
        <f>IF(ISBLANK('SQL Builder'!K1453)=FALSE,'SQL Builder'!L1453,"")</f>
        <v/>
      </c>
      <c r="D1478" s="1" t="str">
        <f>IF(ISBLANK('SQL Builder'!K1453)=FALSE,'SQL Builder'!O1453,"")</f>
        <v/>
      </c>
      <c r="H1478" s="43" t="str">
        <f>IF(ISBLANK('SQL Builder'!K1452)=FALSE,H1477+1,"")</f>
        <v/>
      </c>
      <c r="I1478" s="1" t="str">
        <f>IF(ISBLANK('SQL Builder'!P1453)=FALSE,'SQL Builder'!N1453,"")</f>
        <v/>
      </c>
      <c r="J1478" s="79">
        <f t="shared" si="22"/>
        <v>0</v>
      </c>
    </row>
    <row r="1479" spans="2:10" ht="16.5" x14ac:dyDescent="0.25">
      <c r="B1479" s="49" t="e">
        <f>IF(ISBLANK('SQL Builder'!K1454)=FALSE,(DATE(LEFT('SQL Builder'!K1454,4),MID('SQL Builder'!K1454,6,2),MID('SQL Builder'!K1454,9,2))),NA())</f>
        <v>#N/A</v>
      </c>
      <c r="C1479" s="50" t="str">
        <f>IF(ISBLANK('SQL Builder'!K1454)=FALSE,'SQL Builder'!L1454,"")</f>
        <v/>
      </c>
      <c r="D1479" s="1" t="str">
        <f>IF(ISBLANK('SQL Builder'!K1454)=FALSE,'SQL Builder'!O1454,"")</f>
        <v/>
      </c>
      <c r="H1479" s="43" t="str">
        <f>IF(ISBLANK('SQL Builder'!K1453)=FALSE,H1478+1,"")</f>
        <v/>
      </c>
      <c r="I1479" s="1" t="str">
        <f>IF(ISBLANK('SQL Builder'!P1454)=FALSE,'SQL Builder'!N1454,"")</f>
        <v/>
      </c>
      <c r="J1479" s="79">
        <f t="shared" si="22"/>
        <v>0</v>
      </c>
    </row>
    <row r="1480" spans="2:10" ht="16.5" x14ac:dyDescent="0.25">
      <c r="B1480" s="49" t="e">
        <f>IF(ISBLANK('SQL Builder'!K1455)=FALSE,(DATE(LEFT('SQL Builder'!K1455,4),MID('SQL Builder'!K1455,6,2),MID('SQL Builder'!K1455,9,2))),NA())</f>
        <v>#N/A</v>
      </c>
      <c r="C1480" s="50" t="str">
        <f>IF(ISBLANK('SQL Builder'!K1455)=FALSE,'SQL Builder'!L1455,"")</f>
        <v/>
      </c>
      <c r="D1480" s="1" t="str">
        <f>IF(ISBLANK('SQL Builder'!K1455)=FALSE,'SQL Builder'!O1455,"")</f>
        <v/>
      </c>
      <c r="H1480" s="43" t="str">
        <f>IF(ISBLANK('SQL Builder'!K1454)=FALSE,H1479+1,"")</f>
        <v/>
      </c>
      <c r="I1480" s="1" t="str">
        <f>IF(ISBLANK('SQL Builder'!P1455)=FALSE,'SQL Builder'!N1455,"")</f>
        <v/>
      </c>
      <c r="J1480" s="79">
        <f t="shared" si="22"/>
        <v>0</v>
      </c>
    </row>
    <row r="1481" spans="2:10" ht="16.5" x14ac:dyDescent="0.25">
      <c r="B1481" s="49" t="e">
        <f>IF(ISBLANK('SQL Builder'!K1456)=FALSE,(DATE(LEFT('SQL Builder'!K1456,4),MID('SQL Builder'!K1456,6,2),MID('SQL Builder'!K1456,9,2))),NA())</f>
        <v>#N/A</v>
      </c>
      <c r="C1481" s="50" t="str">
        <f>IF(ISBLANK('SQL Builder'!K1456)=FALSE,'SQL Builder'!L1456,"")</f>
        <v/>
      </c>
      <c r="D1481" s="1" t="str">
        <f>IF(ISBLANK('SQL Builder'!K1456)=FALSE,'SQL Builder'!O1456,"")</f>
        <v/>
      </c>
      <c r="H1481" s="43" t="str">
        <f>IF(ISBLANK('SQL Builder'!K1455)=FALSE,H1480+1,"")</f>
        <v/>
      </c>
      <c r="I1481" s="1" t="str">
        <f>IF(ISBLANK('SQL Builder'!P1456)=FALSE,'SQL Builder'!N1456,"")</f>
        <v/>
      </c>
      <c r="J1481" s="79">
        <f t="shared" si="22"/>
        <v>0</v>
      </c>
    </row>
    <row r="1482" spans="2:10" ht="16.5" x14ac:dyDescent="0.25">
      <c r="B1482" s="49" t="e">
        <f>IF(ISBLANK('SQL Builder'!K1457)=FALSE,(DATE(LEFT('SQL Builder'!K1457,4),MID('SQL Builder'!K1457,6,2),MID('SQL Builder'!K1457,9,2))),NA())</f>
        <v>#N/A</v>
      </c>
      <c r="C1482" s="50" t="str">
        <f>IF(ISBLANK('SQL Builder'!K1457)=FALSE,'SQL Builder'!L1457,"")</f>
        <v/>
      </c>
      <c r="D1482" s="1" t="str">
        <f>IF(ISBLANK('SQL Builder'!K1457)=FALSE,'SQL Builder'!O1457,"")</f>
        <v/>
      </c>
      <c r="H1482" s="43" t="str">
        <f>IF(ISBLANK('SQL Builder'!K1456)=FALSE,H1481+1,"")</f>
        <v/>
      </c>
      <c r="I1482" s="1" t="str">
        <f>IF(ISBLANK('SQL Builder'!P1457)=FALSE,'SQL Builder'!N1457,"")</f>
        <v/>
      </c>
      <c r="J1482" s="79">
        <f t="shared" si="22"/>
        <v>0</v>
      </c>
    </row>
    <row r="1483" spans="2:10" ht="16.5" x14ac:dyDescent="0.25">
      <c r="B1483" s="49" t="e">
        <f>IF(ISBLANK('SQL Builder'!K1458)=FALSE,(DATE(LEFT('SQL Builder'!K1458,4),MID('SQL Builder'!K1458,6,2),MID('SQL Builder'!K1458,9,2))),NA())</f>
        <v>#N/A</v>
      </c>
      <c r="C1483" s="50" t="str">
        <f>IF(ISBLANK('SQL Builder'!K1458)=FALSE,'SQL Builder'!L1458,"")</f>
        <v/>
      </c>
      <c r="D1483" s="1" t="str">
        <f>IF(ISBLANK('SQL Builder'!K1458)=FALSE,'SQL Builder'!O1458,"")</f>
        <v/>
      </c>
      <c r="H1483" s="43" t="str">
        <f>IF(ISBLANK('SQL Builder'!K1457)=FALSE,H1482+1,"")</f>
        <v/>
      </c>
      <c r="I1483" s="1" t="str">
        <f>IF(ISBLANK('SQL Builder'!P1458)=FALSE,'SQL Builder'!N1458,"")</f>
        <v/>
      </c>
      <c r="J1483" s="79">
        <f t="shared" si="22"/>
        <v>0</v>
      </c>
    </row>
    <row r="1484" spans="2:10" ht="16.5" x14ac:dyDescent="0.25">
      <c r="B1484" s="49" t="e">
        <f>IF(ISBLANK('SQL Builder'!K1459)=FALSE,(DATE(LEFT('SQL Builder'!K1459,4),MID('SQL Builder'!K1459,6,2),MID('SQL Builder'!K1459,9,2))),NA())</f>
        <v>#N/A</v>
      </c>
      <c r="C1484" s="50" t="str">
        <f>IF(ISBLANK('SQL Builder'!K1459)=FALSE,'SQL Builder'!L1459,"")</f>
        <v/>
      </c>
      <c r="D1484" s="1" t="str">
        <f>IF(ISBLANK('SQL Builder'!K1459)=FALSE,'SQL Builder'!O1459,"")</f>
        <v/>
      </c>
      <c r="H1484" s="43" t="str">
        <f>IF(ISBLANK('SQL Builder'!K1458)=FALSE,H1483+1,"")</f>
        <v/>
      </c>
      <c r="I1484" s="1" t="str">
        <f>IF(ISBLANK('SQL Builder'!P1459)=FALSE,'SQL Builder'!N1459,"")</f>
        <v/>
      </c>
      <c r="J1484" s="79">
        <f t="shared" si="22"/>
        <v>0</v>
      </c>
    </row>
    <row r="1485" spans="2:10" ht="16.5" x14ac:dyDescent="0.25">
      <c r="B1485" s="49" t="e">
        <f>IF(ISBLANK('SQL Builder'!K1460)=FALSE,(DATE(LEFT('SQL Builder'!K1460,4),MID('SQL Builder'!K1460,6,2),MID('SQL Builder'!K1460,9,2))),NA())</f>
        <v>#N/A</v>
      </c>
      <c r="C1485" s="50" t="str">
        <f>IF(ISBLANK('SQL Builder'!K1460)=FALSE,'SQL Builder'!L1460,"")</f>
        <v/>
      </c>
      <c r="D1485" s="1" t="str">
        <f>IF(ISBLANK('SQL Builder'!K1460)=FALSE,'SQL Builder'!O1460,"")</f>
        <v/>
      </c>
      <c r="H1485" s="43" t="str">
        <f>IF(ISBLANK('SQL Builder'!K1459)=FALSE,H1484+1,"")</f>
        <v/>
      </c>
      <c r="I1485" s="1" t="str">
        <f>IF(ISBLANK('SQL Builder'!P1460)=FALSE,'SQL Builder'!N1460,"")</f>
        <v/>
      </c>
      <c r="J1485" s="79">
        <f t="shared" si="22"/>
        <v>0</v>
      </c>
    </row>
    <row r="1486" spans="2:10" ht="16.5" x14ac:dyDescent="0.25">
      <c r="B1486" s="49" t="e">
        <f>IF(ISBLANK('SQL Builder'!K1461)=FALSE,(DATE(LEFT('SQL Builder'!K1461,4),MID('SQL Builder'!K1461,6,2),MID('SQL Builder'!K1461,9,2))),NA())</f>
        <v>#N/A</v>
      </c>
      <c r="C1486" s="50" t="str">
        <f>IF(ISBLANK('SQL Builder'!K1461)=FALSE,'SQL Builder'!L1461,"")</f>
        <v/>
      </c>
      <c r="D1486" s="1" t="str">
        <f>IF(ISBLANK('SQL Builder'!K1461)=FALSE,'SQL Builder'!O1461,"")</f>
        <v/>
      </c>
      <c r="H1486" s="43" t="str">
        <f>IF(ISBLANK('SQL Builder'!K1460)=FALSE,H1485+1,"")</f>
        <v/>
      </c>
      <c r="I1486" s="1" t="str">
        <f>IF(ISBLANK('SQL Builder'!P1461)=FALSE,'SQL Builder'!N1461,"")</f>
        <v/>
      </c>
      <c r="J1486" s="79">
        <f t="shared" si="22"/>
        <v>0</v>
      </c>
    </row>
    <row r="1487" spans="2:10" ht="16.5" x14ac:dyDescent="0.25">
      <c r="B1487" s="49" t="e">
        <f>IF(ISBLANK('SQL Builder'!K1462)=FALSE,(DATE(LEFT('SQL Builder'!K1462,4),MID('SQL Builder'!K1462,6,2),MID('SQL Builder'!K1462,9,2))),NA())</f>
        <v>#N/A</v>
      </c>
      <c r="C1487" s="50" t="str">
        <f>IF(ISBLANK('SQL Builder'!K1462)=FALSE,'SQL Builder'!L1462,"")</f>
        <v/>
      </c>
      <c r="D1487" s="1" t="str">
        <f>IF(ISBLANK('SQL Builder'!K1462)=FALSE,'SQL Builder'!O1462,"")</f>
        <v/>
      </c>
      <c r="H1487" s="43" t="str">
        <f>IF(ISBLANK('SQL Builder'!K1461)=FALSE,H1486+1,"")</f>
        <v/>
      </c>
      <c r="I1487" s="1" t="str">
        <f>IF(ISBLANK('SQL Builder'!P1462)=FALSE,'SQL Builder'!N1462,"")</f>
        <v/>
      </c>
      <c r="J1487" s="79">
        <f t="shared" si="22"/>
        <v>0</v>
      </c>
    </row>
    <row r="1488" spans="2:10" ht="16.5" x14ac:dyDescent="0.25">
      <c r="B1488" s="49" t="e">
        <f>IF(ISBLANK('SQL Builder'!K1463)=FALSE,(DATE(LEFT('SQL Builder'!K1463,4),MID('SQL Builder'!K1463,6,2),MID('SQL Builder'!K1463,9,2))),NA())</f>
        <v>#N/A</v>
      </c>
      <c r="C1488" s="50" t="str">
        <f>IF(ISBLANK('SQL Builder'!K1463)=FALSE,'SQL Builder'!L1463,"")</f>
        <v/>
      </c>
      <c r="D1488" s="1" t="str">
        <f>IF(ISBLANK('SQL Builder'!K1463)=FALSE,'SQL Builder'!O1463,"")</f>
        <v/>
      </c>
      <c r="H1488" s="43" t="str">
        <f>IF(ISBLANK('SQL Builder'!K1462)=FALSE,H1487+1,"")</f>
        <v/>
      </c>
      <c r="I1488" s="1" t="str">
        <f>IF(ISBLANK('SQL Builder'!P1463)=FALSE,'SQL Builder'!N1463,"")</f>
        <v/>
      </c>
      <c r="J1488" s="79">
        <f t="shared" si="22"/>
        <v>0</v>
      </c>
    </row>
    <row r="1489" spans="2:10" ht="16.5" x14ac:dyDescent="0.25">
      <c r="B1489" s="49" t="e">
        <f>IF(ISBLANK('SQL Builder'!K1464)=FALSE,(DATE(LEFT('SQL Builder'!K1464,4),MID('SQL Builder'!K1464,6,2),MID('SQL Builder'!K1464,9,2))),NA())</f>
        <v>#N/A</v>
      </c>
      <c r="C1489" s="50" t="str">
        <f>IF(ISBLANK('SQL Builder'!K1464)=FALSE,'SQL Builder'!L1464,"")</f>
        <v/>
      </c>
      <c r="D1489" s="1" t="str">
        <f>IF(ISBLANK('SQL Builder'!K1464)=FALSE,'SQL Builder'!O1464,"")</f>
        <v/>
      </c>
      <c r="H1489" s="43" t="str">
        <f>IF(ISBLANK('SQL Builder'!K1463)=FALSE,H1488+1,"")</f>
        <v/>
      </c>
      <c r="I1489" s="1" t="str">
        <f>IF(ISBLANK('SQL Builder'!P1464)=FALSE,'SQL Builder'!N1464,"")</f>
        <v/>
      </c>
      <c r="J1489" s="79">
        <f t="shared" si="22"/>
        <v>0</v>
      </c>
    </row>
    <row r="1490" spans="2:10" ht="16.5" x14ac:dyDescent="0.25">
      <c r="B1490" s="49" t="e">
        <f>IF(ISBLANK('SQL Builder'!K1465)=FALSE,(DATE(LEFT('SQL Builder'!K1465,4),MID('SQL Builder'!K1465,6,2),MID('SQL Builder'!K1465,9,2))),NA())</f>
        <v>#N/A</v>
      </c>
      <c r="C1490" s="50" t="str">
        <f>IF(ISBLANK('SQL Builder'!K1465)=FALSE,'SQL Builder'!L1465,"")</f>
        <v/>
      </c>
      <c r="D1490" s="1" t="str">
        <f>IF(ISBLANK('SQL Builder'!K1465)=FALSE,'SQL Builder'!O1465,"")</f>
        <v/>
      </c>
      <c r="H1490" s="43" t="str">
        <f>IF(ISBLANK('SQL Builder'!K1464)=FALSE,H1489+1,"")</f>
        <v/>
      </c>
      <c r="I1490" s="1" t="str">
        <f>IF(ISBLANK('SQL Builder'!P1465)=FALSE,'SQL Builder'!N1465,"")</f>
        <v/>
      </c>
      <c r="J1490" s="79">
        <f t="shared" si="22"/>
        <v>0</v>
      </c>
    </row>
    <row r="1491" spans="2:10" ht="16.5" x14ac:dyDescent="0.25">
      <c r="B1491" s="49" t="e">
        <f>IF(ISBLANK('SQL Builder'!K1466)=FALSE,(DATE(LEFT('SQL Builder'!K1466,4),MID('SQL Builder'!K1466,6,2),MID('SQL Builder'!K1466,9,2))),NA())</f>
        <v>#N/A</v>
      </c>
      <c r="C1491" s="50" t="str">
        <f>IF(ISBLANK('SQL Builder'!K1466)=FALSE,'SQL Builder'!L1466,"")</f>
        <v/>
      </c>
      <c r="D1491" s="1" t="str">
        <f>IF(ISBLANK('SQL Builder'!K1466)=FALSE,'SQL Builder'!O1466,"")</f>
        <v/>
      </c>
      <c r="H1491" s="43" t="str">
        <f>IF(ISBLANK('SQL Builder'!K1465)=FALSE,H1490+1,"")</f>
        <v/>
      </c>
      <c r="I1491" s="1" t="str">
        <f>IF(ISBLANK('SQL Builder'!P1466)=FALSE,'SQL Builder'!N1466,"")</f>
        <v/>
      </c>
      <c r="J1491" s="79">
        <f t="shared" si="22"/>
        <v>0</v>
      </c>
    </row>
    <row r="1492" spans="2:10" ht="16.5" x14ac:dyDescent="0.25">
      <c r="B1492" s="49" t="e">
        <f>IF(ISBLANK('SQL Builder'!K1467)=FALSE,(DATE(LEFT('SQL Builder'!K1467,4),MID('SQL Builder'!K1467,6,2),MID('SQL Builder'!K1467,9,2))),NA())</f>
        <v>#N/A</v>
      </c>
      <c r="C1492" s="50" t="str">
        <f>IF(ISBLANK('SQL Builder'!K1467)=FALSE,'SQL Builder'!L1467,"")</f>
        <v/>
      </c>
      <c r="D1492" s="1" t="str">
        <f>IF(ISBLANK('SQL Builder'!K1467)=FALSE,'SQL Builder'!O1467,"")</f>
        <v/>
      </c>
      <c r="H1492" s="43" t="str">
        <f>IF(ISBLANK('SQL Builder'!K1466)=FALSE,H1491+1,"")</f>
        <v/>
      </c>
      <c r="I1492" s="1" t="str">
        <f>IF(ISBLANK('SQL Builder'!P1467)=FALSE,'SQL Builder'!N1467,"")</f>
        <v/>
      </c>
      <c r="J1492" s="79">
        <f t="shared" si="22"/>
        <v>0</v>
      </c>
    </row>
    <row r="1493" spans="2:10" ht="16.5" x14ac:dyDescent="0.25">
      <c r="B1493" s="49" t="e">
        <f>IF(ISBLANK('SQL Builder'!K1468)=FALSE,(DATE(LEFT('SQL Builder'!K1468,4),MID('SQL Builder'!K1468,6,2),MID('SQL Builder'!K1468,9,2))),NA())</f>
        <v>#N/A</v>
      </c>
      <c r="C1493" s="50" t="str">
        <f>IF(ISBLANK('SQL Builder'!K1468)=FALSE,'SQL Builder'!L1468,"")</f>
        <v/>
      </c>
      <c r="D1493" s="1" t="str">
        <f>IF(ISBLANK('SQL Builder'!K1468)=FALSE,'SQL Builder'!O1468,"")</f>
        <v/>
      </c>
      <c r="H1493" s="43" t="str">
        <f>IF(ISBLANK('SQL Builder'!K1467)=FALSE,H1492+1,"")</f>
        <v/>
      </c>
      <c r="I1493" s="1" t="str">
        <f>IF(ISBLANK('SQL Builder'!P1468)=FALSE,'SQL Builder'!N1468,"")</f>
        <v/>
      </c>
      <c r="J1493" s="79">
        <f t="shared" si="22"/>
        <v>0</v>
      </c>
    </row>
    <row r="1494" spans="2:10" ht="16.5" x14ac:dyDescent="0.25">
      <c r="B1494" s="49" t="e">
        <f>IF(ISBLANK('SQL Builder'!K1469)=FALSE,(DATE(LEFT('SQL Builder'!K1469,4),MID('SQL Builder'!K1469,6,2),MID('SQL Builder'!K1469,9,2))),NA())</f>
        <v>#N/A</v>
      </c>
      <c r="C1494" s="50" t="str">
        <f>IF(ISBLANK('SQL Builder'!K1469)=FALSE,'SQL Builder'!L1469,"")</f>
        <v/>
      </c>
      <c r="D1494" s="1" t="str">
        <f>IF(ISBLANK('SQL Builder'!K1469)=FALSE,'SQL Builder'!O1469,"")</f>
        <v/>
      </c>
      <c r="H1494" s="43" t="str">
        <f>IF(ISBLANK('SQL Builder'!K1468)=FALSE,H1493+1,"")</f>
        <v/>
      </c>
      <c r="I1494" s="1" t="str">
        <f>IF(ISBLANK('SQL Builder'!P1469)=FALSE,'SQL Builder'!N1469,"")</f>
        <v/>
      </c>
      <c r="J1494" s="79">
        <f t="shared" si="22"/>
        <v>0</v>
      </c>
    </row>
    <row r="1495" spans="2:10" ht="16.5" x14ac:dyDescent="0.25">
      <c r="B1495" s="49" t="e">
        <f>IF(ISBLANK('SQL Builder'!K1470)=FALSE,(DATE(LEFT('SQL Builder'!K1470,4),MID('SQL Builder'!K1470,6,2),MID('SQL Builder'!K1470,9,2))),NA())</f>
        <v>#N/A</v>
      </c>
      <c r="C1495" s="50" t="str">
        <f>IF(ISBLANK('SQL Builder'!K1470)=FALSE,'SQL Builder'!L1470,"")</f>
        <v/>
      </c>
      <c r="D1495" s="1" t="str">
        <f>IF(ISBLANK('SQL Builder'!K1470)=FALSE,'SQL Builder'!O1470,"")</f>
        <v/>
      </c>
      <c r="H1495" s="43" t="str">
        <f>IF(ISBLANK('SQL Builder'!K1469)=FALSE,H1494+1,"")</f>
        <v/>
      </c>
      <c r="I1495" s="1" t="str">
        <f>IF(ISBLANK('SQL Builder'!P1470)=FALSE,'SQL Builder'!N1470,"")</f>
        <v/>
      </c>
      <c r="J1495" s="79">
        <f t="shared" si="22"/>
        <v>0</v>
      </c>
    </row>
    <row r="1496" spans="2:10" ht="16.5" x14ac:dyDescent="0.25">
      <c r="B1496" s="49" t="e">
        <f>IF(ISBLANK('SQL Builder'!K1471)=FALSE,(DATE(LEFT('SQL Builder'!K1471,4),MID('SQL Builder'!K1471,6,2),MID('SQL Builder'!K1471,9,2))),NA())</f>
        <v>#N/A</v>
      </c>
      <c r="C1496" s="50" t="str">
        <f>IF(ISBLANK('SQL Builder'!K1471)=FALSE,'SQL Builder'!L1471,"")</f>
        <v/>
      </c>
      <c r="D1496" s="1" t="str">
        <f>IF(ISBLANK('SQL Builder'!K1471)=FALSE,'SQL Builder'!O1471,"")</f>
        <v/>
      </c>
      <c r="H1496" s="43" t="str">
        <f>IF(ISBLANK('SQL Builder'!K1470)=FALSE,H1495+1,"")</f>
        <v/>
      </c>
      <c r="I1496" s="1" t="str">
        <f>IF(ISBLANK('SQL Builder'!P1471)=FALSE,'SQL Builder'!N1471,"")</f>
        <v/>
      </c>
      <c r="J1496" s="79">
        <f t="shared" si="22"/>
        <v>0</v>
      </c>
    </row>
    <row r="1497" spans="2:10" ht="16.5" x14ac:dyDescent="0.25">
      <c r="B1497" s="49" t="e">
        <f>IF(ISBLANK('SQL Builder'!K1472)=FALSE,(DATE(LEFT('SQL Builder'!K1472,4),MID('SQL Builder'!K1472,6,2),MID('SQL Builder'!K1472,9,2))),NA())</f>
        <v>#N/A</v>
      </c>
      <c r="C1497" s="50" t="str">
        <f>IF(ISBLANK('SQL Builder'!K1472)=FALSE,'SQL Builder'!L1472,"")</f>
        <v/>
      </c>
      <c r="D1497" s="1" t="str">
        <f>IF(ISBLANK('SQL Builder'!K1472)=FALSE,'SQL Builder'!O1472,"")</f>
        <v/>
      </c>
      <c r="H1497" s="43" t="str">
        <f>IF(ISBLANK('SQL Builder'!K1471)=FALSE,H1496+1,"")</f>
        <v/>
      </c>
      <c r="I1497" s="1" t="str">
        <f>IF(ISBLANK('SQL Builder'!P1472)=FALSE,'SQL Builder'!N1472,"")</f>
        <v/>
      </c>
      <c r="J1497" s="79">
        <f t="shared" si="22"/>
        <v>0</v>
      </c>
    </row>
    <row r="1498" spans="2:10" ht="16.5" x14ac:dyDescent="0.25">
      <c r="B1498" s="49" t="e">
        <f>IF(ISBLANK('SQL Builder'!K1473)=FALSE,(DATE(LEFT('SQL Builder'!K1473,4),MID('SQL Builder'!K1473,6,2),MID('SQL Builder'!K1473,9,2))),NA())</f>
        <v>#N/A</v>
      </c>
      <c r="C1498" s="50" t="str">
        <f>IF(ISBLANK('SQL Builder'!K1473)=FALSE,'SQL Builder'!L1473,"")</f>
        <v/>
      </c>
      <c r="D1498" s="1" t="str">
        <f>IF(ISBLANK('SQL Builder'!K1473)=FALSE,'SQL Builder'!O1473,"")</f>
        <v/>
      </c>
      <c r="H1498" s="43" t="str">
        <f>IF(ISBLANK('SQL Builder'!K1472)=FALSE,H1497+1,"")</f>
        <v/>
      </c>
      <c r="I1498" s="1" t="str">
        <f>IF(ISBLANK('SQL Builder'!P1473)=FALSE,'SQL Builder'!N1473,"")</f>
        <v/>
      </c>
      <c r="J1498" s="79">
        <f t="shared" si="22"/>
        <v>0</v>
      </c>
    </row>
    <row r="1499" spans="2:10" ht="16.5" x14ac:dyDescent="0.25">
      <c r="B1499" s="49" t="e">
        <f>IF(ISBLANK('SQL Builder'!K1474)=FALSE,(DATE(LEFT('SQL Builder'!K1474,4),MID('SQL Builder'!K1474,6,2),MID('SQL Builder'!K1474,9,2))),NA())</f>
        <v>#N/A</v>
      </c>
      <c r="C1499" s="50" t="str">
        <f>IF(ISBLANK('SQL Builder'!K1474)=FALSE,'SQL Builder'!L1474,"")</f>
        <v/>
      </c>
      <c r="D1499" s="1" t="str">
        <f>IF(ISBLANK('SQL Builder'!K1474)=FALSE,'SQL Builder'!O1474,"")</f>
        <v/>
      </c>
      <c r="H1499" s="43" t="str">
        <f>IF(ISBLANK('SQL Builder'!K1473)=FALSE,H1498+1,"")</f>
        <v/>
      </c>
      <c r="I1499" s="1" t="str">
        <f>IF(ISBLANK('SQL Builder'!P1474)=FALSE,'SQL Builder'!N1474,"")</f>
        <v/>
      </c>
      <c r="J1499" s="79">
        <f t="shared" si="22"/>
        <v>0</v>
      </c>
    </row>
    <row r="1500" spans="2:10" ht="16.5" x14ac:dyDescent="0.25">
      <c r="B1500" s="49" t="e">
        <f>IF(ISBLANK('SQL Builder'!K1475)=FALSE,(DATE(LEFT('SQL Builder'!K1475,4),MID('SQL Builder'!K1475,6,2),MID('SQL Builder'!K1475,9,2))),NA())</f>
        <v>#N/A</v>
      </c>
      <c r="C1500" s="50" t="str">
        <f>IF(ISBLANK('SQL Builder'!K1475)=FALSE,'SQL Builder'!L1475,"")</f>
        <v/>
      </c>
      <c r="D1500" s="1" t="str">
        <f>IF(ISBLANK('SQL Builder'!K1475)=FALSE,'SQL Builder'!O1475,"")</f>
        <v/>
      </c>
      <c r="H1500" s="43" t="str">
        <f>IF(ISBLANK('SQL Builder'!K1474)=FALSE,H1499+1,"")</f>
        <v/>
      </c>
      <c r="I1500" s="1" t="str">
        <f>IF(ISBLANK('SQL Builder'!P1475)=FALSE,'SQL Builder'!N1475,"")</f>
        <v/>
      </c>
      <c r="J1500" s="79">
        <f t="shared" si="22"/>
        <v>0</v>
      </c>
    </row>
    <row r="1501" spans="2:10" ht="16.5" x14ac:dyDescent="0.25">
      <c r="B1501" s="49" t="e">
        <f>IF(ISBLANK('SQL Builder'!K1476)=FALSE,(DATE(LEFT('SQL Builder'!K1476,4),MID('SQL Builder'!K1476,6,2),MID('SQL Builder'!K1476,9,2))),NA())</f>
        <v>#N/A</v>
      </c>
      <c r="C1501" s="50" t="str">
        <f>IF(ISBLANK('SQL Builder'!K1476)=FALSE,'SQL Builder'!L1476,"")</f>
        <v/>
      </c>
      <c r="D1501" s="1" t="str">
        <f>IF(ISBLANK('SQL Builder'!K1476)=FALSE,'SQL Builder'!O1476,"")</f>
        <v/>
      </c>
      <c r="H1501" s="43" t="str">
        <f>IF(ISBLANK('SQL Builder'!K1475)=FALSE,H1500+1,"")</f>
        <v/>
      </c>
      <c r="I1501" s="1" t="str">
        <f>IF(ISBLANK('SQL Builder'!P1476)=FALSE,'SQL Builder'!N1476,"")</f>
        <v/>
      </c>
      <c r="J1501" s="79">
        <f t="shared" si="22"/>
        <v>0</v>
      </c>
    </row>
    <row r="1502" spans="2:10" ht="16.5" x14ac:dyDescent="0.25">
      <c r="B1502" s="49" t="e">
        <f>IF(ISBLANK('SQL Builder'!K1477)=FALSE,(DATE(LEFT('SQL Builder'!K1477,4),MID('SQL Builder'!K1477,6,2),MID('SQL Builder'!K1477,9,2))),NA())</f>
        <v>#N/A</v>
      </c>
      <c r="C1502" s="50" t="str">
        <f>IF(ISBLANK('SQL Builder'!K1477)=FALSE,'SQL Builder'!L1477,"")</f>
        <v/>
      </c>
      <c r="D1502" s="1" t="str">
        <f>IF(ISBLANK('SQL Builder'!K1477)=FALSE,'SQL Builder'!O1477,"")</f>
        <v/>
      </c>
      <c r="H1502" s="43" t="str">
        <f>IF(ISBLANK('SQL Builder'!K1476)=FALSE,H1501+1,"")</f>
        <v/>
      </c>
      <c r="I1502" s="1" t="str">
        <f>IF(ISBLANK('SQL Builder'!P1477)=FALSE,'SQL Builder'!N1477,"")</f>
        <v/>
      </c>
      <c r="J1502" s="79">
        <f t="shared" si="22"/>
        <v>0</v>
      </c>
    </row>
    <row r="1503" spans="2:10" ht="16.5" x14ac:dyDescent="0.25">
      <c r="B1503" s="49" t="e">
        <f>IF(ISBLANK('SQL Builder'!K1478)=FALSE,(DATE(LEFT('SQL Builder'!K1478,4),MID('SQL Builder'!K1478,6,2),MID('SQL Builder'!K1478,9,2))),NA())</f>
        <v>#N/A</v>
      </c>
      <c r="C1503" s="50" t="str">
        <f>IF(ISBLANK('SQL Builder'!K1478)=FALSE,'SQL Builder'!L1478,"")</f>
        <v/>
      </c>
      <c r="D1503" s="1" t="str">
        <f>IF(ISBLANK('SQL Builder'!K1478)=FALSE,'SQL Builder'!O1478,"")</f>
        <v/>
      </c>
      <c r="H1503" s="43" t="str">
        <f>IF(ISBLANK('SQL Builder'!K1477)=FALSE,H1502+1,"")</f>
        <v/>
      </c>
      <c r="I1503" s="1" t="str">
        <f>IF(ISBLANK('SQL Builder'!P1478)=FALSE,'SQL Builder'!N1478,"")</f>
        <v/>
      </c>
      <c r="J1503" s="79">
        <f t="shared" ref="J1503:J1566" si="23">IF(I1503="",0,IF(I1503=C$5,2,1))</f>
        <v>0</v>
      </c>
    </row>
    <row r="1504" spans="2:10" ht="16.5" x14ac:dyDescent="0.25">
      <c r="B1504" s="49" t="e">
        <f>IF(ISBLANK('SQL Builder'!K1479)=FALSE,(DATE(LEFT('SQL Builder'!K1479,4),MID('SQL Builder'!K1479,6,2),MID('SQL Builder'!K1479,9,2))),NA())</f>
        <v>#N/A</v>
      </c>
      <c r="C1504" s="50" t="str">
        <f>IF(ISBLANK('SQL Builder'!K1479)=FALSE,'SQL Builder'!L1479,"")</f>
        <v/>
      </c>
      <c r="D1504" s="1" t="str">
        <f>IF(ISBLANK('SQL Builder'!K1479)=FALSE,'SQL Builder'!O1479,"")</f>
        <v/>
      </c>
      <c r="H1504" s="43" t="str">
        <f>IF(ISBLANK('SQL Builder'!K1478)=FALSE,H1503+1,"")</f>
        <v/>
      </c>
      <c r="I1504" s="1" t="str">
        <f>IF(ISBLANK('SQL Builder'!P1479)=FALSE,'SQL Builder'!N1479,"")</f>
        <v/>
      </c>
      <c r="J1504" s="79">
        <f t="shared" si="23"/>
        <v>0</v>
      </c>
    </row>
    <row r="1505" spans="2:10" ht="16.5" x14ac:dyDescent="0.25">
      <c r="B1505" s="49" t="e">
        <f>IF(ISBLANK('SQL Builder'!K1480)=FALSE,(DATE(LEFT('SQL Builder'!K1480,4),MID('SQL Builder'!K1480,6,2),MID('SQL Builder'!K1480,9,2))),NA())</f>
        <v>#N/A</v>
      </c>
      <c r="C1505" s="50" t="str">
        <f>IF(ISBLANK('SQL Builder'!K1480)=FALSE,'SQL Builder'!L1480,"")</f>
        <v/>
      </c>
      <c r="D1505" s="1" t="str">
        <f>IF(ISBLANK('SQL Builder'!K1480)=FALSE,'SQL Builder'!O1480,"")</f>
        <v/>
      </c>
      <c r="H1505" s="43" t="str">
        <f>IF(ISBLANK('SQL Builder'!K1479)=FALSE,H1504+1,"")</f>
        <v/>
      </c>
      <c r="I1505" s="1" t="str">
        <f>IF(ISBLANK('SQL Builder'!P1480)=FALSE,'SQL Builder'!N1480,"")</f>
        <v/>
      </c>
      <c r="J1505" s="79">
        <f t="shared" si="23"/>
        <v>0</v>
      </c>
    </row>
    <row r="1506" spans="2:10" ht="16.5" x14ac:dyDescent="0.25">
      <c r="B1506" s="49" t="e">
        <f>IF(ISBLANK('SQL Builder'!K1481)=FALSE,(DATE(LEFT('SQL Builder'!K1481,4),MID('SQL Builder'!K1481,6,2),MID('SQL Builder'!K1481,9,2))),NA())</f>
        <v>#N/A</v>
      </c>
      <c r="C1506" s="50" t="str">
        <f>IF(ISBLANK('SQL Builder'!K1481)=FALSE,'SQL Builder'!L1481,"")</f>
        <v/>
      </c>
      <c r="D1506" s="1" t="str">
        <f>IF(ISBLANK('SQL Builder'!K1481)=FALSE,'SQL Builder'!O1481,"")</f>
        <v/>
      </c>
      <c r="H1506" s="43" t="str">
        <f>IF(ISBLANK('SQL Builder'!K1480)=FALSE,H1505+1,"")</f>
        <v/>
      </c>
      <c r="I1506" s="1" t="str">
        <f>IF(ISBLANK('SQL Builder'!P1481)=FALSE,'SQL Builder'!N1481,"")</f>
        <v/>
      </c>
      <c r="J1506" s="79">
        <f t="shared" si="23"/>
        <v>0</v>
      </c>
    </row>
    <row r="1507" spans="2:10" ht="16.5" x14ac:dyDescent="0.25">
      <c r="B1507" s="49" t="e">
        <f>IF(ISBLANK('SQL Builder'!K1482)=FALSE,(DATE(LEFT('SQL Builder'!K1482,4),MID('SQL Builder'!K1482,6,2),MID('SQL Builder'!K1482,9,2))),NA())</f>
        <v>#N/A</v>
      </c>
      <c r="C1507" s="50" t="str">
        <f>IF(ISBLANK('SQL Builder'!K1482)=FALSE,'SQL Builder'!L1482,"")</f>
        <v/>
      </c>
      <c r="D1507" s="1" t="str">
        <f>IF(ISBLANK('SQL Builder'!K1482)=FALSE,'SQL Builder'!O1482,"")</f>
        <v/>
      </c>
      <c r="H1507" s="43" t="str">
        <f>IF(ISBLANK('SQL Builder'!K1481)=FALSE,H1506+1,"")</f>
        <v/>
      </c>
      <c r="I1507" s="1" t="str">
        <f>IF(ISBLANK('SQL Builder'!P1482)=FALSE,'SQL Builder'!N1482,"")</f>
        <v/>
      </c>
      <c r="J1507" s="79">
        <f t="shared" si="23"/>
        <v>0</v>
      </c>
    </row>
    <row r="1508" spans="2:10" ht="16.5" x14ac:dyDescent="0.25">
      <c r="B1508" s="49" t="e">
        <f>IF(ISBLANK('SQL Builder'!K1483)=FALSE,(DATE(LEFT('SQL Builder'!K1483,4),MID('SQL Builder'!K1483,6,2),MID('SQL Builder'!K1483,9,2))),NA())</f>
        <v>#N/A</v>
      </c>
      <c r="C1508" s="50" t="str">
        <f>IF(ISBLANK('SQL Builder'!K1483)=FALSE,'SQL Builder'!L1483,"")</f>
        <v/>
      </c>
      <c r="D1508" s="1" t="str">
        <f>IF(ISBLANK('SQL Builder'!K1483)=FALSE,'SQL Builder'!O1483,"")</f>
        <v/>
      </c>
      <c r="H1508" s="43" t="str">
        <f>IF(ISBLANK('SQL Builder'!K1482)=FALSE,H1507+1,"")</f>
        <v/>
      </c>
      <c r="I1508" s="1" t="str">
        <f>IF(ISBLANK('SQL Builder'!P1483)=FALSE,'SQL Builder'!N1483,"")</f>
        <v/>
      </c>
      <c r="J1508" s="79">
        <f t="shared" si="23"/>
        <v>0</v>
      </c>
    </row>
    <row r="1509" spans="2:10" ht="16.5" x14ac:dyDescent="0.25">
      <c r="B1509" s="49" t="e">
        <f>IF(ISBLANK('SQL Builder'!K1484)=FALSE,(DATE(LEFT('SQL Builder'!K1484,4),MID('SQL Builder'!K1484,6,2),MID('SQL Builder'!K1484,9,2))),NA())</f>
        <v>#N/A</v>
      </c>
      <c r="C1509" s="50" t="str">
        <f>IF(ISBLANK('SQL Builder'!K1484)=FALSE,'SQL Builder'!L1484,"")</f>
        <v/>
      </c>
      <c r="D1509" s="1" t="str">
        <f>IF(ISBLANK('SQL Builder'!K1484)=FALSE,'SQL Builder'!O1484,"")</f>
        <v/>
      </c>
      <c r="H1509" s="43" t="str">
        <f>IF(ISBLANK('SQL Builder'!K1483)=FALSE,H1508+1,"")</f>
        <v/>
      </c>
      <c r="I1509" s="1" t="str">
        <f>IF(ISBLANK('SQL Builder'!P1484)=FALSE,'SQL Builder'!N1484,"")</f>
        <v/>
      </c>
      <c r="J1509" s="79">
        <f t="shared" si="23"/>
        <v>0</v>
      </c>
    </row>
    <row r="1510" spans="2:10" ht="16.5" x14ac:dyDescent="0.25">
      <c r="B1510" s="49" t="e">
        <f>IF(ISBLANK('SQL Builder'!K1485)=FALSE,(DATE(LEFT('SQL Builder'!K1485,4),MID('SQL Builder'!K1485,6,2),MID('SQL Builder'!K1485,9,2))),NA())</f>
        <v>#N/A</v>
      </c>
      <c r="C1510" s="50" t="str">
        <f>IF(ISBLANK('SQL Builder'!K1485)=FALSE,'SQL Builder'!L1485,"")</f>
        <v/>
      </c>
      <c r="D1510" s="1" t="str">
        <f>IF(ISBLANK('SQL Builder'!K1485)=FALSE,'SQL Builder'!O1485,"")</f>
        <v/>
      </c>
      <c r="H1510" s="43" t="str">
        <f>IF(ISBLANK('SQL Builder'!K1484)=FALSE,H1509+1,"")</f>
        <v/>
      </c>
      <c r="I1510" s="1" t="str">
        <f>IF(ISBLANK('SQL Builder'!P1485)=FALSE,'SQL Builder'!N1485,"")</f>
        <v/>
      </c>
      <c r="J1510" s="79">
        <f t="shared" si="23"/>
        <v>0</v>
      </c>
    </row>
    <row r="1511" spans="2:10" ht="16.5" x14ac:dyDescent="0.25">
      <c r="B1511" s="49" t="e">
        <f>IF(ISBLANK('SQL Builder'!K1486)=FALSE,(DATE(LEFT('SQL Builder'!K1486,4),MID('SQL Builder'!K1486,6,2),MID('SQL Builder'!K1486,9,2))),NA())</f>
        <v>#N/A</v>
      </c>
      <c r="C1511" s="50" t="str">
        <f>IF(ISBLANK('SQL Builder'!K1486)=FALSE,'SQL Builder'!L1486,"")</f>
        <v/>
      </c>
      <c r="D1511" s="1" t="str">
        <f>IF(ISBLANK('SQL Builder'!K1486)=FALSE,'SQL Builder'!O1486,"")</f>
        <v/>
      </c>
      <c r="H1511" s="43" t="str">
        <f>IF(ISBLANK('SQL Builder'!K1485)=FALSE,H1510+1,"")</f>
        <v/>
      </c>
      <c r="I1511" s="1" t="str">
        <f>IF(ISBLANK('SQL Builder'!P1486)=FALSE,'SQL Builder'!N1486,"")</f>
        <v/>
      </c>
      <c r="J1511" s="79">
        <f t="shared" si="23"/>
        <v>0</v>
      </c>
    </row>
    <row r="1512" spans="2:10" ht="16.5" x14ac:dyDescent="0.25">
      <c r="B1512" s="49" t="e">
        <f>IF(ISBLANK('SQL Builder'!K1487)=FALSE,(DATE(LEFT('SQL Builder'!K1487,4),MID('SQL Builder'!K1487,6,2),MID('SQL Builder'!K1487,9,2))),NA())</f>
        <v>#N/A</v>
      </c>
      <c r="C1512" s="50" t="str">
        <f>IF(ISBLANK('SQL Builder'!K1487)=FALSE,'SQL Builder'!L1487,"")</f>
        <v/>
      </c>
      <c r="D1512" s="1" t="str">
        <f>IF(ISBLANK('SQL Builder'!K1487)=FALSE,'SQL Builder'!O1487,"")</f>
        <v/>
      </c>
      <c r="H1512" s="43" t="str">
        <f>IF(ISBLANK('SQL Builder'!K1486)=FALSE,H1511+1,"")</f>
        <v/>
      </c>
      <c r="I1512" s="1" t="str">
        <f>IF(ISBLANK('SQL Builder'!P1487)=FALSE,'SQL Builder'!N1487,"")</f>
        <v/>
      </c>
      <c r="J1512" s="79">
        <f t="shared" si="23"/>
        <v>0</v>
      </c>
    </row>
    <row r="1513" spans="2:10" ht="16.5" x14ac:dyDescent="0.25">
      <c r="B1513" s="49" t="e">
        <f>IF(ISBLANK('SQL Builder'!K1488)=FALSE,(DATE(LEFT('SQL Builder'!K1488,4),MID('SQL Builder'!K1488,6,2),MID('SQL Builder'!K1488,9,2))),NA())</f>
        <v>#N/A</v>
      </c>
      <c r="C1513" s="50" t="str">
        <f>IF(ISBLANK('SQL Builder'!K1488)=FALSE,'SQL Builder'!L1488,"")</f>
        <v/>
      </c>
      <c r="D1513" s="1" t="str">
        <f>IF(ISBLANK('SQL Builder'!K1488)=FALSE,'SQL Builder'!O1488,"")</f>
        <v/>
      </c>
      <c r="H1513" s="43" t="str">
        <f>IF(ISBLANK('SQL Builder'!K1487)=FALSE,H1512+1,"")</f>
        <v/>
      </c>
      <c r="I1513" s="1" t="str">
        <f>IF(ISBLANK('SQL Builder'!P1488)=FALSE,'SQL Builder'!N1488,"")</f>
        <v/>
      </c>
      <c r="J1513" s="79">
        <f t="shared" si="23"/>
        <v>0</v>
      </c>
    </row>
    <row r="1514" spans="2:10" ht="16.5" x14ac:dyDescent="0.25">
      <c r="B1514" s="49" t="e">
        <f>IF(ISBLANK('SQL Builder'!K1489)=FALSE,(DATE(LEFT('SQL Builder'!K1489,4),MID('SQL Builder'!K1489,6,2),MID('SQL Builder'!K1489,9,2))),NA())</f>
        <v>#N/A</v>
      </c>
      <c r="C1514" s="50" t="str">
        <f>IF(ISBLANK('SQL Builder'!K1489)=FALSE,'SQL Builder'!L1489,"")</f>
        <v/>
      </c>
      <c r="D1514" s="1" t="str">
        <f>IF(ISBLANK('SQL Builder'!K1489)=FALSE,'SQL Builder'!O1489,"")</f>
        <v/>
      </c>
      <c r="H1514" s="43" t="str">
        <f>IF(ISBLANK('SQL Builder'!K1488)=FALSE,H1513+1,"")</f>
        <v/>
      </c>
      <c r="I1514" s="1" t="str">
        <f>IF(ISBLANK('SQL Builder'!P1489)=FALSE,'SQL Builder'!N1489,"")</f>
        <v/>
      </c>
      <c r="J1514" s="79">
        <f t="shared" si="23"/>
        <v>0</v>
      </c>
    </row>
    <row r="1515" spans="2:10" ht="16.5" x14ac:dyDescent="0.25">
      <c r="B1515" s="49" t="e">
        <f>IF(ISBLANK('SQL Builder'!K1490)=FALSE,(DATE(LEFT('SQL Builder'!K1490,4),MID('SQL Builder'!K1490,6,2),MID('SQL Builder'!K1490,9,2))),NA())</f>
        <v>#N/A</v>
      </c>
      <c r="C1515" s="50" t="str">
        <f>IF(ISBLANK('SQL Builder'!K1490)=FALSE,'SQL Builder'!L1490,"")</f>
        <v/>
      </c>
      <c r="D1515" s="1" t="str">
        <f>IF(ISBLANK('SQL Builder'!K1490)=FALSE,'SQL Builder'!O1490,"")</f>
        <v/>
      </c>
      <c r="H1515" s="43" t="str">
        <f>IF(ISBLANK('SQL Builder'!K1489)=FALSE,H1514+1,"")</f>
        <v/>
      </c>
      <c r="I1515" s="1" t="str">
        <f>IF(ISBLANK('SQL Builder'!P1490)=FALSE,'SQL Builder'!N1490,"")</f>
        <v/>
      </c>
      <c r="J1515" s="79">
        <f t="shared" si="23"/>
        <v>0</v>
      </c>
    </row>
    <row r="1516" spans="2:10" ht="16.5" x14ac:dyDescent="0.25">
      <c r="B1516" s="49" t="e">
        <f>IF(ISBLANK('SQL Builder'!K1491)=FALSE,(DATE(LEFT('SQL Builder'!K1491,4),MID('SQL Builder'!K1491,6,2),MID('SQL Builder'!K1491,9,2))),NA())</f>
        <v>#N/A</v>
      </c>
      <c r="C1516" s="50" t="str">
        <f>IF(ISBLANK('SQL Builder'!K1491)=FALSE,'SQL Builder'!L1491,"")</f>
        <v/>
      </c>
      <c r="D1516" s="1" t="str">
        <f>IF(ISBLANK('SQL Builder'!K1491)=FALSE,'SQL Builder'!O1491,"")</f>
        <v/>
      </c>
      <c r="H1516" s="43" t="str">
        <f>IF(ISBLANK('SQL Builder'!K1490)=FALSE,H1515+1,"")</f>
        <v/>
      </c>
      <c r="I1516" s="1" t="str">
        <f>IF(ISBLANK('SQL Builder'!P1491)=FALSE,'SQL Builder'!N1491,"")</f>
        <v/>
      </c>
      <c r="J1516" s="79">
        <f t="shared" si="23"/>
        <v>0</v>
      </c>
    </row>
    <row r="1517" spans="2:10" ht="16.5" x14ac:dyDescent="0.25">
      <c r="B1517" s="49" t="e">
        <f>IF(ISBLANK('SQL Builder'!K1492)=FALSE,(DATE(LEFT('SQL Builder'!K1492,4),MID('SQL Builder'!K1492,6,2),MID('SQL Builder'!K1492,9,2))),NA())</f>
        <v>#N/A</v>
      </c>
      <c r="C1517" s="50" t="str">
        <f>IF(ISBLANK('SQL Builder'!K1492)=FALSE,'SQL Builder'!L1492,"")</f>
        <v/>
      </c>
      <c r="D1517" s="1" t="str">
        <f>IF(ISBLANK('SQL Builder'!K1492)=FALSE,'SQL Builder'!O1492,"")</f>
        <v/>
      </c>
      <c r="H1517" s="43" t="str">
        <f>IF(ISBLANK('SQL Builder'!K1491)=FALSE,H1516+1,"")</f>
        <v/>
      </c>
      <c r="I1517" s="1" t="str">
        <f>IF(ISBLANK('SQL Builder'!P1492)=FALSE,'SQL Builder'!N1492,"")</f>
        <v/>
      </c>
      <c r="J1517" s="79">
        <f t="shared" si="23"/>
        <v>0</v>
      </c>
    </row>
    <row r="1518" spans="2:10" ht="16.5" x14ac:dyDescent="0.25">
      <c r="B1518" s="49" t="e">
        <f>IF(ISBLANK('SQL Builder'!K1493)=FALSE,(DATE(LEFT('SQL Builder'!K1493,4),MID('SQL Builder'!K1493,6,2),MID('SQL Builder'!K1493,9,2))),NA())</f>
        <v>#N/A</v>
      </c>
      <c r="C1518" s="50" t="str">
        <f>IF(ISBLANK('SQL Builder'!K1493)=FALSE,'SQL Builder'!L1493,"")</f>
        <v/>
      </c>
      <c r="D1518" s="1" t="str">
        <f>IF(ISBLANK('SQL Builder'!K1493)=FALSE,'SQL Builder'!O1493,"")</f>
        <v/>
      </c>
      <c r="H1518" s="43" t="str">
        <f>IF(ISBLANK('SQL Builder'!K1492)=FALSE,H1517+1,"")</f>
        <v/>
      </c>
      <c r="I1518" s="1" t="str">
        <f>IF(ISBLANK('SQL Builder'!P1493)=FALSE,'SQL Builder'!N1493,"")</f>
        <v/>
      </c>
      <c r="J1518" s="79">
        <f t="shared" si="23"/>
        <v>0</v>
      </c>
    </row>
    <row r="1519" spans="2:10" ht="16.5" x14ac:dyDescent="0.25">
      <c r="B1519" s="49" t="e">
        <f>IF(ISBLANK('SQL Builder'!K1494)=FALSE,(DATE(LEFT('SQL Builder'!K1494,4),MID('SQL Builder'!K1494,6,2),MID('SQL Builder'!K1494,9,2))),NA())</f>
        <v>#N/A</v>
      </c>
      <c r="C1519" s="50" t="str">
        <f>IF(ISBLANK('SQL Builder'!K1494)=FALSE,'SQL Builder'!L1494,"")</f>
        <v/>
      </c>
      <c r="D1519" s="1" t="str">
        <f>IF(ISBLANK('SQL Builder'!K1494)=FALSE,'SQL Builder'!O1494,"")</f>
        <v/>
      </c>
      <c r="H1519" s="43" t="str">
        <f>IF(ISBLANK('SQL Builder'!K1493)=FALSE,H1518+1,"")</f>
        <v/>
      </c>
      <c r="I1519" s="1" t="str">
        <f>IF(ISBLANK('SQL Builder'!P1494)=FALSE,'SQL Builder'!N1494,"")</f>
        <v/>
      </c>
      <c r="J1519" s="79">
        <f t="shared" si="23"/>
        <v>0</v>
      </c>
    </row>
    <row r="1520" spans="2:10" ht="16.5" x14ac:dyDescent="0.25">
      <c r="B1520" s="49" t="e">
        <f>IF(ISBLANK('SQL Builder'!K1495)=FALSE,(DATE(LEFT('SQL Builder'!K1495,4),MID('SQL Builder'!K1495,6,2),MID('SQL Builder'!K1495,9,2))),NA())</f>
        <v>#N/A</v>
      </c>
      <c r="C1520" s="50" t="str">
        <f>IF(ISBLANK('SQL Builder'!K1495)=FALSE,'SQL Builder'!L1495,"")</f>
        <v/>
      </c>
      <c r="D1520" s="1" t="str">
        <f>IF(ISBLANK('SQL Builder'!K1495)=FALSE,'SQL Builder'!O1495,"")</f>
        <v/>
      </c>
      <c r="H1520" s="43" t="str">
        <f>IF(ISBLANK('SQL Builder'!K1494)=FALSE,H1519+1,"")</f>
        <v/>
      </c>
      <c r="I1520" s="1" t="str">
        <f>IF(ISBLANK('SQL Builder'!P1495)=FALSE,'SQL Builder'!N1495,"")</f>
        <v/>
      </c>
      <c r="J1520" s="79">
        <f t="shared" si="23"/>
        <v>0</v>
      </c>
    </row>
    <row r="1521" spans="2:10" ht="16.5" x14ac:dyDescent="0.25">
      <c r="B1521" s="49" t="e">
        <f>IF(ISBLANK('SQL Builder'!K1496)=FALSE,(DATE(LEFT('SQL Builder'!K1496,4),MID('SQL Builder'!K1496,6,2),MID('SQL Builder'!K1496,9,2))),NA())</f>
        <v>#N/A</v>
      </c>
      <c r="C1521" s="50" t="str">
        <f>IF(ISBLANK('SQL Builder'!K1496)=FALSE,'SQL Builder'!L1496,"")</f>
        <v/>
      </c>
      <c r="D1521" s="1" t="str">
        <f>IF(ISBLANK('SQL Builder'!K1496)=FALSE,'SQL Builder'!O1496,"")</f>
        <v/>
      </c>
      <c r="H1521" s="43" t="str">
        <f>IF(ISBLANK('SQL Builder'!K1495)=FALSE,H1520+1,"")</f>
        <v/>
      </c>
      <c r="I1521" s="1" t="str">
        <f>IF(ISBLANK('SQL Builder'!P1496)=FALSE,'SQL Builder'!N1496,"")</f>
        <v/>
      </c>
      <c r="J1521" s="79">
        <f t="shared" si="23"/>
        <v>0</v>
      </c>
    </row>
    <row r="1522" spans="2:10" ht="16.5" x14ac:dyDescent="0.25">
      <c r="B1522" s="49" t="e">
        <f>IF(ISBLANK('SQL Builder'!K1497)=FALSE,(DATE(LEFT('SQL Builder'!K1497,4),MID('SQL Builder'!K1497,6,2),MID('SQL Builder'!K1497,9,2))),NA())</f>
        <v>#N/A</v>
      </c>
      <c r="C1522" s="50" t="str">
        <f>IF(ISBLANK('SQL Builder'!K1497)=FALSE,'SQL Builder'!L1497,"")</f>
        <v/>
      </c>
      <c r="D1522" s="1" t="str">
        <f>IF(ISBLANK('SQL Builder'!K1497)=FALSE,'SQL Builder'!O1497,"")</f>
        <v/>
      </c>
      <c r="H1522" s="43" t="str">
        <f>IF(ISBLANK('SQL Builder'!K1496)=FALSE,H1521+1,"")</f>
        <v/>
      </c>
      <c r="I1522" s="1" t="str">
        <f>IF(ISBLANK('SQL Builder'!P1497)=FALSE,'SQL Builder'!N1497,"")</f>
        <v/>
      </c>
      <c r="J1522" s="79">
        <f t="shared" si="23"/>
        <v>0</v>
      </c>
    </row>
    <row r="1523" spans="2:10" ht="16.5" x14ac:dyDescent="0.25">
      <c r="B1523" s="49" t="e">
        <f>IF(ISBLANK('SQL Builder'!K1498)=FALSE,(DATE(LEFT('SQL Builder'!K1498,4),MID('SQL Builder'!K1498,6,2),MID('SQL Builder'!K1498,9,2))),NA())</f>
        <v>#N/A</v>
      </c>
      <c r="C1523" s="50" t="str">
        <f>IF(ISBLANK('SQL Builder'!K1498)=FALSE,'SQL Builder'!L1498,"")</f>
        <v/>
      </c>
      <c r="D1523" s="1" t="str">
        <f>IF(ISBLANK('SQL Builder'!K1498)=FALSE,'SQL Builder'!O1498,"")</f>
        <v/>
      </c>
      <c r="H1523" s="43" t="str">
        <f>IF(ISBLANK('SQL Builder'!K1497)=FALSE,H1522+1,"")</f>
        <v/>
      </c>
      <c r="I1523" s="1" t="str">
        <f>IF(ISBLANK('SQL Builder'!P1498)=FALSE,'SQL Builder'!N1498,"")</f>
        <v/>
      </c>
      <c r="J1523" s="79">
        <f t="shared" si="23"/>
        <v>0</v>
      </c>
    </row>
    <row r="1524" spans="2:10" ht="16.5" x14ac:dyDescent="0.25">
      <c r="B1524" s="49" t="e">
        <f>IF(ISBLANK('SQL Builder'!K1499)=FALSE,(DATE(LEFT('SQL Builder'!K1499,4),MID('SQL Builder'!K1499,6,2),MID('SQL Builder'!K1499,9,2))),NA())</f>
        <v>#N/A</v>
      </c>
      <c r="C1524" s="50" t="str">
        <f>IF(ISBLANK('SQL Builder'!K1499)=FALSE,'SQL Builder'!L1499,"")</f>
        <v/>
      </c>
      <c r="D1524" s="1" t="str">
        <f>IF(ISBLANK('SQL Builder'!K1499)=FALSE,'SQL Builder'!O1499,"")</f>
        <v/>
      </c>
      <c r="H1524" s="43" t="str">
        <f>IF(ISBLANK('SQL Builder'!K1498)=FALSE,H1523+1,"")</f>
        <v/>
      </c>
      <c r="I1524" s="1" t="str">
        <f>IF(ISBLANK('SQL Builder'!P1499)=FALSE,'SQL Builder'!N1499,"")</f>
        <v/>
      </c>
      <c r="J1524" s="79">
        <f t="shared" si="23"/>
        <v>0</v>
      </c>
    </row>
    <row r="1525" spans="2:10" ht="16.5" x14ac:dyDescent="0.25">
      <c r="B1525" s="49" t="e">
        <f>IF(ISBLANK('SQL Builder'!K1500)=FALSE,(DATE(LEFT('SQL Builder'!K1500,4),MID('SQL Builder'!K1500,6,2),MID('SQL Builder'!K1500,9,2))),NA())</f>
        <v>#N/A</v>
      </c>
      <c r="C1525" s="50" t="str">
        <f>IF(ISBLANK('SQL Builder'!K1500)=FALSE,'SQL Builder'!L1500,"")</f>
        <v/>
      </c>
      <c r="D1525" s="1" t="str">
        <f>IF(ISBLANK('SQL Builder'!K1500)=FALSE,'SQL Builder'!O1500,"")</f>
        <v/>
      </c>
      <c r="H1525" s="43" t="str">
        <f>IF(ISBLANK('SQL Builder'!K1499)=FALSE,H1524+1,"")</f>
        <v/>
      </c>
      <c r="I1525" s="1" t="str">
        <f>IF(ISBLANK('SQL Builder'!P1500)=FALSE,'SQL Builder'!N1500,"")</f>
        <v/>
      </c>
      <c r="J1525" s="79">
        <f t="shared" si="23"/>
        <v>0</v>
      </c>
    </row>
    <row r="1526" spans="2:10" ht="16.5" x14ac:dyDescent="0.25">
      <c r="B1526" s="49" t="e">
        <f>IF(ISBLANK('SQL Builder'!K1501)=FALSE,(DATE(LEFT('SQL Builder'!K1501,4),MID('SQL Builder'!K1501,6,2),MID('SQL Builder'!K1501,9,2))),NA())</f>
        <v>#N/A</v>
      </c>
      <c r="C1526" s="50" t="str">
        <f>IF(ISBLANK('SQL Builder'!K1501)=FALSE,'SQL Builder'!L1501,"")</f>
        <v/>
      </c>
      <c r="D1526" s="1" t="str">
        <f>IF(ISBLANK('SQL Builder'!K1501)=FALSE,'SQL Builder'!O1501,"")</f>
        <v/>
      </c>
      <c r="H1526" s="43" t="str">
        <f>IF(ISBLANK('SQL Builder'!K1500)=FALSE,H1525+1,"")</f>
        <v/>
      </c>
      <c r="I1526" s="1" t="str">
        <f>IF(ISBLANK('SQL Builder'!P1501)=FALSE,'SQL Builder'!N1501,"")</f>
        <v/>
      </c>
      <c r="J1526" s="79">
        <f t="shared" si="23"/>
        <v>0</v>
      </c>
    </row>
    <row r="1527" spans="2:10" ht="16.5" x14ac:dyDescent="0.25">
      <c r="B1527" s="49" t="e">
        <f>IF(ISBLANK('SQL Builder'!K1502)=FALSE,(DATE(LEFT('SQL Builder'!K1502,4),MID('SQL Builder'!K1502,6,2),MID('SQL Builder'!K1502,9,2))),NA())</f>
        <v>#N/A</v>
      </c>
      <c r="C1527" s="50" t="str">
        <f>IF(ISBLANK('SQL Builder'!K1502)=FALSE,'SQL Builder'!L1502,"")</f>
        <v/>
      </c>
      <c r="D1527" s="1" t="str">
        <f>IF(ISBLANK('SQL Builder'!K1502)=FALSE,'SQL Builder'!O1502,"")</f>
        <v/>
      </c>
      <c r="H1527" s="43" t="str">
        <f>IF(ISBLANK('SQL Builder'!K1501)=FALSE,H1526+1,"")</f>
        <v/>
      </c>
      <c r="I1527" s="1" t="str">
        <f>IF(ISBLANK('SQL Builder'!P1502)=FALSE,'SQL Builder'!N1502,"")</f>
        <v/>
      </c>
      <c r="J1527" s="79">
        <f t="shared" si="23"/>
        <v>0</v>
      </c>
    </row>
    <row r="1528" spans="2:10" ht="16.5" x14ac:dyDescent="0.25">
      <c r="B1528" s="49" t="e">
        <f>IF(ISBLANK('SQL Builder'!K1503)=FALSE,(DATE(LEFT('SQL Builder'!K1503,4),MID('SQL Builder'!K1503,6,2),MID('SQL Builder'!K1503,9,2))),NA())</f>
        <v>#N/A</v>
      </c>
      <c r="C1528" s="50" t="str">
        <f>IF(ISBLANK('SQL Builder'!K1503)=FALSE,'SQL Builder'!L1503,"")</f>
        <v/>
      </c>
      <c r="D1528" s="1" t="str">
        <f>IF(ISBLANK('SQL Builder'!K1503)=FALSE,'SQL Builder'!O1503,"")</f>
        <v/>
      </c>
      <c r="H1528" s="43" t="str">
        <f>IF(ISBLANK('SQL Builder'!K1502)=FALSE,H1527+1,"")</f>
        <v/>
      </c>
      <c r="I1528" s="1" t="str">
        <f>IF(ISBLANK('SQL Builder'!P1503)=FALSE,'SQL Builder'!N1503,"")</f>
        <v/>
      </c>
      <c r="J1528" s="79">
        <f t="shared" si="23"/>
        <v>0</v>
      </c>
    </row>
    <row r="1529" spans="2:10" ht="16.5" x14ac:dyDescent="0.25">
      <c r="B1529" s="49" t="e">
        <f>IF(ISBLANK('SQL Builder'!K1504)=FALSE,(DATE(LEFT('SQL Builder'!K1504,4),MID('SQL Builder'!K1504,6,2),MID('SQL Builder'!K1504,9,2))),NA())</f>
        <v>#N/A</v>
      </c>
      <c r="C1529" s="50" t="str">
        <f>IF(ISBLANK('SQL Builder'!K1504)=FALSE,'SQL Builder'!L1504,"")</f>
        <v/>
      </c>
      <c r="D1529" s="1" t="str">
        <f>IF(ISBLANK('SQL Builder'!K1504)=FALSE,'SQL Builder'!O1504,"")</f>
        <v/>
      </c>
      <c r="H1529" s="43" t="str">
        <f>IF(ISBLANK('SQL Builder'!K1503)=FALSE,H1528+1,"")</f>
        <v/>
      </c>
      <c r="I1529" s="1" t="str">
        <f>IF(ISBLANK('SQL Builder'!P1504)=FALSE,'SQL Builder'!N1504,"")</f>
        <v/>
      </c>
      <c r="J1529" s="79">
        <f t="shared" si="23"/>
        <v>0</v>
      </c>
    </row>
    <row r="1530" spans="2:10" ht="16.5" x14ac:dyDescent="0.25">
      <c r="B1530" s="49" t="e">
        <f>IF(ISBLANK('SQL Builder'!K1505)=FALSE,(DATE(LEFT('SQL Builder'!K1505,4),MID('SQL Builder'!K1505,6,2),MID('SQL Builder'!K1505,9,2))),NA())</f>
        <v>#N/A</v>
      </c>
      <c r="C1530" s="50" t="str">
        <f>IF(ISBLANK('SQL Builder'!K1505)=FALSE,'SQL Builder'!L1505,"")</f>
        <v/>
      </c>
      <c r="D1530" s="1" t="str">
        <f>IF(ISBLANK('SQL Builder'!K1505)=FALSE,'SQL Builder'!O1505,"")</f>
        <v/>
      </c>
      <c r="H1530" s="43" t="str">
        <f>IF(ISBLANK('SQL Builder'!K1504)=FALSE,H1529+1,"")</f>
        <v/>
      </c>
      <c r="I1530" s="1" t="str">
        <f>IF(ISBLANK('SQL Builder'!P1505)=FALSE,'SQL Builder'!N1505,"")</f>
        <v/>
      </c>
      <c r="J1530" s="79">
        <f t="shared" si="23"/>
        <v>0</v>
      </c>
    </row>
    <row r="1531" spans="2:10" ht="16.5" x14ac:dyDescent="0.25">
      <c r="B1531" s="49" t="e">
        <f>IF(ISBLANK('SQL Builder'!K1506)=FALSE,(DATE(LEFT('SQL Builder'!K1506,4),MID('SQL Builder'!K1506,6,2),MID('SQL Builder'!K1506,9,2))),NA())</f>
        <v>#N/A</v>
      </c>
      <c r="C1531" s="50" t="str">
        <f>IF(ISBLANK('SQL Builder'!K1506)=FALSE,'SQL Builder'!L1506,"")</f>
        <v/>
      </c>
      <c r="D1531" s="1" t="str">
        <f>IF(ISBLANK('SQL Builder'!K1506)=FALSE,'SQL Builder'!O1506,"")</f>
        <v/>
      </c>
      <c r="H1531" s="43" t="str">
        <f>IF(ISBLANK('SQL Builder'!K1505)=FALSE,H1530+1,"")</f>
        <v/>
      </c>
      <c r="I1531" s="1" t="str">
        <f>IF(ISBLANK('SQL Builder'!P1506)=FALSE,'SQL Builder'!N1506,"")</f>
        <v/>
      </c>
      <c r="J1531" s="79">
        <f t="shared" si="23"/>
        <v>0</v>
      </c>
    </row>
    <row r="1532" spans="2:10" ht="16.5" x14ac:dyDescent="0.25">
      <c r="B1532" s="49" t="e">
        <f>IF(ISBLANK('SQL Builder'!K1507)=FALSE,(DATE(LEFT('SQL Builder'!K1507,4),MID('SQL Builder'!K1507,6,2),MID('SQL Builder'!K1507,9,2))),NA())</f>
        <v>#N/A</v>
      </c>
      <c r="C1532" s="50" t="str">
        <f>IF(ISBLANK('SQL Builder'!K1507)=FALSE,'SQL Builder'!L1507,"")</f>
        <v/>
      </c>
      <c r="D1532" s="1" t="str">
        <f>IF(ISBLANK('SQL Builder'!K1507)=FALSE,'SQL Builder'!O1507,"")</f>
        <v/>
      </c>
      <c r="H1532" s="43" t="str">
        <f>IF(ISBLANK('SQL Builder'!K1506)=FALSE,H1531+1,"")</f>
        <v/>
      </c>
      <c r="I1532" s="1" t="str">
        <f>IF(ISBLANK('SQL Builder'!P1507)=FALSE,'SQL Builder'!N1507,"")</f>
        <v/>
      </c>
      <c r="J1532" s="79">
        <f t="shared" si="23"/>
        <v>0</v>
      </c>
    </row>
    <row r="1533" spans="2:10" ht="16.5" x14ac:dyDescent="0.25">
      <c r="B1533" s="49" t="e">
        <f>IF(ISBLANK('SQL Builder'!K1508)=FALSE,(DATE(LEFT('SQL Builder'!K1508,4),MID('SQL Builder'!K1508,6,2),MID('SQL Builder'!K1508,9,2))),NA())</f>
        <v>#N/A</v>
      </c>
      <c r="C1533" s="50" t="str">
        <f>IF(ISBLANK('SQL Builder'!K1508)=FALSE,'SQL Builder'!L1508,"")</f>
        <v/>
      </c>
      <c r="D1533" s="1" t="str">
        <f>IF(ISBLANK('SQL Builder'!K1508)=FALSE,'SQL Builder'!O1508,"")</f>
        <v/>
      </c>
      <c r="H1533" s="43" t="str">
        <f>IF(ISBLANK('SQL Builder'!K1507)=FALSE,H1532+1,"")</f>
        <v/>
      </c>
      <c r="I1533" s="1" t="str">
        <f>IF(ISBLANK('SQL Builder'!P1508)=FALSE,'SQL Builder'!N1508,"")</f>
        <v/>
      </c>
      <c r="J1533" s="79">
        <f t="shared" si="23"/>
        <v>0</v>
      </c>
    </row>
    <row r="1534" spans="2:10" ht="16.5" x14ac:dyDescent="0.25">
      <c r="B1534" s="49" t="e">
        <f>IF(ISBLANK('SQL Builder'!K1509)=FALSE,(DATE(LEFT('SQL Builder'!K1509,4),MID('SQL Builder'!K1509,6,2),MID('SQL Builder'!K1509,9,2))),NA())</f>
        <v>#N/A</v>
      </c>
      <c r="C1534" s="50" t="str">
        <f>IF(ISBLANK('SQL Builder'!K1509)=FALSE,'SQL Builder'!L1509,"")</f>
        <v/>
      </c>
      <c r="D1534" s="1" t="str">
        <f>IF(ISBLANK('SQL Builder'!K1509)=FALSE,'SQL Builder'!O1509,"")</f>
        <v/>
      </c>
      <c r="H1534" s="43" t="str">
        <f>IF(ISBLANK('SQL Builder'!K1508)=FALSE,H1533+1,"")</f>
        <v/>
      </c>
      <c r="I1534" s="1" t="str">
        <f>IF(ISBLANK('SQL Builder'!P1509)=FALSE,'SQL Builder'!N1509,"")</f>
        <v/>
      </c>
      <c r="J1534" s="79">
        <f t="shared" si="23"/>
        <v>0</v>
      </c>
    </row>
    <row r="1535" spans="2:10" ht="16.5" x14ac:dyDescent="0.25">
      <c r="B1535" s="49" t="e">
        <f>IF(ISBLANK('SQL Builder'!K1510)=FALSE,(DATE(LEFT('SQL Builder'!K1510,4),MID('SQL Builder'!K1510,6,2),MID('SQL Builder'!K1510,9,2))),NA())</f>
        <v>#N/A</v>
      </c>
      <c r="C1535" s="50" t="str">
        <f>IF(ISBLANK('SQL Builder'!K1510)=FALSE,'SQL Builder'!L1510,"")</f>
        <v/>
      </c>
      <c r="D1535" s="1" t="str">
        <f>IF(ISBLANK('SQL Builder'!K1510)=FALSE,'SQL Builder'!O1510,"")</f>
        <v/>
      </c>
      <c r="H1535" s="43" t="str">
        <f>IF(ISBLANK('SQL Builder'!K1509)=FALSE,H1534+1,"")</f>
        <v/>
      </c>
      <c r="I1535" s="1" t="str">
        <f>IF(ISBLANK('SQL Builder'!P1510)=FALSE,'SQL Builder'!N1510,"")</f>
        <v/>
      </c>
      <c r="J1535" s="79">
        <f t="shared" si="23"/>
        <v>0</v>
      </c>
    </row>
    <row r="1536" spans="2:10" ht="16.5" x14ac:dyDescent="0.25">
      <c r="B1536" s="49" t="e">
        <f>IF(ISBLANK('SQL Builder'!K1511)=FALSE,(DATE(LEFT('SQL Builder'!K1511,4),MID('SQL Builder'!K1511,6,2),MID('SQL Builder'!K1511,9,2))),NA())</f>
        <v>#N/A</v>
      </c>
      <c r="C1536" s="50" t="str">
        <f>IF(ISBLANK('SQL Builder'!K1511)=FALSE,'SQL Builder'!L1511,"")</f>
        <v/>
      </c>
      <c r="D1536" s="1" t="str">
        <f>IF(ISBLANK('SQL Builder'!K1511)=FALSE,'SQL Builder'!O1511,"")</f>
        <v/>
      </c>
      <c r="H1536" s="43" t="str">
        <f>IF(ISBLANK('SQL Builder'!K1510)=FALSE,H1535+1,"")</f>
        <v/>
      </c>
      <c r="I1536" s="1" t="str">
        <f>IF(ISBLANK('SQL Builder'!P1511)=FALSE,'SQL Builder'!N1511,"")</f>
        <v/>
      </c>
      <c r="J1536" s="79">
        <f t="shared" si="23"/>
        <v>0</v>
      </c>
    </row>
    <row r="1537" spans="2:10" ht="16.5" x14ac:dyDescent="0.25">
      <c r="B1537" s="49" t="e">
        <f>IF(ISBLANK('SQL Builder'!K1512)=FALSE,(DATE(LEFT('SQL Builder'!K1512,4),MID('SQL Builder'!K1512,6,2),MID('SQL Builder'!K1512,9,2))),NA())</f>
        <v>#N/A</v>
      </c>
      <c r="C1537" s="50" t="str">
        <f>IF(ISBLANK('SQL Builder'!K1512)=FALSE,'SQL Builder'!L1512,"")</f>
        <v/>
      </c>
      <c r="D1537" s="1" t="str">
        <f>IF(ISBLANK('SQL Builder'!K1512)=FALSE,'SQL Builder'!O1512,"")</f>
        <v/>
      </c>
      <c r="H1537" s="43" t="str">
        <f>IF(ISBLANK('SQL Builder'!K1511)=FALSE,H1536+1,"")</f>
        <v/>
      </c>
      <c r="I1537" s="1" t="str">
        <f>IF(ISBLANK('SQL Builder'!P1512)=FALSE,'SQL Builder'!N1512,"")</f>
        <v/>
      </c>
      <c r="J1537" s="79">
        <f t="shared" si="23"/>
        <v>0</v>
      </c>
    </row>
    <row r="1538" spans="2:10" ht="16.5" x14ac:dyDescent="0.25">
      <c r="B1538" s="49" t="e">
        <f>IF(ISBLANK('SQL Builder'!K1513)=FALSE,(DATE(LEFT('SQL Builder'!K1513,4),MID('SQL Builder'!K1513,6,2),MID('SQL Builder'!K1513,9,2))),NA())</f>
        <v>#N/A</v>
      </c>
      <c r="C1538" s="50" t="str">
        <f>IF(ISBLANK('SQL Builder'!K1513)=FALSE,'SQL Builder'!L1513,"")</f>
        <v/>
      </c>
      <c r="D1538" s="1" t="str">
        <f>IF(ISBLANK('SQL Builder'!K1513)=FALSE,'SQL Builder'!O1513,"")</f>
        <v/>
      </c>
      <c r="H1538" s="43" t="str">
        <f>IF(ISBLANK('SQL Builder'!K1512)=FALSE,H1537+1,"")</f>
        <v/>
      </c>
      <c r="I1538" s="1" t="str">
        <f>IF(ISBLANK('SQL Builder'!P1513)=FALSE,'SQL Builder'!N1513,"")</f>
        <v/>
      </c>
      <c r="J1538" s="79">
        <f t="shared" si="23"/>
        <v>0</v>
      </c>
    </row>
    <row r="1539" spans="2:10" ht="16.5" x14ac:dyDescent="0.25">
      <c r="B1539" s="49" t="e">
        <f>IF(ISBLANK('SQL Builder'!K1514)=FALSE,(DATE(LEFT('SQL Builder'!K1514,4),MID('SQL Builder'!K1514,6,2),MID('SQL Builder'!K1514,9,2))),NA())</f>
        <v>#N/A</v>
      </c>
      <c r="C1539" s="50" t="str">
        <f>IF(ISBLANK('SQL Builder'!K1514)=FALSE,'SQL Builder'!L1514,"")</f>
        <v/>
      </c>
      <c r="D1539" s="1" t="str">
        <f>IF(ISBLANK('SQL Builder'!K1514)=FALSE,'SQL Builder'!O1514,"")</f>
        <v/>
      </c>
      <c r="H1539" s="43" t="str">
        <f>IF(ISBLANK('SQL Builder'!K1513)=FALSE,H1538+1,"")</f>
        <v/>
      </c>
      <c r="I1539" s="1" t="str">
        <f>IF(ISBLANK('SQL Builder'!P1514)=FALSE,'SQL Builder'!N1514,"")</f>
        <v/>
      </c>
      <c r="J1539" s="79">
        <f t="shared" si="23"/>
        <v>0</v>
      </c>
    </row>
    <row r="1540" spans="2:10" ht="16.5" x14ac:dyDescent="0.25">
      <c r="B1540" s="49" t="e">
        <f>IF(ISBLANK('SQL Builder'!K1515)=FALSE,(DATE(LEFT('SQL Builder'!K1515,4),MID('SQL Builder'!K1515,6,2),MID('SQL Builder'!K1515,9,2))),NA())</f>
        <v>#N/A</v>
      </c>
      <c r="C1540" s="50" t="str">
        <f>IF(ISBLANK('SQL Builder'!K1515)=FALSE,'SQL Builder'!L1515,"")</f>
        <v/>
      </c>
      <c r="D1540" s="1" t="str">
        <f>IF(ISBLANK('SQL Builder'!K1515)=FALSE,'SQL Builder'!O1515,"")</f>
        <v/>
      </c>
      <c r="H1540" s="43" t="str">
        <f>IF(ISBLANK('SQL Builder'!K1514)=FALSE,H1539+1,"")</f>
        <v/>
      </c>
      <c r="I1540" s="1" t="str">
        <f>IF(ISBLANK('SQL Builder'!P1515)=FALSE,'SQL Builder'!N1515,"")</f>
        <v/>
      </c>
      <c r="J1540" s="79">
        <f t="shared" si="23"/>
        <v>0</v>
      </c>
    </row>
    <row r="1541" spans="2:10" ht="16.5" x14ac:dyDescent="0.25">
      <c r="B1541" s="49" t="e">
        <f>IF(ISBLANK('SQL Builder'!K1516)=FALSE,(DATE(LEFT('SQL Builder'!K1516,4),MID('SQL Builder'!K1516,6,2),MID('SQL Builder'!K1516,9,2))),NA())</f>
        <v>#N/A</v>
      </c>
      <c r="C1541" s="50" t="str">
        <f>IF(ISBLANK('SQL Builder'!K1516)=FALSE,'SQL Builder'!L1516,"")</f>
        <v/>
      </c>
      <c r="D1541" s="1" t="str">
        <f>IF(ISBLANK('SQL Builder'!K1516)=FALSE,'SQL Builder'!O1516,"")</f>
        <v/>
      </c>
      <c r="H1541" s="43" t="str">
        <f>IF(ISBLANK('SQL Builder'!K1515)=FALSE,H1540+1,"")</f>
        <v/>
      </c>
      <c r="I1541" s="1" t="str">
        <f>IF(ISBLANK('SQL Builder'!P1516)=FALSE,'SQL Builder'!N1516,"")</f>
        <v/>
      </c>
      <c r="J1541" s="79">
        <f t="shared" si="23"/>
        <v>0</v>
      </c>
    </row>
    <row r="1542" spans="2:10" ht="16.5" x14ac:dyDescent="0.25">
      <c r="B1542" s="49" t="e">
        <f>IF(ISBLANK('SQL Builder'!K1517)=FALSE,(DATE(LEFT('SQL Builder'!K1517,4),MID('SQL Builder'!K1517,6,2),MID('SQL Builder'!K1517,9,2))),NA())</f>
        <v>#N/A</v>
      </c>
      <c r="C1542" s="50" t="str">
        <f>IF(ISBLANK('SQL Builder'!K1517)=FALSE,'SQL Builder'!L1517,"")</f>
        <v/>
      </c>
      <c r="D1542" s="1" t="str">
        <f>IF(ISBLANK('SQL Builder'!K1517)=FALSE,'SQL Builder'!O1517,"")</f>
        <v/>
      </c>
      <c r="H1542" s="43" t="str">
        <f>IF(ISBLANK('SQL Builder'!K1516)=FALSE,H1541+1,"")</f>
        <v/>
      </c>
      <c r="I1542" s="1" t="str">
        <f>IF(ISBLANK('SQL Builder'!P1517)=FALSE,'SQL Builder'!N1517,"")</f>
        <v/>
      </c>
      <c r="J1542" s="79">
        <f t="shared" si="23"/>
        <v>0</v>
      </c>
    </row>
    <row r="1543" spans="2:10" ht="16.5" x14ac:dyDescent="0.25">
      <c r="B1543" s="49" t="e">
        <f>IF(ISBLANK('SQL Builder'!K1518)=FALSE,(DATE(LEFT('SQL Builder'!K1518,4),MID('SQL Builder'!K1518,6,2),MID('SQL Builder'!K1518,9,2))),NA())</f>
        <v>#N/A</v>
      </c>
      <c r="C1543" s="50" t="str">
        <f>IF(ISBLANK('SQL Builder'!K1518)=FALSE,'SQL Builder'!L1518,"")</f>
        <v/>
      </c>
      <c r="D1543" s="1" t="str">
        <f>IF(ISBLANK('SQL Builder'!K1518)=FALSE,'SQL Builder'!O1518,"")</f>
        <v/>
      </c>
      <c r="H1543" s="43" t="str">
        <f>IF(ISBLANK('SQL Builder'!K1517)=FALSE,H1542+1,"")</f>
        <v/>
      </c>
      <c r="I1543" s="1" t="str">
        <f>IF(ISBLANK('SQL Builder'!P1518)=FALSE,'SQL Builder'!N1518,"")</f>
        <v/>
      </c>
      <c r="J1543" s="79">
        <f t="shared" si="23"/>
        <v>0</v>
      </c>
    </row>
    <row r="1544" spans="2:10" ht="16.5" x14ac:dyDescent="0.25">
      <c r="B1544" s="49" t="e">
        <f>IF(ISBLANK('SQL Builder'!K1519)=FALSE,(DATE(LEFT('SQL Builder'!K1519,4),MID('SQL Builder'!K1519,6,2),MID('SQL Builder'!K1519,9,2))),NA())</f>
        <v>#N/A</v>
      </c>
      <c r="C1544" s="50" t="str">
        <f>IF(ISBLANK('SQL Builder'!K1519)=FALSE,'SQL Builder'!L1519,"")</f>
        <v/>
      </c>
      <c r="D1544" s="1" t="str">
        <f>IF(ISBLANK('SQL Builder'!K1519)=FALSE,'SQL Builder'!O1519,"")</f>
        <v/>
      </c>
      <c r="H1544" s="43" t="str">
        <f>IF(ISBLANK('SQL Builder'!K1518)=FALSE,H1543+1,"")</f>
        <v/>
      </c>
      <c r="I1544" s="1" t="str">
        <f>IF(ISBLANK('SQL Builder'!P1519)=FALSE,'SQL Builder'!N1519,"")</f>
        <v/>
      </c>
      <c r="J1544" s="79">
        <f t="shared" si="23"/>
        <v>0</v>
      </c>
    </row>
    <row r="1545" spans="2:10" ht="16.5" x14ac:dyDescent="0.25">
      <c r="B1545" s="49" t="e">
        <f>IF(ISBLANK('SQL Builder'!K1520)=FALSE,(DATE(LEFT('SQL Builder'!K1520,4),MID('SQL Builder'!K1520,6,2),MID('SQL Builder'!K1520,9,2))),NA())</f>
        <v>#N/A</v>
      </c>
      <c r="C1545" s="50" t="str">
        <f>IF(ISBLANK('SQL Builder'!K1520)=FALSE,'SQL Builder'!L1520,"")</f>
        <v/>
      </c>
      <c r="D1545" s="1" t="str">
        <f>IF(ISBLANK('SQL Builder'!K1520)=FALSE,'SQL Builder'!O1520,"")</f>
        <v/>
      </c>
      <c r="H1545" s="43" t="str">
        <f>IF(ISBLANK('SQL Builder'!K1519)=FALSE,H1544+1,"")</f>
        <v/>
      </c>
      <c r="I1545" s="1" t="str">
        <f>IF(ISBLANK('SQL Builder'!P1520)=FALSE,'SQL Builder'!N1520,"")</f>
        <v/>
      </c>
      <c r="J1545" s="79">
        <f t="shared" si="23"/>
        <v>0</v>
      </c>
    </row>
    <row r="1546" spans="2:10" ht="16.5" x14ac:dyDescent="0.25">
      <c r="B1546" s="49" t="e">
        <f>IF(ISBLANK('SQL Builder'!K1521)=FALSE,(DATE(LEFT('SQL Builder'!K1521,4),MID('SQL Builder'!K1521,6,2),MID('SQL Builder'!K1521,9,2))),NA())</f>
        <v>#N/A</v>
      </c>
      <c r="C1546" s="50" t="str">
        <f>IF(ISBLANK('SQL Builder'!K1521)=FALSE,'SQL Builder'!L1521,"")</f>
        <v/>
      </c>
      <c r="D1546" s="1" t="str">
        <f>IF(ISBLANK('SQL Builder'!K1521)=FALSE,'SQL Builder'!O1521,"")</f>
        <v/>
      </c>
      <c r="H1546" s="43" t="str">
        <f>IF(ISBLANK('SQL Builder'!K1520)=FALSE,H1545+1,"")</f>
        <v/>
      </c>
      <c r="I1546" s="1" t="str">
        <f>IF(ISBLANK('SQL Builder'!P1521)=FALSE,'SQL Builder'!N1521,"")</f>
        <v/>
      </c>
      <c r="J1546" s="79">
        <f t="shared" si="23"/>
        <v>0</v>
      </c>
    </row>
    <row r="1547" spans="2:10" ht="16.5" x14ac:dyDescent="0.25">
      <c r="B1547" s="49" t="e">
        <f>IF(ISBLANK('SQL Builder'!K1522)=FALSE,(DATE(LEFT('SQL Builder'!K1522,4),MID('SQL Builder'!K1522,6,2),MID('SQL Builder'!K1522,9,2))),NA())</f>
        <v>#N/A</v>
      </c>
      <c r="C1547" s="50" t="str">
        <f>IF(ISBLANK('SQL Builder'!K1522)=FALSE,'SQL Builder'!L1522,"")</f>
        <v/>
      </c>
      <c r="D1547" s="1" t="str">
        <f>IF(ISBLANK('SQL Builder'!K1522)=FALSE,'SQL Builder'!O1522,"")</f>
        <v/>
      </c>
      <c r="H1547" s="43" t="str">
        <f>IF(ISBLANK('SQL Builder'!K1521)=FALSE,H1546+1,"")</f>
        <v/>
      </c>
      <c r="I1547" s="1" t="str">
        <f>IF(ISBLANK('SQL Builder'!P1522)=FALSE,'SQL Builder'!N1522,"")</f>
        <v/>
      </c>
      <c r="J1547" s="79">
        <f t="shared" si="23"/>
        <v>0</v>
      </c>
    </row>
    <row r="1548" spans="2:10" ht="16.5" x14ac:dyDescent="0.25">
      <c r="B1548" s="49" t="e">
        <f>IF(ISBLANK('SQL Builder'!K1523)=FALSE,(DATE(LEFT('SQL Builder'!K1523,4),MID('SQL Builder'!K1523,6,2),MID('SQL Builder'!K1523,9,2))),NA())</f>
        <v>#N/A</v>
      </c>
      <c r="C1548" s="50" t="str">
        <f>IF(ISBLANK('SQL Builder'!K1523)=FALSE,'SQL Builder'!L1523,"")</f>
        <v/>
      </c>
      <c r="D1548" s="1" t="str">
        <f>IF(ISBLANK('SQL Builder'!K1523)=FALSE,'SQL Builder'!O1523,"")</f>
        <v/>
      </c>
      <c r="H1548" s="43" t="str">
        <f>IF(ISBLANK('SQL Builder'!K1522)=FALSE,H1547+1,"")</f>
        <v/>
      </c>
      <c r="I1548" s="1" t="str">
        <f>IF(ISBLANK('SQL Builder'!P1523)=FALSE,'SQL Builder'!N1523,"")</f>
        <v/>
      </c>
      <c r="J1548" s="79">
        <f t="shared" si="23"/>
        <v>0</v>
      </c>
    </row>
    <row r="1549" spans="2:10" ht="16.5" x14ac:dyDescent="0.25">
      <c r="B1549" s="49" t="e">
        <f>IF(ISBLANK('SQL Builder'!K1524)=FALSE,(DATE(LEFT('SQL Builder'!K1524,4),MID('SQL Builder'!K1524,6,2),MID('SQL Builder'!K1524,9,2))),NA())</f>
        <v>#N/A</v>
      </c>
      <c r="C1549" s="50" t="str">
        <f>IF(ISBLANK('SQL Builder'!K1524)=FALSE,'SQL Builder'!L1524,"")</f>
        <v/>
      </c>
      <c r="D1549" s="1" t="str">
        <f>IF(ISBLANK('SQL Builder'!K1524)=FALSE,'SQL Builder'!O1524,"")</f>
        <v/>
      </c>
      <c r="H1549" s="43" t="str">
        <f>IF(ISBLANK('SQL Builder'!K1523)=FALSE,H1548+1,"")</f>
        <v/>
      </c>
      <c r="I1549" s="1" t="str">
        <f>IF(ISBLANK('SQL Builder'!P1524)=FALSE,'SQL Builder'!N1524,"")</f>
        <v/>
      </c>
      <c r="J1549" s="79">
        <f t="shared" si="23"/>
        <v>0</v>
      </c>
    </row>
    <row r="1550" spans="2:10" ht="16.5" x14ac:dyDescent="0.25">
      <c r="B1550" s="49" t="e">
        <f>IF(ISBLANK('SQL Builder'!K1525)=FALSE,(DATE(LEFT('SQL Builder'!K1525,4),MID('SQL Builder'!K1525,6,2),MID('SQL Builder'!K1525,9,2))),NA())</f>
        <v>#N/A</v>
      </c>
      <c r="C1550" s="50" t="str">
        <f>IF(ISBLANK('SQL Builder'!K1525)=FALSE,'SQL Builder'!L1525,"")</f>
        <v/>
      </c>
      <c r="D1550" s="1" t="str">
        <f>IF(ISBLANK('SQL Builder'!K1525)=FALSE,'SQL Builder'!O1525,"")</f>
        <v/>
      </c>
      <c r="H1550" s="43" t="str">
        <f>IF(ISBLANK('SQL Builder'!K1524)=FALSE,H1549+1,"")</f>
        <v/>
      </c>
      <c r="I1550" s="1" t="str">
        <f>IF(ISBLANK('SQL Builder'!P1525)=FALSE,'SQL Builder'!N1525,"")</f>
        <v/>
      </c>
      <c r="J1550" s="79">
        <f t="shared" si="23"/>
        <v>0</v>
      </c>
    </row>
    <row r="1551" spans="2:10" ht="16.5" x14ac:dyDescent="0.25">
      <c r="B1551" s="49" t="e">
        <f>IF(ISBLANK('SQL Builder'!K1526)=FALSE,(DATE(LEFT('SQL Builder'!K1526,4),MID('SQL Builder'!K1526,6,2),MID('SQL Builder'!K1526,9,2))),NA())</f>
        <v>#N/A</v>
      </c>
      <c r="C1551" s="50" t="str">
        <f>IF(ISBLANK('SQL Builder'!K1526)=FALSE,'SQL Builder'!L1526,"")</f>
        <v/>
      </c>
      <c r="D1551" s="1" t="str">
        <f>IF(ISBLANK('SQL Builder'!K1526)=FALSE,'SQL Builder'!O1526,"")</f>
        <v/>
      </c>
      <c r="H1551" s="43" t="str">
        <f>IF(ISBLANK('SQL Builder'!K1525)=FALSE,H1550+1,"")</f>
        <v/>
      </c>
      <c r="I1551" s="1" t="str">
        <f>IF(ISBLANK('SQL Builder'!P1526)=FALSE,'SQL Builder'!N1526,"")</f>
        <v/>
      </c>
      <c r="J1551" s="79">
        <f t="shared" si="23"/>
        <v>0</v>
      </c>
    </row>
    <row r="1552" spans="2:10" ht="16.5" x14ac:dyDescent="0.25">
      <c r="B1552" s="49" t="e">
        <f>IF(ISBLANK('SQL Builder'!K1527)=FALSE,(DATE(LEFT('SQL Builder'!K1527,4),MID('SQL Builder'!K1527,6,2),MID('SQL Builder'!K1527,9,2))),NA())</f>
        <v>#N/A</v>
      </c>
      <c r="C1552" s="50" t="str">
        <f>IF(ISBLANK('SQL Builder'!K1527)=FALSE,'SQL Builder'!L1527,"")</f>
        <v/>
      </c>
      <c r="D1552" s="1" t="str">
        <f>IF(ISBLANK('SQL Builder'!K1527)=FALSE,'SQL Builder'!O1527,"")</f>
        <v/>
      </c>
      <c r="H1552" s="43" t="str">
        <f>IF(ISBLANK('SQL Builder'!K1526)=FALSE,H1551+1,"")</f>
        <v/>
      </c>
      <c r="I1552" s="1" t="str">
        <f>IF(ISBLANK('SQL Builder'!P1527)=FALSE,'SQL Builder'!N1527,"")</f>
        <v/>
      </c>
      <c r="J1552" s="79">
        <f t="shared" si="23"/>
        <v>0</v>
      </c>
    </row>
    <row r="1553" spans="2:10" ht="16.5" x14ac:dyDescent="0.25">
      <c r="B1553" s="49" t="e">
        <f>IF(ISBLANK('SQL Builder'!K1528)=FALSE,(DATE(LEFT('SQL Builder'!K1528,4),MID('SQL Builder'!K1528,6,2),MID('SQL Builder'!K1528,9,2))),NA())</f>
        <v>#N/A</v>
      </c>
      <c r="C1553" s="50" t="str">
        <f>IF(ISBLANK('SQL Builder'!K1528)=FALSE,'SQL Builder'!L1528,"")</f>
        <v/>
      </c>
      <c r="D1553" s="1" t="str">
        <f>IF(ISBLANK('SQL Builder'!K1528)=FALSE,'SQL Builder'!O1528,"")</f>
        <v/>
      </c>
      <c r="H1553" s="43" t="str">
        <f>IF(ISBLANK('SQL Builder'!K1527)=FALSE,H1552+1,"")</f>
        <v/>
      </c>
      <c r="I1553" s="1" t="str">
        <f>IF(ISBLANK('SQL Builder'!P1528)=FALSE,'SQL Builder'!N1528,"")</f>
        <v/>
      </c>
      <c r="J1553" s="79">
        <f t="shared" si="23"/>
        <v>0</v>
      </c>
    </row>
    <row r="1554" spans="2:10" ht="16.5" x14ac:dyDescent="0.25">
      <c r="B1554" s="49" t="e">
        <f>IF(ISBLANK('SQL Builder'!K1529)=FALSE,(DATE(LEFT('SQL Builder'!K1529,4),MID('SQL Builder'!K1529,6,2),MID('SQL Builder'!K1529,9,2))),NA())</f>
        <v>#N/A</v>
      </c>
      <c r="C1554" s="50" t="str">
        <f>IF(ISBLANK('SQL Builder'!K1529)=FALSE,'SQL Builder'!L1529,"")</f>
        <v/>
      </c>
      <c r="D1554" s="1" t="str">
        <f>IF(ISBLANK('SQL Builder'!K1529)=FALSE,'SQL Builder'!O1529,"")</f>
        <v/>
      </c>
      <c r="H1554" s="43" t="str">
        <f>IF(ISBLANK('SQL Builder'!K1528)=FALSE,H1553+1,"")</f>
        <v/>
      </c>
      <c r="I1554" s="1" t="str">
        <f>IF(ISBLANK('SQL Builder'!P1529)=FALSE,'SQL Builder'!N1529,"")</f>
        <v/>
      </c>
      <c r="J1554" s="79">
        <f t="shared" si="23"/>
        <v>0</v>
      </c>
    </row>
    <row r="1555" spans="2:10" ht="16.5" x14ac:dyDescent="0.25">
      <c r="B1555" s="49" t="e">
        <f>IF(ISBLANK('SQL Builder'!K1530)=FALSE,(DATE(LEFT('SQL Builder'!K1530,4),MID('SQL Builder'!K1530,6,2),MID('SQL Builder'!K1530,9,2))),NA())</f>
        <v>#N/A</v>
      </c>
      <c r="C1555" s="50" t="str">
        <f>IF(ISBLANK('SQL Builder'!K1530)=FALSE,'SQL Builder'!L1530,"")</f>
        <v/>
      </c>
      <c r="D1555" s="1" t="str">
        <f>IF(ISBLANK('SQL Builder'!K1530)=FALSE,'SQL Builder'!O1530,"")</f>
        <v/>
      </c>
      <c r="H1555" s="43" t="str">
        <f>IF(ISBLANK('SQL Builder'!K1529)=FALSE,H1554+1,"")</f>
        <v/>
      </c>
      <c r="I1555" s="1" t="str">
        <f>IF(ISBLANK('SQL Builder'!P1530)=FALSE,'SQL Builder'!N1530,"")</f>
        <v/>
      </c>
      <c r="J1555" s="79">
        <f t="shared" si="23"/>
        <v>0</v>
      </c>
    </row>
    <row r="1556" spans="2:10" ht="16.5" x14ac:dyDescent="0.25">
      <c r="B1556" s="49" t="e">
        <f>IF(ISBLANK('SQL Builder'!K1531)=FALSE,(DATE(LEFT('SQL Builder'!K1531,4),MID('SQL Builder'!K1531,6,2),MID('SQL Builder'!K1531,9,2))),NA())</f>
        <v>#N/A</v>
      </c>
      <c r="C1556" s="50" t="str">
        <f>IF(ISBLANK('SQL Builder'!K1531)=FALSE,'SQL Builder'!L1531,"")</f>
        <v/>
      </c>
      <c r="D1556" s="1" t="str">
        <f>IF(ISBLANK('SQL Builder'!K1531)=FALSE,'SQL Builder'!O1531,"")</f>
        <v/>
      </c>
      <c r="H1556" s="43" t="str">
        <f>IF(ISBLANK('SQL Builder'!K1530)=FALSE,H1555+1,"")</f>
        <v/>
      </c>
      <c r="I1556" s="1" t="str">
        <f>IF(ISBLANK('SQL Builder'!P1531)=FALSE,'SQL Builder'!N1531,"")</f>
        <v/>
      </c>
      <c r="J1556" s="79">
        <f t="shared" si="23"/>
        <v>0</v>
      </c>
    </row>
    <row r="1557" spans="2:10" ht="16.5" x14ac:dyDescent="0.25">
      <c r="B1557" s="49" t="e">
        <f>IF(ISBLANK('SQL Builder'!K1532)=FALSE,(DATE(LEFT('SQL Builder'!K1532,4),MID('SQL Builder'!K1532,6,2),MID('SQL Builder'!K1532,9,2))),NA())</f>
        <v>#N/A</v>
      </c>
      <c r="C1557" s="50" t="str">
        <f>IF(ISBLANK('SQL Builder'!K1532)=FALSE,'SQL Builder'!L1532,"")</f>
        <v/>
      </c>
      <c r="D1557" s="1" t="str">
        <f>IF(ISBLANK('SQL Builder'!K1532)=FALSE,'SQL Builder'!O1532,"")</f>
        <v/>
      </c>
      <c r="H1557" s="43" t="str">
        <f>IF(ISBLANK('SQL Builder'!K1531)=FALSE,H1556+1,"")</f>
        <v/>
      </c>
      <c r="I1557" s="1" t="str">
        <f>IF(ISBLANK('SQL Builder'!P1532)=FALSE,'SQL Builder'!N1532,"")</f>
        <v/>
      </c>
      <c r="J1557" s="79">
        <f t="shared" si="23"/>
        <v>0</v>
      </c>
    </row>
    <row r="1558" spans="2:10" ht="16.5" x14ac:dyDescent="0.25">
      <c r="B1558" s="49" t="e">
        <f>IF(ISBLANK('SQL Builder'!K1533)=FALSE,(DATE(LEFT('SQL Builder'!K1533,4),MID('SQL Builder'!K1533,6,2),MID('SQL Builder'!K1533,9,2))),NA())</f>
        <v>#N/A</v>
      </c>
      <c r="C1558" s="50" t="str">
        <f>IF(ISBLANK('SQL Builder'!K1533)=FALSE,'SQL Builder'!L1533,"")</f>
        <v/>
      </c>
      <c r="D1558" s="1" t="str">
        <f>IF(ISBLANK('SQL Builder'!K1533)=FALSE,'SQL Builder'!O1533,"")</f>
        <v/>
      </c>
      <c r="H1558" s="43" t="str">
        <f>IF(ISBLANK('SQL Builder'!K1532)=FALSE,H1557+1,"")</f>
        <v/>
      </c>
      <c r="I1558" s="1" t="str">
        <f>IF(ISBLANK('SQL Builder'!P1533)=FALSE,'SQL Builder'!N1533,"")</f>
        <v/>
      </c>
      <c r="J1558" s="79">
        <f t="shared" si="23"/>
        <v>0</v>
      </c>
    </row>
    <row r="1559" spans="2:10" ht="16.5" x14ac:dyDescent="0.25">
      <c r="B1559" s="49" t="e">
        <f>IF(ISBLANK('SQL Builder'!K1534)=FALSE,(DATE(LEFT('SQL Builder'!K1534,4),MID('SQL Builder'!K1534,6,2),MID('SQL Builder'!K1534,9,2))),NA())</f>
        <v>#N/A</v>
      </c>
      <c r="C1559" s="50" t="str">
        <f>IF(ISBLANK('SQL Builder'!K1534)=FALSE,'SQL Builder'!L1534,"")</f>
        <v/>
      </c>
      <c r="D1559" s="1" t="str">
        <f>IF(ISBLANK('SQL Builder'!K1534)=FALSE,'SQL Builder'!O1534,"")</f>
        <v/>
      </c>
      <c r="H1559" s="43" t="str">
        <f>IF(ISBLANK('SQL Builder'!K1533)=FALSE,H1558+1,"")</f>
        <v/>
      </c>
      <c r="I1559" s="1" t="str">
        <f>IF(ISBLANK('SQL Builder'!P1534)=FALSE,'SQL Builder'!N1534,"")</f>
        <v/>
      </c>
      <c r="J1559" s="79">
        <f t="shared" si="23"/>
        <v>0</v>
      </c>
    </row>
    <row r="1560" spans="2:10" ht="16.5" x14ac:dyDescent="0.25">
      <c r="B1560" s="49" t="e">
        <f>IF(ISBLANK('SQL Builder'!K1535)=FALSE,(DATE(LEFT('SQL Builder'!K1535,4),MID('SQL Builder'!K1535,6,2),MID('SQL Builder'!K1535,9,2))),NA())</f>
        <v>#N/A</v>
      </c>
      <c r="C1560" s="50" t="str">
        <f>IF(ISBLANK('SQL Builder'!K1535)=FALSE,'SQL Builder'!L1535,"")</f>
        <v/>
      </c>
      <c r="D1560" s="1" t="str">
        <f>IF(ISBLANK('SQL Builder'!K1535)=FALSE,'SQL Builder'!O1535,"")</f>
        <v/>
      </c>
      <c r="H1560" s="43" t="str">
        <f>IF(ISBLANK('SQL Builder'!K1534)=FALSE,H1559+1,"")</f>
        <v/>
      </c>
      <c r="I1560" s="1" t="str">
        <f>IF(ISBLANK('SQL Builder'!P1535)=FALSE,'SQL Builder'!N1535,"")</f>
        <v/>
      </c>
      <c r="J1560" s="79">
        <f t="shared" si="23"/>
        <v>0</v>
      </c>
    </row>
    <row r="1561" spans="2:10" ht="16.5" x14ac:dyDescent="0.25">
      <c r="B1561" s="49" t="e">
        <f>IF(ISBLANK('SQL Builder'!K1536)=FALSE,(DATE(LEFT('SQL Builder'!K1536,4),MID('SQL Builder'!K1536,6,2),MID('SQL Builder'!K1536,9,2))),NA())</f>
        <v>#N/A</v>
      </c>
      <c r="C1561" s="50" t="str">
        <f>IF(ISBLANK('SQL Builder'!K1536)=FALSE,'SQL Builder'!L1536,"")</f>
        <v/>
      </c>
      <c r="D1561" s="1" t="str">
        <f>IF(ISBLANK('SQL Builder'!K1536)=FALSE,'SQL Builder'!O1536,"")</f>
        <v/>
      </c>
      <c r="H1561" s="43" t="str">
        <f>IF(ISBLANK('SQL Builder'!K1535)=FALSE,H1560+1,"")</f>
        <v/>
      </c>
      <c r="I1561" s="1" t="str">
        <f>IF(ISBLANK('SQL Builder'!P1536)=FALSE,'SQL Builder'!N1536,"")</f>
        <v/>
      </c>
      <c r="J1561" s="79">
        <f t="shared" si="23"/>
        <v>0</v>
      </c>
    </row>
    <row r="1562" spans="2:10" ht="16.5" x14ac:dyDescent="0.25">
      <c r="B1562" s="49" t="e">
        <f>IF(ISBLANK('SQL Builder'!K1537)=FALSE,(DATE(LEFT('SQL Builder'!K1537,4),MID('SQL Builder'!K1537,6,2),MID('SQL Builder'!K1537,9,2))),NA())</f>
        <v>#N/A</v>
      </c>
      <c r="C1562" s="50" t="str">
        <f>IF(ISBLANK('SQL Builder'!K1537)=FALSE,'SQL Builder'!L1537,"")</f>
        <v/>
      </c>
      <c r="D1562" s="1" t="str">
        <f>IF(ISBLANK('SQL Builder'!K1537)=FALSE,'SQL Builder'!O1537,"")</f>
        <v/>
      </c>
      <c r="H1562" s="43" t="str">
        <f>IF(ISBLANK('SQL Builder'!K1536)=FALSE,H1561+1,"")</f>
        <v/>
      </c>
      <c r="I1562" s="1" t="str">
        <f>IF(ISBLANK('SQL Builder'!P1537)=FALSE,'SQL Builder'!N1537,"")</f>
        <v/>
      </c>
      <c r="J1562" s="79">
        <f t="shared" si="23"/>
        <v>0</v>
      </c>
    </row>
    <row r="1563" spans="2:10" ht="16.5" x14ac:dyDescent="0.25">
      <c r="B1563" s="49" t="e">
        <f>IF(ISBLANK('SQL Builder'!K1538)=FALSE,(DATE(LEFT('SQL Builder'!K1538,4),MID('SQL Builder'!K1538,6,2),MID('SQL Builder'!K1538,9,2))),NA())</f>
        <v>#N/A</v>
      </c>
      <c r="C1563" s="50" t="str">
        <f>IF(ISBLANK('SQL Builder'!K1538)=FALSE,'SQL Builder'!L1538,"")</f>
        <v/>
      </c>
      <c r="D1563" s="1" t="str">
        <f>IF(ISBLANK('SQL Builder'!K1538)=FALSE,'SQL Builder'!O1538,"")</f>
        <v/>
      </c>
      <c r="H1563" s="43" t="str">
        <f>IF(ISBLANK('SQL Builder'!K1537)=FALSE,H1562+1,"")</f>
        <v/>
      </c>
      <c r="I1563" s="1" t="str">
        <f>IF(ISBLANK('SQL Builder'!P1538)=FALSE,'SQL Builder'!N1538,"")</f>
        <v/>
      </c>
      <c r="J1563" s="79">
        <f t="shared" si="23"/>
        <v>0</v>
      </c>
    </row>
    <row r="1564" spans="2:10" ht="16.5" x14ac:dyDescent="0.25">
      <c r="B1564" s="49" t="e">
        <f>IF(ISBLANK('SQL Builder'!K1539)=FALSE,(DATE(LEFT('SQL Builder'!K1539,4),MID('SQL Builder'!K1539,6,2),MID('SQL Builder'!K1539,9,2))),NA())</f>
        <v>#N/A</v>
      </c>
      <c r="C1564" s="50" t="str">
        <f>IF(ISBLANK('SQL Builder'!K1539)=FALSE,'SQL Builder'!L1539,"")</f>
        <v/>
      </c>
      <c r="D1564" s="1" t="str">
        <f>IF(ISBLANK('SQL Builder'!K1539)=FALSE,'SQL Builder'!O1539,"")</f>
        <v/>
      </c>
      <c r="H1564" s="43" t="str">
        <f>IF(ISBLANK('SQL Builder'!K1538)=FALSE,H1563+1,"")</f>
        <v/>
      </c>
      <c r="I1564" s="1" t="str">
        <f>IF(ISBLANK('SQL Builder'!P1539)=FALSE,'SQL Builder'!N1539,"")</f>
        <v/>
      </c>
      <c r="J1564" s="79">
        <f t="shared" si="23"/>
        <v>0</v>
      </c>
    </row>
    <row r="1565" spans="2:10" ht="16.5" x14ac:dyDescent="0.25">
      <c r="B1565" s="49" t="e">
        <f>IF(ISBLANK('SQL Builder'!K1540)=FALSE,(DATE(LEFT('SQL Builder'!K1540,4),MID('SQL Builder'!K1540,6,2),MID('SQL Builder'!K1540,9,2))),NA())</f>
        <v>#N/A</v>
      </c>
      <c r="C1565" s="50" t="str">
        <f>IF(ISBLANK('SQL Builder'!K1540)=FALSE,'SQL Builder'!L1540,"")</f>
        <v/>
      </c>
      <c r="D1565" s="1" t="str">
        <f>IF(ISBLANK('SQL Builder'!K1540)=FALSE,'SQL Builder'!O1540,"")</f>
        <v/>
      </c>
      <c r="H1565" s="43" t="str">
        <f>IF(ISBLANK('SQL Builder'!K1539)=FALSE,H1564+1,"")</f>
        <v/>
      </c>
      <c r="I1565" s="1" t="str">
        <f>IF(ISBLANK('SQL Builder'!P1540)=FALSE,'SQL Builder'!N1540,"")</f>
        <v/>
      </c>
      <c r="J1565" s="79">
        <f t="shared" si="23"/>
        <v>0</v>
      </c>
    </row>
    <row r="1566" spans="2:10" ht="16.5" x14ac:dyDescent="0.25">
      <c r="B1566" s="49" t="e">
        <f>IF(ISBLANK('SQL Builder'!K1541)=FALSE,(DATE(LEFT('SQL Builder'!K1541,4),MID('SQL Builder'!K1541,6,2),MID('SQL Builder'!K1541,9,2))),NA())</f>
        <v>#N/A</v>
      </c>
      <c r="C1566" s="50" t="str">
        <f>IF(ISBLANK('SQL Builder'!K1541)=FALSE,'SQL Builder'!L1541,"")</f>
        <v/>
      </c>
      <c r="D1566" s="1" t="str">
        <f>IF(ISBLANK('SQL Builder'!K1541)=FALSE,'SQL Builder'!O1541,"")</f>
        <v/>
      </c>
      <c r="H1566" s="43" t="str">
        <f>IF(ISBLANK('SQL Builder'!K1540)=FALSE,H1565+1,"")</f>
        <v/>
      </c>
      <c r="I1566" s="1" t="str">
        <f>IF(ISBLANK('SQL Builder'!P1541)=FALSE,'SQL Builder'!N1541,"")</f>
        <v/>
      </c>
      <c r="J1566" s="79">
        <f t="shared" si="23"/>
        <v>0</v>
      </c>
    </row>
    <row r="1567" spans="2:10" ht="16.5" x14ac:dyDescent="0.25">
      <c r="B1567" s="49" t="e">
        <f>IF(ISBLANK('SQL Builder'!K1542)=FALSE,(DATE(LEFT('SQL Builder'!K1542,4),MID('SQL Builder'!K1542,6,2),MID('SQL Builder'!K1542,9,2))),NA())</f>
        <v>#N/A</v>
      </c>
      <c r="C1567" s="50" t="str">
        <f>IF(ISBLANK('SQL Builder'!K1542)=FALSE,'SQL Builder'!L1542,"")</f>
        <v/>
      </c>
      <c r="D1567" s="1" t="str">
        <f>IF(ISBLANK('SQL Builder'!K1542)=FALSE,'SQL Builder'!O1542,"")</f>
        <v/>
      </c>
      <c r="H1567" s="43" t="str">
        <f>IF(ISBLANK('SQL Builder'!K1541)=FALSE,H1566+1,"")</f>
        <v/>
      </c>
      <c r="I1567" s="1" t="str">
        <f>IF(ISBLANK('SQL Builder'!P1542)=FALSE,'SQL Builder'!N1542,"")</f>
        <v/>
      </c>
      <c r="J1567" s="79">
        <f t="shared" ref="J1567:J1630" si="24">IF(I1567="",0,IF(I1567=C$5,2,1))</f>
        <v>0</v>
      </c>
    </row>
    <row r="1568" spans="2:10" ht="16.5" x14ac:dyDescent="0.25">
      <c r="B1568" s="49" t="e">
        <f>IF(ISBLANK('SQL Builder'!K1543)=FALSE,(DATE(LEFT('SQL Builder'!K1543,4),MID('SQL Builder'!K1543,6,2),MID('SQL Builder'!K1543,9,2))),NA())</f>
        <v>#N/A</v>
      </c>
      <c r="C1568" s="50" t="str">
        <f>IF(ISBLANK('SQL Builder'!K1543)=FALSE,'SQL Builder'!L1543,"")</f>
        <v/>
      </c>
      <c r="D1568" s="1" t="str">
        <f>IF(ISBLANK('SQL Builder'!K1543)=FALSE,'SQL Builder'!O1543,"")</f>
        <v/>
      </c>
      <c r="H1568" s="43" t="str">
        <f>IF(ISBLANK('SQL Builder'!K1542)=FALSE,H1567+1,"")</f>
        <v/>
      </c>
      <c r="I1568" s="1" t="str">
        <f>IF(ISBLANK('SQL Builder'!P1543)=FALSE,'SQL Builder'!N1543,"")</f>
        <v/>
      </c>
      <c r="J1568" s="79">
        <f t="shared" si="24"/>
        <v>0</v>
      </c>
    </row>
    <row r="1569" spans="2:10" ht="16.5" x14ac:dyDescent="0.25">
      <c r="B1569" s="49" t="e">
        <f>IF(ISBLANK('SQL Builder'!K1544)=FALSE,(DATE(LEFT('SQL Builder'!K1544,4),MID('SQL Builder'!K1544,6,2),MID('SQL Builder'!K1544,9,2))),NA())</f>
        <v>#N/A</v>
      </c>
      <c r="C1569" s="50" t="str">
        <f>IF(ISBLANK('SQL Builder'!K1544)=FALSE,'SQL Builder'!L1544,"")</f>
        <v/>
      </c>
      <c r="D1569" s="1" t="str">
        <f>IF(ISBLANK('SQL Builder'!K1544)=FALSE,'SQL Builder'!O1544,"")</f>
        <v/>
      </c>
      <c r="H1569" s="43" t="str">
        <f>IF(ISBLANK('SQL Builder'!K1543)=FALSE,H1568+1,"")</f>
        <v/>
      </c>
      <c r="I1569" s="1" t="str">
        <f>IF(ISBLANK('SQL Builder'!P1544)=FALSE,'SQL Builder'!N1544,"")</f>
        <v/>
      </c>
      <c r="J1569" s="79">
        <f t="shared" si="24"/>
        <v>0</v>
      </c>
    </row>
    <row r="1570" spans="2:10" ht="16.5" x14ac:dyDescent="0.25">
      <c r="B1570" s="49" t="e">
        <f>IF(ISBLANK('SQL Builder'!K1545)=FALSE,(DATE(LEFT('SQL Builder'!K1545,4),MID('SQL Builder'!K1545,6,2),MID('SQL Builder'!K1545,9,2))),NA())</f>
        <v>#N/A</v>
      </c>
      <c r="C1570" s="50" t="str">
        <f>IF(ISBLANK('SQL Builder'!K1545)=FALSE,'SQL Builder'!L1545,"")</f>
        <v/>
      </c>
      <c r="D1570" s="1" t="str">
        <f>IF(ISBLANK('SQL Builder'!K1545)=FALSE,'SQL Builder'!O1545,"")</f>
        <v/>
      </c>
      <c r="H1570" s="43" t="str">
        <f>IF(ISBLANK('SQL Builder'!K1544)=FALSE,H1569+1,"")</f>
        <v/>
      </c>
      <c r="I1570" s="1" t="str">
        <f>IF(ISBLANK('SQL Builder'!P1545)=FALSE,'SQL Builder'!N1545,"")</f>
        <v/>
      </c>
      <c r="J1570" s="79">
        <f t="shared" si="24"/>
        <v>0</v>
      </c>
    </row>
    <row r="1571" spans="2:10" ht="16.5" x14ac:dyDescent="0.25">
      <c r="B1571" s="49" t="e">
        <f>IF(ISBLANK('SQL Builder'!K1546)=FALSE,(DATE(LEFT('SQL Builder'!K1546,4),MID('SQL Builder'!K1546,6,2),MID('SQL Builder'!K1546,9,2))),NA())</f>
        <v>#N/A</v>
      </c>
      <c r="C1571" s="50" t="str">
        <f>IF(ISBLANK('SQL Builder'!K1546)=FALSE,'SQL Builder'!L1546,"")</f>
        <v/>
      </c>
      <c r="D1571" s="1" t="str">
        <f>IF(ISBLANK('SQL Builder'!K1546)=FALSE,'SQL Builder'!O1546,"")</f>
        <v/>
      </c>
      <c r="H1571" s="43" t="str">
        <f>IF(ISBLANK('SQL Builder'!K1545)=FALSE,H1570+1,"")</f>
        <v/>
      </c>
      <c r="I1571" s="1" t="str">
        <f>IF(ISBLANK('SQL Builder'!P1546)=FALSE,'SQL Builder'!N1546,"")</f>
        <v/>
      </c>
      <c r="J1571" s="79">
        <f t="shared" si="24"/>
        <v>0</v>
      </c>
    </row>
    <row r="1572" spans="2:10" ht="16.5" x14ac:dyDescent="0.25">
      <c r="B1572" s="49" t="e">
        <f>IF(ISBLANK('SQL Builder'!K1547)=FALSE,(DATE(LEFT('SQL Builder'!K1547,4),MID('SQL Builder'!K1547,6,2),MID('SQL Builder'!K1547,9,2))),NA())</f>
        <v>#N/A</v>
      </c>
      <c r="C1572" s="50" t="str">
        <f>IF(ISBLANK('SQL Builder'!K1547)=FALSE,'SQL Builder'!L1547,"")</f>
        <v/>
      </c>
      <c r="D1572" s="1" t="str">
        <f>IF(ISBLANK('SQL Builder'!K1547)=FALSE,'SQL Builder'!O1547,"")</f>
        <v/>
      </c>
      <c r="H1572" s="43" t="str">
        <f>IF(ISBLANK('SQL Builder'!K1546)=FALSE,H1571+1,"")</f>
        <v/>
      </c>
      <c r="I1572" s="1" t="str">
        <f>IF(ISBLANK('SQL Builder'!P1547)=FALSE,'SQL Builder'!N1547,"")</f>
        <v/>
      </c>
      <c r="J1572" s="79">
        <f t="shared" si="24"/>
        <v>0</v>
      </c>
    </row>
    <row r="1573" spans="2:10" ht="16.5" x14ac:dyDescent="0.25">
      <c r="B1573" s="49" t="e">
        <f>IF(ISBLANK('SQL Builder'!K1548)=FALSE,(DATE(LEFT('SQL Builder'!K1548,4),MID('SQL Builder'!K1548,6,2),MID('SQL Builder'!K1548,9,2))),NA())</f>
        <v>#N/A</v>
      </c>
      <c r="C1573" s="50" t="str">
        <f>IF(ISBLANK('SQL Builder'!K1548)=FALSE,'SQL Builder'!L1548,"")</f>
        <v/>
      </c>
      <c r="D1573" s="1" t="str">
        <f>IF(ISBLANK('SQL Builder'!K1548)=FALSE,'SQL Builder'!O1548,"")</f>
        <v/>
      </c>
      <c r="H1573" s="43" t="str">
        <f>IF(ISBLANK('SQL Builder'!K1547)=FALSE,H1572+1,"")</f>
        <v/>
      </c>
      <c r="I1573" s="1" t="str">
        <f>IF(ISBLANK('SQL Builder'!P1548)=FALSE,'SQL Builder'!N1548,"")</f>
        <v/>
      </c>
      <c r="J1573" s="79">
        <f t="shared" si="24"/>
        <v>0</v>
      </c>
    </row>
    <row r="1574" spans="2:10" ht="16.5" x14ac:dyDescent="0.25">
      <c r="B1574" s="49" t="e">
        <f>IF(ISBLANK('SQL Builder'!K1549)=FALSE,(DATE(LEFT('SQL Builder'!K1549,4),MID('SQL Builder'!K1549,6,2),MID('SQL Builder'!K1549,9,2))),NA())</f>
        <v>#N/A</v>
      </c>
      <c r="C1574" s="50" t="str">
        <f>IF(ISBLANK('SQL Builder'!K1549)=FALSE,'SQL Builder'!L1549,"")</f>
        <v/>
      </c>
      <c r="D1574" s="1" t="str">
        <f>IF(ISBLANK('SQL Builder'!K1549)=FALSE,'SQL Builder'!O1549,"")</f>
        <v/>
      </c>
      <c r="H1574" s="43" t="str">
        <f>IF(ISBLANK('SQL Builder'!K1548)=FALSE,H1573+1,"")</f>
        <v/>
      </c>
      <c r="I1574" s="1" t="str">
        <f>IF(ISBLANK('SQL Builder'!P1549)=FALSE,'SQL Builder'!N1549,"")</f>
        <v/>
      </c>
      <c r="J1574" s="79">
        <f t="shared" si="24"/>
        <v>0</v>
      </c>
    </row>
    <row r="1575" spans="2:10" ht="16.5" x14ac:dyDescent="0.25">
      <c r="B1575" s="49" t="e">
        <f>IF(ISBLANK('SQL Builder'!K1550)=FALSE,(DATE(LEFT('SQL Builder'!K1550,4),MID('SQL Builder'!K1550,6,2),MID('SQL Builder'!K1550,9,2))),NA())</f>
        <v>#N/A</v>
      </c>
      <c r="C1575" s="50" t="str">
        <f>IF(ISBLANK('SQL Builder'!K1550)=FALSE,'SQL Builder'!L1550,"")</f>
        <v/>
      </c>
      <c r="D1575" s="1" t="str">
        <f>IF(ISBLANK('SQL Builder'!K1550)=FALSE,'SQL Builder'!O1550,"")</f>
        <v/>
      </c>
      <c r="H1575" s="43" t="str">
        <f>IF(ISBLANK('SQL Builder'!K1549)=FALSE,H1574+1,"")</f>
        <v/>
      </c>
      <c r="I1575" s="1" t="str">
        <f>IF(ISBLANK('SQL Builder'!P1550)=FALSE,'SQL Builder'!N1550,"")</f>
        <v/>
      </c>
      <c r="J1575" s="79">
        <f t="shared" si="24"/>
        <v>0</v>
      </c>
    </row>
    <row r="1576" spans="2:10" ht="16.5" x14ac:dyDescent="0.25">
      <c r="B1576" s="49" t="e">
        <f>IF(ISBLANK('SQL Builder'!K1551)=FALSE,(DATE(LEFT('SQL Builder'!K1551,4),MID('SQL Builder'!K1551,6,2),MID('SQL Builder'!K1551,9,2))),NA())</f>
        <v>#N/A</v>
      </c>
      <c r="C1576" s="50" t="str">
        <f>IF(ISBLANK('SQL Builder'!K1551)=FALSE,'SQL Builder'!L1551,"")</f>
        <v/>
      </c>
      <c r="D1576" s="1" t="str">
        <f>IF(ISBLANK('SQL Builder'!K1551)=FALSE,'SQL Builder'!O1551,"")</f>
        <v/>
      </c>
      <c r="H1576" s="43" t="str">
        <f>IF(ISBLANK('SQL Builder'!K1550)=FALSE,H1575+1,"")</f>
        <v/>
      </c>
      <c r="I1576" s="1" t="str">
        <f>IF(ISBLANK('SQL Builder'!P1551)=FALSE,'SQL Builder'!N1551,"")</f>
        <v/>
      </c>
      <c r="J1576" s="79">
        <f t="shared" si="24"/>
        <v>0</v>
      </c>
    </row>
    <row r="1577" spans="2:10" ht="16.5" x14ac:dyDescent="0.25">
      <c r="B1577" s="49" t="e">
        <f>IF(ISBLANK('SQL Builder'!K1552)=FALSE,(DATE(LEFT('SQL Builder'!K1552,4),MID('SQL Builder'!K1552,6,2),MID('SQL Builder'!K1552,9,2))),NA())</f>
        <v>#N/A</v>
      </c>
      <c r="C1577" s="50" t="str">
        <f>IF(ISBLANK('SQL Builder'!K1552)=FALSE,'SQL Builder'!L1552,"")</f>
        <v/>
      </c>
      <c r="D1577" s="1" t="str">
        <f>IF(ISBLANK('SQL Builder'!K1552)=FALSE,'SQL Builder'!O1552,"")</f>
        <v/>
      </c>
      <c r="H1577" s="43" t="str">
        <f>IF(ISBLANK('SQL Builder'!K1551)=FALSE,H1576+1,"")</f>
        <v/>
      </c>
      <c r="I1577" s="1" t="str">
        <f>IF(ISBLANK('SQL Builder'!P1552)=FALSE,'SQL Builder'!N1552,"")</f>
        <v/>
      </c>
      <c r="J1577" s="79">
        <f t="shared" si="24"/>
        <v>0</v>
      </c>
    </row>
    <row r="1578" spans="2:10" ht="16.5" x14ac:dyDescent="0.25">
      <c r="B1578" s="49" t="e">
        <f>IF(ISBLANK('SQL Builder'!K1553)=FALSE,(DATE(LEFT('SQL Builder'!K1553,4),MID('SQL Builder'!K1553,6,2),MID('SQL Builder'!K1553,9,2))),NA())</f>
        <v>#N/A</v>
      </c>
      <c r="C1578" s="50" t="str">
        <f>IF(ISBLANK('SQL Builder'!K1553)=FALSE,'SQL Builder'!L1553,"")</f>
        <v/>
      </c>
      <c r="D1578" s="1" t="str">
        <f>IF(ISBLANK('SQL Builder'!K1553)=FALSE,'SQL Builder'!O1553,"")</f>
        <v/>
      </c>
      <c r="H1578" s="43" t="str">
        <f>IF(ISBLANK('SQL Builder'!K1552)=FALSE,H1577+1,"")</f>
        <v/>
      </c>
      <c r="I1578" s="1" t="str">
        <f>IF(ISBLANK('SQL Builder'!P1553)=FALSE,'SQL Builder'!N1553,"")</f>
        <v/>
      </c>
      <c r="J1578" s="79">
        <f t="shared" si="24"/>
        <v>0</v>
      </c>
    </row>
    <row r="1579" spans="2:10" ht="16.5" x14ac:dyDescent="0.25">
      <c r="B1579" s="49" t="e">
        <f>IF(ISBLANK('SQL Builder'!K1554)=FALSE,(DATE(LEFT('SQL Builder'!K1554,4),MID('SQL Builder'!K1554,6,2),MID('SQL Builder'!K1554,9,2))),NA())</f>
        <v>#N/A</v>
      </c>
      <c r="C1579" s="50" t="str">
        <f>IF(ISBLANK('SQL Builder'!K1554)=FALSE,'SQL Builder'!L1554,"")</f>
        <v/>
      </c>
      <c r="D1579" s="1" t="str">
        <f>IF(ISBLANK('SQL Builder'!K1554)=FALSE,'SQL Builder'!O1554,"")</f>
        <v/>
      </c>
      <c r="H1579" s="43" t="str">
        <f>IF(ISBLANK('SQL Builder'!K1553)=FALSE,H1578+1,"")</f>
        <v/>
      </c>
      <c r="I1579" s="1" t="str">
        <f>IF(ISBLANK('SQL Builder'!P1554)=FALSE,'SQL Builder'!N1554,"")</f>
        <v/>
      </c>
      <c r="J1579" s="79">
        <f t="shared" si="24"/>
        <v>0</v>
      </c>
    </row>
    <row r="1580" spans="2:10" ht="16.5" x14ac:dyDescent="0.25">
      <c r="B1580" s="49" t="e">
        <f>IF(ISBLANK('SQL Builder'!K1555)=FALSE,(DATE(LEFT('SQL Builder'!K1555,4),MID('SQL Builder'!K1555,6,2),MID('SQL Builder'!K1555,9,2))),NA())</f>
        <v>#N/A</v>
      </c>
      <c r="C1580" s="50" t="str">
        <f>IF(ISBLANK('SQL Builder'!K1555)=FALSE,'SQL Builder'!L1555,"")</f>
        <v/>
      </c>
      <c r="D1580" s="1" t="str">
        <f>IF(ISBLANK('SQL Builder'!K1555)=FALSE,'SQL Builder'!O1555,"")</f>
        <v/>
      </c>
      <c r="H1580" s="43" t="str">
        <f>IF(ISBLANK('SQL Builder'!K1554)=FALSE,H1579+1,"")</f>
        <v/>
      </c>
      <c r="I1580" s="1" t="str">
        <f>IF(ISBLANK('SQL Builder'!P1555)=FALSE,'SQL Builder'!N1555,"")</f>
        <v/>
      </c>
      <c r="J1580" s="79">
        <f t="shared" si="24"/>
        <v>0</v>
      </c>
    </row>
    <row r="1581" spans="2:10" ht="16.5" x14ac:dyDescent="0.25">
      <c r="B1581" s="49" t="e">
        <f>IF(ISBLANK('SQL Builder'!K1556)=FALSE,(DATE(LEFT('SQL Builder'!K1556,4),MID('SQL Builder'!K1556,6,2),MID('SQL Builder'!K1556,9,2))),NA())</f>
        <v>#N/A</v>
      </c>
      <c r="C1581" s="50" t="str">
        <f>IF(ISBLANK('SQL Builder'!K1556)=FALSE,'SQL Builder'!L1556,"")</f>
        <v/>
      </c>
      <c r="D1581" s="1" t="str">
        <f>IF(ISBLANK('SQL Builder'!K1556)=FALSE,'SQL Builder'!O1556,"")</f>
        <v/>
      </c>
      <c r="H1581" s="43" t="str">
        <f>IF(ISBLANK('SQL Builder'!K1555)=FALSE,H1580+1,"")</f>
        <v/>
      </c>
      <c r="I1581" s="1" t="str">
        <f>IF(ISBLANK('SQL Builder'!P1556)=FALSE,'SQL Builder'!N1556,"")</f>
        <v/>
      </c>
      <c r="J1581" s="79">
        <f t="shared" si="24"/>
        <v>0</v>
      </c>
    </row>
    <row r="1582" spans="2:10" ht="16.5" x14ac:dyDescent="0.25">
      <c r="B1582" s="49" t="e">
        <f>IF(ISBLANK('SQL Builder'!K1557)=FALSE,(DATE(LEFT('SQL Builder'!K1557,4),MID('SQL Builder'!K1557,6,2),MID('SQL Builder'!K1557,9,2))),NA())</f>
        <v>#N/A</v>
      </c>
      <c r="C1582" s="50" t="str">
        <f>IF(ISBLANK('SQL Builder'!K1557)=FALSE,'SQL Builder'!L1557,"")</f>
        <v/>
      </c>
      <c r="D1582" s="1" t="str">
        <f>IF(ISBLANK('SQL Builder'!K1557)=FALSE,'SQL Builder'!O1557,"")</f>
        <v/>
      </c>
      <c r="H1582" s="43" t="str">
        <f>IF(ISBLANK('SQL Builder'!K1556)=FALSE,H1581+1,"")</f>
        <v/>
      </c>
      <c r="I1582" s="1" t="str">
        <f>IF(ISBLANK('SQL Builder'!P1557)=FALSE,'SQL Builder'!N1557,"")</f>
        <v/>
      </c>
      <c r="J1582" s="79">
        <f t="shared" si="24"/>
        <v>0</v>
      </c>
    </row>
    <row r="1583" spans="2:10" ht="16.5" x14ac:dyDescent="0.25">
      <c r="B1583" s="49" t="e">
        <f>IF(ISBLANK('SQL Builder'!K1558)=FALSE,(DATE(LEFT('SQL Builder'!K1558,4),MID('SQL Builder'!K1558,6,2),MID('SQL Builder'!K1558,9,2))),NA())</f>
        <v>#N/A</v>
      </c>
      <c r="C1583" s="50" t="str">
        <f>IF(ISBLANK('SQL Builder'!K1558)=FALSE,'SQL Builder'!L1558,"")</f>
        <v/>
      </c>
      <c r="D1583" s="1" t="str">
        <f>IF(ISBLANK('SQL Builder'!K1558)=FALSE,'SQL Builder'!O1558,"")</f>
        <v/>
      </c>
      <c r="H1583" s="43" t="str">
        <f>IF(ISBLANK('SQL Builder'!K1557)=FALSE,H1582+1,"")</f>
        <v/>
      </c>
      <c r="I1583" s="1" t="str">
        <f>IF(ISBLANK('SQL Builder'!P1558)=FALSE,'SQL Builder'!N1558,"")</f>
        <v/>
      </c>
      <c r="J1583" s="79">
        <f t="shared" si="24"/>
        <v>0</v>
      </c>
    </row>
    <row r="1584" spans="2:10" ht="16.5" x14ac:dyDescent="0.25">
      <c r="B1584" s="49" t="e">
        <f>IF(ISBLANK('SQL Builder'!K1559)=FALSE,(DATE(LEFT('SQL Builder'!K1559,4),MID('SQL Builder'!K1559,6,2),MID('SQL Builder'!K1559,9,2))),NA())</f>
        <v>#N/A</v>
      </c>
      <c r="C1584" s="50" t="str">
        <f>IF(ISBLANK('SQL Builder'!K1559)=FALSE,'SQL Builder'!L1559,"")</f>
        <v/>
      </c>
      <c r="D1584" s="1" t="str">
        <f>IF(ISBLANK('SQL Builder'!K1559)=FALSE,'SQL Builder'!O1559,"")</f>
        <v/>
      </c>
      <c r="H1584" s="43" t="str">
        <f>IF(ISBLANK('SQL Builder'!K1558)=FALSE,H1583+1,"")</f>
        <v/>
      </c>
      <c r="I1584" s="1" t="str">
        <f>IF(ISBLANK('SQL Builder'!P1559)=FALSE,'SQL Builder'!N1559,"")</f>
        <v/>
      </c>
      <c r="J1584" s="79">
        <f t="shared" si="24"/>
        <v>0</v>
      </c>
    </row>
    <row r="1585" spans="2:10" ht="16.5" x14ac:dyDescent="0.25">
      <c r="B1585" s="49" t="e">
        <f>IF(ISBLANK('SQL Builder'!K1560)=FALSE,(DATE(LEFT('SQL Builder'!K1560,4),MID('SQL Builder'!K1560,6,2),MID('SQL Builder'!K1560,9,2))),NA())</f>
        <v>#N/A</v>
      </c>
      <c r="C1585" s="50" t="str">
        <f>IF(ISBLANK('SQL Builder'!K1560)=FALSE,'SQL Builder'!L1560,"")</f>
        <v/>
      </c>
      <c r="D1585" s="1" t="str">
        <f>IF(ISBLANK('SQL Builder'!K1560)=FALSE,'SQL Builder'!O1560,"")</f>
        <v/>
      </c>
      <c r="H1585" s="43" t="str">
        <f>IF(ISBLANK('SQL Builder'!K1559)=FALSE,H1584+1,"")</f>
        <v/>
      </c>
      <c r="I1585" s="1" t="str">
        <f>IF(ISBLANK('SQL Builder'!P1560)=FALSE,'SQL Builder'!N1560,"")</f>
        <v/>
      </c>
      <c r="J1585" s="79">
        <f t="shared" si="24"/>
        <v>0</v>
      </c>
    </row>
    <row r="1586" spans="2:10" ht="16.5" x14ac:dyDescent="0.25">
      <c r="B1586" s="49" t="e">
        <f>IF(ISBLANK('SQL Builder'!K1561)=FALSE,(DATE(LEFT('SQL Builder'!K1561,4),MID('SQL Builder'!K1561,6,2),MID('SQL Builder'!K1561,9,2))),NA())</f>
        <v>#N/A</v>
      </c>
      <c r="C1586" s="50" t="str">
        <f>IF(ISBLANK('SQL Builder'!K1561)=FALSE,'SQL Builder'!L1561,"")</f>
        <v/>
      </c>
      <c r="D1586" s="1" t="str">
        <f>IF(ISBLANK('SQL Builder'!K1561)=FALSE,'SQL Builder'!O1561,"")</f>
        <v/>
      </c>
      <c r="H1586" s="43" t="str">
        <f>IF(ISBLANK('SQL Builder'!K1560)=FALSE,H1585+1,"")</f>
        <v/>
      </c>
      <c r="I1586" s="1" t="str">
        <f>IF(ISBLANK('SQL Builder'!P1561)=FALSE,'SQL Builder'!N1561,"")</f>
        <v/>
      </c>
      <c r="J1586" s="79">
        <f t="shared" si="24"/>
        <v>0</v>
      </c>
    </row>
    <row r="1587" spans="2:10" ht="16.5" x14ac:dyDescent="0.25">
      <c r="B1587" s="49" t="e">
        <f>IF(ISBLANK('SQL Builder'!K1562)=FALSE,(DATE(LEFT('SQL Builder'!K1562,4),MID('SQL Builder'!K1562,6,2),MID('SQL Builder'!K1562,9,2))),NA())</f>
        <v>#N/A</v>
      </c>
      <c r="C1587" s="50" t="str">
        <f>IF(ISBLANK('SQL Builder'!K1562)=FALSE,'SQL Builder'!L1562,"")</f>
        <v/>
      </c>
      <c r="D1587" s="1" t="str">
        <f>IF(ISBLANK('SQL Builder'!K1562)=FALSE,'SQL Builder'!O1562,"")</f>
        <v/>
      </c>
      <c r="H1587" s="43" t="str">
        <f>IF(ISBLANK('SQL Builder'!K1561)=FALSE,H1586+1,"")</f>
        <v/>
      </c>
      <c r="I1587" s="1" t="str">
        <f>IF(ISBLANK('SQL Builder'!P1562)=FALSE,'SQL Builder'!N1562,"")</f>
        <v/>
      </c>
      <c r="J1587" s="79">
        <f t="shared" si="24"/>
        <v>0</v>
      </c>
    </row>
    <row r="1588" spans="2:10" ht="16.5" x14ac:dyDescent="0.25">
      <c r="B1588" s="49" t="e">
        <f>IF(ISBLANK('SQL Builder'!K1563)=FALSE,(DATE(LEFT('SQL Builder'!K1563,4),MID('SQL Builder'!K1563,6,2),MID('SQL Builder'!K1563,9,2))),NA())</f>
        <v>#N/A</v>
      </c>
      <c r="C1588" s="50" t="str">
        <f>IF(ISBLANK('SQL Builder'!K1563)=FALSE,'SQL Builder'!L1563,"")</f>
        <v/>
      </c>
      <c r="D1588" s="1" t="str">
        <f>IF(ISBLANK('SQL Builder'!K1563)=FALSE,'SQL Builder'!O1563,"")</f>
        <v/>
      </c>
      <c r="H1588" s="43" t="str">
        <f>IF(ISBLANK('SQL Builder'!K1562)=FALSE,H1587+1,"")</f>
        <v/>
      </c>
      <c r="I1588" s="1" t="str">
        <f>IF(ISBLANK('SQL Builder'!P1563)=FALSE,'SQL Builder'!N1563,"")</f>
        <v/>
      </c>
      <c r="J1588" s="79">
        <f t="shared" si="24"/>
        <v>0</v>
      </c>
    </row>
    <row r="1589" spans="2:10" ht="16.5" x14ac:dyDescent="0.25">
      <c r="B1589" s="49" t="e">
        <f>IF(ISBLANK('SQL Builder'!K1564)=FALSE,(DATE(LEFT('SQL Builder'!K1564,4),MID('SQL Builder'!K1564,6,2),MID('SQL Builder'!K1564,9,2))),NA())</f>
        <v>#N/A</v>
      </c>
      <c r="C1589" s="50" t="str">
        <f>IF(ISBLANK('SQL Builder'!K1564)=FALSE,'SQL Builder'!L1564,"")</f>
        <v/>
      </c>
      <c r="D1589" s="1" t="str">
        <f>IF(ISBLANK('SQL Builder'!K1564)=FALSE,'SQL Builder'!O1564,"")</f>
        <v/>
      </c>
      <c r="H1589" s="43" t="str">
        <f>IF(ISBLANK('SQL Builder'!K1563)=FALSE,H1588+1,"")</f>
        <v/>
      </c>
      <c r="I1589" s="1" t="str">
        <f>IF(ISBLANK('SQL Builder'!P1564)=FALSE,'SQL Builder'!N1564,"")</f>
        <v/>
      </c>
      <c r="J1589" s="79">
        <f t="shared" si="24"/>
        <v>0</v>
      </c>
    </row>
    <row r="1590" spans="2:10" ht="16.5" x14ac:dyDescent="0.25">
      <c r="B1590" s="49" t="e">
        <f>IF(ISBLANK('SQL Builder'!K1565)=FALSE,(DATE(LEFT('SQL Builder'!K1565,4),MID('SQL Builder'!K1565,6,2),MID('SQL Builder'!K1565,9,2))),NA())</f>
        <v>#N/A</v>
      </c>
      <c r="C1590" s="50" t="str">
        <f>IF(ISBLANK('SQL Builder'!K1565)=FALSE,'SQL Builder'!L1565,"")</f>
        <v/>
      </c>
      <c r="D1590" s="1" t="str">
        <f>IF(ISBLANK('SQL Builder'!K1565)=FALSE,'SQL Builder'!O1565,"")</f>
        <v/>
      </c>
      <c r="H1590" s="43" t="str">
        <f>IF(ISBLANK('SQL Builder'!K1564)=FALSE,H1589+1,"")</f>
        <v/>
      </c>
      <c r="I1590" s="1" t="str">
        <f>IF(ISBLANK('SQL Builder'!P1565)=FALSE,'SQL Builder'!N1565,"")</f>
        <v/>
      </c>
      <c r="J1590" s="79">
        <f t="shared" si="24"/>
        <v>0</v>
      </c>
    </row>
    <row r="1591" spans="2:10" ht="16.5" x14ac:dyDescent="0.25">
      <c r="B1591" s="49" t="e">
        <f>IF(ISBLANK('SQL Builder'!K1566)=FALSE,(DATE(LEFT('SQL Builder'!K1566,4),MID('SQL Builder'!K1566,6,2),MID('SQL Builder'!K1566,9,2))),NA())</f>
        <v>#N/A</v>
      </c>
      <c r="C1591" s="50" t="str">
        <f>IF(ISBLANK('SQL Builder'!K1566)=FALSE,'SQL Builder'!L1566,"")</f>
        <v/>
      </c>
      <c r="D1591" s="1" t="str">
        <f>IF(ISBLANK('SQL Builder'!K1566)=FALSE,'SQL Builder'!O1566,"")</f>
        <v/>
      </c>
      <c r="H1591" s="43" t="str">
        <f>IF(ISBLANK('SQL Builder'!K1565)=FALSE,H1590+1,"")</f>
        <v/>
      </c>
      <c r="I1591" s="1" t="str">
        <f>IF(ISBLANK('SQL Builder'!P1566)=FALSE,'SQL Builder'!N1566,"")</f>
        <v/>
      </c>
      <c r="J1591" s="79">
        <f t="shared" si="24"/>
        <v>0</v>
      </c>
    </row>
    <row r="1592" spans="2:10" ht="16.5" x14ac:dyDescent="0.25">
      <c r="B1592" s="49" t="e">
        <f>IF(ISBLANK('SQL Builder'!K1567)=FALSE,(DATE(LEFT('SQL Builder'!K1567,4),MID('SQL Builder'!K1567,6,2),MID('SQL Builder'!K1567,9,2))),NA())</f>
        <v>#N/A</v>
      </c>
      <c r="C1592" s="50" t="str">
        <f>IF(ISBLANK('SQL Builder'!K1567)=FALSE,'SQL Builder'!L1567,"")</f>
        <v/>
      </c>
      <c r="D1592" s="1" t="str">
        <f>IF(ISBLANK('SQL Builder'!K1567)=FALSE,'SQL Builder'!O1567,"")</f>
        <v/>
      </c>
      <c r="H1592" s="43" t="str">
        <f>IF(ISBLANK('SQL Builder'!K1566)=FALSE,H1591+1,"")</f>
        <v/>
      </c>
      <c r="I1592" s="1" t="str">
        <f>IF(ISBLANK('SQL Builder'!P1567)=FALSE,'SQL Builder'!N1567,"")</f>
        <v/>
      </c>
      <c r="J1592" s="79">
        <f t="shared" si="24"/>
        <v>0</v>
      </c>
    </row>
    <row r="1593" spans="2:10" ht="16.5" x14ac:dyDescent="0.25">
      <c r="B1593" s="49" t="e">
        <f>IF(ISBLANK('SQL Builder'!K1568)=FALSE,(DATE(LEFT('SQL Builder'!K1568,4),MID('SQL Builder'!K1568,6,2),MID('SQL Builder'!K1568,9,2))),NA())</f>
        <v>#N/A</v>
      </c>
      <c r="C1593" s="50" t="str">
        <f>IF(ISBLANK('SQL Builder'!K1568)=FALSE,'SQL Builder'!L1568,"")</f>
        <v/>
      </c>
      <c r="D1593" s="1" t="str">
        <f>IF(ISBLANK('SQL Builder'!K1568)=FALSE,'SQL Builder'!O1568,"")</f>
        <v/>
      </c>
      <c r="H1593" s="43" t="str">
        <f>IF(ISBLANK('SQL Builder'!K1567)=FALSE,H1592+1,"")</f>
        <v/>
      </c>
      <c r="I1593" s="1" t="str">
        <f>IF(ISBLANK('SQL Builder'!P1568)=FALSE,'SQL Builder'!N1568,"")</f>
        <v/>
      </c>
      <c r="J1593" s="79">
        <f t="shared" si="24"/>
        <v>0</v>
      </c>
    </row>
    <row r="1594" spans="2:10" ht="16.5" x14ac:dyDescent="0.25">
      <c r="B1594" s="49" t="e">
        <f>IF(ISBLANK('SQL Builder'!K1569)=FALSE,(DATE(LEFT('SQL Builder'!K1569,4),MID('SQL Builder'!K1569,6,2),MID('SQL Builder'!K1569,9,2))),NA())</f>
        <v>#N/A</v>
      </c>
      <c r="C1594" s="50" t="str">
        <f>IF(ISBLANK('SQL Builder'!K1569)=FALSE,'SQL Builder'!L1569,"")</f>
        <v/>
      </c>
      <c r="D1594" s="1" t="str">
        <f>IF(ISBLANK('SQL Builder'!K1569)=FALSE,'SQL Builder'!O1569,"")</f>
        <v/>
      </c>
      <c r="H1594" s="43" t="str">
        <f>IF(ISBLANK('SQL Builder'!K1568)=FALSE,H1593+1,"")</f>
        <v/>
      </c>
      <c r="I1594" s="1" t="str">
        <f>IF(ISBLANK('SQL Builder'!P1569)=FALSE,'SQL Builder'!N1569,"")</f>
        <v/>
      </c>
      <c r="J1594" s="79">
        <f t="shared" si="24"/>
        <v>0</v>
      </c>
    </row>
    <row r="1595" spans="2:10" ht="16.5" x14ac:dyDescent="0.25">
      <c r="B1595" s="49" t="e">
        <f>IF(ISBLANK('SQL Builder'!K1570)=FALSE,(DATE(LEFT('SQL Builder'!K1570,4),MID('SQL Builder'!K1570,6,2),MID('SQL Builder'!K1570,9,2))),NA())</f>
        <v>#N/A</v>
      </c>
      <c r="C1595" s="50" t="str">
        <f>IF(ISBLANK('SQL Builder'!K1570)=FALSE,'SQL Builder'!L1570,"")</f>
        <v/>
      </c>
      <c r="D1595" s="1" t="str">
        <f>IF(ISBLANK('SQL Builder'!K1570)=FALSE,'SQL Builder'!O1570,"")</f>
        <v/>
      </c>
      <c r="H1595" s="43" t="str">
        <f>IF(ISBLANK('SQL Builder'!K1569)=FALSE,H1594+1,"")</f>
        <v/>
      </c>
      <c r="I1595" s="1" t="str">
        <f>IF(ISBLANK('SQL Builder'!P1570)=FALSE,'SQL Builder'!N1570,"")</f>
        <v/>
      </c>
      <c r="J1595" s="79">
        <f t="shared" si="24"/>
        <v>0</v>
      </c>
    </row>
    <row r="1596" spans="2:10" ht="16.5" x14ac:dyDescent="0.25">
      <c r="B1596" s="49" t="e">
        <f>IF(ISBLANK('SQL Builder'!K1571)=FALSE,(DATE(LEFT('SQL Builder'!K1571,4),MID('SQL Builder'!K1571,6,2),MID('SQL Builder'!K1571,9,2))),NA())</f>
        <v>#N/A</v>
      </c>
      <c r="C1596" s="50" t="str">
        <f>IF(ISBLANK('SQL Builder'!K1571)=FALSE,'SQL Builder'!L1571,"")</f>
        <v/>
      </c>
      <c r="D1596" s="1" t="str">
        <f>IF(ISBLANK('SQL Builder'!K1571)=FALSE,'SQL Builder'!O1571,"")</f>
        <v/>
      </c>
      <c r="H1596" s="43" t="str">
        <f>IF(ISBLANK('SQL Builder'!K1570)=FALSE,H1595+1,"")</f>
        <v/>
      </c>
      <c r="I1596" s="1" t="str">
        <f>IF(ISBLANK('SQL Builder'!P1571)=FALSE,'SQL Builder'!N1571,"")</f>
        <v/>
      </c>
      <c r="J1596" s="79">
        <f t="shared" si="24"/>
        <v>0</v>
      </c>
    </row>
    <row r="1597" spans="2:10" ht="16.5" x14ac:dyDescent="0.25">
      <c r="B1597" s="49" t="e">
        <f>IF(ISBLANK('SQL Builder'!K1572)=FALSE,(DATE(LEFT('SQL Builder'!K1572,4),MID('SQL Builder'!K1572,6,2),MID('SQL Builder'!K1572,9,2))),NA())</f>
        <v>#N/A</v>
      </c>
      <c r="C1597" s="50" t="str">
        <f>IF(ISBLANK('SQL Builder'!K1572)=FALSE,'SQL Builder'!L1572,"")</f>
        <v/>
      </c>
      <c r="D1597" s="1" t="str">
        <f>IF(ISBLANK('SQL Builder'!K1572)=FALSE,'SQL Builder'!O1572,"")</f>
        <v/>
      </c>
      <c r="H1597" s="43" t="str">
        <f>IF(ISBLANK('SQL Builder'!K1571)=FALSE,H1596+1,"")</f>
        <v/>
      </c>
      <c r="I1597" s="1" t="str">
        <f>IF(ISBLANK('SQL Builder'!P1572)=FALSE,'SQL Builder'!N1572,"")</f>
        <v/>
      </c>
      <c r="J1597" s="79">
        <f t="shared" si="24"/>
        <v>0</v>
      </c>
    </row>
    <row r="1598" spans="2:10" ht="16.5" x14ac:dyDescent="0.25">
      <c r="B1598" s="49" t="e">
        <f>IF(ISBLANK('SQL Builder'!K1573)=FALSE,(DATE(LEFT('SQL Builder'!K1573,4),MID('SQL Builder'!K1573,6,2),MID('SQL Builder'!K1573,9,2))),NA())</f>
        <v>#N/A</v>
      </c>
      <c r="C1598" s="50" t="str">
        <f>IF(ISBLANK('SQL Builder'!K1573)=FALSE,'SQL Builder'!L1573,"")</f>
        <v/>
      </c>
      <c r="D1598" s="1" t="str">
        <f>IF(ISBLANK('SQL Builder'!K1573)=FALSE,'SQL Builder'!O1573,"")</f>
        <v/>
      </c>
      <c r="H1598" s="43" t="str">
        <f>IF(ISBLANK('SQL Builder'!K1572)=FALSE,H1597+1,"")</f>
        <v/>
      </c>
      <c r="I1598" s="1" t="str">
        <f>IF(ISBLANK('SQL Builder'!P1573)=FALSE,'SQL Builder'!N1573,"")</f>
        <v/>
      </c>
      <c r="J1598" s="79">
        <f t="shared" si="24"/>
        <v>0</v>
      </c>
    </row>
    <row r="1599" spans="2:10" ht="16.5" x14ac:dyDescent="0.25">
      <c r="B1599" s="49" t="e">
        <f>IF(ISBLANK('SQL Builder'!K1574)=FALSE,(DATE(LEFT('SQL Builder'!K1574,4),MID('SQL Builder'!K1574,6,2),MID('SQL Builder'!K1574,9,2))),NA())</f>
        <v>#N/A</v>
      </c>
      <c r="C1599" s="50" t="str">
        <f>IF(ISBLANK('SQL Builder'!K1574)=FALSE,'SQL Builder'!L1574,"")</f>
        <v/>
      </c>
      <c r="D1599" s="1" t="str">
        <f>IF(ISBLANK('SQL Builder'!K1574)=FALSE,'SQL Builder'!O1574,"")</f>
        <v/>
      </c>
      <c r="H1599" s="43" t="str">
        <f>IF(ISBLANK('SQL Builder'!K1573)=FALSE,H1598+1,"")</f>
        <v/>
      </c>
      <c r="I1599" s="1" t="str">
        <f>IF(ISBLANK('SQL Builder'!P1574)=FALSE,'SQL Builder'!N1574,"")</f>
        <v/>
      </c>
      <c r="J1599" s="79">
        <f t="shared" si="24"/>
        <v>0</v>
      </c>
    </row>
    <row r="1600" spans="2:10" ht="16.5" x14ac:dyDescent="0.25">
      <c r="B1600" s="49" t="e">
        <f>IF(ISBLANK('SQL Builder'!K1575)=FALSE,(DATE(LEFT('SQL Builder'!K1575,4),MID('SQL Builder'!K1575,6,2),MID('SQL Builder'!K1575,9,2))),NA())</f>
        <v>#N/A</v>
      </c>
      <c r="C1600" s="50" t="str">
        <f>IF(ISBLANK('SQL Builder'!K1575)=FALSE,'SQL Builder'!L1575,"")</f>
        <v/>
      </c>
      <c r="D1600" s="1" t="str">
        <f>IF(ISBLANK('SQL Builder'!K1575)=FALSE,'SQL Builder'!O1575,"")</f>
        <v/>
      </c>
      <c r="H1600" s="43" t="str">
        <f>IF(ISBLANK('SQL Builder'!K1574)=FALSE,H1599+1,"")</f>
        <v/>
      </c>
      <c r="I1600" s="1" t="str">
        <f>IF(ISBLANK('SQL Builder'!P1575)=FALSE,'SQL Builder'!N1575,"")</f>
        <v/>
      </c>
      <c r="J1600" s="79">
        <f t="shared" si="24"/>
        <v>0</v>
      </c>
    </row>
    <row r="1601" spans="2:10" ht="16.5" x14ac:dyDescent="0.25">
      <c r="B1601" s="49" t="e">
        <f>IF(ISBLANK('SQL Builder'!K1576)=FALSE,(DATE(LEFT('SQL Builder'!K1576,4),MID('SQL Builder'!K1576,6,2),MID('SQL Builder'!K1576,9,2))),NA())</f>
        <v>#N/A</v>
      </c>
      <c r="C1601" s="50" t="str">
        <f>IF(ISBLANK('SQL Builder'!K1576)=FALSE,'SQL Builder'!L1576,"")</f>
        <v/>
      </c>
      <c r="D1601" s="1" t="str">
        <f>IF(ISBLANK('SQL Builder'!K1576)=FALSE,'SQL Builder'!O1576,"")</f>
        <v/>
      </c>
      <c r="H1601" s="43" t="str">
        <f>IF(ISBLANK('SQL Builder'!K1575)=FALSE,H1600+1,"")</f>
        <v/>
      </c>
      <c r="I1601" s="1" t="str">
        <f>IF(ISBLANK('SQL Builder'!P1576)=FALSE,'SQL Builder'!N1576,"")</f>
        <v/>
      </c>
      <c r="J1601" s="79">
        <f t="shared" si="24"/>
        <v>0</v>
      </c>
    </row>
    <row r="1602" spans="2:10" ht="16.5" x14ac:dyDescent="0.25">
      <c r="B1602" s="49" t="e">
        <f>IF(ISBLANK('SQL Builder'!K1577)=FALSE,(DATE(LEFT('SQL Builder'!K1577,4),MID('SQL Builder'!K1577,6,2),MID('SQL Builder'!K1577,9,2))),NA())</f>
        <v>#N/A</v>
      </c>
      <c r="C1602" s="50" t="str">
        <f>IF(ISBLANK('SQL Builder'!K1577)=FALSE,'SQL Builder'!L1577,"")</f>
        <v/>
      </c>
      <c r="D1602" s="1" t="str">
        <f>IF(ISBLANK('SQL Builder'!K1577)=FALSE,'SQL Builder'!O1577,"")</f>
        <v/>
      </c>
      <c r="H1602" s="43" t="str">
        <f>IF(ISBLANK('SQL Builder'!K1576)=FALSE,H1601+1,"")</f>
        <v/>
      </c>
      <c r="I1602" s="1" t="str">
        <f>IF(ISBLANK('SQL Builder'!P1577)=FALSE,'SQL Builder'!N1577,"")</f>
        <v/>
      </c>
      <c r="J1602" s="79">
        <f t="shared" si="24"/>
        <v>0</v>
      </c>
    </row>
    <row r="1603" spans="2:10" ht="16.5" x14ac:dyDescent="0.25">
      <c r="B1603" s="49" t="e">
        <f>IF(ISBLANK('SQL Builder'!K1578)=FALSE,(DATE(LEFT('SQL Builder'!K1578,4),MID('SQL Builder'!K1578,6,2),MID('SQL Builder'!K1578,9,2))),NA())</f>
        <v>#N/A</v>
      </c>
      <c r="C1603" s="50" t="str">
        <f>IF(ISBLANK('SQL Builder'!K1578)=FALSE,'SQL Builder'!L1578,"")</f>
        <v/>
      </c>
      <c r="D1603" s="1" t="str">
        <f>IF(ISBLANK('SQL Builder'!K1578)=FALSE,'SQL Builder'!O1578,"")</f>
        <v/>
      </c>
      <c r="H1603" s="43" t="str">
        <f>IF(ISBLANK('SQL Builder'!K1577)=FALSE,H1602+1,"")</f>
        <v/>
      </c>
      <c r="I1603" s="1" t="str">
        <f>IF(ISBLANK('SQL Builder'!P1578)=FALSE,'SQL Builder'!N1578,"")</f>
        <v/>
      </c>
      <c r="J1603" s="79">
        <f t="shared" si="24"/>
        <v>0</v>
      </c>
    </row>
    <row r="1604" spans="2:10" ht="16.5" x14ac:dyDescent="0.25">
      <c r="B1604" s="49" t="e">
        <f>IF(ISBLANK('SQL Builder'!K1579)=FALSE,(DATE(LEFT('SQL Builder'!K1579,4),MID('SQL Builder'!K1579,6,2),MID('SQL Builder'!K1579,9,2))),NA())</f>
        <v>#N/A</v>
      </c>
      <c r="C1604" s="50" t="str">
        <f>IF(ISBLANK('SQL Builder'!K1579)=FALSE,'SQL Builder'!L1579,"")</f>
        <v/>
      </c>
      <c r="D1604" s="1" t="str">
        <f>IF(ISBLANK('SQL Builder'!K1579)=FALSE,'SQL Builder'!O1579,"")</f>
        <v/>
      </c>
      <c r="H1604" s="43" t="str">
        <f>IF(ISBLANK('SQL Builder'!K1578)=FALSE,H1603+1,"")</f>
        <v/>
      </c>
      <c r="I1604" s="1" t="str">
        <f>IF(ISBLANK('SQL Builder'!P1579)=FALSE,'SQL Builder'!N1579,"")</f>
        <v/>
      </c>
      <c r="J1604" s="79">
        <f t="shared" si="24"/>
        <v>0</v>
      </c>
    </row>
    <row r="1605" spans="2:10" ht="16.5" x14ac:dyDescent="0.25">
      <c r="B1605" s="49" t="e">
        <f>IF(ISBLANK('SQL Builder'!K1580)=FALSE,(DATE(LEFT('SQL Builder'!K1580,4),MID('SQL Builder'!K1580,6,2),MID('SQL Builder'!K1580,9,2))),NA())</f>
        <v>#N/A</v>
      </c>
      <c r="C1605" s="50" t="str">
        <f>IF(ISBLANK('SQL Builder'!K1580)=FALSE,'SQL Builder'!L1580,"")</f>
        <v/>
      </c>
      <c r="D1605" s="1" t="str">
        <f>IF(ISBLANK('SQL Builder'!K1580)=FALSE,'SQL Builder'!O1580,"")</f>
        <v/>
      </c>
      <c r="H1605" s="43" t="str">
        <f>IF(ISBLANK('SQL Builder'!K1579)=FALSE,H1604+1,"")</f>
        <v/>
      </c>
      <c r="I1605" s="1" t="str">
        <f>IF(ISBLANK('SQL Builder'!P1580)=FALSE,'SQL Builder'!N1580,"")</f>
        <v/>
      </c>
      <c r="J1605" s="79">
        <f t="shared" si="24"/>
        <v>0</v>
      </c>
    </row>
    <row r="1606" spans="2:10" ht="16.5" x14ac:dyDescent="0.25">
      <c r="B1606" s="49" t="e">
        <f>IF(ISBLANK('SQL Builder'!K1581)=FALSE,(DATE(LEFT('SQL Builder'!K1581,4),MID('SQL Builder'!K1581,6,2),MID('SQL Builder'!K1581,9,2))),NA())</f>
        <v>#N/A</v>
      </c>
      <c r="C1606" s="50" t="str">
        <f>IF(ISBLANK('SQL Builder'!K1581)=FALSE,'SQL Builder'!L1581,"")</f>
        <v/>
      </c>
      <c r="D1606" s="1" t="str">
        <f>IF(ISBLANK('SQL Builder'!K1581)=FALSE,'SQL Builder'!O1581,"")</f>
        <v/>
      </c>
      <c r="H1606" s="43" t="str">
        <f>IF(ISBLANK('SQL Builder'!K1580)=FALSE,H1605+1,"")</f>
        <v/>
      </c>
      <c r="I1606" s="1" t="str">
        <f>IF(ISBLANK('SQL Builder'!P1581)=FALSE,'SQL Builder'!N1581,"")</f>
        <v/>
      </c>
      <c r="J1606" s="79">
        <f t="shared" si="24"/>
        <v>0</v>
      </c>
    </row>
    <row r="1607" spans="2:10" ht="16.5" x14ac:dyDescent="0.25">
      <c r="B1607" s="49" t="e">
        <f>IF(ISBLANK('SQL Builder'!K1582)=FALSE,(DATE(LEFT('SQL Builder'!K1582,4),MID('SQL Builder'!K1582,6,2),MID('SQL Builder'!K1582,9,2))),NA())</f>
        <v>#N/A</v>
      </c>
      <c r="C1607" s="50" t="str">
        <f>IF(ISBLANK('SQL Builder'!K1582)=FALSE,'SQL Builder'!L1582,"")</f>
        <v/>
      </c>
      <c r="D1607" s="1" t="str">
        <f>IF(ISBLANK('SQL Builder'!K1582)=FALSE,'SQL Builder'!O1582,"")</f>
        <v/>
      </c>
      <c r="H1607" s="43" t="str">
        <f>IF(ISBLANK('SQL Builder'!K1581)=FALSE,H1606+1,"")</f>
        <v/>
      </c>
      <c r="I1607" s="1" t="str">
        <f>IF(ISBLANK('SQL Builder'!P1582)=FALSE,'SQL Builder'!N1582,"")</f>
        <v/>
      </c>
      <c r="J1607" s="79">
        <f t="shared" si="24"/>
        <v>0</v>
      </c>
    </row>
    <row r="1608" spans="2:10" ht="16.5" x14ac:dyDescent="0.25">
      <c r="B1608" s="49" t="e">
        <f>IF(ISBLANK('SQL Builder'!K1583)=FALSE,(DATE(LEFT('SQL Builder'!K1583,4),MID('SQL Builder'!K1583,6,2),MID('SQL Builder'!K1583,9,2))),NA())</f>
        <v>#N/A</v>
      </c>
      <c r="C1608" s="50" t="str">
        <f>IF(ISBLANK('SQL Builder'!K1583)=FALSE,'SQL Builder'!L1583,"")</f>
        <v/>
      </c>
      <c r="D1608" s="1" t="str">
        <f>IF(ISBLANK('SQL Builder'!K1583)=FALSE,'SQL Builder'!O1583,"")</f>
        <v/>
      </c>
      <c r="H1608" s="43" t="str">
        <f>IF(ISBLANK('SQL Builder'!K1582)=FALSE,H1607+1,"")</f>
        <v/>
      </c>
      <c r="I1608" s="1" t="str">
        <f>IF(ISBLANK('SQL Builder'!P1583)=FALSE,'SQL Builder'!N1583,"")</f>
        <v/>
      </c>
      <c r="J1608" s="79">
        <f t="shared" si="24"/>
        <v>0</v>
      </c>
    </row>
    <row r="1609" spans="2:10" ht="16.5" x14ac:dyDescent="0.25">
      <c r="B1609" s="49" t="e">
        <f>IF(ISBLANK('SQL Builder'!K1584)=FALSE,(DATE(LEFT('SQL Builder'!K1584,4),MID('SQL Builder'!K1584,6,2),MID('SQL Builder'!K1584,9,2))),NA())</f>
        <v>#N/A</v>
      </c>
      <c r="C1609" s="50" t="str">
        <f>IF(ISBLANK('SQL Builder'!K1584)=FALSE,'SQL Builder'!L1584,"")</f>
        <v/>
      </c>
      <c r="D1609" s="1" t="str">
        <f>IF(ISBLANK('SQL Builder'!K1584)=FALSE,'SQL Builder'!O1584,"")</f>
        <v/>
      </c>
      <c r="H1609" s="43" t="str">
        <f>IF(ISBLANK('SQL Builder'!K1583)=FALSE,H1608+1,"")</f>
        <v/>
      </c>
      <c r="I1609" s="1" t="str">
        <f>IF(ISBLANK('SQL Builder'!P1584)=FALSE,'SQL Builder'!N1584,"")</f>
        <v/>
      </c>
      <c r="J1609" s="79">
        <f t="shared" si="24"/>
        <v>0</v>
      </c>
    </row>
    <row r="1610" spans="2:10" ht="16.5" x14ac:dyDescent="0.25">
      <c r="B1610" s="49" t="e">
        <f>IF(ISBLANK('SQL Builder'!K1585)=FALSE,(DATE(LEFT('SQL Builder'!K1585,4),MID('SQL Builder'!K1585,6,2),MID('SQL Builder'!K1585,9,2))),NA())</f>
        <v>#N/A</v>
      </c>
      <c r="C1610" s="50" t="str">
        <f>IF(ISBLANK('SQL Builder'!K1585)=FALSE,'SQL Builder'!L1585,"")</f>
        <v/>
      </c>
      <c r="D1610" s="1" t="str">
        <f>IF(ISBLANK('SQL Builder'!K1585)=FALSE,'SQL Builder'!O1585,"")</f>
        <v/>
      </c>
      <c r="H1610" s="43" t="str">
        <f>IF(ISBLANK('SQL Builder'!K1584)=FALSE,H1609+1,"")</f>
        <v/>
      </c>
      <c r="I1610" s="1" t="str">
        <f>IF(ISBLANK('SQL Builder'!P1585)=FALSE,'SQL Builder'!N1585,"")</f>
        <v/>
      </c>
      <c r="J1610" s="79">
        <f t="shared" si="24"/>
        <v>0</v>
      </c>
    </row>
    <row r="1611" spans="2:10" ht="16.5" x14ac:dyDescent="0.25">
      <c r="B1611" s="49" t="e">
        <f>IF(ISBLANK('SQL Builder'!K1586)=FALSE,(DATE(LEFT('SQL Builder'!K1586,4),MID('SQL Builder'!K1586,6,2),MID('SQL Builder'!K1586,9,2))),NA())</f>
        <v>#N/A</v>
      </c>
      <c r="C1611" s="50" t="str">
        <f>IF(ISBLANK('SQL Builder'!K1586)=FALSE,'SQL Builder'!L1586,"")</f>
        <v/>
      </c>
      <c r="D1611" s="1" t="str">
        <f>IF(ISBLANK('SQL Builder'!K1586)=FALSE,'SQL Builder'!O1586,"")</f>
        <v/>
      </c>
      <c r="H1611" s="43" t="str">
        <f>IF(ISBLANK('SQL Builder'!K1585)=FALSE,H1610+1,"")</f>
        <v/>
      </c>
      <c r="I1611" s="1" t="str">
        <f>IF(ISBLANK('SQL Builder'!P1586)=FALSE,'SQL Builder'!N1586,"")</f>
        <v/>
      </c>
      <c r="J1611" s="79">
        <f t="shared" si="24"/>
        <v>0</v>
      </c>
    </row>
    <row r="1612" spans="2:10" ht="16.5" x14ac:dyDescent="0.25">
      <c r="B1612" s="49" t="e">
        <f>IF(ISBLANK('SQL Builder'!K1587)=FALSE,(DATE(LEFT('SQL Builder'!K1587,4),MID('SQL Builder'!K1587,6,2),MID('SQL Builder'!K1587,9,2))),NA())</f>
        <v>#N/A</v>
      </c>
      <c r="C1612" s="50" t="str">
        <f>IF(ISBLANK('SQL Builder'!K1587)=FALSE,'SQL Builder'!L1587,"")</f>
        <v/>
      </c>
      <c r="D1612" s="1" t="str">
        <f>IF(ISBLANK('SQL Builder'!K1587)=FALSE,'SQL Builder'!O1587,"")</f>
        <v/>
      </c>
      <c r="H1612" s="43" t="str">
        <f>IF(ISBLANK('SQL Builder'!K1586)=FALSE,H1611+1,"")</f>
        <v/>
      </c>
      <c r="I1612" s="1" t="str">
        <f>IF(ISBLANK('SQL Builder'!P1587)=FALSE,'SQL Builder'!N1587,"")</f>
        <v/>
      </c>
      <c r="J1612" s="79">
        <f t="shared" si="24"/>
        <v>0</v>
      </c>
    </row>
    <row r="1613" spans="2:10" ht="16.5" x14ac:dyDescent="0.25">
      <c r="B1613" s="49" t="e">
        <f>IF(ISBLANK('SQL Builder'!K1588)=FALSE,(DATE(LEFT('SQL Builder'!K1588,4),MID('SQL Builder'!K1588,6,2),MID('SQL Builder'!K1588,9,2))),NA())</f>
        <v>#N/A</v>
      </c>
      <c r="C1613" s="50" t="str">
        <f>IF(ISBLANK('SQL Builder'!K1588)=FALSE,'SQL Builder'!L1588,"")</f>
        <v/>
      </c>
      <c r="D1613" s="1" t="str">
        <f>IF(ISBLANK('SQL Builder'!K1588)=FALSE,'SQL Builder'!O1588,"")</f>
        <v/>
      </c>
      <c r="H1613" s="43" t="str">
        <f>IF(ISBLANK('SQL Builder'!K1587)=FALSE,H1612+1,"")</f>
        <v/>
      </c>
      <c r="I1613" s="1" t="str">
        <f>IF(ISBLANK('SQL Builder'!P1588)=FALSE,'SQL Builder'!N1588,"")</f>
        <v/>
      </c>
      <c r="J1613" s="79">
        <f t="shared" si="24"/>
        <v>0</v>
      </c>
    </row>
    <row r="1614" spans="2:10" ht="16.5" x14ac:dyDescent="0.25">
      <c r="B1614" s="49" t="e">
        <f>IF(ISBLANK('SQL Builder'!K1589)=FALSE,(DATE(LEFT('SQL Builder'!K1589,4),MID('SQL Builder'!K1589,6,2),MID('SQL Builder'!K1589,9,2))),NA())</f>
        <v>#N/A</v>
      </c>
      <c r="C1614" s="50" t="str">
        <f>IF(ISBLANK('SQL Builder'!K1589)=FALSE,'SQL Builder'!L1589,"")</f>
        <v/>
      </c>
      <c r="D1614" s="1" t="str">
        <f>IF(ISBLANK('SQL Builder'!K1589)=FALSE,'SQL Builder'!O1589,"")</f>
        <v/>
      </c>
      <c r="H1614" s="43" t="str">
        <f>IF(ISBLANK('SQL Builder'!K1588)=FALSE,H1613+1,"")</f>
        <v/>
      </c>
      <c r="I1614" s="1" t="str">
        <f>IF(ISBLANK('SQL Builder'!P1589)=FALSE,'SQL Builder'!N1589,"")</f>
        <v/>
      </c>
      <c r="J1614" s="79">
        <f t="shared" si="24"/>
        <v>0</v>
      </c>
    </row>
    <row r="1615" spans="2:10" ht="16.5" x14ac:dyDescent="0.25">
      <c r="B1615" s="49" t="e">
        <f>IF(ISBLANK('SQL Builder'!K1590)=FALSE,(DATE(LEFT('SQL Builder'!K1590,4),MID('SQL Builder'!K1590,6,2),MID('SQL Builder'!K1590,9,2))),NA())</f>
        <v>#N/A</v>
      </c>
      <c r="C1615" s="50" t="str">
        <f>IF(ISBLANK('SQL Builder'!K1590)=FALSE,'SQL Builder'!L1590,"")</f>
        <v/>
      </c>
      <c r="D1615" s="1" t="str">
        <f>IF(ISBLANK('SQL Builder'!K1590)=FALSE,'SQL Builder'!O1590,"")</f>
        <v/>
      </c>
      <c r="H1615" s="43" t="str">
        <f>IF(ISBLANK('SQL Builder'!K1589)=FALSE,H1614+1,"")</f>
        <v/>
      </c>
      <c r="I1615" s="1" t="str">
        <f>IF(ISBLANK('SQL Builder'!P1590)=FALSE,'SQL Builder'!N1590,"")</f>
        <v/>
      </c>
      <c r="J1615" s="79">
        <f t="shared" si="24"/>
        <v>0</v>
      </c>
    </row>
    <row r="1616" spans="2:10" ht="16.5" x14ac:dyDescent="0.25">
      <c r="B1616" s="49" t="e">
        <f>IF(ISBLANK('SQL Builder'!K1591)=FALSE,(DATE(LEFT('SQL Builder'!K1591,4),MID('SQL Builder'!K1591,6,2),MID('SQL Builder'!K1591,9,2))),NA())</f>
        <v>#N/A</v>
      </c>
      <c r="C1616" s="50" t="str">
        <f>IF(ISBLANK('SQL Builder'!K1591)=FALSE,'SQL Builder'!L1591,"")</f>
        <v/>
      </c>
      <c r="D1616" s="1" t="str">
        <f>IF(ISBLANK('SQL Builder'!K1591)=FALSE,'SQL Builder'!O1591,"")</f>
        <v/>
      </c>
      <c r="H1616" s="43" t="str">
        <f>IF(ISBLANK('SQL Builder'!K1590)=FALSE,H1615+1,"")</f>
        <v/>
      </c>
      <c r="I1616" s="1" t="str">
        <f>IF(ISBLANK('SQL Builder'!P1591)=FALSE,'SQL Builder'!N1591,"")</f>
        <v/>
      </c>
      <c r="J1616" s="79">
        <f t="shared" si="24"/>
        <v>0</v>
      </c>
    </row>
    <row r="1617" spans="2:10" ht="16.5" x14ac:dyDescent="0.25">
      <c r="B1617" s="49" t="e">
        <f>IF(ISBLANK('SQL Builder'!K1592)=FALSE,(DATE(LEFT('SQL Builder'!K1592,4),MID('SQL Builder'!K1592,6,2),MID('SQL Builder'!K1592,9,2))),NA())</f>
        <v>#N/A</v>
      </c>
      <c r="C1617" s="50" t="str">
        <f>IF(ISBLANK('SQL Builder'!K1592)=FALSE,'SQL Builder'!L1592,"")</f>
        <v/>
      </c>
      <c r="D1617" s="1" t="str">
        <f>IF(ISBLANK('SQL Builder'!K1592)=FALSE,'SQL Builder'!O1592,"")</f>
        <v/>
      </c>
      <c r="H1617" s="43" t="str">
        <f>IF(ISBLANK('SQL Builder'!K1591)=FALSE,H1616+1,"")</f>
        <v/>
      </c>
      <c r="I1617" s="1" t="str">
        <f>IF(ISBLANK('SQL Builder'!P1592)=FALSE,'SQL Builder'!N1592,"")</f>
        <v/>
      </c>
      <c r="J1617" s="79">
        <f t="shared" si="24"/>
        <v>0</v>
      </c>
    </row>
    <row r="1618" spans="2:10" ht="16.5" x14ac:dyDescent="0.25">
      <c r="B1618" s="49" t="e">
        <f>IF(ISBLANK('SQL Builder'!K1593)=FALSE,(DATE(LEFT('SQL Builder'!K1593,4),MID('SQL Builder'!K1593,6,2),MID('SQL Builder'!K1593,9,2))),NA())</f>
        <v>#N/A</v>
      </c>
      <c r="C1618" s="50" t="str">
        <f>IF(ISBLANK('SQL Builder'!K1593)=FALSE,'SQL Builder'!L1593,"")</f>
        <v/>
      </c>
      <c r="D1618" s="1" t="str">
        <f>IF(ISBLANK('SQL Builder'!K1593)=FALSE,'SQL Builder'!O1593,"")</f>
        <v/>
      </c>
      <c r="H1618" s="43" t="str">
        <f>IF(ISBLANK('SQL Builder'!K1592)=FALSE,H1617+1,"")</f>
        <v/>
      </c>
      <c r="I1618" s="1" t="str">
        <f>IF(ISBLANK('SQL Builder'!P1593)=FALSE,'SQL Builder'!N1593,"")</f>
        <v/>
      </c>
      <c r="J1618" s="79">
        <f t="shared" si="24"/>
        <v>0</v>
      </c>
    </row>
    <row r="1619" spans="2:10" ht="16.5" x14ac:dyDescent="0.25">
      <c r="B1619" s="49" t="e">
        <f>IF(ISBLANK('SQL Builder'!K1594)=FALSE,(DATE(LEFT('SQL Builder'!K1594,4),MID('SQL Builder'!K1594,6,2),MID('SQL Builder'!K1594,9,2))),NA())</f>
        <v>#N/A</v>
      </c>
      <c r="C1619" s="50" t="str">
        <f>IF(ISBLANK('SQL Builder'!K1594)=FALSE,'SQL Builder'!L1594,"")</f>
        <v/>
      </c>
      <c r="D1619" s="1" t="str">
        <f>IF(ISBLANK('SQL Builder'!K1594)=FALSE,'SQL Builder'!O1594,"")</f>
        <v/>
      </c>
      <c r="H1619" s="43" t="str">
        <f>IF(ISBLANK('SQL Builder'!K1593)=FALSE,H1618+1,"")</f>
        <v/>
      </c>
      <c r="I1619" s="1" t="str">
        <f>IF(ISBLANK('SQL Builder'!P1594)=FALSE,'SQL Builder'!N1594,"")</f>
        <v/>
      </c>
      <c r="J1619" s="79">
        <f t="shared" si="24"/>
        <v>0</v>
      </c>
    </row>
    <row r="1620" spans="2:10" ht="16.5" x14ac:dyDescent="0.25">
      <c r="B1620" s="49" t="e">
        <f>IF(ISBLANK('SQL Builder'!K1595)=FALSE,(DATE(LEFT('SQL Builder'!K1595,4),MID('SQL Builder'!K1595,6,2),MID('SQL Builder'!K1595,9,2))),NA())</f>
        <v>#N/A</v>
      </c>
      <c r="C1620" s="50" t="str">
        <f>IF(ISBLANK('SQL Builder'!K1595)=FALSE,'SQL Builder'!L1595,"")</f>
        <v/>
      </c>
      <c r="D1620" s="1" t="str">
        <f>IF(ISBLANK('SQL Builder'!K1595)=FALSE,'SQL Builder'!O1595,"")</f>
        <v/>
      </c>
      <c r="H1620" s="43" t="str">
        <f>IF(ISBLANK('SQL Builder'!K1594)=FALSE,H1619+1,"")</f>
        <v/>
      </c>
      <c r="I1620" s="1" t="str">
        <f>IF(ISBLANK('SQL Builder'!P1595)=FALSE,'SQL Builder'!N1595,"")</f>
        <v/>
      </c>
      <c r="J1620" s="79">
        <f t="shared" si="24"/>
        <v>0</v>
      </c>
    </row>
    <row r="1621" spans="2:10" ht="16.5" x14ac:dyDescent="0.25">
      <c r="B1621" s="49" t="e">
        <f>IF(ISBLANK('SQL Builder'!K1596)=FALSE,(DATE(LEFT('SQL Builder'!K1596,4),MID('SQL Builder'!K1596,6,2),MID('SQL Builder'!K1596,9,2))),NA())</f>
        <v>#N/A</v>
      </c>
      <c r="C1621" s="50" t="str">
        <f>IF(ISBLANK('SQL Builder'!K1596)=FALSE,'SQL Builder'!L1596,"")</f>
        <v/>
      </c>
      <c r="D1621" s="1" t="str">
        <f>IF(ISBLANK('SQL Builder'!K1596)=FALSE,'SQL Builder'!O1596,"")</f>
        <v/>
      </c>
      <c r="H1621" s="43" t="str">
        <f>IF(ISBLANK('SQL Builder'!K1595)=FALSE,H1620+1,"")</f>
        <v/>
      </c>
      <c r="I1621" s="1" t="str">
        <f>IF(ISBLANK('SQL Builder'!P1596)=FALSE,'SQL Builder'!N1596,"")</f>
        <v/>
      </c>
      <c r="J1621" s="79">
        <f t="shared" si="24"/>
        <v>0</v>
      </c>
    </row>
    <row r="1622" spans="2:10" ht="16.5" x14ac:dyDescent="0.25">
      <c r="B1622" s="49" t="e">
        <f>IF(ISBLANK('SQL Builder'!K1597)=FALSE,(DATE(LEFT('SQL Builder'!K1597,4),MID('SQL Builder'!K1597,6,2),MID('SQL Builder'!K1597,9,2))),NA())</f>
        <v>#N/A</v>
      </c>
      <c r="C1622" s="50" t="str">
        <f>IF(ISBLANK('SQL Builder'!K1597)=FALSE,'SQL Builder'!L1597,"")</f>
        <v/>
      </c>
      <c r="D1622" s="1" t="str">
        <f>IF(ISBLANK('SQL Builder'!K1597)=FALSE,'SQL Builder'!O1597,"")</f>
        <v/>
      </c>
      <c r="H1622" s="43" t="str">
        <f>IF(ISBLANK('SQL Builder'!K1596)=FALSE,H1621+1,"")</f>
        <v/>
      </c>
      <c r="I1622" s="1" t="str">
        <f>IF(ISBLANK('SQL Builder'!P1597)=FALSE,'SQL Builder'!N1597,"")</f>
        <v/>
      </c>
      <c r="J1622" s="79">
        <f t="shared" si="24"/>
        <v>0</v>
      </c>
    </row>
    <row r="1623" spans="2:10" ht="16.5" x14ac:dyDescent="0.25">
      <c r="B1623" s="49" t="e">
        <f>IF(ISBLANK('SQL Builder'!K1598)=FALSE,(DATE(LEFT('SQL Builder'!K1598,4),MID('SQL Builder'!K1598,6,2),MID('SQL Builder'!K1598,9,2))),NA())</f>
        <v>#N/A</v>
      </c>
      <c r="C1623" s="50" t="str">
        <f>IF(ISBLANK('SQL Builder'!K1598)=FALSE,'SQL Builder'!L1598,"")</f>
        <v/>
      </c>
      <c r="D1623" s="1" t="str">
        <f>IF(ISBLANK('SQL Builder'!K1598)=FALSE,'SQL Builder'!O1598,"")</f>
        <v/>
      </c>
      <c r="H1623" s="43" t="str">
        <f>IF(ISBLANK('SQL Builder'!K1597)=FALSE,H1622+1,"")</f>
        <v/>
      </c>
      <c r="I1623" s="1" t="str">
        <f>IF(ISBLANK('SQL Builder'!P1598)=FALSE,'SQL Builder'!N1598,"")</f>
        <v/>
      </c>
      <c r="J1623" s="79">
        <f t="shared" si="24"/>
        <v>0</v>
      </c>
    </row>
    <row r="1624" spans="2:10" ht="16.5" x14ac:dyDescent="0.25">
      <c r="B1624" s="49" t="e">
        <f>IF(ISBLANK('SQL Builder'!K1599)=FALSE,(DATE(LEFT('SQL Builder'!K1599,4),MID('SQL Builder'!K1599,6,2),MID('SQL Builder'!K1599,9,2))),NA())</f>
        <v>#N/A</v>
      </c>
      <c r="C1624" s="50" t="str">
        <f>IF(ISBLANK('SQL Builder'!K1599)=FALSE,'SQL Builder'!L1599,"")</f>
        <v/>
      </c>
      <c r="D1624" s="1" t="str">
        <f>IF(ISBLANK('SQL Builder'!K1599)=FALSE,'SQL Builder'!O1599,"")</f>
        <v/>
      </c>
      <c r="H1624" s="43" t="str">
        <f>IF(ISBLANK('SQL Builder'!K1598)=FALSE,H1623+1,"")</f>
        <v/>
      </c>
      <c r="I1624" s="1" t="str">
        <f>IF(ISBLANK('SQL Builder'!P1599)=FALSE,'SQL Builder'!N1599,"")</f>
        <v/>
      </c>
      <c r="J1624" s="79">
        <f t="shared" si="24"/>
        <v>0</v>
      </c>
    </row>
    <row r="1625" spans="2:10" ht="16.5" x14ac:dyDescent="0.25">
      <c r="B1625" s="49" t="e">
        <f>IF(ISBLANK('SQL Builder'!K1600)=FALSE,(DATE(LEFT('SQL Builder'!K1600,4),MID('SQL Builder'!K1600,6,2),MID('SQL Builder'!K1600,9,2))),NA())</f>
        <v>#N/A</v>
      </c>
      <c r="C1625" s="50" t="str">
        <f>IF(ISBLANK('SQL Builder'!K1600)=FALSE,'SQL Builder'!L1600,"")</f>
        <v/>
      </c>
      <c r="D1625" s="1" t="str">
        <f>IF(ISBLANK('SQL Builder'!K1600)=FALSE,'SQL Builder'!O1600,"")</f>
        <v/>
      </c>
      <c r="H1625" s="43" t="str">
        <f>IF(ISBLANK('SQL Builder'!K1599)=FALSE,H1624+1,"")</f>
        <v/>
      </c>
      <c r="I1625" s="1" t="str">
        <f>IF(ISBLANK('SQL Builder'!P1600)=FALSE,'SQL Builder'!N1600,"")</f>
        <v/>
      </c>
      <c r="J1625" s="79">
        <f t="shared" si="24"/>
        <v>0</v>
      </c>
    </row>
    <row r="1626" spans="2:10" ht="16.5" x14ac:dyDescent="0.25">
      <c r="B1626" s="49" t="e">
        <f>IF(ISBLANK('SQL Builder'!K1601)=FALSE,(DATE(LEFT('SQL Builder'!K1601,4),MID('SQL Builder'!K1601,6,2),MID('SQL Builder'!K1601,9,2))),NA())</f>
        <v>#N/A</v>
      </c>
      <c r="C1626" s="50" t="str">
        <f>IF(ISBLANK('SQL Builder'!K1601)=FALSE,'SQL Builder'!L1601,"")</f>
        <v/>
      </c>
      <c r="D1626" s="1" t="str">
        <f>IF(ISBLANK('SQL Builder'!K1601)=FALSE,'SQL Builder'!O1601,"")</f>
        <v/>
      </c>
      <c r="H1626" s="43" t="str">
        <f>IF(ISBLANK('SQL Builder'!K1600)=FALSE,H1625+1,"")</f>
        <v/>
      </c>
      <c r="I1626" s="1" t="str">
        <f>IF(ISBLANK('SQL Builder'!P1601)=FALSE,'SQL Builder'!N1601,"")</f>
        <v/>
      </c>
      <c r="J1626" s="79">
        <f t="shared" si="24"/>
        <v>0</v>
      </c>
    </row>
    <row r="1627" spans="2:10" ht="16.5" x14ac:dyDescent="0.25">
      <c r="B1627" s="49" t="e">
        <f>IF(ISBLANK('SQL Builder'!K1602)=FALSE,(DATE(LEFT('SQL Builder'!K1602,4),MID('SQL Builder'!K1602,6,2),MID('SQL Builder'!K1602,9,2))),NA())</f>
        <v>#N/A</v>
      </c>
      <c r="C1627" s="50" t="str">
        <f>IF(ISBLANK('SQL Builder'!K1602)=FALSE,'SQL Builder'!L1602,"")</f>
        <v/>
      </c>
      <c r="D1627" s="1" t="str">
        <f>IF(ISBLANK('SQL Builder'!K1602)=FALSE,'SQL Builder'!O1602,"")</f>
        <v/>
      </c>
      <c r="H1627" s="43" t="str">
        <f>IF(ISBLANK('SQL Builder'!K1601)=FALSE,H1626+1,"")</f>
        <v/>
      </c>
      <c r="I1627" s="1" t="str">
        <f>IF(ISBLANK('SQL Builder'!P1602)=FALSE,'SQL Builder'!N1602,"")</f>
        <v/>
      </c>
      <c r="J1627" s="79">
        <f t="shared" si="24"/>
        <v>0</v>
      </c>
    </row>
    <row r="1628" spans="2:10" ht="16.5" x14ac:dyDescent="0.25">
      <c r="B1628" s="49" t="e">
        <f>IF(ISBLANK('SQL Builder'!K1603)=FALSE,(DATE(LEFT('SQL Builder'!K1603,4),MID('SQL Builder'!K1603,6,2),MID('SQL Builder'!K1603,9,2))),NA())</f>
        <v>#N/A</v>
      </c>
      <c r="C1628" s="50" t="str">
        <f>IF(ISBLANK('SQL Builder'!K1603)=FALSE,'SQL Builder'!L1603,"")</f>
        <v/>
      </c>
      <c r="D1628" s="1" t="str">
        <f>IF(ISBLANK('SQL Builder'!K1603)=FALSE,'SQL Builder'!O1603,"")</f>
        <v/>
      </c>
      <c r="H1628" s="43" t="str">
        <f>IF(ISBLANK('SQL Builder'!K1602)=FALSE,H1627+1,"")</f>
        <v/>
      </c>
      <c r="I1628" s="1" t="str">
        <f>IF(ISBLANK('SQL Builder'!P1603)=FALSE,'SQL Builder'!N1603,"")</f>
        <v/>
      </c>
      <c r="J1628" s="79">
        <f t="shared" si="24"/>
        <v>0</v>
      </c>
    </row>
    <row r="1629" spans="2:10" ht="16.5" x14ac:dyDescent="0.25">
      <c r="B1629" s="49" t="e">
        <f>IF(ISBLANK('SQL Builder'!K1604)=FALSE,(DATE(LEFT('SQL Builder'!K1604,4),MID('SQL Builder'!K1604,6,2),MID('SQL Builder'!K1604,9,2))),NA())</f>
        <v>#N/A</v>
      </c>
      <c r="C1629" s="50" t="str">
        <f>IF(ISBLANK('SQL Builder'!K1604)=FALSE,'SQL Builder'!L1604,"")</f>
        <v/>
      </c>
      <c r="D1629" s="1" t="str">
        <f>IF(ISBLANK('SQL Builder'!K1604)=FALSE,'SQL Builder'!O1604,"")</f>
        <v/>
      </c>
      <c r="H1629" s="43" t="str">
        <f>IF(ISBLANK('SQL Builder'!K1603)=FALSE,H1628+1,"")</f>
        <v/>
      </c>
      <c r="I1629" s="1" t="str">
        <f>IF(ISBLANK('SQL Builder'!P1604)=FALSE,'SQL Builder'!N1604,"")</f>
        <v/>
      </c>
      <c r="J1629" s="79">
        <f t="shared" si="24"/>
        <v>0</v>
      </c>
    </row>
    <row r="1630" spans="2:10" ht="16.5" x14ac:dyDescent="0.25">
      <c r="B1630" s="49" t="e">
        <f>IF(ISBLANK('SQL Builder'!K1605)=FALSE,(DATE(LEFT('SQL Builder'!K1605,4),MID('SQL Builder'!K1605,6,2),MID('SQL Builder'!K1605,9,2))),NA())</f>
        <v>#N/A</v>
      </c>
      <c r="C1630" s="50" t="str">
        <f>IF(ISBLANK('SQL Builder'!K1605)=FALSE,'SQL Builder'!L1605,"")</f>
        <v/>
      </c>
      <c r="D1630" s="1" t="str">
        <f>IF(ISBLANK('SQL Builder'!K1605)=FALSE,'SQL Builder'!O1605,"")</f>
        <v/>
      </c>
      <c r="H1630" s="43" t="str">
        <f>IF(ISBLANK('SQL Builder'!K1604)=FALSE,H1629+1,"")</f>
        <v/>
      </c>
      <c r="I1630" s="1" t="str">
        <f>IF(ISBLANK('SQL Builder'!P1605)=FALSE,'SQL Builder'!N1605,"")</f>
        <v/>
      </c>
      <c r="J1630" s="79">
        <f t="shared" si="24"/>
        <v>0</v>
      </c>
    </row>
    <row r="1631" spans="2:10" ht="16.5" x14ac:dyDescent="0.25">
      <c r="B1631" s="49" t="e">
        <f>IF(ISBLANK('SQL Builder'!K1606)=FALSE,(DATE(LEFT('SQL Builder'!K1606,4),MID('SQL Builder'!K1606,6,2),MID('SQL Builder'!K1606,9,2))),NA())</f>
        <v>#N/A</v>
      </c>
      <c r="C1631" s="50" t="str">
        <f>IF(ISBLANK('SQL Builder'!K1606)=FALSE,'SQL Builder'!L1606,"")</f>
        <v/>
      </c>
      <c r="D1631" s="1" t="str">
        <f>IF(ISBLANK('SQL Builder'!K1606)=FALSE,'SQL Builder'!O1606,"")</f>
        <v/>
      </c>
      <c r="H1631" s="43" t="str">
        <f>IF(ISBLANK('SQL Builder'!K1605)=FALSE,H1630+1,"")</f>
        <v/>
      </c>
      <c r="I1631" s="1" t="str">
        <f>IF(ISBLANK('SQL Builder'!P1606)=FALSE,'SQL Builder'!N1606,"")</f>
        <v/>
      </c>
      <c r="J1631" s="79">
        <f t="shared" ref="J1631:J1694" si="25">IF(I1631="",0,IF(I1631=C$5,2,1))</f>
        <v>0</v>
      </c>
    </row>
    <row r="1632" spans="2:10" ht="16.5" x14ac:dyDescent="0.25">
      <c r="B1632" s="49" t="e">
        <f>IF(ISBLANK('SQL Builder'!K1607)=FALSE,(DATE(LEFT('SQL Builder'!K1607,4),MID('SQL Builder'!K1607,6,2),MID('SQL Builder'!K1607,9,2))),NA())</f>
        <v>#N/A</v>
      </c>
      <c r="C1632" s="50" t="str">
        <f>IF(ISBLANK('SQL Builder'!K1607)=FALSE,'SQL Builder'!L1607,"")</f>
        <v/>
      </c>
      <c r="D1632" s="1" t="str">
        <f>IF(ISBLANK('SQL Builder'!K1607)=FALSE,'SQL Builder'!O1607,"")</f>
        <v/>
      </c>
      <c r="H1632" s="43" t="str">
        <f>IF(ISBLANK('SQL Builder'!K1606)=FALSE,H1631+1,"")</f>
        <v/>
      </c>
      <c r="I1632" s="1" t="str">
        <f>IF(ISBLANK('SQL Builder'!P1607)=FALSE,'SQL Builder'!N1607,"")</f>
        <v/>
      </c>
      <c r="J1632" s="79">
        <f t="shared" si="25"/>
        <v>0</v>
      </c>
    </row>
    <row r="1633" spans="2:10" ht="16.5" x14ac:dyDescent="0.25">
      <c r="B1633" s="49" t="e">
        <f>IF(ISBLANK('SQL Builder'!K1608)=FALSE,(DATE(LEFT('SQL Builder'!K1608,4),MID('SQL Builder'!K1608,6,2),MID('SQL Builder'!K1608,9,2))),NA())</f>
        <v>#N/A</v>
      </c>
      <c r="C1633" s="50" t="str">
        <f>IF(ISBLANK('SQL Builder'!K1608)=FALSE,'SQL Builder'!L1608,"")</f>
        <v/>
      </c>
      <c r="D1633" s="1" t="str">
        <f>IF(ISBLANK('SQL Builder'!K1608)=FALSE,'SQL Builder'!O1608,"")</f>
        <v/>
      </c>
      <c r="H1633" s="43" t="str">
        <f>IF(ISBLANK('SQL Builder'!K1607)=FALSE,H1632+1,"")</f>
        <v/>
      </c>
      <c r="I1633" s="1" t="str">
        <f>IF(ISBLANK('SQL Builder'!P1608)=FALSE,'SQL Builder'!N1608,"")</f>
        <v/>
      </c>
      <c r="J1633" s="79">
        <f t="shared" si="25"/>
        <v>0</v>
      </c>
    </row>
    <row r="1634" spans="2:10" ht="16.5" x14ac:dyDescent="0.25">
      <c r="B1634" s="49" t="e">
        <f>IF(ISBLANK('SQL Builder'!K1609)=FALSE,(DATE(LEFT('SQL Builder'!K1609,4),MID('SQL Builder'!K1609,6,2),MID('SQL Builder'!K1609,9,2))),NA())</f>
        <v>#N/A</v>
      </c>
      <c r="C1634" s="50" t="str">
        <f>IF(ISBLANK('SQL Builder'!K1609)=FALSE,'SQL Builder'!L1609,"")</f>
        <v/>
      </c>
      <c r="D1634" s="1" t="str">
        <f>IF(ISBLANK('SQL Builder'!K1609)=FALSE,'SQL Builder'!O1609,"")</f>
        <v/>
      </c>
      <c r="H1634" s="43" t="str">
        <f>IF(ISBLANK('SQL Builder'!K1608)=FALSE,H1633+1,"")</f>
        <v/>
      </c>
      <c r="I1634" s="1" t="str">
        <f>IF(ISBLANK('SQL Builder'!P1609)=FALSE,'SQL Builder'!N1609,"")</f>
        <v/>
      </c>
      <c r="J1634" s="79">
        <f t="shared" si="25"/>
        <v>0</v>
      </c>
    </row>
    <row r="1635" spans="2:10" ht="16.5" x14ac:dyDescent="0.25">
      <c r="B1635" s="49" t="e">
        <f>IF(ISBLANK('SQL Builder'!K1610)=FALSE,(DATE(LEFT('SQL Builder'!K1610,4),MID('SQL Builder'!K1610,6,2),MID('SQL Builder'!K1610,9,2))),NA())</f>
        <v>#N/A</v>
      </c>
      <c r="C1635" s="50" t="str">
        <f>IF(ISBLANK('SQL Builder'!K1610)=FALSE,'SQL Builder'!L1610,"")</f>
        <v/>
      </c>
      <c r="D1635" s="1" t="str">
        <f>IF(ISBLANK('SQL Builder'!K1610)=FALSE,'SQL Builder'!O1610,"")</f>
        <v/>
      </c>
      <c r="H1635" s="43" t="str">
        <f>IF(ISBLANK('SQL Builder'!K1609)=FALSE,H1634+1,"")</f>
        <v/>
      </c>
      <c r="I1635" s="1" t="str">
        <f>IF(ISBLANK('SQL Builder'!P1610)=FALSE,'SQL Builder'!N1610,"")</f>
        <v/>
      </c>
      <c r="J1635" s="79">
        <f t="shared" si="25"/>
        <v>0</v>
      </c>
    </row>
    <row r="1636" spans="2:10" ht="16.5" x14ac:dyDescent="0.25">
      <c r="B1636" s="49" t="e">
        <f>IF(ISBLANK('SQL Builder'!K1611)=FALSE,(DATE(LEFT('SQL Builder'!K1611,4),MID('SQL Builder'!K1611,6,2),MID('SQL Builder'!K1611,9,2))),NA())</f>
        <v>#N/A</v>
      </c>
      <c r="C1636" s="50" t="str">
        <f>IF(ISBLANK('SQL Builder'!K1611)=FALSE,'SQL Builder'!L1611,"")</f>
        <v/>
      </c>
      <c r="D1636" s="1" t="str">
        <f>IF(ISBLANK('SQL Builder'!K1611)=FALSE,'SQL Builder'!O1611,"")</f>
        <v/>
      </c>
      <c r="H1636" s="43" t="str">
        <f>IF(ISBLANK('SQL Builder'!K1610)=FALSE,H1635+1,"")</f>
        <v/>
      </c>
      <c r="I1636" s="1" t="str">
        <f>IF(ISBLANK('SQL Builder'!P1611)=FALSE,'SQL Builder'!N1611,"")</f>
        <v/>
      </c>
      <c r="J1636" s="79">
        <f t="shared" si="25"/>
        <v>0</v>
      </c>
    </row>
    <row r="1637" spans="2:10" ht="16.5" x14ac:dyDescent="0.25">
      <c r="B1637" s="49" t="e">
        <f>IF(ISBLANK('SQL Builder'!K1612)=FALSE,(DATE(LEFT('SQL Builder'!K1612,4),MID('SQL Builder'!K1612,6,2),MID('SQL Builder'!K1612,9,2))),NA())</f>
        <v>#N/A</v>
      </c>
      <c r="C1637" s="50" t="str">
        <f>IF(ISBLANK('SQL Builder'!K1612)=FALSE,'SQL Builder'!L1612,"")</f>
        <v/>
      </c>
      <c r="D1637" s="1" t="str">
        <f>IF(ISBLANK('SQL Builder'!K1612)=FALSE,'SQL Builder'!O1612,"")</f>
        <v/>
      </c>
      <c r="H1637" s="43" t="str">
        <f>IF(ISBLANK('SQL Builder'!K1611)=FALSE,H1636+1,"")</f>
        <v/>
      </c>
      <c r="I1637" s="1" t="str">
        <f>IF(ISBLANK('SQL Builder'!P1612)=FALSE,'SQL Builder'!N1612,"")</f>
        <v/>
      </c>
      <c r="J1637" s="79">
        <f t="shared" si="25"/>
        <v>0</v>
      </c>
    </row>
    <row r="1638" spans="2:10" ht="16.5" x14ac:dyDescent="0.25">
      <c r="B1638" s="49" t="e">
        <f>IF(ISBLANK('SQL Builder'!K1613)=FALSE,(DATE(LEFT('SQL Builder'!K1613,4),MID('SQL Builder'!K1613,6,2),MID('SQL Builder'!K1613,9,2))),NA())</f>
        <v>#N/A</v>
      </c>
      <c r="C1638" s="50" t="str">
        <f>IF(ISBLANK('SQL Builder'!K1613)=FALSE,'SQL Builder'!L1613,"")</f>
        <v/>
      </c>
      <c r="D1638" s="1" t="str">
        <f>IF(ISBLANK('SQL Builder'!K1613)=FALSE,'SQL Builder'!O1613,"")</f>
        <v/>
      </c>
      <c r="H1638" s="43" t="str">
        <f>IF(ISBLANK('SQL Builder'!K1612)=FALSE,H1637+1,"")</f>
        <v/>
      </c>
      <c r="I1638" s="1" t="str">
        <f>IF(ISBLANK('SQL Builder'!P1613)=FALSE,'SQL Builder'!N1613,"")</f>
        <v/>
      </c>
      <c r="J1638" s="79">
        <f t="shared" si="25"/>
        <v>0</v>
      </c>
    </row>
    <row r="1639" spans="2:10" ht="16.5" x14ac:dyDescent="0.25">
      <c r="B1639" s="49" t="e">
        <f>IF(ISBLANK('SQL Builder'!K1614)=FALSE,(DATE(LEFT('SQL Builder'!K1614,4),MID('SQL Builder'!K1614,6,2),MID('SQL Builder'!K1614,9,2))),NA())</f>
        <v>#N/A</v>
      </c>
      <c r="C1639" s="50" t="str">
        <f>IF(ISBLANK('SQL Builder'!K1614)=FALSE,'SQL Builder'!L1614,"")</f>
        <v/>
      </c>
      <c r="D1639" s="1" t="str">
        <f>IF(ISBLANK('SQL Builder'!K1614)=FALSE,'SQL Builder'!O1614,"")</f>
        <v/>
      </c>
      <c r="H1639" s="43" t="str">
        <f>IF(ISBLANK('SQL Builder'!K1613)=FALSE,H1638+1,"")</f>
        <v/>
      </c>
      <c r="I1639" s="1" t="str">
        <f>IF(ISBLANK('SQL Builder'!P1614)=FALSE,'SQL Builder'!N1614,"")</f>
        <v/>
      </c>
      <c r="J1639" s="79">
        <f t="shared" si="25"/>
        <v>0</v>
      </c>
    </row>
    <row r="1640" spans="2:10" ht="16.5" x14ac:dyDescent="0.25">
      <c r="B1640" s="49" t="e">
        <f>IF(ISBLANK('SQL Builder'!K1615)=FALSE,(DATE(LEFT('SQL Builder'!K1615,4),MID('SQL Builder'!K1615,6,2),MID('SQL Builder'!K1615,9,2))),NA())</f>
        <v>#N/A</v>
      </c>
      <c r="C1640" s="50" t="str">
        <f>IF(ISBLANK('SQL Builder'!K1615)=FALSE,'SQL Builder'!L1615,"")</f>
        <v/>
      </c>
      <c r="D1640" s="1" t="str">
        <f>IF(ISBLANK('SQL Builder'!K1615)=FALSE,'SQL Builder'!O1615,"")</f>
        <v/>
      </c>
      <c r="H1640" s="43" t="str">
        <f>IF(ISBLANK('SQL Builder'!K1614)=FALSE,H1639+1,"")</f>
        <v/>
      </c>
      <c r="I1640" s="1" t="str">
        <f>IF(ISBLANK('SQL Builder'!P1615)=FALSE,'SQL Builder'!N1615,"")</f>
        <v/>
      </c>
      <c r="J1640" s="79">
        <f t="shared" si="25"/>
        <v>0</v>
      </c>
    </row>
    <row r="1641" spans="2:10" ht="16.5" x14ac:dyDescent="0.25">
      <c r="B1641" s="49" t="e">
        <f>IF(ISBLANK('SQL Builder'!K1616)=FALSE,(DATE(LEFT('SQL Builder'!K1616,4),MID('SQL Builder'!K1616,6,2),MID('SQL Builder'!K1616,9,2))),NA())</f>
        <v>#N/A</v>
      </c>
      <c r="C1641" s="50" t="str">
        <f>IF(ISBLANK('SQL Builder'!K1616)=FALSE,'SQL Builder'!L1616,"")</f>
        <v/>
      </c>
      <c r="D1641" s="1" t="str">
        <f>IF(ISBLANK('SQL Builder'!K1616)=FALSE,'SQL Builder'!O1616,"")</f>
        <v/>
      </c>
      <c r="H1641" s="43" t="str">
        <f>IF(ISBLANK('SQL Builder'!K1615)=FALSE,H1640+1,"")</f>
        <v/>
      </c>
      <c r="I1641" s="1" t="str">
        <f>IF(ISBLANK('SQL Builder'!P1616)=FALSE,'SQL Builder'!N1616,"")</f>
        <v/>
      </c>
      <c r="J1641" s="79">
        <f t="shared" si="25"/>
        <v>0</v>
      </c>
    </row>
    <row r="1642" spans="2:10" ht="16.5" x14ac:dyDescent="0.25">
      <c r="B1642" s="49" t="e">
        <f>IF(ISBLANK('SQL Builder'!K1617)=FALSE,(DATE(LEFT('SQL Builder'!K1617,4),MID('SQL Builder'!K1617,6,2),MID('SQL Builder'!K1617,9,2))),NA())</f>
        <v>#N/A</v>
      </c>
      <c r="C1642" s="50" t="str">
        <f>IF(ISBLANK('SQL Builder'!K1617)=FALSE,'SQL Builder'!L1617,"")</f>
        <v/>
      </c>
      <c r="D1642" s="1" t="str">
        <f>IF(ISBLANK('SQL Builder'!K1617)=FALSE,'SQL Builder'!O1617,"")</f>
        <v/>
      </c>
      <c r="H1642" s="43" t="str">
        <f>IF(ISBLANK('SQL Builder'!K1616)=FALSE,H1641+1,"")</f>
        <v/>
      </c>
      <c r="I1642" s="1" t="str">
        <f>IF(ISBLANK('SQL Builder'!P1617)=FALSE,'SQL Builder'!N1617,"")</f>
        <v/>
      </c>
      <c r="J1642" s="79">
        <f t="shared" si="25"/>
        <v>0</v>
      </c>
    </row>
    <row r="1643" spans="2:10" ht="16.5" x14ac:dyDescent="0.25">
      <c r="B1643" s="49" t="e">
        <f>IF(ISBLANK('SQL Builder'!K1618)=FALSE,(DATE(LEFT('SQL Builder'!K1618,4),MID('SQL Builder'!K1618,6,2),MID('SQL Builder'!K1618,9,2))),NA())</f>
        <v>#N/A</v>
      </c>
      <c r="C1643" s="50" t="str">
        <f>IF(ISBLANK('SQL Builder'!K1618)=FALSE,'SQL Builder'!L1618,"")</f>
        <v/>
      </c>
      <c r="D1643" s="1" t="str">
        <f>IF(ISBLANK('SQL Builder'!K1618)=FALSE,'SQL Builder'!O1618,"")</f>
        <v/>
      </c>
      <c r="H1643" s="43" t="str">
        <f>IF(ISBLANK('SQL Builder'!K1617)=FALSE,H1642+1,"")</f>
        <v/>
      </c>
      <c r="I1643" s="1" t="str">
        <f>IF(ISBLANK('SQL Builder'!P1618)=FALSE,'SQL Builder'!N1618,"")</f>
        <v/>
      </c>
      <c r="J1643" s="79">
        <f t="shared" si="25"/>
        <v>0</v>
      </c>
    </row>
    <row r="1644" spans="2:10" ht="16.5" x14ac:dyDescent="0.25">
      <c r="B1644" s="49" t="e">
        <f>IF(ISBLANK('SQL Builder'!K1619)=FALSE,(DATE(LEFT('SQL Builder'!K1619,4),MID('SQL Builder'!K1619,6,2),MID('SQL Builder'!K1619,9,2))),NA())</f>
        <v>#N/A</v>
      </c>
      <c r="C1644" s="50" t="str">
        <f>IF(ISBLANK('SQL Builder'!K1619)=FALSE,'SQL Builder'!L1619,"")</f>
        <v/>
      </c>
      <c r="D1644" s="1" t="str">
        <f>IF(ISBLANK('SQL Builder'!K1619)=FALSE,'SQL Builder'!O1619,"")</f>
        <v/>
      </c>
      <c r="H1644" s="43" t="str">
        <f>IF(ISBLANK('SQL Builder'!K1618)=FALSE,H1643+1,"")</f>
        <v/>
      </c>
      <c r="I1644" s="1" t="str">
        <f>IF(ISBLANK('SQL Builder'!P1619)=FALSE,'SQL Builder'!N1619,"")</f>
        <v/>
      </c>
      <c r="J1644" s="79">
        <f t="shared" si="25"/>
        <v>0</v>
      </c>
    </row>
    <row r="1645" spans="2:10" ht="16.5" x14ac:dyDescent="0.25">
      <c r="B1645" s="49" t="e">
        <f>IF(ISBLANK('SQL Builder'!K1620)=FALSE,(DATE(LEFT('SQL Builder'!K1620,4),MID('SQL Builder'!K1620,6,2),MID('SQL Builder'!K1620,9,2))),NA())</f>
        <v>#N/A</v>
      </c>
      <c r="C1645" s="50" t="str">
        <f>IF(ISBLANK('SQL Builder'!K1620)=FALSE,'SQL Builder'!L1620,"")</f>
        <v/>
      </c>
      <c r="D1645" s="1" t="str">
        <f>IF(ISBLANK('SQL Builder'!K1620)=FALSE,'SQL Builder'!O1620,"")</f>
        <v/>
      </c>
      <c r="H1645" s="43" t="str">
        <f>IF(ISBLANK('SQL Builder'!K1619)=FALSE,H1644+1,"")</f>
        <v/>
      </c>
      <c r="I1645" s="1" t="str">
        <f>IF(ISBLANK('SQL Builder'!P1620)=FALSE,'SQL Builder'!N1620,"")</f>
        <v/>
      </c>
      <c r="J1645" s="79">
        <f t="shared" si="25"/>
        <v>0</v>
      </c>
    </row>
    <row r="1646" spans="2:10" ht="16.5" x14ac:dyDescent="0.25">
      <c r="B1646" s="49" t="e">
        <f>IF(ISBLANK('SQL Builder'!K1621)=FALSE,(DATE(LEFT('SQL Builder'!K1621,4),MID('SQL Builder'!K1621,6,2),MID('SQL Builder'!K1621,9,2))),NA())</f>
        <v>#N/A</v>
      </c>
      <c r="C1646" s="50" t="str">
        <f>IF(ISBLANK('SQL Builder'!K1621)=FALSE,'SQL Builder'!L1621,"")</f>
        <v/>
      </c>
      <c r="D1646" s="1" t="str">
        <f>IF(ISBLANK('SQL Builder'!K1621)=FALSE,'SQL Builder'!O1621,"")</f>
        <v/>
      </c>
      <c r="H1646" s="43" t="str">
        <f>IF(ISBLANK('SQL Builder'!K1620)=FALSE,H1645+1,"")</f>
        <v/>
      </c>
      <c r="I1646" s="1" t="str">
        <f>IF(ISBLANK('SQL Builder'!P1621)=FALSE,'SQL Builder'!N1621,"")</f>
        <v/>
      </c>
      <c r="J1646" s="79">
        <f t="shared" si="25"/>
        <v>0</v>
      </c>
    </row>
    <row r="1647" spans="2:10" ht="16.5" x14ac:dyDescent="0.25">
      <c r="B1647" s="49" t="e">
        <f>IF(ISBLANK('SQL Builder'!K1622)=FALSE,(DATE(LEFT('SQL Builder'!K1622,4),MID('SQL Builder'!K1622,6,2),MID('SQL Builder'!K1622,9,2))),NA())</f>
        <v>#N/A</v>
      </c>
      <c r="C1647" s="50" t="str">
        <f>IF(ISBLANK('SQL Builder'!K1622)=FALSE,'SQL Builder'!L1622,"")</f>
        <v/>
      </c>
      <c r="D1647" s="1" t="str">
        <f>IF(ISBLANK('SQL Builder'!K1622)=FALSE,'SQL Builder'!O1622,"")</f>
        <v/>
      </c>
      <c r="H1647" s="43" t="str">
        <f>IF(ISBLANK('SQL Builder'!K1621)=FALSE,H1646+1,"")</f>
        <v/>
      </c>
      <c r="I1647" s="1" t="str">
        <f>IF(ISBLANK('SQL Builder'!P1622)=FALSE,'SQL Builder'!N1622,"")</f>
        <v/>
      </c>
      <c r="J1647" s="79">
        <f t="shared" si="25"/>
        <v>0</v>
      </c>
    </row>
    <row r="1648" spans="2:10" ht="16.5" x14ac:dyDescent="0.25">
      <c r="B1648" s="49" t="e">
        <f>IF(ISBLANK('SQL Builder'!K1623)=FALSE,(DATE(LEFT('SQL Builder'!K1623,4),MID('SQL Builder'!K1623,6,2),MID('SQL Builder'!K1623,9,2))),NA())</f>
        <v>#N/A</v>
      </c>
      <c r="C1648" s="50" t="str">
        <f>IF(ISBLANK('SQL Builder'!K1623)=FALSE,'SQL Builder'!L1623,"")</f>
        <v/>
      </c>
      <c r="D1648" s="1" t="str">
        <f>IF(ISBLANK('SQL Builder'!K1623)=FALSE,'SQL Builder'!O1623,"")</f>
        <v/>
      </c>
      <c r="H1648" s="43" t="str">
        <f>IF(ISBLANK('SQL Builder'!K1622)=FALSE,H1647+1,"")</f>
        <v/>
      </c>
      <c r="I1648" s="1" t="str">
        <f>IF(ISBLANK('SQL Builder'!P1623)=FALSE,'SQL Builder'!N1623,"")</f>
        <v/>
      </c>
      <c r="J1648" s="79">
        <f t="shared" si="25"/>
        <v>0</v>
      </c>
    </row>
    <row r="1649" spans="2:10" ht="16.5" x14ac:dyDescent="0.25">
      <c r="B1649" s="49" t="e">
        <f>IF(ISBLANK('SQL Builder'!K1624)=FALSE,(DATE(LEFT('SQL Builder'!K1624,4),MID('SQL Builder'!K1624,6,2),MID('SQL Builder'!K1624,9,2))),NA())</f>
        <v>#N/A</v>
      </c>
      <c r="C1649" s="50" t="str">
        <f>IF(ISBLANK('SQL Builder'!K1624)=FALSE,'SQL Builder'!L1624,"")</f>
        <v/>
      </c>
      <c r="D1649" s="1" t="str">
        <f>IF(ISBLANK('SQL Builder'!K1624)=FALSE,'SQL Builder'!O1624,"")</f>
        <v/>
      </c>
      <c r="H1649" s="43" t="str">
        <f>IF(ISBLANK('SQL Builder'!K1623)=FALSE,H1648+1,"")</f>
        <v/>
      </c>
      <c r="I1649" s="1" t="str">
        <f>IF(ISBLANK('SQL Builder'!P1624)=FALSE,'SQL Builder'!N1624,"")</f>
        <v/>
      </c>
      <c r="J1649" s="79">
        <f t="shared" si="25"/>
        <v>0</v>
      </c>
    </row>
    <row r="1650" spans="2:10" ht="16.5" x14ac:dyDescent="0.25">
      <c r="B1650" s="49" t="e">
        <f>IF(ISBLANK('SQL Builder'!K1625)=FALSE,(DATE(LEFT('SQL Builder'!K1625,4),MID('SQL Builder'!K1625,6,2),MID('SQL Builder'!K1625,9,2))),NA())</f>
        <v>#N/A</v>
      </c>
      <c r="C1650" s="50" t="str">
        <f>IF(ISBLANK('SQL Builder'!K1625)=FALSE,'SQL Builder'!L1625,"")</f>
        <v/>
      </c>
      <c r="D1650" s="1" t="str">
        <f>IF(ISBLANK('SQL Builder'!K1625)=FALSE,'SQL Builder'!O1625,"")</f>
        <v/>
      </c>
      <c r="H1650" s="43" t="str">
        <f>IF(ISBLANK('SQL Builder'!K1624)=FALSE,H1649+1,"")</f>
        <v/>
      </c>
      <c r="I1650" s="1" t="str">
        <f>IF(ISBLANK('SQL Builder'!P1625)=FALSE,'SQL Builder'!N1625,"")</f>
        <v/>
      </c>
      <c r="J1650" s="79">
        <f t="shared" si="25"/>
        <v>0</v>
      </c>
    </row>
    <row r="1651" spans="2:10" ht="16.5" x14ac:dyDescent="0.25">
      <c r="B1651" s="49" t="e">
        <f>IF(ISBLANK('SQL Builder'!K1626)=FALSE,(DATE(LEFT('SQL Builder'!K1626,4),MID('SQL Builder'!K1626,6,2),MID('SQL Builder'!K1626,9,2))),NA())</f>
        <v>#N/A</v>
      </c>
      <c r="C1651" s="50" t="str">
        <f>IF(ISBLANK('SQL Builder'!K1626)=FALSE,'SQL Builder'!L1626,"")</f>
        <v/>
      </c>
      <c r="D1651" s="1" t="str">
        <f>IF(ISBLANK('SQL Builder'!K1626)=FALSE,'SQL Builder'!O1626,"")</f>
        <v/>
      </c>
      <c r="H1651" s="43" t="str">
        <f>IF(ISBLANK('SQL Builder'!K1625)=FALSE,H1650+1,"")</f>
        <v/>
      </c>
      <c r="I1651" s="1" t="str">
        <f>IF(ISBLANK('SQL Builder'!P1626)=FALSE,'SQL Builder'!N1626,"")</f>
        <v/>
      </c>
      <c r="J1651" s="79">
        <f t="shared" si="25"/>
        <v>0</v>
      </c>
    </row>
    <row r="1652" spans="2:10" ht="16.5" x14ac:dyDescent="0.25">
      <c r="B1652" s="49" t="e">
        <f>IF(ISBLANK('SQL Builder'!K1627)=FALSE,(DATE(LEFT('SQL Builder'!K1627,4),MID('SQL Builder'!K1627,6,2),MID('SQL Builder'!K1627,9,2))),NA())</f>
        <v>#N/A</v>
      </c>
      <c r="C1652" s="50" t="str">
        <f>IF(ISBLANK('SQL Builder'!K1627)=FALSE,'SQL Builder'!L1627,"")</f>
        <v/>
      </c>
      <c r="D1652" s="1" t="str">
        <f>IF(ISBLANK('SQL Builder'!K1627)=FALSE,'SQL Builder'!O1627,"")</f>
        <v/>
      </c>
      <c r="H1652" s="43" t="str">
        <f>IF(ISBLANK('SQL Builder'!K1626)=FALSE,H1651+1,"")</f>
        <v/>
      </c>
      <c r="I1652" s="1" t="str">
        <f>IF(ISBLANK('SQL Builder'!P1627)=FALSE,'SQL Builder'!N1627,"")</f>
        <v/>
      </c>
      <c r="J1652" s="79">
        <f t="shared" si="25"/>
        <v>0</v>
      </c>
    </row>
    <row r="1653" spans="2:10" ht="16.5" x14ac:dyDescent="0.25">
      <c r="B1653" s="49" t="e">
        <f>IF(ISBLANK('SQL Builder'!K1628)=FALSE,(DATE(LEFT('SQL Builder'!K1628,4),MID('SQL Builder'!K1628,6,2),MID('SQL Builder'!K1628,9,2))),NA())</f>
        <v>#N/A</v>
      </c>
      <c r="C1653" s="50" t="str">
        <f>IF(ISBLANK('SQL Builder'!K1628)=FALSE,'SQL Builder'!L1628,"")</f>
        <v/>
      </c>
      <c r="D1653" s="1" t="str">
        <f>IF(ISBLANK('SQL Builder'!K1628)=FALSE,'SQL Builder'!O1628,"")</f>
        <v/>
      </c>
      <c r="H1653" s="43" t="str">
        <f>IF(ISBLANK('SQL Builder'!K1627)=FALSE,H1652+1,"")</f>
        <v/>
      </c>
      <c r="I1653" s="1" t="str">
        <f>IF(ISBLANK('SQL Builder'!P1628)=FALSE,'SQL Builder'!N1628,"")</f>
        <v/>
      </c>
      <c r="J1653" s="79">
        <f t="shared" si="25"/>
        <v>0</v>
      </c>
    </row>
    <row r="1654" spans="2:10" ht="16.5" x14ac:dyDescent="0.25">
      <c r="B1654" s="49" t="e">
        <f>IF(ISBLANK('SQL Builder'!K1629)=FALSE,(DATE(LEFT('SQL Builder'!K1629,4),MID('SQL Builder'!K1629,6,2),MID('SQL Builder'!K1629,9,2))),NA())</f>
        <v>#N/A</v>
      </c>
      <c r="C1654" s="50" t="str">
        <f>IF(ISBLANK('SQL Builder'!K1629)=FALSE,'SQL Builder'!L1629,"")</f>
        <v/>
      </c>
      <c r="D1654" s="1" t="str">
        <f>IF(ISBLANK('SQL Builder'!K1629)=FALSE,'SQL Builder'!O1629,"")</f>
        <v/>
      </c>
      <c r="H1654" s="43" t="str">
        <f>IF(ISBLANK('SQL Builder'!K1628)=FALSE,H1653+1,"")</f>
        <v/>
      </c>
      <c r="I1654" s="1" t="str">
        <f>IF(ISBLANK('SQL Builder'!P1629)=FALSE,'SQL Builder'!N1629,"")</f>
        <v/>
      </c>
      <c r="J1654" s="79">
        <f t="shared" si="25"/>
        <v>0</v>
      </c>
    </row>
    <row r="1655" spans="2:10" ht="16.5" x14ac:dyDescent="0.25">
      <c r="B1655" s="49" t="e">
        <f>IF(ISBLANK('SQL Builder'!K1630)=FALSE,(DATE(LEFT('SQL Builder'!K1630,4),MID('SQL Builder'!K1630,6,2),MID('SQL Builder'!K1630,9,2))),NA())</f>
        <v>#N/A</v>
      </c>
      <c r="C1655" s="50" t="str">
        <f>IF(ISBLANK('SQL Builder'!K1630)=FALSE,'SQL Builder'!L1630,"")</f>
        <v/>
      </c>
      <c r="D1655" s="1" t="str">
        <f>IF(ISBLANK('SQL Builder'!K1630)=FALSE,'SQL Builder'!O1630,"")</f>
        <v/>
      </c>
      <c r="H1655" s="43" t="str">
        <f>IF(ISBLANK('SQL Builder'!K1629)=FALSE,H1654+1,"")</f>
        <v/>
      </c>
      <c r="I1655" s="1" t="str">
        <f>IF(ISBLANK('SQL Builder'!P1630)=FALSE,'SQL Builder'!N1630,"")</f>
        <v/>
      </c>
      <c r="J1655" s="79">
        <f t="shared" si="25"/>
        <v>0</v>
      </c>
    </row>
    <row r="1656" spans="2:10" ht="16.5" x14ac:dyDescent="0.25">
      <c r="B1656" s="49" t="e">
        <f>IF(ISBLANK('SQL Builder'!K1631)=FALSE,(DATE(LEFT('SQL Builder'!K1631,4),MID('SQL Builder'!K1631,6,2),MID('SQL Builder'!K1631,9,2))),NA())</f>
        <v>#N/A</v>
      </c>
      <c r="C1656" s="50" t="str">
        <f>IF(ISBLANK('SQL Builder'!K1631)=FALSE,'SQL Builder'!L1631,"")</f>
        <v/>
      </c>
      <c r="D1656" s="1" t="str">
        <f>IF(ISBLANK('SQL Builder'!K1631)=FALSE,'SQL Builder'!O1631,"")</f>
        <v/>
      </c>
      <c r="H1656" s="43" t="str">
        <f>IF(ISBLANK('SQL Builder'!K1630)=FALSE,H1655+1,"")</f>
        <v/>
      </c>
      <c r="I1656" s="1" t="str">
        <f>IF(ISBLANK('SQL Builder'!P1631)=FALSE,'SQL Builder'!N1631,"")</f>
        <v/>
      </c>
      <c r="J1656" s="79">
        <f t="shared" si="25"/>
        <v>0</v>
      </c>
    </row>
    <row r="1657" spans="2:10" ht="16.5" x14ac:dyDescent="0.25">
      <c r="B1657" s="49" t="e">
        <f>IF(ISBLANK('SQL Builder'!K1632)=FALSE,(DATE(LEFT('SQL Builder'!K1632,4),MID('SQL Builder'!K1632,6,2),MID('SQL Builder'!K1632,9,2))),NA())</f>
        <v>#N/A</v>
      </c>
      <c r="C1657" s="50" t="str">
        <f>IF(ISBLANK('SQL Builder'!K1632)=FALSE,'SQL Builder'!L1632,"")</f>
        <v/>
      </c>
      <c r="D1657" s="1" t="str">
        <f>IF(ISBLANK('SQL Builder'!K1632)=FALSE,'SQL Builder'!O1632,"")</f>
        <v/>
      </c>
      <c r="H1657" s="43" t="str">
        <f>IF(ISBLANK('SQL Builder'!K1631)=FALSE,H1656+1,"")</f>
        <v/>
      </c>
      <c r="I1657" s="1" t="str">
        <f>IF(ISBLANK('SQL Builder'!P1632)=FALSE,'SQL Builder'!N1632,"")</f>
        <v/>
      </c>
      <c r="J1657" s="79">
        <f t="shared" si="25"/>
        <v>0</v>
      </c>
    </row>
    <row r="1658" spans="2:10" ht="16.5" x14ac:dyDescent="0.25">
      <c r="B1658" s="49" t="e">
        <f>IF(ISBLANK('SQL Builder'!K1633)=FALSE,(DATE(LEFT('SQL Builder'!K1633,4),MID('SQL Builder'!K1633,6,2),MID('SQL Builder'!K1633,9,2))),NA())</f>
        <v>#N/A</v>
      </c>
      <c r="C1658" s="50" t="str">
        <f>IF(ISBLANK('SQL Builder'!K1633)=FALSE,'SQL Builder'!L1633,"")</f>
        <v/>
      </c>
      <c r="D1658" s="1" t="str">
        <f>IF(ISBLANK('SQL Builder'!K1633)=FALSE,'SQL Builder'!O1633,"")</f>
        <v/>
      </c>
      <c r="H1658" s="43" t="str">
        <f>IF(ISBLANK('SQL Builder'!K1632)=FALSE,H1657+1,"")</f>
        <v/>
      </c>
      <c r="I1658" s="1" t="str">
        <f>IF(ISBLANK('SQL Builder'!P1633)=FALSE,'SQL Builder'!N1633,"")</f>
        <v/>
      </c>
      <c r="J1658" s="79">
        <f t="shared" si="25"/>
        <v>0</v>
      </c>
    </row>
    <row r="1659" spans="2:10" ht="16.5" x14ac:dyDescent="0.25">
      <c r="B1659" s="49" t="e">
        <f>IF(ISBLANK('SQL Builder'!K1634)=FALSE,(DATE(LEFT('SQL Builder'!K1634,4),MID('SQL Builder'!K1634,6,2),MID('SQL Builder'!K1634,9,2))),NA())</f>
        <v>#N/A</v>
      </c>
      <c r="C1659" s="50" t="str">
        <f>IF(ISBLANK('SQL Builder'!K1634)=FALSE,'SQL Builder'!L1634,"")</f>
        <v/>
      </c>
      <c r="D1659" s="1" t="str">
        <f>IF(ISBLANK('SQL Builder'!K1634)=FALSE,'SQL Builder'!O1634,"")</f>
        <v/>
      </c>
      <c r="H1659" s="43" t="str">
        <f>IF(ISBLANK('SQL Builder'!K1633)=FALSE,H1658+1,"")</f>
        <v/>
      </c>
      <c r="I1659" s="1" t="str">
        <f>IF(ISBLANK('SQL Builder'!P1634)=FALSE,'SQL Builder'!N1634,"")</f>
        <v/>
      </c>
      <c r="J1659" s="79">
        <f t="shared" si="25"/>
        <v>0</v>
      </c>
    </row>
    <row r="1660" spans="2:10" ht="16.5" x14ac:dyDescent="0.25">
      <c r="B1660" s="49" t="e">
        <f>IF(ISBLANK('SQL Builder'!K1635)=FALSE,(DATE(LEFT('SQL Builder'!K1635,4),MID('SQL Builder'!K1635,6,2),MID('SQL Builder'!K1635,9,2))),NA())</f>
        <v>#N/A</v>
      </c>
      <c r="C1660" s="50" t="str">
        <f>IF(ISBLANK('SQL Builder'!K1635)=FALSE,'SQL Builder'!L1635,"")</f>
        <v/>
      </c>
      <c r="D1660" s="1" t="str">
        <f>IF(ISBLANK('SQL Builder'!K1635)=FALSE,'SQL Builder'!O1635,"")</f>
        <v/>
      </c>
      <c r="H1660" s="43" t="str">
        <f>IF(ISBLANK('SQL Builder'!K1634)=FALSE,H1659+1,"")</f>
        <v/>
      </c>
      <c r="I1660" s="1" t="str">
        <f>IF(ISBLANK('SQL Builder'!P1635)=FALSE,'SQL Builder'!N1635,"")</f>
        <v/>
      </c>
      <c r="J1660" s="79">
        <f t="shared" si="25"/>
        <v>0</v>
      </c>
    </row>
    <row r="1661" spans="2:10" ht="16.5" x14ac:dyDescent="0.25">
      <c r="B1661" s="49" t="e">
        <f>IF(ISBLANK('SQL Builder'!K1636)=FALSE,(DATE(LEFT('SQL Builder'!K1636,4),MID('SQL Builder'!K1636,6,2),MID('SQL Builder'!K1636,9,2))),NA())</f>
        <v>#N/A</v>
      </c>
      <c r="C1661" s="50" t="str">
        <f>IF(ISBLANK('SQL Builder'!K1636)=FALSE,'SQL Builder'!L1636,"")</f>
        <v/>
      </c>
      <c r="D1661" s="1" t="str">
        <f>IF(ISBLANK('SQL Builder'!K1636)=FALSE,'SQL Builder'!O1636,"")</f>
        <v/>
      </c>
      <c r="H1661" s="43" t="str">
        <f>IF(ISBLANK('SQL Builder'!K1635)=FALSE,H1660+1,"")</f>
        <v/>
      </c>
      <c r="I1661" s="1" t="str">
        <f>IF(ISBLANK('SQL Builder'!P1636)=FALSE,'SQL Builder'!N1636,"")</f>
        <v/>
      </c>
      <c r="J1661" s="79">
        <f t="shared" si="25"/>
        <v>0</v>
      </c>
    </row>
    <row r="1662" spans="2:10" ht="16.5" x14ac:dyDescent="0.25">
      <c r="B1662" s="49" t="e">
        <f>IF(ISBLANK('SQL Builder'!K1637)=FALSE,(DATE(LEFT('SQL Builder'!K1637,4),MID('SQL Builder'!K1637,6,2),MID('SQL Builder'!K1637,9,2))),NA())</f>
        <v>#N/A</v>
      </c>
      <c r="C1662" s="50" t="str">
        <f>IF(ISBLANK('SQL Builder'!K1637)=FALSE,'SQL Builder'!L1637,"")</f>
        <v/>
      </c>
      <c r="D1662" s="1" t="str">
        <f>IF(ISBLANK('SQL Builder'!K1637)=FALSE,'SQL Builder'!O1637,"")</f>
        <v/>
      </c>
      <c r="H1662" s="43" t="str">
        <f>IF(ISBLANK('SQL Builder'!K1636)=FALSE,H1661+1,"")</f>
        <v/>
      </c>
      <c r="I1662" s="1" t="str">
        <f>IF(ISBLANK('SQL Builder'!P1637)=FALSE,'SQL Builder'!N1637,"")</f>
        <v/>
      </c>
      <c r="J1662" s="79">
        <f t="shared" si="25"/>
        <v>0</v>
      </c>
    </row>
    <row r="1663" spans="2:10" ht="16.5" x14ac:dyDescent="0.25">
      <c r="B1663" s="49" t="e">
        <f>IF(ISBLANK('SQL Builder'!K1638)=FALSE,(DATE(LEFT('SQL Builder'!K1638,4),MID('SQL Builder'!K1638,6,2),MID('SQL Builder'!K1638,9,2))),NA())</f>
        <v>#N/A</v>
      </c>
      <c r="C1663" s="50" t="str">
        <f>IF(ISBLANK('SQL Builder'!K1638)=FALSE,'SQL Builder'!L1638,"")</f>
        <v/>
      </c>
      <c r="D1663" s="1" t="str">
        <f>IF(ISBLANK('SQL Builder'!K1638)=FALSE,'SQL Builder'!O1638,"")</f>
        <v/>
      </c>
      <c r="H1663" s="43" t="str">
        <f>IF(ISBLANK('SQL Builder'!K1637)=FALSE,H1662+1,"")</f>
        <v/>
      </c>
      <c r="I1663" s="1" t="str">
        <f>IF(ISBLANK('SQL Builder'!P1638)=FALSE,'SQL Builder'!N1638,"")</f>
        <v/>
      </c>
      <c r="J1663" s="79">
        <f t="shared" si="25"/>
        <v>0</v>
      </c>
    </row>
    <row r="1664" spans="2:10" ht="16.5" x14ac:dyDescent="0.25">
      <c r="B1664" s="49" t="e">
        <f>IF(ISBLANK('SQL Builder'!K1639)=FALSE,(DATE(LEFT('SQL Builder'!K1639,4),MID('SQL Builder'!K1639,6,2),MID('SQL Builder'!K1639,9,2))),NA())</f>
        <v>#N/A</v>
      </c>
      <c r="C1664" s="50" t="str">
        <f>IF(ISBLANK('SQL Builder'!K1639)=FALSE,'SQL Builder'!L1639,"")</f>
        <v/>
      </c>
      <c r="D1664" s="1" t="str">
        <f>IF(ISBLANK('SQL Builder'!K1639)=FALSE,'SQL Builder'!O1639,"")</f>
        <v/>
      </c>
      <c r="H1664" s="43" t="str">
        <f>IF(ISBLANK('SQL Builder'!K1638)=FALSE,H1663+1,"")</f>
        <v/>
      </c>
      <c r="I1664" s="1" t="str">
        <f>IF(ISBLANK('SQL Builder'!P1639)=FALSE,'SQL Builder'!N1639,"")</f>
        <v/>
      </c>
      <c r="J1664" s="79">
        <f t="shared" si="25"/>
        <v>0</v>
      </c>
    </row>
    <row r="1665" spans="2:10" ht="16.5" x14ac:dyDescent="0.25">
      <c r="B1665" s="49" t="e">
        <f>IF(ISBLANK('SQL Builder'!K1640)=FALSE,(DATE(LEFT('SQL Builder'!K1640,4),MID('SQL Builder'!K1640,6,2),MID('SQL Builder'!K1640,9,2))),NA())</f>
        <v>#N/A</v>
      </c>
      <c r="C1665" s="50" t="str">
        <f>IF(ISBLANK('SQL Builder'!K1640)=FALSE,'SQL Builder'!L1640,"")</f>
        <v/>
      </c>
      <c r="D1665" s="1" t="str">
        <f>IF(ISBLANK('SQL Builder'!K1640)=FALSE,'SQL Builder'!O1640,"")</f>
        <v/>
      </c>
      <c r="H1665" s="43" t="str">
        <f>IF(ISBLANK('SQL Builder'!K1639)=FALSE,H1664+1,"")</f>
        <v/>
      </c>
      <c r="I1665" s="1" t="str">
        <f>IF(ISBLANK('SQL Builder'!P1640)=FALSE,'SQL Builder'!N1640,"")</f>
        <v/>
      </c>
      <c r="J1665" s="79">
        <f t="shared" si="25"/>
        <v>0</v>
      </c>
    </row>
    <row r="1666" spans="2:10" ht="16.5" x14ac:dyDescent="0.25">
      <c r="B1666" s="49" t="e">
        <f>IF(ISBLANK('SQL Builder'!K1641)=FALSE,(DATE(LEFT('SQL Builder'!K1641,4),MID('SQL Builder'!K1641,6,2),MID('SQL Builder'!K1641,9,2))),NA())</f>
        <v>#N/A</v>
      </c>
      <c r="C1666" s="50" t="str">
        <f>IF(ISBLANK('SQL Builder'!K1641)=FALSE,'SQL Builder'!L1641,"")</f>
        <v/>
      </c>
      <c r="D1666" s="1" t="str">
        <f>IF(ISBLANK('SQL Builder'!K1641)=FALSE,'SQL Builder'!O1641,"")</f>
        <v/>
      </c>
      <c r="H1666" s="43" t="str">
        <f>IF(ISBLANK('SQL Builder'!K1640)=FALSE,H1665+1,"")</f>
        <v/>
      </c>
      <c r="I1666" s="1" t="str">
        <f>IF(ISBLANK('SQL Builder'!P1641)=FALSE,'SQL Builder'!N1641,"")</f>
        <v/>
      </c>
      <c r="J1666" s="79">
        <f t="shared" si="25"/>
        <v>0</v>
      </c>
    </row>
    <row r="1667" spans="2:10" ht="16.5" x14ac:dyDescent="0.25">
      <c r="B1667" s="49" t="e">
        <f>IF(ISBLANK('SQL Builder'!K1642)=FALSE,(DATE(LEFT('SQL Builder'!K1642,4),MID('SQL Builder'!K1642,6,2),MID('SQL Builder'!K1642,9,2))),NA())</f>
        <v>#N/A</v>
      </c>
      <c r="C1667" s="50" t="str">
        <f>IF(ISBLANK('SQL Builder'!K1642)=FALSE,'SQL Builder'!L1642,"")</f>
        <v/>
      </c>
      <c r="D1667" s="1" t="str">
        <f>IF(ISBLANK('SQL Builder'!K1642)=FALSE,'SQL Builder'!O1642,"")</f>
        <v/>
      </c>
      <c r="H1667" s="43" t="str">
        <f>IF(ISBLANK('SQL Builder'!K1641)=FALSE,H1666+1,"")</f>
        <v/>
      </c>
      <c r="I1667" s="1" t="str">
        <f>IF(ISBLANK('SQL Builder'!P1642)=FALSE,'SQL Builder'!N1642,"")</f>
        <v/>
      </c>
      <c r="J1667" s="79">
        <f t="shared" si="25"/>
        <v>0</v>
      </c>
    </row>
    <row r="1668" spans="2:10" ht="16.5" x14ac:dyDescent="0.25">
      <c r="B1668" s="49" t="e">
        <f>IF(ISBLANK('SQL Builder'!K1643)=FALSE,(DATE(LEFT('SQL Builder'!K1643,4),MID('SQL Builder'!K1643,6,2),MID('SQL Builder'!K1643,9,2))),NA())</f>
        <v>#N/A</v>
      </c>
      <c r="C1668" s="50" t="str">
        <f>IF(ISBLANK('SQL Builder'!K1643)=FALSE,'SQL Builder'!L1643,"")</f>
        <v/>
      </c>
      <c r="D1668" s="1" t="str">
        <f>IF(ISBLANK('SQL Builder'!K1643)=FALSE,'SQL Builder'!O1643,"")</f>
        <v/>
      </c>
      <c r="H1668" s="43" t="str">
        <f>IF(ISBLANK('SQL Builder'!K1642)=FALSE,H1667+1,"")</f>
        <v/>
      </c>
      <c r="I1668" s="1" t="str">
        <f>IF(ISBLANK('SQL Builder'!P1643)=FALSE,'SQL Builder'!N1643,"")</f>
        <v/>
      </c>
      <c r="J1668" s="79">
        <f t="shared" si="25"/>
        <v>0</v>
      </c>
    </row>
    <row r="1669" spans="2:10" ht="16.5" x14ac:dyDescent="0.25">
      <c r="B1669" s="49" t="e">
        <f>IF(ISBLANK('SQL Builder'!K1644)=FALSE,(DATE(LEFT('SQL Builder'!K1644,4),MID('SQL Builder'!K1644,6,2),MID('SQL Builder'!K1644,9,2))),NA())</f>
        <v>#N/A</v>
      </c>
      <c r="C1669" s="50" t="str">
        <f>IF(ISBLANK('SQL Builder'!K1644)=FALSE,'SQL Builder'!L1644,"")</f>
        <v/>
      </c>
      <c r="D1669" s="1" t="str">
        <f>IF(ISBLANK('SQL Builder'!K1644)=FALSE,'SQL Builder'!O1644,"")</f>
        <v/>
      </c>
      <c r="H1669" s="43" t="str">
        <f>IF(ISBLANK('SQL Builder'!K1643)=FALSE,H1668+1,"")</f>
        <v/>
      </c>
      <c r="I1669" s="1" t="str">
        <f>IF(ISBLANK('SQL Builder'!P1644)=FALSE,'SQL Builder'!N1644,"")</f>
        <v/>
      </c>
      <c r="J1669" s="79">
        <f t="shared" si="25"/>
        <v>0</v>
      </c>
    </row>
    <row r="1670" spans="2:10" ht="16.5" x14ac:dyDescent="0.25">
      <c r="B1670" s="49" t="e">
        <f>IF(ISBLANK('SQL Builder'!K1645)=FALSE,(DATE(LEFT('SQL Builder'!K1645,4),MID('SQL Builder'!K1645,6,2),MID('SQL Builder'!K1645,9,2))),NA())</f>
        <v>#N/A</v>
      </c>
      <c r="C1670" s="50" t="str">
        <f>IF(ISBLANK('SQL Builder'!K1645)=FALSE,'SQL Builder'!L1645,"")</f>
        <v/>
      </c>
      <c r="D1670" s="1" t="str">
        <f>IF(ISBLANK('SQL Builder'!K1645)=FALSE,'SQL Builder'!O1645,"")</f>
        <v/>
      </c>
      <c r="H1670" s="43" t="str">
        <f>IF(ISBLANK('SQL Builder'!K1644)=FALSE,H1669+1,"")</f>
        <v/>
      </c>
      <c r="I1670" s="1" t="str">
        <f>IF(ISBLANK('SQL Builder'!P1645)=FALSE,'SQL Builder'!N1645,"")</f>
        <v/>
      </c>
      <c r="J1670" s="79">
        <f t="shared" si="25"/>
        <v>0</v>
      </c>
    </row>
    <row r="1671" spans="2:10" ht="16.5" x14ac:dyDescent="0.25">
      <c r="B1671" s="49" t="e">
        <f>IF(ISBLANK('SQL Builder'!K1646)=FALSE,(DATE(LEFT('SQL Builder'!K1646,4),MID('SQL Builder'!K1646,6,2),MID('SQL Builder'!K1646,9,2))),NA())</f>
        <v>#N/A</v>
      </c>
      <c r="C1671" s="50" t="str">
        <f>IF(ISBLANK('SQL Builder'!K1646)=FALSE,'SQL Builder'!L1646,"")</f>
        <v/>
      </c>
      <c r="D1671" s="1" t="str">
        <f>IF(ISBLANK('SQL Builder'!K1646)=FALSE,'SQL Builder'!O1646,"")</f>
        <v/>
      </c>
      <c r="H1671" s="43" t="str">
        <f>IF(ISBLANK('SQL Builder'!K1645)=FALSE,H1670+1,"")</f>
        <v/>
      </c>
      <c r="I1671" s="1" t="str">
        <f>IF(ISBLANK('SQL Builder'!P1646)=FALSE,'SQL Builder'!N1646,"")</f>
        <v/>
      </c>
      <c r="J1671" s="79">
        <f t="shared" si="25"/>
        <v>0</v>
      </c>
    </row>
    <row r="1672" spans="2:10" ht="16.5" x14ac:dyDescent="0.25">
      <c r="B1672" s="49" t="e">
        <f>IF(ISBLANK('SQL Builder'!K1647)=FALSE,(DATE(LEFT('SQL Builder'!K1647,4),MID('SQL Builder'!K1647,6,2),MID('SQL Builder'!K1647,9,2))),NA())</f>
        <v>#N/A</v>
      </c>
      <c r="C1672" s="50" t="str">
        <f>IF(ISBLANK('SQL Builder'!K1647)=FALSE,'SQL Builder'!L1647,"")</f>
        <v/>
      </c>
      <c r="D1672" s="1" t="str">
        <f>IF(ISBLANK('SQL Builder'!K1647)=FALSE,'SQL Builder'!O1647,"")</f>
        <v/>
      </c>
      <c r="H1672" s="43" t="str">
        <f>IF(ISBLANK('SQL Builder'!K1646)=FALSE,H1671+1,"")</f>
        <v/>
      </c>
      <c r="I1672" s="1" t="str">
        <f>IF(ISBLANK('SQL Builder'!P1647)=FALSE,'SQL Builder'!N1647,"")</f>
        <v/>
      </c>
      <c r="J1672" s="79">
        <f t="shared" si="25"/>
        <v>0</v>
      </c>
    </row>
    <row r="1673" spans="2:10" ht="16.5" x14ac:dyDescent="0.25">
      <c r="B1673" s="49" t="e">
        <f>IF(ISBLANK('SQL Builder'!K1648)=FALSE,(DATE(LEFT('SQL Builder'!K1648,4),MID('SQL Builder'!K1648,6,2),MID('SQL Builder'!K1648,9,2))),NA())</f>
        <v>#N/A</v>
      </c>
      <c r="C1673" s="50" t="str">
        <f>IF(ISBLANK('SQL Builder'!K1648)=FALSE,'SQL Builder'!L1648,"")</f>
        <v/>
      </c>
      <c r="D1673" s="1" t="str">
        <f>IF(ISBLANK('SQL Builder'!K1648)=FALSE,'SQL Builder'!O1648,"")</f>
        <v/>
      </c>
      <c r="H1673" s="43" t="str">
        <f>IF(ISBLANK('SQL Builder'!K1647)=FALSE,H1672+1,"")</f>
        <v/>
      </c>
      <c r="I1673" s="1" t="str">
        <f>IF(ISBLANK('SQL Builder'!P1648)=FALSE,'SQL Builder'!N1648,"")</f>
        <v/>
      </c>
      <c r="J1673" s="79">
        <f t="shared" si="25"/>
        <v>0</v>
      </c>
    </row>
    <row r="1674" spans="2:10" ht="16.5" x14ac:dyDescent="0.25">
      <c r="B1674" s="49" t="e">
        <f>IF(ISBLANK('SQL Builder'!K1649)=FALSE,(DATE(LEFT('SQL Builder'!K1649,4),MID('SQL Builder'!K1649,6,2),MID('SQL Builder'!K1649,9,2))),NA())</f>
        <v>#N/A</v>
      </c>
      <c r="C1674" s="50" t="str">
        <f>IF(ISBLANK('SQL Builder'!K1649)=FALSE,'SQL Builder'!L1649,"")</f>
        <v/>
      </c>
      <c r="D1674" s="1" t="str">
        <f>IF(ISBLANK('SQL Builder'!K1649)=FALSE,'SQL Builder'!O1649,"")</f>
        <v/>
      </c>
      <c r="H1674" s="43" t="str">
        <f>IF(ISBLANK('SQL Builder'!K1648)=FALSE,H1673+1,"")</f>
        <v/>
      </c>
      <c r="I1674" s="1" t="str">
        <f>IF(ISBLANK('SQL Builder'!P1649)=FALSE,'SQL Builder'!N1649,"")</f>
        <v/>
      </c>
      <c r="J1674" s="79">
        <f t="shared" si="25"/>
        <v>0</v>
      </c>
    </row>
    <row r="1675" spans="2:10" ht="16.5" x14ac:dyDescent="0.25">
      <c r="B1675" s="49" t="e">
        <f>IF(ISBLANK('SQL Builder'!K1650)=FALSE,(DATE(LEFT('SQL Builder'!K1650,4),MID('SQL Builder'!K1650,6,2),MID('SQL Builder'!K1650,9,2))),NA())</f>
        <v>#N/A</v>
      </c>
      <c r="C1675" s="50" t="str">
        <f>IF(ISBLANK('SQL Builder'!K1650)=FALSE,'SQL Builder'!L1650,"")</f>
        <v/>
      </c>
      <c r="D1675" s="1" t="str">
        <f>IF(ISBLANK('SQL Builder'!K1650)=FALSE,'SQL Builder'!O1650,"")</f>
        <v/>
      </c>
      <c r="H1675" s="43" t="str">
        <f>IF(ISBLANK('SQL Builder'!K1649)=FALSE,H1674+1,"")</f>
        <v/>
      </c>
      <c r="I1675" s="1" t="str">
        <f>IF(ISBLANK('SQL Builder'!P1650)=FALSE,'SQL Builder'!N1650,"")</f>
        <v/>
      </c>
      <c r="J1675" s="79">
        <f t="shared" si="25"/>
        <v>0</v>
      </c>
    </row>
    <row r="1676" spans="2:10" ht="16.5" x14ac:dyDescent="0.25">
      <c r="B1676" s="49" t="e">
        <f>IF(ISBLANK('SQL Builder'!K1651)=FALSE,(DATE(LEFT('SQL Builder'!K1651,4),MID('SQL Builder'!K1651,6,2),MID('SQL Builder'!K1651,9,2))),NA())</f>
        <v>#N/A</v>
      </c>
      <c r="C1676" s="50" t="str">
        <f>IF(ISBLANK('SQL Builder'!K1651)=FALSE,'SQL Builder'!L1651,"")</f>
        <v/>
      </c>
      <c r="D1676" s="1" t="str">
        <f>IF(ISBLANK('SQL Builder'!K1651)=FALSE,'SQL Builder'!O1651,"")</f>
        <v/>
      </c>
      <c r="H1676" s="43" t="str">
        <f>IF(ISBLANK('SQL Builder'!K1650)=FALSE,H1675+1,"")</f>
        <v/>
      </c>
      <c r="I1676" s="1" t="str">
        <f>IF(ISBLANK('SQL Builder'!P1651)=FALSE,'SQL Builder'!N1651,"")</f>
        <v/>
      </c>
      <c r="J1676" s="79">
        <f t="shared" si="25"/>
        <v>0</v>
      </c>
    </row>
    <row r="1677" spans="2:10" ht="16.5" x14ac:dyDescent="0.25">
      <c r="B1677" s="49" t="e">
        <f>IF(ISBLANK('SQL Builder'!K1652)=FALSE,(DATE(LEFT('SQL Builder'!K1652,4),MID('SQL Builder'!K1652,6,2),MID('SQL Builder'!K1652,9,2))),NA())</f>
        <v>#N/A</v>
      </c>
      <c r="C1677" s="50" t="str">
        <f>IF(ISBLANK('SQL Builder'!K1652)=FALSE,'SQL Builder'!L1652,"")</f>
        <v/>
      </c>
      <c r="D1677" s="1" t="str">
        <f>IF(ISBLANK('SQL Builder'!K1652)=FALSE,'SQL Builder'!O1652,"")</f>
        <v/>
      </c>
      <c r="H1677" s="43" t="str">
        <f>IF(ISBLANK('SQL Builder'!K1651)=FALSE,H1676+1,"")</f>
        <v/>
      </c>
      <c r="I1677" s="1" t="str">
        <f>IF(ISBLANK('SQL Builder'!P1652)=FALSE,'SQL Builder'!N1652,"")</f>
        <v/>
      </c>
      <c r="J1677" s="79">
        <f t="shared" si="25"/>
        <v>0</v>
      </c>
    </row>
    <row r="1678" spans="2:10" ht="16.5" x14ac:dyDescent="0.25">
      <c r="B1678" s="49" t="e">
        <f>IF(ISBLANK('SQL Builder'!K1653)=FALSE,(DATE(LEFT('SQL Builder'!K1653,4),MID('SQL Builder'!K1653,6,2),MID('SQL Builder'!K1653,9,2))),NA())</f>
        <v>#N/A</v>
      </c>
      <c r="C1678" s="50" t="str">
        <f>IF(ISBLANK('SQL Builder'!K1653)=FALSE,'SQL Builder'!L1653,"")</f>
        <v/>
      </c>
      <c r="D1678" s="1" t="str">
        <f>IF(ISBLANK('SQL Builder'!K1653)=FALSE,'SQL Builder'!O1653,"")</f>
        <v/>
      </c>
      <c r="H1678" s="43" t="str">
        <f>IF(ISBLANK('SQL Builder'!K1652)=FALSE,H1677+1,"")</f>
        <v/>
      </c>
      <c r="I1678" s="1" t="str">
        <f>IF(ISBLANK('SQL Builder'!P1653)=FALSE,'SQL Builder'!N1653,"")</f>
        <v/>
      </c>
      <c r="J1678" s="79">
        <f t="shared" si="25"/>
        <v>0</v>
      </c>
    </row>
    <row r="1679" spans="2:10" ht="16.5" x14ac:dyDescent="0.25">
      <c r="B1679" s="49" t="e">
        <f>IF(ISBLANK('SQL Builder'!K1654)=FALSE,(DATE(LEFT('SQL Builder'!K1654,4),MID('SQL Builder'!K1654,6,2),MID('SQL Builder'!K1654,9,2))),NA())</f>
        <v>#N/A</v>
      </c>
      <c r="C1679" s="50" t="str">
        <f>IF(ISBLANK('SQL Builder'!K1654)=FALSE,'SQL Builder'!L1654,"")</f>
        <v/>
      </c>
      <c r="D1679" s="1" t="str">
        <f>IF(ISBLANK('SQL Builder'!K1654)=FALSE,'SQL Builder'!O1654,"")</f>
        <v/>
      </c>
      <c r="H1679" s="43" t="str">
        <f>IF(ISBLANK('SQL Builder'!K1653)=FALSE,H1678+1,"")</f>
        <v/>
      </c>
      <c r="I1679" s="1" t="str">
        <f>IF(ISBLANK('SQL Builder'!P1654)=FALSE,'SQL Builder'!N1654,"")</f>
        <v/>
      </c>
      <c r="J1679" s="79">
        <f t="shared" si="25"/>
        <v>0</v>
      </c>
    </row>
    <row r="1680" spans="2:10" ht="16.5" x14ac:dyDescent="0.25">
      <c r="B1680" s="49" t="e">
        <f>IF(ISBLANK('SQL Builder'!K1655)=FALSE,(DATE(LEFT('SQL Builder'!K1655,4),MID('SQL Builder'!K1655,6,2),MID('SQL Builder'!K1655,9,2))),NA())</f>
        <v>#N/A</v>
      </c>
      <c r="C1680" s="50" t="str">
        <f>IF(ISBLANK('SQL Builder'!K1655)=FALSE,'SQL Builder'!L1655,"")</f>
        <v/>
      </c>
      <c r="D1680" s="1" t="str">
        <f>IF(ISBLANK('SQL Builder'!K1655)=FALSE,'SQL Builder'!O1655,"")</f>
        <v/>
      </c>
      <c r="H1680" s="43" t="str">
        <f>IF(ISBLANK('SQL Builder'!K1654)=FALSE,H1679+1,"")</f>
        <v/>
      </c>
      <c r="I1680" s="1" t="str">
        <f>IF(ISBLANK('SQL Builder'!P1655)=FALSE,'SQL Builder'!N1655,"")</f>
        <v/>
      </c>
      <c r="J1680" s="79">
        <f t="shared" si="25"/>
        <v>0</v>
      </c>
    </row>
    <row r="1681" spans="2:10" ht="16.5" x14ac:dyDescent="0.25">
      <c r="B1681" s="49" t="e">
        <f>IF(ISBLANK('SQL Builder'!K1656)=FALSE,(DATE(LEFT('SQL Builder'!K1656,4),MID('SQL Builder'!K1656,6,2),MID('SQL Builder'!K1656,9,2))),NA())</f>
        <v>#N/A</v>
      </c>
      <c r="C1681" s="50" t="str">
        <f>IF(ISBLANK('SQL Builder'!K1656)=FALSE,'SQL Builder'!L1656,"")</f>
        <v/>
      </c>
      <c r="D1681" s="1" t="str">
        <f>IF(ISBLANK('SQL Builder'!K1656)=FALSE,'SQL Builder'!O1656,"")</f>
        <v/>
      </c>
      <c r="H1681" s="43" t="str">
        <f>IF(ISBLANK('SQL Builder'!K1655)=FALSE,H1680+1,"")</f>
        <v/>
      </c>
      <c r="I1681" s="1" t="str">
        <f>IF(ISBLANK('SQL Builder'!P1656)=FALSE,'SQL Builder'!N1656,"")</f>
        <v/>
      </c>
      <c r="J1681" s="79">
        <f t="shared" si="25"/>
        <v>0</v>
      </c>
    </row>
    <row r="1682" spans="2:10" ht="16.5" x14ac:dyDescent="0.25">
      <c r="B1682" s="49" t="e">
        <f>IF(ISBLANK('SQL Builder'!K1657)=FALSE,(DATE(LEFT('SQL Builder'!K1657,4),MID('SQL Builder'!K1657,6,2),MID('SQL Builder'!K1657,9,2))),NA())</f>
        <v>#N/A</v>
      </c>
      <c r="C1682" s="50" t="str">
        <f>IF(ISBLANK('SQL Builder'!K1657)=FALSE,'SQL Builder'!L1657,"")</f>
        <v/>
      </c>
      <c r="D1682" s="1" t="str">
        <f>IF(ISBLANK('SQL Builder'!K1657)=FALSE,'SQL Builder'!O1657,"")</f>
        <v/>
      </c>
      <c r="H1682" s="43" t="str">
        <f>IF(ISBLANK('SQL Builder'!K1656)=FALSE,H1681+1,"")</f>
        <v/>
      </c>
      <c r="I1682" s="1" t="str">
        <f>IF(ISBLANK('SQL Builder'!P1657)=FALSE,'SQL Builder'!N1657,"")</f>
        <v/>
      </c>
      <c r="J1682" s="79">
        <f t="shared" si="25"/>
        <v>0</v>
      </c>
    </row>
    <row r="1683" spans="2:10" ht="16.5" x14ac:dyDescent="0.25">
      <c r="B1683" s="49" t="e">
        <f>IF(ISBLANK('SQL Builder'!K1658)=FALSE,(DATE(LEFT('SQL Builder'!K1658,4),MID('SQL Builder'!K1658,6,2),MID('SQL Builder'!K1658,9,2))),NA())</f>
        <v>#N/A</v>
      </c>
      <c r="C1683" s="50" t="str">
        <f>IF(ISBLANK('SQL Builder'!K1658)=FALSE,'SQL Builder'!L1658,"")</f>
        <v/>
      </c>
      <c r="D1683" s="1" t="str">
        <f>IF(ISBLANK('SQL Builder'!K1658)=FALSE,'SQL Builder'!O1658,"")</f>
        <v/>
      </c>
      <c r="H1683" s="43" t="str">
        <f>IF(ISBLANK('SQL Builder'!K1657)=FALSE,H1682+1,"")</f>
        <v/>
      </c>
      <c r="I1683" s="1" t="str">
        <f>IF(ISBLANK('SQL Builder'!P1658)=FALSE,'SQL Builder'!N1658,"")</f>
        <v/>
      </c>
      <c r="J1683" s="79">
        <f t="shared" si="25"/>
        <v>0</v>
      </c>
    </row>
    <row r="1684" spans="2:10" ht="16.5" x14ac:dyDescent="0.25">
      <c r="B1684" s="49" t="e">
        <f>IF(ISBLANK('SQL Builder'!K1659)=FALSE,(DATE(LEFT('SQL Builder'!K1659,4),MID('SQL Builder'!K1659,6,2),MID('SQL Builder'!K1659,9,2))),NA())</f>
        <v>#N/A</v>
      </c>
      <c r="C1684" s="50" t="str">
        <f>IF(ISBLANK('SQL Builder'!K1659)=FALSE,'SQL Builder'!L1659,"")</f>
        <v/>
      </c>
      <c r="D1684" s="1" t="str">
        <f>IF(ISBLANK('SQL Builder'!K1659)=FALSE,'SQL Builder'!O1659,"")</f>
        <v/>
      </c>
      <c r="H1684" s="43" t="str">
        <f>IF(ISBLANK('SQL Builder'!K1658)=FALSE,H1683+1,"")</f>
        <v/>
      </c>
      <c r="I1684" s="1" t="str">
        <f>IF(ISBLANK('SQL Builder'!P1659)=FALSE,'SQL Builder'!N1659,"")</f>
        <v/>
      </c>
      <c r="J1684" s="79">
        <f t="shared" si="25"/>
        <v>0</v>
      </c>
    </row>
    <row r="1685" spans="2:10" ht="16.5" x14ac:dyDescent="0.25">
      <c r="B1685" s="49" t="e">
        <f>IF(ISBLANK('SQL Builder'!K1660)=FALSE,(DATE(LEFT('SQL Builder'!K1660,4),MID('SQL Builder'!K1660,6,2),MID('SQL Builder'!K1660,9,2))),NA())</f>
        <v>#N/A</v>
      </c>
      <c r="C1685" s="50" t="str">
        <f>IF(ISBLANK('SQL Builder'!K1660)=FALSE,'SQL Builder'!L1660,"")</f>
        <v/>
      </c>
      <c r="D1685" s="1" t="str">
        <f>IF(ISBLANK('SQL Builder'!K1660)=FALSE,'SQL Builder'!O1660,"")</f>
        <v/>
      </c>
      <c r="H1685" s="43" t="str">
        <f>IF(ISBLANK('SQL Builder'!K1659)=FALSE,H1684+1,"")</f>
        <v/>
      </c>
      <c r="I1685" s="1" t="str">
        <f>IF(ISBLANK('SQL Builder'!P1660)=FALSE,'SQL Builder'!N1660,"")</f>
        <v/>
      </c>
      <c r="J1685" s="79">
        <f t="shared" si="25"/>
        <v>0</v>
      </c>
    </row>
    <row r="1686" spans="2:10" ht="16.5" x14ac:dyDescent="0.25">
      <c r="B1686" s="49" t="e">
        <f>IF(ISBLANK('SQL Builder'!K1661)=FALSE,(DATE(LEFT('SQL Builder'!K1661,4),MID('SQL Builder'!K1661,6,2),MID('SQL Builder'!K1661,9,2))),NA())</f>
        <v>#N/A</v>
      </c>
      <c r="C1686" s="50" t="str">
        <f>IF(ISBLANK('SQL Builder'!K1661)=FALSE,'SQL Builder'!L1661,"")</f>
        <v/>
      </c>
      <c r="D1686" s="1" t="str">
        <f>IF(ISBLANK('SQL Builder'!K1661)=FALSE,'SQL Builder'!O1661,"")</f>
        <v/>
      </c>
      <c r="H1686" s="43" t="str">
        <f>IF(ISBLANK('SQL Builder'!K1660)=FALSE,H1685+1,"")</f>
        <v/>
      </c>
      <c r="I1686" s="1" t="str">
        <f>IF(ISBLANK('SQL Builder'!P1661)=FALSE,'SQL Builder'!N1661,"")</f>
        <v/>
      </c>
      <c r="J1686" s="79">
        <f t="shared" si="25"/>
        <v>0</v>
      </c>
    </row>
    <row r="1687" spans="2:10" ht="16.5" x14ac:dyDescent="0.25">
      <c r="B1687" s="49" t="e">
        <f>IF(ISBLANK('SQL Builder'!K1662)=FALSE,(DATE(LEFT('SQL Builder'!K1662,4),MID('SQL Builder'!K1662,6,2),MID('SQL Builder'!K1662,9,2))),NA())</f>
        <v>#N/A</v>
      </c>
      <c r="C1687" s="50" t="str">
        <f>IF(ISBLANK('SQL Builder'!K1662)=FALSE,'SQL Builder'!L1662,"")</f>
        <v/>
      </c>
      <c r="D1687" s="1" t="str">
        <f>IF(ISBLANK('SQL Builder'!K1662)=FALSE,'SQL Builder'!O1662,"")</f>
        <v/>
      </c>
      <c r="H1687" s="43" t="str">
        <f>IF(ISBLANK('SQL Builder'!K1661)=FALSE,H1686+1,"")</f>
        <v/>
      </c>
      <c r="I1687" s="1" t="str">
        <f>IF(ISBLANK('SQL Builder'!P1662)=FALSE,'SQL Builder'!N1662,"")</f>
        <v/>
      </c>
      <c r="J1687" s="79">
        <f t="shared" si="25"/>
        <v>0</v>
      </c>
    </row>
    <row r="1688" spans="2:10" ht="16.5" x14ac:dyDescent="0.25">
      <c r="B1688" s="49" t="e">
        <f>IF(ISBLANK('SQL Builder'!K1663)=FALSE,(DATE(LEFT('SQL Builder'!K1663,4),MID('SQL Builder'!K1663,6,2),MID('SQL Builder'!K1663,9,2))),NA())</f>
        <v>#N/A</v>
      </c>
      <c r="C1688" s="50" t="str">
        <f>IF(ISBLANK('SQL Builder'!K1663)=FALSE,'SQL Builder'!L1663,"")</f>
        <v/>
      </c>
      <c r="D1688" s="1" t="str">
        <f>IF(ISBLANK('SQL Builder'!K1663)=FALSE,'SQL Builder'!O1663,"")</f>
        <v/>
      </c>
      <c r="H1688" s="43" t="str">
        <f>IF(ISBLANK('SQL Builder'!K1662)=FALSE,H1687+1,"")</f>
        <v/>
      </c>
      <c r="I1688" s="1" t="str">
        <f>IF(ISBLANK('SQL Builder'!P1663)=FALSE,'SQL Builder'!N1663,"")</f>
        <v/>
      </c>
      <c r="J1688" s="79">
        <f t="shared" si="25"/>
        <v>0</v>
      </c>
    </row>
    <row r="1689" spans="2:10" ht="16.5" x14ac:dyDescent="0.25">
      <c r="B1689" s="49" t="e">
        <f>IF(ISBLANK('SQL Builder'!K1664)=FALSE,(DATE(LEFT('SQL Builder'!K1664,4),MID('SQL Builder'!K1664,6,2),MID('SQL Builder'!K1664,9,2))),NA())</f>
        <v>#N/A</v>
      </c>
      <c r="C1689" s="50" t="str">
        <f>IF(ISBLANK('SQL Builder'!K1664)=FALSE,'SQL Builder'!L1664,"")</f>
        <v/>
      </c>
      <c r="D1689" s="1" t="str">
        <f>IF(ISBLANK('SQL Builder'!K1664)=FALSE,'SQL Builder'!O1664,"")</f>
        <v/>
      </c>
      <c r="H1689" s="43" t="str">
        <f>IF(ISBLANK('SQL Builder'!K1663)=FALSE,H1688+1,"")</f>
        <v/>
      </c>
      <c r="I1689" s="1" t="str">
        <f>IF(ISBLANK('SQL Builder'!P1664)=FALSE,'SQL Builder'!N1664,"")</f>
        <v/>
      </c>
      <c r="J1689" s="79">
        <f t="shared" si="25"/>
        <v>0</v>
      </c>
    </row>
    <row r="1690" spans="2:10" ht="16.5" x14ac:dyDescent="0.25">
      <c r="B1690" s="49" t="e">
        <f>IF(ISBLANK('SQL Builder'!K1665)=FALSE,(DATE(LEFT('SQL Builder'!K1665,4),MID('SQL Builder'!K1665,6,2),MID('SQL Builder'!K1665,9,2))),NA())</f>
        <v>#N/A</v>
      </c>
      <c r="C1690" s="50" t="str">
        <f>IF(ISBLANK('SQL Builder'!K1665)=FALSE,'SQL Builder'!L1665,"")</f>
        <v/>
      </c>
      <c r="D1690" s="1" t="str">
        <f>IF(ISBLANK('SQL Builder'!K1665)=FALSE,'SQL Builder'!O1665,"")</f>
        <v/>
      </c>
      <c r="H1690" s="43" t="str">
        <f>IF(ISBLANK('SQL Builder'!K1664)=FALSE,H1689+1,"")</f>
        <v/>
      </c>
      <c r="I1690" s="1" t="str">
        <f>IF(ISBLANK('SQL Builder'!P1665)=FALSE,'SQL Builder'!N1665,"")</f>
        <v/>
      </c>
      <c r="J1690" s="79">
        <f t="shared" si="25"/>
        <v>0</v>
      </c>
    </row>
    <row r="1691" spans="2:10" ht="16.5" x14ac:dyDescent="0.25">
      <c r="B1691" s="49" t="e">
        <f>IF(ISBLANK('SQL Builder'!K1666)=FALSE,(DATE(LEFT('SQL Builder'!K1666,4),MID('SQL Builder'!K1666,6,2),MID('SQL Builder'!K1666,9,2))),NA())</f>
        <v>#N/A</v>
      </c>
      <c r="C1691" s="50" t="str">
        <f>IF(ISBLANK('SQL Builder'!K1666)=FALSE,'SQL Builder'!L1666,"")</f>
        <v/>
      </c>
      <c r="D1691" s="1" t="str">
        <f>IF(ISBLANK('SQL Builder'!K1666)=FALSE,'SQL Builder'!O1666,"")</f>
        <v/>
      </c>
      <c r="H1691" s="43" t="str">
        <f>IF(ISBLANK('SQL Builder'!K1665)=FALSE,H1690+1,"")</f>
        <v/>
      </c>
      <c r="I1691" s="1" t="str">
        <f>IF(ISBLANK('SQL Builder'!P1666)=FALSE,'SQL Builder'!N1666,"")</f>
        <v/>
      </c>
      <c r="J1691" s="79">
        <f t="shared" si="25"/>
        <v>0</v>
      </c>
    </row>
    <row r="1692" spans="2:10" ht="16.5" x14ac:dyDescent="0.25">
      <c r="B1692" s="49" t="e">
        <f>IF(ISBLANK('SQL Builder'!K1667)=FALSE,(DATE(LEFT('SQL Builder'!K1667,4),MID('SQL Builder'!K1667,6,2),MID('SQL Builder'!K1667,9,2))),NA())</f>
        <v>#N/A</v>
      </c>
      <c r="C1692" s="50" t="str">
        <f>IF(ISBLANK('SQL Builder'!K1667)=FALSE,'SQL Builder'!L1667,"")</f>
        <v/>
      </c>
      <c r="D1692" s="1" t="str">
        <f>IF(ISBLANK('SQL Builder'!K1667)=FALSE,'SQL Builder'!O1667,"")</f>
        <v/>
      </c>
      <c r="H1692" s="43" t="str">
        <f>IF(ISBLANK('SQL Builder'!K1666)=FALSE,H1691+1,"")</f>
        <v/>
      </c>
      <c r="I1692" s="1" t="str">
        <f>IF(ISBLANK('SQL Builder'!P1667)=FALSE,'SQL Builder'!N1667,"")</f>
        <v/>
      </c>
      <c r="J1692" s="79">
        <f t="shared" si="25"/>
        <v>0</v>
      </c>
    </row>
    <row r="1693" spans="2:10" ht="16.5" x14ac:dyDescent="0.25">
      <c r="B1693" s="49" t="e">
        <f>IF(ISBLANK('SQL Builder'!K1668)=FALSE,(DATE(LEFT('SQL Builder'!K1668,4),MID('SQL Builder'!K1668,6,2),MID('SQL Builder'!K1668,9,2))),NA())</f>
        <v>#N/A</v>
      </c>
      <c r="C1693" s="50" t="str">
        <f>IF(ISBLANK('SQL Builder'!K1668)=FALSE,'SQL Builder'!L1668,"")</f>
        <v/>
      </c>
      <c r="D1693" s="1" t="str">
        <f>IF(ISBLANK('SQL Builder'!K1668)=FALSE,'SQL Builder'!O1668,"")</f>
        <v/>
      </c>
      <c r="H1693" s="43" t="str">
        <f>IF(ISBLANK('SQL Builder'!K1667)=FALSE,H1692+1,"")</f>
        <v/>
      </c>
      <c r="I1693" s="1" t="str">
        <f>IF(ISBLANK('SQL Builder'!P1668)=FALSE,'SQL Builder'!N1668,"")</f>
        <v/>
      </c>
      <c r="J1693" s="79">
        <f t="shared" si="25"/>
        <v>0</v>
      </c>
    </row>
    <row r="1694" spans="2:10" ht="16.5" x14ac:dyDescent="0.25">
      <c r="B1694" s="49" t="e">
        <f>IF(ISBLANK('SQL Builder'!K1669)=FALSE,(DATE(LEFT('SQL Builder'!K1669,4),MID('SQL Builder'!K1669,6,2),MID('SQL Builder'!K1669,9,2))),NA())</f>
        <v>#N/A</v>
      </c>
      <c r="C1694" s="50" t="str">
        <f>IF(ISBLANK('SQL Builder'!K1669)=FALSE,'SQL Builder'!L1669,"")</f>
        <v/>
      </c>
      <c r="D1694" s="1" t="str">
        <f>IF(ISBLANK('SQL Builder'!K1669)=FALSE,'SQL Builder'!O1669,"")</f>
        <v/>
      </c>
      <c r="H1694" s="43" t="str">
        <f>IF(ISBLANK('SQL Builder'!K1668)=FALSE,H1693+1,"")</f>
        <v/>
      </c>
      <c r="I1694" s="1" t="str">
        <f>IF(ISBLANK('SQL Builder'!P1669)=FALSE,'SQL Builder'!N1669,"")</f>
        <v/>
      </c>
      <c r="J1694" s="79">
        <f t="shared" si="25"/>
        <v>0</v>
      </c>
    </row>
    <row r="1695" spans="2:10" ht="16.5" x14ac:dyDescent="0.25">
      <c r="B1695" s="49" t="e">
        <f>IF(ISBLANK('SQL Builder'!K1670)=FALSE,(DATE(LEFT('SQL Builder'!K1670,4),MID('SQL Builder'!K1670,6,2),MID('SQL Builder'!K1670,9,2))),NA())</f>
        <v>#N/A</v>
      </c>
      <c r="C1695" s="50" t="str">
        <f>IF(ISBLANK('SQL Builder'!K1670)=FALSE,'SQL Builder'!L1670,"")</f>
        <v/>
      </c>
      <c r="D1695" s="1" t="str">
        <f>IF(ISBLANK('SQL Builder'!K1670)=FALSE,'SQL Builder'!O1670,"")</f>
        <v/>
      </c>
      <c r="H1695" s="43" t="str">
        <f>IF(ISBLANK('SQL Builder'!K1669)=FALSE,H1694+1,"")</f>
        <v/>
      </c>
      <c r="I1695" s="1" t="str">
        <f>IF(ISBLANK('SQL Builder'!P1670)=FALSE,'SQL Builder'!N1670,"")</f>
        <v/>
      </c>
      <c r="J1695" s="79">
        <f t="shared" ref="J1695:J1758" si="26">IF(I1695="",0,IF(I1695=C$5,2,1))</f>
        <v>0</v>
      </c>
    </row>
    <row r="1696" spans="2:10" ht="16.5" x14ac:dyDescent="0.25">
      <c r="B1696" s="49" t="e">
        <f>IF(ISBLANK('SQL Builder'!K1671)=FALSE,(DATE(LEFT('SQL Builder'!K1671,4),MID('SQL Builder'!K1671,6,2),MID('SQL Builder'!K1671,9,2))),NA())</f>
        <v>#N/A</v>
      </c>
      <c r="C1696" s="50" t="str">
        <f>IF(ISBLANK('SQL Builder'!K1671)=FALSE,'SQL Builder'!L1671,"")</f>
        <v/>
      </c>
      <c r="D1696" s="1" t="str">
        <f>IF(ISBLANK('SQL Builder'!K1671)=FALSE,'SQL Builder'!O1671,"")</f>
        <v/>
      </c>
      <c r="H1696" s="43" t="str">
        <f>IF(ISBLANK('SQL Builder'!K1670)=FALSE,H1695+1,"")</f>
        <v/>
      </c>
      <c r="I1696" s="1" t="str">
        <f>IF(ISBLANK('SQL Builder'!P1671)=FALSE,'SQL Builder'!N1671,"")</f>
        <v/>
      </c>
      <c r="J1696" s="79">
        <f t="shared" si="26"/>
        <v>0</v>
      </c>
    </row>
    <row r="1697" spans="2:10" ht="16.5" x14ac:dyDescent="0.25">
      <c r="B1697" s="49" t="e">
        <f>IF(ISBLANK('SQL Builder'!K1672)=FALSE,(DATE(LEFT('SQL Builder'!K1672,4),MID('SQL Builder'!K1672,6,2),MID('SQL Builder'!K1672,9,2))),NA())</f>
        <v>#N/A</v>
      </c>
      <c r="C1697" s="50" t="str">
        <f>IF(ISBLANK('SQL Builder'!K1672)=FALSE,'SQL Builder'!L1672,"")</f>
        <v/>
      </c>
      <c r="D1697" s="1" t="str">
        <f>IF(ISBLANK('SQL Builder'!K1672)=FALSE,'SQL Builder'!O1672,"")</f>
        <v/>
      </c>
      <c r="H1697" s="43" t="str">
        <f>IF(ISBLANK('SQL Builder'!K1671)=FALSE,H1696+1,"")</f>
        <v/>
      </c>
      <c r="I1697" s="1" t="str">
        <f>IF(ISBLANK('SQL Builder'!P1672)=FALSE,'SQL Builder'!N1672,"")</f>
        <v/>
      </c>
      <c r="J1697" s="79">
        <f t="shared" si="26"/>
        <v>0</v>
      </c>
    </row>
    <row r="1698" spans="2:10" ht="16.5" x14ac:dyDescent="0.25">
      <c r="B1698" s="49" t="e">
        <f>IF(ISBLANK('SQL Builder'!K1673)=FALSE,(DATE(LEFT('SQL Builder'!K1673,4),MID('SQL Builder'!K1673,6,2),MID('SQL Builder'!K1673,9,2))),NA())</f>
        <v>#N/A</v>
      </c>
      <c r="C1698" s="50" t="str">
        <f>IF(ISBLANK('SQL Builder'!K1673)=FALSE,'SQL Builder'!L1673,"")</f>
        <v/>
      </c>
      <c r="D1698" s="1" t="str">
        <f>IF(ISBLANK('SQL Builder'!K1673)=FALSE,'SQL Builder'!O1673,"")</f>
        <v/>
      </c>
      <c r="H1698" s="43" t="str">
        <f>IF(ISBLANK('SQL Builder'!K1672)=FALSE,H1697+1,"")</f>
        <v/>
      </c>
      <c r="I1698" s="1" t="str">
        <f>IF(ISBLANK('SQL Builder'!P1673)=FALSE,'SQL Builder'!N1673,"")</f>
        <v/>
      </c>
      <c r="J1698" s="79">
        <f t="shared" si="26"/>
        <v>0</v>
      </c>
    </row>
    <row r="1699" spans="2:10" ht="16.5" x14ac:dyDescent="0.25">
      <c r="B1699" s="49" t="e">
        <f>IF(ISBLANK('SQL Builder'!K1674)=FALSE,(DATE(LEFT('SQL Builder'!K1674,4),MID('SQL Builder'!K1674,6,2),MID('SQL Builder'!K1674,9,2))),NA())</f>
        <v>#N/A</v>
      </c>
      <c r="C1699" s="50" t="str">
        <f>IF(ISBLANK('SQL Builder'!K1674)=FALSE,'SQL Builder'!L1674,"")</f>
        <v/>
      </c>
      <c r="D1699" s="1" t="str">
        <f>IF(ISBLANK('SQL Builder'!K1674)=FALSE,'SQL Builder'!O1674,"")</f>
        <v/>
      </c>
      <c r="H1699" s="43" t="str">
        <f>IF(ISBLANK('SQL Builder'!K1673)=FALSE,H1698+1,"")</f>
        <v/>
      </c>
      <c r="I1699" s="1" t="str">
        <f>IF(ISBLANK('SQL Builder'!P1674)=FALSE,'SQL Builder'!N1674,"")</f>
        <v/>
      </c>
      <c r="J1699" s="79">
        <f t="shared" si="26"/>
        <v>0</v>
      </c>
    </row>
    <row r="1700" spans="2:10" ht="16.5" x14ac:dyDescent="0.25">
      <c r="B1700" s="49" t="e">
        <f>IF(ISBLANK('SQL Builder'!K1675)=FALSE,(DATE(LEFT('SQL Builder'!K1675,4),MID('SQL Builder'!K1675,6,2),MID('SQL Builder'!K1675,9,2))),NA())</f>
        <v>#N/A</v>
      </c>
      <c r="C1700" s="50" t="str">
        <f>IF(ISBLANK('SQL Builder'!K1675)=FALSE,'SQL Builder'!L1675,"")</f>
        <v/>
      </c>
      <c r="D1700" s="1" t="str">
        <f>IF(ISBLANK('SQL Builder'!K1675)=FALSE,'SQL Builder'!O1675,"")</f>
        <v/>
      </c>
      <c r="H1700" s="43" t="str">
        <f>IF(ISBLANK('SQL Builder'!K1674)=FALSE,H1699+1,"")</f>
        <v/>
      </c>
      <c r="I1700" s="1" t="str">
        <f>IF(ISBLANK('SQL Builder'!P1675)=FALSE,'SQL Builder'!N1675,"")</f>
        <v/>
      </c>
      <c r="J1700" s="79">
        <f t="shared" si="26"/>
        <v>0</v>
      </c>
    </row>
    <row r="1701" spans="2:10" ht="16.5" x14ac:dyDescent="0.25">
      <c r="B1701" s="49" t="e">
        <f>IF(ISBLANK('SQL Builder'!K1676)=FALSE,(DATE(LEFT('SQL Builder'!K1676,4),MID('SQL Builder'!K1676,6,2),MID('SQL Builder'!K1676,9,2))),NA())</f>
        <v>#N/A</v>
      </c>
      <c r="C1701" s="50" t="str">
        <f>IF(ISBLANK('SQL Builder'!K1676)=FALSE,'SQL Builder'!L1676,"")</f>
        <v/>
      </c>
      <c r="D1701" s="1" t="str">
        <f>IF(ISBLANK('SQL Builder'!K1676)=FALSE,'SQL Builder'!O1676,"")</f>
        <v/>
      </c>
      <c r="H1701" s="43" t="str">
        <f>IF(ISBLANK('SQL Builder'!K1675)=FALSE,H1700+1,"")</f>
        <v/>
      </c>
      <c r="I1701" s="1" t="str">
        <f>IF(ISBLANK('SQL Builder'!P1676)=FALSE,'SQL Builder'!N1676,"")</f>
        <v/>
      </c>
      <c r="J1701" s="79">
        <f t="shared" si="26"/>
        <v>0</v>
      </c>
    </row>
    <row r="1702" spans="2:10" ht="16.5" x14ac:dyDescent="0.25">
      <c r="B1702" s="49" t="e">
        <f>IF(ISBLANK('SQL Builder'!K1677)=FALSE,(DATE(LEFT('SQL Builder'!K1677,4),MID('SQL Builder'!K1677,6,2),MID('SQL Builder'!K1677,9,2))),NA())</f>
        <v>#N/A</v>
      </c>
      <c r="C1702" s="50" t="str">
        <f>IF(ISBLANK('SQL Builder'!K1677)=FALSE,'SQL Builder'!L1677,"")</f>
        <v/>
      </c>
      <c r="D1702" s="1" t="str">
        <f>IF(ISBLANK('SQL Builder'!K1677)=FALSE,'SQL Builder'!O1677,"")</f>
        <v/>
      </c>
      <c r="H1702" s="43" t="str">
        <f>IF(ISBLANK('SQL Builder'!K1676)=FALSE,H1701+1,"")</f>
        <v/>
      </c>
      <c r="I1702" s="1" t="str">
        <f>IF(ISBLANK('SQL Builder'!P1677)=FALSE,'SQL Builder'!N1677,"")</f>
        <v/>
      </c>
      <c r="J1702" s="79">
        <f t="shared" si="26"/>
        <v>0</v>
      </c>
    </row>
    <row r="1703" spans="2:10" ht="16.5" x14ac:dyDescent="0.25">
      <c r="B1703" s="49" t="e">
        <f>IF(ISBLANK('SQL Builder'!K1678)=FALSE,(DATE(LEFT('SQL Builder'!K1678,4),MID('SQL Builder'!K1678,6,2),MID('SQL Builder'!K1678,9,2))),NA())</f>
        <v>#N/A</v>
      </c>
      <c r="C1703" s="50" t="str">
        <f>IF(ISBLANK('SQL Builder'!K1678)=FALSE,'SQL Builder'!L1678,"")</f>
        <v/>
      </c>
      <c r="D1703" s="1" t="str">
        <f>IF(ISBLANK('SQL Builder'!K1678)=FALSE,'SQL Builder'!O1678,"")</f>
        <v/>
      </c>
      <c r="H1703" s="43" t="str">
        <f>IF(ISBLANK('SQL Builder'!K1677)=FALSE,H1702+1,"")</f>
        <v/>
      </c>
      <c r="I1703" s="1" t="str">
        <f>IF(ISBLANK('SQL Builder'!P1678)=FALSE,'SQL Builder'!N1678,"")</f>
        <v/>
      </c>
      <c r="J1703" s="79">
        <f t="shared" si="26"/>
        <v>0</v>
      </c>
    </row>
    <row r="1704" spans="2:10" ht="16.5" x14ac:dyDescent="0.25">
      <c r="B1704" s="49" t="e">
        <f>IF(ISBLANK('SQL Builder'!K1679)=FALSE,(DATE(LEFT('SQL Builder'!K1679,4),MID('SQL Builder'!K1679,6,2),MID('SQL Builder'!K1679,9,2))),NA())</f>
        <v>#N/A</v>
      </c>
      <c r="C1704" s="50" t="str">
        <f>IF(ISBLANK('SQL Builder'!K1679)=FALSE,'SQL Builder'!L1679,"")</f>
        <v/>
      </c>
      <c r="D1704" s="1" t="str">
        <f>IF(ISBLANK('SQL Builder'!K1679)=FALSE,'SQL Builder'!O1679,"")</f>
        <v/>
      </c>
      <c r="H1704" s="43" t="str">
        <f>IF(ISBLANK('SQL Builder'!K1678)=FALSE,H1703+1,"")</f>
        <v/>
      </c>
      <c r="I1704" s="1" t="str">
        <f>IF(ISBLANK('SQL Builder'!P1679)=FALSE,'SQL Builder'!N1679,"")</f>
        <v/>
      </c>
      <c r="J1704" s="79">
        <f t="shared" si="26"/>
        <v>0</v>
      </c>
    </row>
    <row r="1705" spans="2:10" ht="16.5" x14ac:dyDescent="0.25">
      <c r="B1705" s="49" t="e">
        <f>IF(ISBLANK('SQL Builder'!K1680)=FALSE,(DATE(LEFT('SQL Builder'!K1680,4),MID('SQL Builder'!K1680,6,2),MID('SQL Builder'!K1680,9,2))),NA())</f>
        <v>#N/A</v>
      </c>
      <c r="C1705" s="50" t="str">
        <f>IF(ISBLANK('SQL Builder'!K1680)=FALSE,'SQL Builder'!L1680,"")</f>
        <v/>
      </c>
      <c r="D1705" s="1" t="str">
        <f>IF(ISBLANK('SQL Builder'!K1680)=FALSE,'SQL Builder'!O1680,"")</f>
        <v/>
      </c>
      <c r="H1705" s="43" t="str">
        <f>IF(ISBLANK('SQL Builder'!K1679)=FALSE,H1704+1,"")</f>
        <v/>
      </c>
      <c r="I1705" s="1" t="str">
        <f>IF(ISBLANK('SQL Builder'!P1680)=FALSE,'SQL Builder'!N1680,"")</f>
        <v/>
      </c>
      <c r="J1705" s="79">
        <f t="shared" si="26"/>
        <v>0</v>
      </c>
    </row>
    <row r="1706" spans="2:10" ht="16.5" x14ac:dyDescent="0.25">
      <c r="B1706" s="49" t="e">
        <f>IF(ISBLANK('SQL Builder'!K1681)=FALSE,(DATE(LEFT('SQL Builder'!K1681,4),MID('SQL Builder'!K1681,6,2),MID('SQL Builder'!K1681,9,2))),NA())</f>
        <v>#N/A</v>
      </c>
      <c r="C1706" s="50" t="str">
        <f>IF(ISBLANK('SQL Builder'!K1681)=FALSE,'SQL Builder'!L1681,"")</f>
        <v/>
      </c>
      <c r="D1706" s="1" t="str">
        <f>IF(ISBLANK('SQL Builder'!K1681)=FALSE,'SQL Builder'!O1681,"")</f>
        <v/>
      </c>
      <c r="H1706" s="43" t="str">
        <f>IF(ISBLANK('SQL Builder'!K1680)=FALSE,H1705+1,"")</f>
        <v/>
      </c>
      <c r="I1706" s="1" t="str">
        <f>IF(ISBLANK('SQL Builder'!P1681)=FALSE,'SQL Builder'!N1681,"")</f>
        <v/>
      </c>
      <c r="J1706" s="79">
        <f t="shared" si="26"/>
        <v>0</v>
      </c>
    </row>
    <row r="1707" spans="2:10" ht="16.5" x14ac:dyDescent="0.25">
      <c r="B1707" s="49" t="e">
        <f>IF(ISBLANK('SQL Builder'!K1682)=FALSE,(DATE(LEFT('SQL Builder'!K1682,4),MID('SQL Builder'!K1682,6,2),MID('SQL Builder'!K1682,9,2))),NA())</f>
        <v>#N/A</v>
      </c>
      <c r="C1707" s="50" t="str">
        <f>IF(ISBLANK('SQL Builder'!K1682)=FALSE,'SQL Builder'!L1682,"")</f>
        <v/>
      </c>
      <c r="D1707" s="1" t="str">
        <f>IF(ISBLANK('SQL Builder'!K1682)=FALSE,'SQL Builder'!O1682,"")</f>
        <v/>
      </c>
      <c r="H1707" s="43" t="str">
        <f>IF(ISBLANK('SQL Builder'!K1681)=FALSE,H1706+1,"")</f>
        <v/>
      </c>
      <c r="I1707" s="1" t="str">
        <f>IF(ISBLANK('SQL Builder'!P1682)=FALSE,'SQL Builder'!N1682,"")</f>
        <v/>
      </c>
      <c r="J1707" s="79">
        <f t="shared" si="26"/>
        <v>0</v>
      </c>
    </row>
    <row r="1708" spans="2:10" ht="16.5" x14ac:dyDescent="0.25">
      <c r="B1708" s="49" t="e">
        <f>IF(ISBLANK('SQL Builder'!K1683)=FALSE,(DATE(LEFT('SQL Builder'!K1683,4),MID('SQL Builder'!K1683,6,2),MID('SQL Builder'!K1683,9,2))),NA())</f>
        <v>#N/A</v>
      </c>
      <c r="C1708" s="50" t="str">
        <f>IF(ISBLANK('SQL Builder'!K1683)=FALSE,'SQL Builder'!L1683,"")</f>
        <v/>
      </c>
      <c r="D1708" s="1" t="str">
        <f>IF(ISBLANK('SQL Builder'!K1683)=FALSE,'SQL Builder'!O1683,"")</f>
        <v/>
      </c>
      <c r="H1708" s="43" t="str">
        <f>IF(ISBLANK('SQL Builder'!K1682)=FALSE,H1707+1,"")</f>
        <v/>
      </c>
      <c r="I1708" s="1" t="str">
        <f>IF(ISBLANK('SQL Builder'!P1683)=FALSE,'SQL Builder'!N1683,"")</f>
        <v/>
      </c>
      <c r="J1708" s="79">
        <f t="shared" si="26"/>
        <v>0</v>
      </c>
    </row>
    <row r="1709" spans="2:10" ht="16.5" x14ac:dyDescent="0.25">
      <c r="B1709" s="49" t="e">
        <f>IF(ISBLANK('SQL Builder'!K1684)=FALSE,(DATE(LEFT('SQL Builder'!K1684,4),MID('SQL Builder'!K1684,6,2),MID('SQL Builder'!K1684,9,2))),NA())</f>
        <v>#N/A</v>
      </c>
      <c r="C1709" s="50" t="str">
        <f>IF(ISBLANK('SQL Builder'!K1684)=FALSE,'SQL Builder'!L1684,"")</f>
        <v/>
      </c>
      <c r="D1709" s="1" t="str">
        <f>IF(ISBLANK('SQL Builder'!K1684)=FALSE,'SQL Builder'!O1684,"")</f>
        <v/>
      </c>
      <c r="H1709" s="43" t="str">
        <f>IF(ISBLANK('SQL Builder'!K1683)=FALSE,H1708+1,"")</f>
        <v/>
      </c>
      <c r="I1709" s="1" t="str">
        <f>IF(ISBLANK('SQL Builder'!P1684)=FALSE,'SQL Builder'!N1684,"")</f>
        <v/>
      </c>
      <c r="J1709" s="79">
        <f t="shared" si="26"/>
        <v>0</v>
      </c>
    </row>
    <row r="1710" spans="2:10" ht="16.5" x14ac:dyDescent="0.25">
      <c r="B1710" s="49" t="e">
        <f>IF(ISBLANK('SQL Builder'!K1685)=FALSE,(DATE(LEFT('SQL Builder'!K1685,4),MID('SQL Builder'!K1685,6,2),MID('SQL Builder'!K1685,9,2))),NA())</f>
        <v>#N/A</v>
      </c>
      <c r="C1710" s="50" t="str">
        <f>IF(ISBLANK('SQL Builder'!K1685)=FALSE,'SQL Builder'!L1685,"")</f>
        <v/>
      </c>
      <c r="D1710" s="1" t="str">
        <f>IF(ISBLANK('SQL Builder'!K1685)=FALSE,'SQL Builder'!O1685,"")</f>
        <v/>
      </c>
      <c r="H1710" s="43" t="str">
        <f>IF(ISBLANK('SQL Builder'!K1684)=FALSE,H1709+1,"")</f>
        <v/>
      </c>
      <c r="I1710" s="1" t="str">
        <f>IF(ISBLANK('SQL Builder'!P1685)=FALSE,'SQL Builder'!N1685,"")</f>
        <v/>
      </c>
      <c r="J1710" s="79">
        <f t="shared" si="26"/>
        <v>0</v>
      </c>
    </row>
    <row r="1711" spans="2:10" ht="16.5" x14ac:dyDescent="0.25">
      <c r="B1711" s="49" t="e">
        <f>IF(ISBLANK('SQL Builder'!K1686)=FALSE,(DATE(LEFT('SQL Builder'!K1686,4),MID('SQL Builder'!K1686,6,2),MID('SQL Builder'!K1686,9,2))),NA())</f>
        <v>#N/A</v>
      </c>
      <c r="C1711" s="50" t="str">
        <f>IF(ISBLANK('SQL Builder'!K1686)=FALSE,'SQL Builder'!L1686,"")</f>
        <v/>
      </c>
      <c r="D1711" s="1" t="str">
        <f>IF(ISBLANK('SQL Builder'!K1686)=FALSE,'SQL Builder'!O1686,"")</f>
        <v/>
      </c>
      <c r="H1711" s="43" t="str">
        <f>IF(ISBLANK('SQL Builder'!K1685)=FALSE,H1710+1,"")</f>
        <v/>
      </c>
      <c r="I1711" s="1" t="str">
        <f>IF(ISBLANK('SQL Builder'!P1686)=FALSE,'SQL Builder'!N1686,"")</f>
        <v/>
      </c>
      <c r="J1711" s="79">
        <f t="shared" si="26"/>
        <v>0</v>
      </c>
    </row>
    <row r="1712" spans="2:10" ht="16.5" x14ac:dyDescent="0.25">
      <c r="B1712" s="49" t="e">
        <f>IF(ISBLANK('SQL Builder'!K1687)=FALSE,(DATE(LEFT('SQL Builder'!K1687,4),MID('SQL Builder'!K1687,6,2),MID('SQL Builder'!K1687,9,2))),NA())</f>
        <v>#N/A</v>
      </c>
      <c r="C1712" s="50" t="str">
        <f>IF(ISBLANK('SQL Builder'!K1687)=FALSE,'SQL Builder'!L1687,"")</f>
        <v/>
      </c>
      <c r="D1712" s="1" t="str">
        <f>IF(ISBLANK('SQL Builder'!K1687)=FALSE,'SQL Builder'!O1687,"")</f>
        <v/>
      </c>
      <c r="H1712" s="43" t="str">
        <f>IF(ISBLANK('SQL Builder'!K1686)=FALSE,H1711+1,"")</f>
        <v/>
      </c>
      <c r="I1712" s="1" t="str">
        <f>IF(ISBLANK('SQL Builder'!P1687)=FALSE,'SQL Builder'!N1687,"")</f>
        <v/>
      </c>
      <c r="J1712" s="79">
        <f t="shared" si="26"/>
        <v>0</v>
      </c>
    </row>
    <row r="1713" spans="2:10" ht="16.5" x14ac:dyDescent="0.25">
      <c r="B1713" s="49" t="e">
        <f>IF(ISBLANK('SQL Builder'!K1688)=FALSE,(DATE(LEFT('SQL Builder'!K1688,4),MID('SQL Builder'!K1688,6,2),MID('SQL Builder'!K1688,9,2))),NA())</f>
        <v>#N/A</v>
      </c>
      <c r="C1713" s="50" t="str">
        <f>IF(ISBLANK('SQL Builder'!K1688)=FALSE,'SQL Builder'!L1688,"")</f>
        <v/>
      </c>
      <c r="D1713" s="1" t="str">
        <f>IF(ISBLANK('SQL Builder'!K1688)=FALSE,'SQL Builder'!O1688,"")</f>
        <v/>
      </c>
      <c r="H1713" s="43" t="str">
        <f>IF(ISBLANK('SQL Builder'!K1687)=FALSE,H1712+1,"")</f>
        <v/>
      </c>
      <c r="I1713" s="1" t="str">
        <f>IF(ISBLANK('SQL Builder'!P1688)=FALSE,'SQL Builder'!N1688,"")</f>
        <v/>
      </c>
      <c r="J1713" s="79">
        <f t="shared" si="26"/>
        <v>0</v>
      </c>
    </row>
    <row r="1714" spans="2:10" ht="16.5" x14ac:dyDescent="0.25">
      <c r="B1714" s="49" t="e">
        <f>IF(ISBLANK('SQL Builder'!K1689)=FALSE,(DATE(LEFT('SQL Builder'!K1689,4),MID('SQL Builder'!K1689,6,2),MID('SQL Builder'!K1689,9,2))),NA())</f>
        <v>#N/A</v>
      </c>
      <c r="C1714" s="50" t="str">
        <f>IF(ISBLANK('SQL Builder'!K1689)=FALSE,'SQL Builder'!L1689,"")</f>
        <v/>
      </c>
      <c r="D1714" s="1" t="str">
        <f>IF(ISBLANK('SQL Builder'!K1689)=FALSE,'SQL Builder'!O1689,"")</f>
        <v/>
      </c>
      <c r="H1714" s="43" t="str">
        <f>IF(ISBLANK('SQL Builder'!K1688)=FALSE,H1713+1,"")</f>
        <v/>
      </c>
      <c r="I1714" s="1" t="str">
        <f>IF(ISBLANK('SQL Builder'!P1689)=FALSE,'SQL Builder'!N1689,"")</f>
        <v/>
      </c>
      <c r="J1714" s="79">
        <f t="shared" si="26"/>
        <v>0</v>
      </c>
    </row>
    <row r="1715" spans="2:10" ht="16.5" x14ac:dyDescent="0.25">
      <c r="B1715" s="49" t="e">
        <f>IF(ISBLANK('SQL Builder'!K1690)=FALSE,(DATE(LEFT('SQL Builder'!K1690,4),MID('SQL Builder'!K1690,6,2),MID('SQL Builder'!K1690,9,2))),NA())</f>
        <v>#N/A</v>
      </c>
      <c r="C1715" s="50" t="str">
        <f>IF(ISBLANK('SQL Builder'!K1690)=FALSE,'SQL Builder'!L1690,"")</f>
        <v/>
      </c>
      <c r="D1715" s="1" t="str">
        <f>IF(ISBLANK('SQL Builder'!K1690)=FALSE,'SQL Builder'!O1690,"")</f>
        <v/>
      </c>
      <c r="H1715" s="43" t="str">
        <f>IF(ISBLANK('SQL Builder'!K1689)=FALSE,H1714+1,"")</f>
        <v/>
      </c>
      <c r="I1715" s="1" t="str">
        <f>IF(ISBLANK('SQL Builder'!P1690)=FALSE,'SQL Builder'!N1690,"")</f>
        <v/>
      </c>
      <c r="J1715" s="79">
        <f t="shared" si="26"/>
        <v>0</v>
      </c>
    </row>
    <row r="1716" spans="2:10" ht="16.5" x14ac:dyDescent="0.25">
      <c r="B1716" s="49" t="e">
        <f>IF(ISBLANK('SQL Builder'!K1691)=FALSE,(DATE(LEFT('SQL Builder'!K1691,4),MID('SQL Builder'!K1691,6,2),MID('SQL Builder'!K1691,9,2))),NA())</f>
        <v>#N/A</v>
      </c>
      <c r="C1716" s="50" t="str">
        <f>IF(ISBLANK('SQL Builder'!K1691)=FALSE,'SQL Builder'!L1691,"")</f>
        <v/>
      </c>
      <c r="D1716" s="1" t="str">
        <f>IF(ISBLANK('SQL Builder'!K1691)=FALSE,'SQL Builder'!O1691,"")</f>
        <v/>
      </c>
      <c r="H1716" s="43" t="str">
        <f>IF(ISBLANK('SQL Builder'!K1690)=FALSE,H1715+1,"")</f>
        <v/>
      </c>
      <c r="I1716" s="1" t="str">
        <f>IF(ISBLANK('SQL Builder'!P1691)=FALSE,'SQL Builder'!N1691,"")</f>
        <v/>
      </c>
      <c r="J1716" s="79">
        <f t="shared" si="26"/>
        <v>0</v>
      </c>
    </row>
    <row r="1717" spans="2:10" ht="16.5" x14ac:dyDescent="0.25">
      <c r="B1717" s="49" t="e">
        <f>IF(ISBLANK('SQL Builder'!K1692)=FALSE,(DATE(LEFT('SQL Builder'!K1692,4),MID('SQL Builder'!K1692,6,2),MID('SQL Builder'!K1692,9,2))),NA())</f>
        <v>#N/A</v>
      </c>
      <c r="C1717" s="50" t="str">
        <f>IF(ISBLANK('SQL Builder'!K1692)=FALSE,'SQL Builder'!L1692,"")</f>
        <v/>
      </c>
      <c r="D1717" s="1" t="str">
        <f>IF(ISBLANK('SQL Builder'!K1692)=FALSE,'SQL Builder'!O1692,"")</f>
        <v/>
      </c>
      <c r="H1717" s="43" t="str">
        <f>IF(ISBLANK('SQL Builder'!K1691)=FALSE,H1716+1,"")</f>
        <v/>
      </c>
      <c r="I1717" s="1" t="str">
        <f>IF(ISBLANK('SQL Builder'!P1692)=FALSE,'SQL Builder'!N1692,"")</f>
        <v/>
      </c>
      <c r="J1717" s="79">
        <f t="shared" si="26"/>
        <v>0</v>
      </c>
    </row>
    <row r="1718" spans="2:10" ht="16.5" x14ac:dyDescent="0.25">
      <c r="B1718" s="49" t="e">
        <f>IF(ISBLANK('SQL Builder'!K1693)=FALSE,(DATE(LEFT('SQL Builder'!K1693,4),MID('SQL Builder'!K1693,6,2),MID('SQL Builder'!K1693,9,2))),NA())</f>
        <v>#N/A</v>
      </c>
      <c r="C1718" s="50" t="str">
        <f>IF(ISBLANK('SQL Builder'!K1693)=FALSE,'SQL Builder'!L1693,"")</f>
        <v/>
      </c>
      <c r="D1718" s="1" t="str">
        <f>IF(ISBLANK('SQL Builder'!K1693)=FALSE,'SQL Builder'!O1693,"")</f>
        <v/>
      </c>
      <c r="H1718" s="43" t="str">
        <f>IF(ISBLANK('SQL Builder'!K1692)=FALSE,H1717+1,"")</f>
        <v/>
      </c>
      <c r="I1718" s="1" t="str">
        <f>IF(ISBLANK('SQL Builder'!P1693)=FALSE,'SQL Builder'!N1693,"")</f>
        <v/>
      </c>
      <c r="J1718" s="79">
        <f t="shared" si="26"/>
        <v>0</v>
      </c>
    </row>
    <row r="1719" spans="2:10" ht="16.5" x14ac:dyDescent="0.25">
      <c r="B1719" s="49" t="e">
        <f>IF(ISBLANK('SQL Builder'!K1694)=FALSE,(DATE(LEFT('SQL Builder'!K1694,4),MID('SQL Builder'!K1694,6,2),MID('SQL Builder'!K1694,9,2))),NA())</f>
        <v>#N/A</v>
      </c>
      <c r="C1719" s="50" t="str">
        <f>IF(ISBLANK('SQL Builder'!K1694)=FALSE,'SQL Builder'!L1694,"")</f>
        <v/>
      </c>
      <c r="D1719" s="1" t="str">
        <f>IF(ISBLANK('SQL Builder'!K1694)=FALSE,'SQL Builder'!O1694,"")</f>
        <v/>
      </c>
      <c r="H1719" s="43" t="str">
        <f>IF(ISBLANK('SQL Builder'!K1693)=FALSE,H1718+1,"")</f>
        <v/>
      </c>
      <c r="I1719" s="1" t="str">
        <f>IF(ISBLANK('SQL Builder'!P1694)=FALSE,'SQL Builder'!N1694,"")</f>
        <v/>
      </c>
      <c r="J1719" s="79">
        <f t="shared" si="26"/>
        <v>0</v>
      </c>
    </row>
    <row r="1720" spans="2:10" ht="16.5" x14ac:dyDescent="0.25">
      <c r="B1720" s="49" t="e">
        <f>IF(ISBLANK('SQL Builder'!K1695)=FALSE,(DATE(LEFT('SQL Builder'!K1695,4),MID('SQL Builder'!K1695,6,2),MID('SQL Builder'!K1695,9,2))),NA())</f>
        <v>#N/A</v>
      </c>
      <c r="C1720" s="50" t="str">
        <f>IF(ISBLANK('SQL Builder'!K1695)=FALSE,'SQL Builder'!L1695,"")</f>
        <v/>
      </c>
      <c r="D1720" s="1" t="str">
        <f>IF(ISBLANK('SQL Builder'!K1695)=FALSE,'SQL Builder'!O1695,"")</f>
        <v/>
      </c>
      <c r="H1720" s="43" t="str">
        <f>IF(ISBLANK('SQL Builder'!K1694)=FALSE,H1719+1,"")</f>
        <v/>
      </c>
      <c r="I1720" s="1" t="str">
        <f>IF(ISBLANK('SQL Builder'!P1695)=FALSE,'SQL Builder'!N1695,"")</f>
        <v/>
      </c>
      <c r="J1720" s="79">
        <f t="shared" si="26"/>
        <v>0</v>
      </c>
    </row>
    <row r="1721" spans="2:10" ht="16.5" x14ac:dyDescent="0.25">
      <c r="B1721" s="49" t="e">
        <f>IF(ISBLANK('SQL Builder'!K1696)=FALSE,(DATE(LEFT('SQL Builder'!K1696,4),MID('SQL Builder'!K1696,6,2),MID('SQL Builder'!K1696,9,2))),NA())</f>
        <v>#N/A</v>
      </c>
      <c r="C1721" s="50" t="str">
        <f>IF(ISBLANK('SQL Builder'!K1696)=FALSE,'SQL Builder'!L1696,"")</f>
        <v/>
      </c>
      <c r="D1721" s="1" t="str">
        <f>IF(ISBLANK('SQL Builder'!K1696)=FALSE,'SQL Builder'!O1696,"")</f>
        <v/>
      </c>
      <c r="H1721" s="43" t="str">
        <f>IF(ISBLANK('SQL Builder'!K1695)=FALSE,H1720+1,"")</f>
        <v/>
      </c>
      <c r="I1721" s="1" t="str">
        <f>IF(ISBLANK('SQL Builder'!P1696)=FALSE,'SQL Builder'!N1696,"")</f>
        <v/>
      </c>
      <c r="J1721" s="79">
        <f t="shared" si="26"/>
        <v>0</v>
      </c>
    </row>
    <row r="1722" spans="2:10" ht="16.5" x14ac:dyDescent="0.25">
      <c r="B1722" s="49" t="e">
        <f>IF(ISBLANK('SQL Builder'!K1697)=FALSE,(DATE(LEFT('SQL Builder'!K1697,4),MID('SQL Builder'!K1697,6,2),MID('SQL Builder'!K1697,9,2))),NA())</f>
        <v>#N/A</v>
      </c>
      <c r="C1722" s="50" t="str">
        <f>IF(ISBLANK('SQL Builder'!K1697)=FALSE,'SQL Builder'!L1697,"")</f>
        <v/>
      </c>
      <c r="D1722" s="1" t="str">
        <f>IF(ISBLANK('SQL Builder'!K1697)=FALSE,'SQL Builder'!O1697,"")</f>
        <v/>
      </c>
      <c r="H1722" s="43" t="str">
        <f>IF(ISBLANK('SQL Builder'!K1696)=FALSE,H1721+1,"")</f>
        <v/>
      </c>
      <c r="I1722" s="1" t="str">
        <f>IF(ISBLANK('SQL Builder'!P1697)=FALSE,'SQL Builder'!N1697,"")</f>
        <v/>
      </c>
      <c r="J1722" s="79">
        <f t="shared" si="26"/>
        <v>0</v>
      </c>
    </row>
    <row r="1723" spans="2:10" ht="16.5" x14ac:dyDescent="0.25">
      <c r="B1723" s="49" t="e">
        <f>IF(ISBLANK('SQL Builder'!K1698)=FALSE,(DATE(LEFT('SQL Builder'!K1698,4),MID('SQL Builder'!K1698,6,2),MID('SQL Builder'!K1698,9,2))),NA())</f>
        <v>#N/A</v>
      </c>
      <c r="C1723" s="50" t="str">
        <f>IF(ISBLANK('SQL Builder'!K1698)=FALSE,'SQL Builder'!L1698,"")</f>
        <v/>
      </c>
      <c r="D1723" s="1" t="str">
        <f>IF(ISBLANK('SQL Builder'!K1698)=FALSE,'SQL Builder'!O1698,"")</f>
        <v/>
      </c>
      <c r="H1723" s="43" t="str">
        <f>IF(ISBLANK('SQL Builder'!K1697)=FALSE,H1722+1,"")</f>
        <v/>
      </c>
      <c r="I1723" s="1" t="str">
        <f>IF(ISBLANK('SQL Builder'!P1698)=FALSE,'SQL Builder'!N1698,"")</f>
        <v/>
      </c>
      <c r="J1723" s="79">
        <f t="shared" si="26"/>
        <v>0</v>
      </c>
    </row>
    <row r="1724" spans="2:10" ht="16.5" x14ac:dyDescent="0.25">
      <c r="B1724" s="49" t="e">
        <f>IF(ISBLANK('SQL Builder'!K1699)=FALSE,(DATE(LEFT('SQL Builder'!K1699,4),MID('SQL Builder'!K1699,6,2),MID('SQL Builder'!K1699,9,2))),NA())</f>
        <v>#N/A</v>
      </c>
      <c r="C1724" s="50" t="str">
        <f>IF(ISBLANK('SQL Builder'!K1699)=FALSE,'SQL Builder'!L1699,"")</f>
        <v/>
      </c>
      <c r="D1724" s="1" t="str">
        <f>IF(ISBLANK('SQL Builder'!K1699)=FALSE,'SQL Builder'!O1699,"")</f>
        <v/>
      </c>
      <c r="H1724" s="43" t="str">
        <f>IF(ISBLANK('SQL Builder'!K1698)=FALSE,H1723+1,"")</f>
        <v/>
      </c>
      <c r="I1724" s="1" t="str">
        <f>IF(ISBLANK('SQL Builder'!P1699)=FALSE,'SQL Builder'!N1699,"")</f>
        <v/>
      </c>
      <c r="J1724" s="79">
        <f t="shared" si="26"/>
        <v>0</v>
      </c>
    </row>
    <row r="1725" spans="2:10" ht="16.5" x14ac:dyDescent="0.25">
      <c r="B1725" s="49" t="e">
        <f>IF(ISBLANK('SQL Builder'!K1700)=FALSE,(DATE(LEFT('SQL Builder'!K1700,4),MID('SQL Builder'!K1700,6,2),MID('SQL Builder'!K1700,9,2))),NA())</f>
        <v>#N/A</v>
      </c>
      <c r="C1725" s="50" t="str">
        <f>IF(ISBLANK('SQL Builder'!K1700)=FALSE,'SQL Builder'!L1700,"")</f>
        <v/>
      </c>
      <c r="D1725" s="1" t="str">
        <f>IF(ISBLANK('SQL Builder'!K1700)=FALSE,'SQL Builder'!O1700,"")</f>
        <v/>
      </c>
      <c r="H1725" s="43" t="str">
        <f>IF(ISBLANK('SQL Builder'!K1699)=FALSE,H1724+1,"")</f>
        <v/>
      </c>
      <c r="I1725" s="1" t="str">
        <f>IF(ISBLANK('SQL Builder'!P1700)=FALSE,'SQL Builder'!N1700,"")</f>
        <v/>
      </c>
      <c r="J1725" s="79">
        <f t="shared" si="26"/>
        <v>0</v>
      </c>
    </row>
    <row r="1726" spans="2:10" ht="16.5" x14ac:dyDescent="0.25">
      <c r="B1726" s="49" t="e">
        <f>IF(ISBLANK('SQL Builder'!K1701)=FALSE,(DATE(LEFT('SQL Builder'!K1701,4),MID('SQL Builder'!K1701,6,2),MID('SQL Builder'!K1701,9,2))),NA())</f>
        <v>#N/A</v>
      </c>
      <c r="C1726" s="50" t="str">
        <f>IF(ISBLANK('SQL Builder'!K1701)=FALSE,'SQL Builder'!L1701,"")</f>
        <v/>
      </c>
      <c r="D1726" s="1" t="str">
        <f>IF(ISBLANK('SQL Builder'!K1701)=FALSE,'SQL Builder'!O1701,"")</f>
        <v/>
      </c>
      <c r="H1726" s="43" t="str">
        <f>IF(ISBLANK('SQL Builder'!K1700)=FALSE,H1725+1,"")</f>
        <v/>
      </c>
      <c r="I1726" s="1" t="str">
        <f>IF(ISBLANK('SQL Builder'!P1701)=FALSE,'SQL Builder'!N1701,"")</f>
        <v/>
      </c>
      <c r="J1726" s="79">
        <f t="shared" si="26"/>
        <v>0</v>
      </c>
    </row>
    <row r="1727" spans="2:10" ht="16.5" x14ac:dyDescent="0.25">
      <c r="B1727" s="49" t="e">
        <f>IF(ISBLANK('SQL Builder'!K1702)=FALSE,(DATE(LEFT('SQL Builder'!K1702,4),MID('SQL Builder'!K1702,6,2),MID('SQL Builder'!K1702,9,2))),NA())</f>
        <v>#N/A</v>
      </c>
      <c r="C1727" s="50" t="str">
        <f>IF(ISBLANK('SQL Builder'!K1702)=FALSE,'SQL Builder'!L1702,"")</f>
        <v/>
      </c>
      <c r="D1727" s="1" t="str">
        <f>IF(ISBLANK('SQL Builder'!K1702)=FALSE,'SQL Builder'!O1702,"")</f>
        <v/>
      </c>
      <c r="H1727" s="43" t="str">
        <f>IF(ISBLANK('SQL Builder'!K1701)=FALSE,H1726+1,"")</f>
        <v/>
      </c>
      <c r="I1727" s="1" t="str">
        <f>IF(ISBLANK('SQL Builder'!P1702)=FALSE,'SQL Builder'!N1702,"")</f>
        <v/>
      </c>
      <c r="J1727" s="79">
        <f t="shared" si="26"/>
        <v>0</v>
      </c>
    </row>
    <row r="1728" spans="2:10" ht="16.5" x14ac:dyDescent="0.25">
      <c r="B1728" s="49" t="e">
        <f>IF(ISBLANK('SQL Builder'!K1703)=FALSE,(DATE(LEFT('SQL Builder'!K1703,4),MID('SQL Builder'!K1703,6,2),MID('SQL Builder'!K1703,9,2))),NA())</f>
        <v>#N/A</v>
      </c>
      <c r="C1728" s="50" t="str">
        <f>IF(ISBLANK('SQL Builder'!K1703)=FALSE,'SQL Builder'!L1703,"")</f>
        <v/>
      </c>
      <c r="D1728" s="1" t="str">
        <f>IF(ISBLANK('SQL Builder'!K1703)=FALSE,'SQL Builder'!O1703,"")</f>
        <v/>
      </c>
      <c r="H1728" s="43" t="str">
        <f>IF(ISBLANK('SQL Builder'!K1702)=FALSE,H1727+1,"")</f>
        <v/>
      </c>
      <c r="I1728" s="1" t="str">
        <f>IF(ISBLANK('SQL Builder'!P1703)=FALSE,'SQL Builder'!N1703,"")</f>
        <v/>
      </c>
      <c r="J1728" s="79">
        <f t="shared" si="26"/>
        <v>0</v>
      </c>
    </row>
    <row r="1729" spans="2:10" ht="16.5" x14ac:dyDescent="0.25">
      <c r="B1729" s="49" t="e">
        <f>IF(ISBLANK('SQL Builder'!K1704)=FALSE,(DATE(LEFT('SQL Builder'!K1704,4),MID('SQL Builder'!K1704,6,2),MID('SQL Builder'!K1704,9,2))),NA())</f>
        <v>#N/A</v>
      </c>
      <c r="C1729" s="50" t="str">
        <f>IF(ISBLANK('SQL Builder'!K1704)=FALSE,'SQL Builder'!L1704,"")</f>
        <v/>
      </c>
      <c r="D1729" s="1" t="str">
        <f>IF(ISBLANK('SQL Builder'!K1704)=FALSE,'SQL Builder'!O1704,"")</f>
        <v/>
      </c>
      <c r="H1729" s="43" t="str">
        <f>IF(ISBLANK('SQL Builder'!K1703)=FALSE,H1728+1,"")</f>
        <v/>
      </c>
      <c r="I1729" s="1" t="str">
        <f>IF(ISBLANK('SQL Builder'!P1704)=FALSE,'SQL Builder'!N1704,"")</f>
        <v/>
      </c>
      <c r="J1729" s="79">
        <f t="shared" si="26"/>
        <v>0</v>
      </c>
    </row>
    <row r="1730" spans="2:10" ht="16.5" x14ac:dyDescent="0.25">
      <c r="B1730" s="49" t="e">
        <f>IF(ISBLANK('SQL Builder'!K1705)=FALSE,(DATE(LEFT('SQL Builder'!K1705,4),MID('SQL Builder'!K1705,6,2),MID('SQL Builder'!K1705,9,2))),NA())</f>
        <v>#N/A</v>
      </c>
      <c r="C1730" s="50" t="str">
        <f>IF(ISBLANK('SQL Builder'!K1705)=FALSE,'SQL Builder'!L1705,"")</f>
        <v/>
      </c>
      <c r="D1730" s="1" t="str">
        <f>IF(ISBLANK('SQL Builder'!K1705)=FALSE,'SQL Builder'!O1705,"")</f>
        <v/>
      </c>
      <c r="H1730" s="43" t="str">
        <f>IF(ISBLANK('SQL Builder'!K1704)=FALSE,H1729+1,"")</f>
        <v/>
      </c>
      <c r="I1730" s="1" t="str">
        <f>IF(ISBLANK('SQL Builder'!P1705)=FALSE,'SQL Builder'!N1705,"")</f>
        <v/>
      </c>
      <c r="J1730" s="79">
        <f t="shared" si="26"/>
        <v>0</v>
      </c>
    </row>
    <row r="1731" spans="2:10" ht="16.5" x14ac:dyDescent="0.25">
      <c r="B1731" s="49" t="e">
        <f>IF(ISBLANK('SQL Builder'!K1706)=FALSE,(DATE(LEFT('SQL Builder'!K1706,4),MID('SQL Builder'!K1706,6,2),MID('SQL Builder'!K1706,9,2))),NA())</f>
        <v>#N/A</v>
      </c>
      <c r="C1731" s="50" t="str">
        <f>IF(ISBLANK('SQL Builder'!K1706)=FALSE,'SQL Builder'!L1706,"")</f>
        <v/>
      </c>
      <c r="D1731" s="1" t="str">
        <f>IF(ISBLANK('SQL Builder'!K1706)=FALSE,'SQL Builder'!O1706,"")</f>
        <v/>
      </c>
      <c r="H1731" s="43" t="str">
        <f>IF(ISBLANK('SQL Builder'!K1705)=FALSE,H1730+1,"")</f>
        <v/>
      </c>
      <c r="I1731" s="1" t="str">
        <f>IF(ISBLANK('SQL Builder'!P1706)=FALSE,'SQL Builder'!N1706,"")</f>
        <v/>
      </c>
      <c r="J1731" s="79">
        <f t="shared" si="26"/>
        <v>0</v>
      </c>
    </row>
    <row r="1732" spans="2:10" ht="16.5" x14ac:dyDescent="0.25">
      <c r="B1732" s="49" t="e">
        <f>IF(ISBLANK('SQL Builder'!K1707)=FALSE,(DATE(LEFT('SQL Builder'!K1707,4),MID('SQL Builder'!K1707,6,2),MID('SQL Builder'!K1707,9,2))),NA())</f>
        <v>#N/A</v>
      </c>
      <c r="C1732" s="50" t="str">
        <f>IF(ISBLANK('SQL Builder'!K1707)=FALSE,'SQL Builder'!L1707,"")</f>
        <v/>
      </c>
      <c r="D1732" s="1" t="str">
        <f>IF(ISBLANK('SQL Builder'!K1707)=FALSE,'SQL Builder'!O1707,"")</f>
        <v/>
      </c>
      <c r="H1732" s="43" t="str">
        <f>IF(ISBLANK('SQL Builder'!K1706)=FALSE,H1731+1,"")</f>
        <v/>
      </c>
      <c r="I1732" s="1" t="str">
        <f>IF(ISBLANK('SQL Builder'!P1707)=FALSE,'SQL Builder'!N1707,"")</f>
        <v/>
      </c>
      <c r="J1732" s="79">
        <f t="shared" si="26"/>
        <v>0</v>
      </c>
    </row>
    <row r="1733" spans="2:10" ht="16.5" x14ac:dyDescent="0.25">
      <c r="B1733" s="49" t="e">
        <f>IF(ISBLANK('SQL Builder'!K1708)=FALSE,(DATE(LEFT('SQL Builder'!K1708,4),MID('SQL Builder'!K1708,6,2),MID('SQL Builder'!K1708,9,2))),NA())</f>
        <v>#N/A</v>
      </c>
      <c r="C1733" s="50" t="str">
        <f>IF(ISBLANK('SQL Builder'!K1708)=FALSE,'SQL Builder'!L1708,"")</f>
        <v/>
      </c>
      <c r="D1733" s="1" t="str">
        <f>IF(ISBLANK('SQL Builder'!K1708)=FALSE,'SQL Builder'!O1708,"")</f>
        <v/>
      </c>
      <c r="H1733" s="43" t="str">
        <f>IF(ISBLANK('SQL Builder'!K1707)=FALSE,H1732+1,"")</f>
        <v/>
      </c>
      <c r="I1733" s="1" t="str">
        <f>IF(ISBLANK('SQL Builder'!P1708)=FALSE,'SQL Builder'!N1708,"")</f>
        <v/>
      </c>
      <c r="J1733" s="79">
        <f t="shared" si="26"/>
        <v>0</v>
      </c>
    </row>
    <row r="1734" spans="2:10" ht="16.5" x14ac:dyDescent="0.25">
      <c r="B1734" s="49" t="e">
        <f>IF(ISBLANK('SQL Builder'!K1709)=FALSE,(DATE(LEFT('SQL Builder'!K1709,4),MID('SQL Builder'!K1709,6,2),MID('SQL Builder'!K1709,9,2))),NA())</f>
        <v>#N/A</v>
      </c>
      <c r="C1734" s="50" t="str">
        <f>IF(ISBLANK('SQL Builder'!K1709)=FALSE,'SQL Builder'!L1709,"")</f>
        <v/>
      </c>
      <c r="D1734" s="1" t="str">
        <f>IF(ISBLANK('SQL Builder'!K1709)=FALSE,'SQL Builder'!O1709,"")</f>
        <v/>
      </c>
      <c r="H1734" s="43" t="str">
        <f>IF(ISBLANK('SQL Builder'!K1708)=FALSE,H1733+1,"")</f>
        <v/>
      </c>
      <c r="I1734" s="1" t="str">
        <f>IF(ISBLANK('SQL Builder'!P1709)=FALSE,'SQL Builder'!N1709,"")</f>
        <v/>
      </c>
      <c r="J1734" s="79">
        <f t="shared" si="26"/>
        <v>0</v>
      </c>
    </row>
    <row r="1735" spans="2:10" ht="16.5" x14ac:dyDescent="0.25">
      <c r="B1735" s="49" t="e">
        <f>IF(ISBLANK('SQL Builder'!K1710)=FALSE,(DATE(LEFT('SQL Builder'!K1710,4),MID('SQL Builder'!K1710,6,2),MID('SQL Builder'!K1710,9,2))),NA())</f>
        <v>#N/A</v>
      </c>
      <c r="C1735" s="50" t="str">
        <f>IF(ISBLANK('SQL Builder'!K1710)=FALSE,'SQL Builder'!L1710,"")</f>
        <v/>
      </c>
      <c r="D1735" s="1" t="str">
        <f>IF(ISBLANK('SQL Builder'!K1710)=FALSE,'SQL Builder'!O1710,"")</f>
        <v/>
      </c>
      <c r="H1735" s="43" t="str">
        <f>IF(ISBLANK('SQL Builder'!K1709)=FALSE,H1734+1,"")</f>
        <v/>
      </c>
      <c r="I1735" s="1" t="str">
        <f>IF(ISBLANK('SQL Builder'!P1710)=FALSE,'SQL Builder'!N1710,"")</f>
        <v/>
      </c>
      <c r="J1735" s="79">
        <f t="shared" si="26"/>
        <v>0</v>
      </c>
    </row>
    <row r="1736" spans="2:10" ht="16.5" x14ac:dyDescent="0.25">
      <c r="B1736" s="49" t="e">
        <f>IF(ISBLANK('SQL Builder'!K1711)=FALSE,(DATE(LEFT('SQL Builder'!K1711,4),MID('SQL Builder'!K1711,6,2),MID('SQL Builder'!K1711,9,2))),NA())</f>
        <v>#N/A</v>
      </c>
      <c r="C1736" s="50" t="str">
        <f>IF(ISBLANK('SQL Builder'!K1711)=FALSE,'SQL Builder'!L1711,"")</f>
        <v/>
      </c>
      <c r="D1736" s="1" t="str">
        <f>IF(ISBLANK('SQL Builder'!K1711)=FALSE,'SQL Builder'!O1711,"")</f>
        <v/>
      </c>
      <c r="H1736" s="43" t="str">
        <f>IF(ISBLANK('SQL Builder'!K1710)=FALSE,H1735+1,"")</f>
        <v/>
      </c>
      <c r="I1736" s="1" t="str">
        <f>IF(ISBLANK('SQL Builder'!P1711)=FALSE,'SQL Builder'!N1711,"")</f>
        <v/>
      </c>
      <c r="J1736" s="79">
        <f t="shared" si="26"/>
        <v>0</v>
      </c>
    </row>
    <row r="1737" spans="2:10" ht="16.5" x14ac:dyDescent="0.25">
      <c r="B1737" s="49" t="e">
        <f>IF(ISBLANK('SQL Builder'!K1712)=FALSE,(DATE(LEFT('SQL Builder'!K1712,4),MID('SQL Builder'!K1712,6,2),MID('SQL Builder'!K1712,9,2))),NA())</f>
        <v>#N/A</v>
      </c>
      <c r="C1737" s="50" t="str">
        <f>IF(ISBLANK('SQL Builder'!K1712)=FALSE,'SQL Builder'!L1712,"")</f>
        <v/>
      </c>
      <c r="D1737" s="1" t="str">
        <f>IF(ISBLANK('SQL Builder'!K1712)=FALSE,'SQL Builder'!O1712,"")</f>
        <v/>
      </c>
      <c r="H1737" s="43" t="str">
        <f>IF(ISBLANK('SQL Builder'!K1711)=FALSE,H1736+1,"")</f>
        <v/>
      </c>
      <c r="I1737" s="1" t="str">
        <f>IF(ISBLANK('SQL Builder'!P1712)=FALSE,'SQL Builder'!N1712,"")</f>
        <v/>
      </c>
      <c r="J1737" s="79">
        <f t="shared" si="26"/>
        <v>0</v>
      </c>
    </row>
    <row r="1738" spans="2:10" ht="16.5" x14ac:dyDescent="0.25">
      <c r="B1738" s="49" t="e">
        <f>IF(ISBLANK('SQL Builder'!K1713)=FALSE,(DATE(LEFT('SQL Builder'!K1713,4),MID('SQL Builder'!K1713,6,2),MID('SQL Builder'!K1713,9,2))),NA())</f>
        <v>#N/A</v>
      </c>
      <c r="C1738" s="50" t="str">
        <f>IF(ISBLANK('SQL Builder'!K1713)=FALSE,'SQL Builder'!L1713,"")</f>
        <v/>
      </c>
      <c r="D1738" s="1" t="str">
        <f>IF(ISBLANK('SQL Builder'!K1713)=FALSE,'SQL Builder'!O1713,"")</f>
        <v/>
      </c>
      <c r="H1738" s="43" t="str">
        <f>IF(ISBLANK('SQL Builder'!K1712)=FALSE,H1737+1,"")</f>
        <v/>
      </c>
      <c r="I1738" s="1" t="str">
        <f>IF(ISBLANK('SQL Builder'!P1713)=FALSE,'SQL Builder'!N1713,"")</f>
        <v/>
      </c>
      <c r="J1738" s="79">
        <f t="shared" si="26"/>
        <v>0</v>
      </c>
    </row>
    <row r="1739" spans="2:10" ht="16.5" x14ac:dyDescent="0.25">
      <c r="B1739" s="49" t="e">
        <f>IF(ISBLANK('SQL Builder'!K1714)=FALSE,(DATE(LEFT('SQL Builder'!K1714,4),MID('SQL Builder'!K1714,6,2),MID('SQL Builder'!K1714,9,2))),NA())</f>
        <v>#N/A</v>
      </c>
      <c r="C1739" s="50" t="str">
        <f>IF(ISBLANK('SQL Builder'!K1714)=FALSE,'SQL Builder'!L1714,"")</f>
        <v/>
      </c>
      <c r="D1739" s="1" t="str">
        <f>IF(ISBLANK('SQL Builder'!K1714)=FALSE,'SQL Builder'!O1714,"")</f>
        <v/>
      </c>
      <c r="H1739" s="43" t="str">
        <f>IF(ISBLANK('SQL Builder'!K1713)=FALSE,H1738+1,"")</f>
        <v/>
      </c>
      <c r="I1739" s="1" t="str">
        <f>IF(ISBLANK('SQL Builder'!P1714)=FALSE,'SQL Builder'!N1714,"")</f>
        <v/>
      </c>
      <c r="J1739" s="79">
        <f t="shared" si="26"/>
        <v>0</v>
      </c>
    </row>
    <row r="1740" spans="2:10" ht="16.5" x14ac:dyDescent="0.25">
      <c r="B1740" s="49" t="e">
        <f>IF(ISBLANK('SQL Builder'!K1715)=FALSE,(DATE(LEFT('SQL Builder'!K1715,4),MID('SQL Builder'!K1715,6,2),MID('SQL Builder'!K1715,9,2))),NA())</f>
        <v>#N/A</v>
      </c>
      <c r="C1740" s="50" t="str">
        <f>IF(ISBLANK('SQL Builder'!K1715)=FALSE,'SQL Builder'!L1715,"")</f>
        <v/>
      </c>
      <c r="D1740" s="1" t="str">
        <f>IF(ISBLANK('SQL Builder'!K1715)=FALSE,'SQL Builder'!O1715,"")</f>
        <v/>
      </c>
      <c r="H1740" s="43" t="str">
        <f>IF(ISBLANK('SQL Builder'!K1714)=FALSE,H1739+1,"")</f>
        <v/>
      </c>
      <c r="I1740" s="1" t="str">
        <f>IF(ISBLANK('SQL Builder'!P1715)=FALSE,'SQL Builder'!N1715,"")</f>
        <v/>
      </c>
      <c r="J1740" s="79">
        <f t="shared" si="26"/>
        <v>0</v>
      </c>
    </row>
    <row r="1741" spans="2:10" ht="16.5" x14ac:dyDescent="0.25">
      <c r="B1741" s="49" t="e">
        <f>IF(ISBLANK('SQL Builder'!K1716)=FALSE,(DATE(LEFT('SQL Builder'!K1716,4),MID('SQL Builder'!K1716,6,2),MID('SQL Builder'!K1716,9,2))),NA())</f>
        <v>#N/A</v>
      </c>
      <c r="C1741" s="50" t="str">
        <f>IF(ISBLANK('SQL Builder'!K1716)=FALSE,'SQL Builder'!L1716,"")</f>
        <v/>
      </c>
      <c r="D1741" s="1" t="str">
        <f>IF(ISBLANK('SQL Builder'!K1716)=FALSE,'SQL Builder'!O1716,"")</f>
        <v/>
      </c>
      <c r="H1741" s="43" t="str">
        <f>IF(ISBLANK('SQL Builder'!K1715)=FALSE,H1740+1,"")</f>
        <v/>
      </c>
      <c r="I1741" s="1" t="str">
        <f>IF(ISBLANK('SQL Builder'!P1716)=FALSE,'SQL Builder'!N1716,"")</f>
        <v/>
      </c>
      <c r="J1741" s="79">
        <f t="shared" si="26"/>
        <v>0</v>
      </c>
    </row>
    <row r="1742" spans="2:10" ht="16.5" x14ac:dyDescent="0.25">
      <c r="B1742" s="49" t="e">
        <f>IF(ISBLANK('SQL Builder'!K1717)=FALSE,(DATE(LEFT('SQL Builder'!K1717,4),MID('SQL Builder'!K1717,6,2),MID('SQL Builder'!K1717,9,2))),NA())</f>
        <v>#N/A</v>
      </c>
      <c r="C1742" s="50" t="str">
        <f>IF(ISBLANK('SQL Builder'!K1717)=FALSE,'SQL Builder'!L1717,"")</f>
        <v/>
      </c>
      <c r="D1742" s="1" t="str">
        <f>IF(ISBLANK('SQL Builder'!K1717)=FALSE,'SQL Builder'!O1717,"")</f>
        <v/>
      </c>
      <c r="H1742" s="43" t="str">
        <f>IF(ISBLANK('SQL Builder'!K1716)=FALSE,H1741+1,"")</f>
        <v/>
      </c>
      <c r="I1742" s="1" t="str">
        <f>IF(ISBLANK('SQL Builder'!P1717)=FALSE,'SQL Builder'!N1717,"")</f>
        <v/>
      </c>
      <c r="J1742" s="79">
        <f t="shared" si="26"/>
        <v>0</v>
      </c>
    </row>
    <row r="1743" spans="2:10" ht="16.5" x14ac:dyDescent="0.25">
      <c r="B1743" s="49" t="e">
        <f>IF(ISBLANK('SQL Builder'!K1718)=FALSE,(DATE(LEFT('SQL Builder'!K1718,4),MID('SQL Builder'!K1718,6,2),MID('SQL Builder'!K1718,9,2))),NA())</f>
        <v>#N/A</v>
      </c>
      <c r="C1743" s="50" t="str">
        <f>IF(ISBLANK('SQL Builder'!K1718)=FALSE,'SQL Builder'!L1718,"")</f>
        <v/>
      </c>
      <c r="D1743" s="1" t="str">
        <f>IF(ISBLANK('SQL Builder'!K1718)=FALSE,'SQL Builder'!O1718,"")</f>
        <v/>
      </c>
      <c r="H1743" s="43" t="str">
        <f>IF(ISBLANK('SQL Builder'!K1717)=FALSE,H1742+1,"")</f>
        <v/>
      </c>
      <c r="I1743" s="1" t="str">
        <f>IF(ISBLANK('SQL Builder'!P1718)=FALSE,'SQL Builder'!N1718,"")</f>
        <v/>
      </c>
      <c r="J1743" s="79">
        <f t="shared" si="26"/>
        <v>0</v>
      </c>
    </row>
    <row r="1744" spans="2:10" ht="16.5" x14ac:dyDescent="0.25">
      <c r="B1744" s="49" t="e">
        <f>IF(ISBLANK('SQL Builder'!K1719)=FALSE,(DATE(LEFT('SQL Builder'!K1719,4),MID('SQL Builder'!K1719,6,2),MID('SQL Builder'!K1719,9,2))),NA())</f>
        <v>#N/A</v>
      </c>
      <c r="C1744" s="50" t="str">
        <f>IF(ISBLANK('SQL Builder'!K1719)=FALSE,'SQL Builder'!L1719,"")</f>
        <v/>
      </c>
      <c r="D1744" s="1" t="str">
        <f>IF(ISBLANK('SQL Builder'!K1719)=FALSE,'SQL Builder'!O1719,"")</f>
        <v/>
      </c>
      <c r="H1744" s="43" t="str">
        <f>IF(ISBLANK('SQL Builder'!K1718)=FALSE,H1743+1,"")</f>
        <v/>
      </c>
      <c r="I1744" s="1" t="str">
        <f>IF(ISBLANK('SQL Builder'!P1719)=FALSE,'SQL Builder'!N1719,"")</f>
        <v/>
      </c>
      <c r="J1744" s="79">
        <f t="shared" si="26"/>
        <v>0</v>
      </c>
    </row>
    <row r="1745" spans="2:10" ht="16.5" x14ac:dyDescent="0.25">
      <c r="B1745" s="49" t="e">
        <f>IF(ISBLANK('SQL Builder'!K1720)=FALSE,(DATE(LEFT('SQL Builder'!K1720,4),MID('SQL Builder'!K1720,6,2),MID('SQL Builder'!K1720,9,2))),NA())</f>
        <v>#N/A</v>
      </c>
      <c r="C1745" s="50" t="str">
        <f>IF(ISBLANK('SQL Builder'!K1720)=FALSE,'SQL Builder'!L1720,"")</f>
        <v/>
      </c>
      <c r="D1745" s="1" t="str">
        <f>IF(ISBLANK('SQL Builder'!K1720)=FALSE,'SQL Builder'!O1720,"")</f>
        <v/>
      </c>
      <c r="H1745" s="43" t="str">
        <f>IF(ISBLANK('SQL Builder'!K1719)=FALSE,H1744+1,"")</f>
        <v/>
      </c>
      <c r="I1745" s="1" t="str">
        <f>IF(ISBLANK('SQL Builder'!P1720)=FALSE,'SQL Builder'!N1720,"")</f>
        <v/>
      </c>
      <c r="J1745" s="79">
        <f t="shared" si="26"/>
        <v>0</v>
      </c>
    </row>
    <row r="1746" spans="2:10" ht="16.5" x14ac:dyDescent="0.25">
      <c r="B1746" s="49" t="e">
        <f>IF(ISBLANK('SQL Builder'!K1721)=FALSE,(DATE(LEFT('SQL Builder'!K1721,4),MID('SQL Builder'!K1721,6,2),MID('SQL Builder'!K1721,9,2))),NA())</f>
        <v>#N/A</v>
      </c>
      <c r="C1746" s="50" t="str">
        <f>IF(ISBLANK('SQL Builder'!K1721)=FALSE,'SQL Builder'!L1721,"")</f>
        <v/>
      </c>
      <c r="D1746" s="1" t="str">
        <f>IF(ISBLANK('SQL Builder'!K1721)=FALSE,'SQL Builder'!O1721,"")</f>
        <v/>
      </c>
      <c r="H1746" s="43" t="str">
        <f>IF(ISBLANK('SQL Builder'!K1720)=FALSE,H1745+1,"")</f>
        <v/>
      </c>
      <c r="I1746" s="1" t="str">
        <f>IF(ISBLANK('SQL Builder'!P1721)=FALSE,'SQL Builder'!N1721,"")</f>
        <v/>
      </c>
      <c r="J1746" s="79">
        <f t="shared" si="26"/>
        <v>0</v>
      </c>
    </row>
    <row r="1747" spans="2:10" ht="16.5" x14ac:dyDescent="0.25">
      <c r="B1747" s="49" t="e">
        <f>IF(ISBLANK('SQL Builder'!K1722)=FALSE,(DATE(LEFT('SQL Builder'!K1722,4),MID('SQL Builder'!K1722,6,2),MID('SQL Builder'!K1722,9,2))),NA())</f>
        <v>#N/A</v>
      </c>
      <c r="C1747" s="50" t="str">
        <f>IF(ISBLANK('SQL Builder'!K1722)=FALSE,'SQL Builder'!L1722,"")</f>
        <v/>
      </c>
      <c r="D1747" s="1" t="str">
        <f>IF(ISBLANK('SQL Builder'!K1722)=FALSE,'SQL Builder'!O1722,"")</f>
        <v/>
      </c>
      <c r="H1747" s="43" t="str">
        <f>IF(ISBLANK('SQL Builder'!K1721)=FALSE,H1746+1,"")</f>
        <v/>
      </c>
      <c r="I1747" s="1" t="str">
        <f>IF(ISBLANK('SQL Builder'!P1722)=FALSE,'SQL Builder'!N1722,"")</f>
        <v/>
      </c>
      <c r="J1747" s="79">
        <f t="shared" si="26"/>
        <v>0</v>
      </c>
    </row>
    <row r="1748" spans="2:10" ht="16.5" x14ac:dyDescent="0.25">
      <c r="B1748" s="49" t="e">
        <f>IF(ISBLANK('SQL Builder'!K1723)=FALSE,(DATE(LEFT('SQL Builder'!K1723,4),MID('SQL Builder'!K1723,6,2),MID('SQL Builder'!K1723,9,2))),NA())</f>
        <v>#N/A</v>
      </c>
      <c r="C1748" s="50" t="str">
        <f>IF(ISBLANK('SQL Builder'!K1723)=FALSE,'SQL Builder'!L1723,"")</f>
        <v/>
      </c>
      <c r="D1748" s="1" t="str">
        <f>IF(ISBLANK('SQL Builder'!K1723)=FALSE,'SQL Builder'!O1723,"")</f>
        <v/>
      </c>
      <c r="H1748" s="43" t="str">
        <f>IF(ISBLANK('SQL Builder'!K1722)=FALSE,H1747+1,"")</f>
        <v/>
      </c>
      <c r="I1748" s="1" t="str">
        <f>IF(ISBLANK('SQL Builder'!P1723)=FALSE,'SQL Builder'!N1723,"")</f>
        <v/>
      </c>
      <c r="J1748" s="79">
        <f t="shared" si="26"/>
        <v>0</v>
      </c>
    </row>
    <row r="1749" spans="2:10" ht="16.5" x14ac:dyDescent="0.25">
      <c r="B1749" s="49" t="e">
        <f>IF(ISBLANK('SQL Builder'!K1724)=FALSE,(DATE(LEFT('SQL Builder'!K1724,4),MID('SQL Builder'!K1724,6,2),MID('SQL Builder'!K1724,9,2))),NA())</f>
        <v>#N/A</v>
      </c>
      <c r="C1749" s="50" t="str">
        <f>IF(ISBLANK('SQL Builder'!K1724)=FALSE,'SQL Builder'!L1724,"")</f>
        <v/>
      </c>
      <c r="D1749" s="1" t="str">
        <f>IF(ISBLANK('SQL Builder'!K1724)=FALSE,'SQL Builder'!O1724,"")</f>
        <v/>
      </c>
      <c r="H1749" s="43" t="str">
        <f>IF(ISBLANK('SQL Builder'!K1723)=FALSE,H1748+1,"")</f>
        <v/>
      </c>
      <c r="I1749" s="1" t="str">
        <f>IF(ISBLANK('SQL Builder'!P1724)=FALSE,'SQL Builder'!N1724,"")</f>
        <v/>
      </c>
      <c r="J1749" s="79">
        <f t="shared" si="26"/>
        <v>0</v>
      </c>
    </row>
    <row r="1750" spans="2:10" ht="16.5" x14ac:dyDescent="0.25">
      <c r="B1750" s="49" t="e">
        <f>IF(ISBLANK('SQL Builder'!K1725)=FALSE,(DATE(LEFT('SQL Builder'!K1725,4),MID('SQL Builder'!K1725,6,2),MID('SQL Builder'!K1725,9,2))),NA())</f>
        <v>#N/A</v>
      </c>
      <c r="C1750" s="50" t="str">
        <f>IF(ISBLANK('SQL Builder'!K1725)=FALSE,'SQL Builder'!L1725,"")</f>
        <v/>
      </c>
      <c r="D1750" s="1" t="str">
        <f>IF(ISBLANK('SQL Builder'!K1725)=FALSE,'SQL Builder'!O1725,"")</f>
        <v/>
      </c>
      <c r="H1750" s="43" t="str">
        <f>IF(ISBLANK('SQL Builder'!K1724)=FALSE,H1749+1,"")</f>
        <v/>
      </c>
      <c r="I1750" s="1" t="str">
        <f>IF(ISBLANK('SQL Builder'!P1725)=FALSE,'SQL Builder'!N1725,"")</f>
        <v/>
      </c>
      <c r="J1750" s="79">
        <f t="shared" si="26"/>
        <v>0</v>
      </c>
    </row>
    <row r="1751" spans="2:10" ht="16.5" x14ac:dyDescent="0.25">
      <c r="B1751" s="49" t="e">
        <f>IF(ISBLANK('SQL Builder'!K1726)=FALSE,(DATE(LEFT('SQL Builder'!K1726,4),MID('SQL Builder'!K1726,6,2),MID('SQL Builder'!K1726,9,2))),NA())</f>
        <v>#N/A</v>
      </c>
      <c r="C1751" s="50" t="str">
        <f>IF(ISBLANK('SQL Builder'!K1726)=FALSE,'SQL Builder'!L1726,"")</f>
        <v/>
      </c>
      <c r="D1751" s="1" t="str">
        <f>IF(ISBLANK('SQL Builder'!K1726)=FALSE,'SQL Builder'!O1726,"")</f>
        <v/>
      </c>
      <c r="H1751" s="43" t="str">
        <f>IF(ISBLANK('SQL Builder'!K1725)=FALSE,H1750+1,"")</f>
        <v/>
      </c>
      <c r="I1751" s="1" t="str">
        <f>IF(ISBLANK('SQL Builder'!P1726)=FALSE,'SQL Builder'!N1726,"")</f>
        <v/>
      </c>
      <c r="J1751" s="79">
        <f t="shared" si="26"/>
        <v>0</v>
      </c>
    </row>
    <row r="1752" spans="2:10" ht="16.5" x14ac:dyDescent="0.25">
      <c r="B1752" s="49" t="e">
        <f>IF(ISBLANK('SQL Builder'!K1727)=FALSE,(DATE(LEFT('SQL Builder'!K1727,4),MID('SQL Builder'!K1727,6,2),MID('SQL Builder'!K1727,9,2))),NA())</f>
        <v>#N/A</v>
      </c>
      <c r="C1752" s="50" t="str">
        <f>IF(ISBLANK('SQL Builder'!K1727)=FALSE,'SQL Builder'!L1727,"")</f>
        <v/>
      </c>
      <c r="D1752" s="1" t="str">
        <f>IF(ISBLANK('SQL Builder'!K1727)=FALSE,'SQL Builder'!O1727,"")</f>
        <v/>
      </c>
      <c r="H1752" s="43" t="str">
        <f>IF(ISBLANK('SQL Builder'!K1726)=FALSE,H1751+1,"")</f>
        <v/>
      </c>
      <c r="I1752" s="1" t="str">
        <f>IF(ISBLANK('SQL Builder'!P1727)=FALSE,'SQL Builder'!N1727,"")</f>
        <v/>
      </c>
      <c r="J1752" s="79">
        <f t="shared" si="26"/>
        <v>0</v>
      </c>
    </row>
    <row r="1753" spans="2:10" ht="16.5" x14ac:dyDescent="0.25">
      <c r="B1753" s="49" t="e">
        <f>IF(ISBLANK('SQL Builder'!K1728)=FALSE,(DATE(LEFT('SQL Builder'!K1728,4),MID('SQL Builder'!K1728,6,2),MID('SQL Builder'!K1728,9,2))),NA())</f>
        <v>#N/A</v>
      </c>
      <c r="C1753" s="50" t="str">
        <f>IF(ISBLANK('SQL Builder'!K1728)=FALSE,'SQL Builder'!L1728,"")</f>
        <v/>
      </c>
      <c r="D1753" s="1" t="str">
        <f>IF(ISBLANK('SQL Builder'!K1728)=FALSE,'SQL Builder'!O1728,"")</f>
        <v/>
      </c>
      <c r="H1753" s="43" t="str">
        <f>IF(ISBLANK('SQL Builder'!K1727)=FALSE,H1752+1,"")</f>
        <v/>
      </c>
      <c r="I1753" s="1" t="str">
        <f>IF(ISBLANK('SQL Builder'!P1728)=FALSE,'SQL Builder'!N1728,"")</f>
        <v/>
      </c>
      <c r="J1753" s="79">
        <f t="shared" si="26"/>
        <v>0</v>
      </c>
    </row>
    <row r="1754" spans="2:10" ht="16.5" x14ac:dyDescent="0.25">
      <c r="B1754" s="49" t="e">
        <f>IF(ISBLANK('SQL Builder'!K1729)=FALSE,(DATE(LEFT('SQL Builder'!K1729,4),MID('SQL Builder'!K1729,6,2),MID('SQL Builder'!K1729,9,2))),NA())</f>
        <v>#N/A</v>
      </c>
      <c r="C1754" s="50" t="str">
        <f>IF(ISBLANK('SQL Builder'!K1729)=FALSE,'SQL Builder'!L1729,"")</f>
        <v/>
      </c>
      <c r="D1754" s="1" t="str">
        <f>IF(ISBLANK('SQL Builder'!K1729)=FALSE,'SQL Builder'!O1729,"")</f>
        <v/>
      </c>
      <c r="H1754" s="43" t="str">
        <f>IF(ISBLANK('SQL Builder'!K1728)=FALSE,H1753+1,"")</f>
        <v/>
      </c>
      <c r="I1754" s="1" t="str">
        <f>IF(ISBLANK('SQL Builder'!P1729)=FALSE,'SQL Builder'!N1729,"")</f>
        <v/>
      </c>
      <c r="J1754" s="79">
        <f t="shared" si="26"/>
        <v>0</v>
      </c>
    </row>
    <row r="1755" spans="2:10" ht="16.5" x14ac:dyDescent="0.25">
      <c r="B1755" s="49" t="e">
        <f>IF(ISBLANK('SQL Builder'!K1730)=FALSE,(DATE(LEFT('SQL Builder'!K1730,4),MID('SQL Builder'!K1730,6,2),MID('SQL Builder'!K1730,9,2))),NA())</f>
        <v>#N/A</v>
      </c>
      <c r="C1755" s="50" t="str">
        <f>IF(ISBLANK('SQL Builder'!K1730)=FALSE,'SQL Builder'!L1730,"")</f>
        <v/>
      </c>
      <c r="D1755" s="1" t="str">
        <f>IF(ISBLANK('SQL Builder'!K1730)=FALSE,'SQL Builder'!O1730,"")</f>
        <v/>
      </c>
      <c r="H1755" s="43" t="str">
        <f>IF(ISBLANK('SQL Builder'!K1729)=FALSE,H1754+1,"")</f>
        <v/>
      </c>
      <c r="I1755" s="1" t="str">
        <f>IF(ISBLANK('SQL Builder'!P1730)=FALSE,'SQL Builder'!N1730,"")</f>
        <v/>
      </c>
      <c r="J1755" s="79">
        <f t="shared" si="26"/>
        <v>0</v>
      </c>
    </row>
    <row r="1756" spans="2:10" ht="16.5" x14ac:dyDescent="0.25">
      <c r="B1756" s="49" t="e">
        <f>IF(ISBLANK('SQL Builder'!K1731)=FALSE,(DATE(LEFT('SQL Builder'!K1731,4),MID('SQL Builder'!K1731,6,2),MID('SQL Builder'!K1731,9,2))),NA())</f>
        <v>#N/A</v>
      </c>
      <c r="C1756" s="50" t="str">
        <f>IF(ISBLANK('SQL Builder'!K1731)=FALSE,'SQL Builder'!L1731,"")</f>
        <v/>
      </c>
      <c r="D1756" s="1" t="str">
        <f>IF(ISBLANK('SQL Builder'!K1731)=FALSE,'SQL Builder'!O1731,"")</f>
        <v/>
      </c>
      <c r="H1756" s="43" t="str">
        <f>IF(ISBLANK('SQL Builder'!K1730)=FALSE,H1755+1,"")</f>
        <v/>
      </c>
      <c r="I1756" s="1" t="str">
        <f>IF(ISBLANK('SQL Builder'!P1731)=FALSE,'SQL Builder'!N1731,"")</f>
        <v/>
      </c>
      <c r="J1756" s="79">
        <f t="shared" si="26"/>
        <v>0</v>
      </c>
    </row>
    <row r="1757" spans="2:10" ht="16.5" x14ac:dyDescent="0.25">
      <c r="B1757" s="49" t="e">
        <f>IF(ISBLANK('SQL Builder'!K1732)=FALSE,(DATE(LEFT('SQL Builder'!K1732,4),MID('SQL Builder'!K1732,6,2),MID('SQL Builder'!K1732,9,2))),NA())</f>
        <v>#N/A</v>
      </c>
      <c r="C1757" s="50" t="str">
        <f>IF(ISBLANK('SQL Builder'!K1732)=FALSE,'SQL Builder'!L1732,"")</f>
        <v/>
      </c>
      <c r="D1757" s="1" t="str">
        <f>IF(ISBLANK('SQL Builder'!K1732)=FALSE,'SQL Builder'!O1732,"")</f>
        <v/>
      </c>
      <c r="H1757" s="43" t="str">
        <f>IF(ISBLANK('SQL Builder'!K1731)=FALSE,H1756+1,"")</f>
        <v/>
      </c>
      <c r="I1757" s="1" t="str">
        <f>IF(ISBLANK('SQL Builder'!P1732)=FALSE,'SQL Builder'!N1732,"")</f>
        <v/>
      </c>
      <c r="J1757" s="79">
        <f t="shared" si="26"/>
        <v>0</v>
      </c>
    </row>
    <row r="1758" spans="2:10" ht="16.5" x14ac:dyDescent="0.25">
      <c r="B1758" s="49" t="e">
        <f>IF(ISBLANK('SQL Builder'!K1733)=FALSE,(DATE(LEFT('SQL Builder'!K1733,4),MID('SQL Builder'!K1733,6,2),MID('SQL Builder'!K1733,9,2))),NA())</f>
        <v>#N/A</v>
      </c>
      <c r="C1758" s="50" t="str">
        <f>IF(ISBLANK('SQL Builder'!K1733)=FALSE,'SQL Builder'!L1733,"")</f>
        <v/>
      </c>
      <c r="D1758" s="1" t="str">
        <f>IF(ISBLANK('SQL Builder'!K1733)=FALSE,'SQL Builder'!O1733,"")</f>
        <v/>
      </c>
      <c r="H1758" s="43" t="str">
        <f>IF(ISBLANK('SQL Builder'!K1732)=FALSE,H1757+1,"")</f>
        <v/>
      </c>
      <c r="I1758" s="1" t="str">
        <f>IF(ISBLANK('SQL Builder'!P1733)=FALSE,'SQL Builder'!N1733,"")</f>
        <v/>
      </c>
      <c r="J1758" s="79">
        <f t="shared" si="26"/>
        <v>0</v>
      </c>
    </row>
    <row r="1759" spans="2:10" ht="16.5" x14ac:dyDescent="0.25">
      <c r="B1759" s="49" t="e">
        <f>IF(ISBLANK('SQL Builder'!K1734)=FALSE,(DATE(LEFT('SQL Builder'!K1734,4),MID('SQL Builder'!K1734,6,2),MID('SQL Builder'!K1734,9,2))),NA())</f>
        <v>#N/A</v>
      </c>
      <c r="C1759" s="50" t="str">
        <f>IF(ISBLANK('SQL Builder'!K1734)=FALSE,'SQL Builder'!L1734,"")</f>
        <v/>
      </c>
      <c r="D1759" s="1" t="str">
        <f>IF(ISBLANK('SQL Builder'!K1734)=FALSE,'SQL Builder'!O1734,"")</f>
        <v/>
      </c>
      <c r="H1759" s="43" t="str">
        <f>IF(ISBLANK('SQL Builder'!K1733)=FALSE,H1758+1,"")</f>
        <v/>
      </c>
      <c r="I1759" s="1" t="str">
        <f>IF(ISBLANK('SQL Builder'!P1734)=FALSE,'SQL Builder'!N1734,"")</f>
        <v/>
      </c>
      <c r="J1759" s="79">
        <f t="shared" ref="J1759:J1822" si="27">IF(I1759="",0,IF(I1759=C$5,2,1))</f>
        <v>0</v>
      </c>
    </row>
    <row r="1760" spans="2:10" ht="16.5" x14ac:dyDescent="0.25">
      <c r="B1760" s="49" t="e">
        <f>IF(ISBLANK('SQL Builder'!K1735)=FALSE,(DATE(LEFT('SQL Builder'!K1735,4),MID('SQL Builder'!K1735,6,2),MID('SQL Builder'!K1735,9,2))),NA())</f>
        <v>#N/A</v>
      </c>
      <c r="C1760" s="50" t="str">
        <f>IF(ISBLANK('SQL Builder'!K1735)=FALSE,'SQL Builder'!L1735,"")</f>
        <v/>
      </c>
      <c r="D1760" s="1" t="str">
        <f>IF(ISBLANK('SQL Builder'!K1735)=FALSE,'SQL Builder'!O1735,"")</f>
        <v/>
      </c>
      <c r="H1760" s="43" t="str">
        <f>IF(ISBLANK('SQL Builder'!K1734)=FALSE,H1759+1,"")</f>
        <v/>
      </c>
      <c r="I1760" s="1" t="str">
        <f>IF(ISBLANK('SQL Builder'!P1735)=FALSE,'SQL Builder'!N1735,"")</f>
        <v/>
      </c>
      <c r="J1760" s="79">
        <f t="shared" si="27"/>
        <v>0</v>
      </c>
    </row>
    <row r="1761" spans="2:10" ht="16.5" x14ac:dyDescent="0.25">
      <c r="B1761" s="49" t="e">
        <f>IF(ISBLANK('SQL Builder'!K1736)=FALSE,(DATE(LEFT('SQL Builder'!K1736,4),MID('SQL Builder'!K1736,6,2),MID('SQL Builder'!K1736,9,2))),NA())</f>
        <v>#N/A</v>
      </c>
      <c r="C1761" s="50" t="str">
        <f>IF(ISBLANK('SQL Builder'!K1736)=FALSE,'SQL Builder'!L1736,"")</f>
        <v/>
      </c>
      <c r="D1761" s="1" t="str">
        <f>IF(ISBLANK('SQL Builder'!K1736)=FALSE,'SQL Builder'!O1736,"")</f>
        <v/>
      </c>
      <c r="H1761" s="43" t="str">
        <f>IF(ISBLANK('SQL Builder'!K1735)=FALSE,H1760+1,"")</f>
        <v/>
      </c>
      <c r="I1761" s="1" t="str">
        <f>IF(ISBLANK('SQL Builder'!P1736)=FALSE,'SQL Builder'!N1736,"")</f>
        <v/>
      </c>
      <c r="J1761" s="79">
        <f t="shared" si="27"/>
        <v>0</v>
      </c>
    </row>
    <row r="1762" spans="2:10" ht="16.5" x14ac:dyDescent="0.25">
      <c r="B1762" s="49" t="e">
        <f>IF(ISBLANK('SQL Builder'!K1737)=FALSE,(DATE(LEFT('SQL Builder'!K1737,4),MID('SQL Builder'!K1737,6,2),MID('SQL Builder'!K1737,9,2))),NA())</f>
        <v>#N/A</v>
      </c>
      <c r="C1762" s="50" t="str">
        <f>IF(ISBLANK('SQL Builder'!K1737)=FALSE,'SQL Builder'!L1737,"")</f>
        <v/>
      </c>
      <c r="D1762" s="1" t="str">
        <f>IF(ISBLANK('SQL Builder'!K1737)=FALSE,'SQL Builder'!O1737,"")</f>
        <v/>
      </c>
      <c r="H1762" s="43" t="str">
        <f>IF(ISBLANK('SQL Builder'!K1736)=FALSE,H1761+1,"")</f>
        <v/>
      </c>
      <c r="I1762" s="1" t="str">
        <f>IF(ISBLANK('SQL Builder'!P1737)=FALSE,'SQL Builder'!N1737,"")</f>
        <v/>
      </c>
      <c r="J1762" s="79">
        <f t="shared" si="27"/>
        <v>0</v>
      </c>
    </row>
    <row r="1763" spans="2:10" ht="16.5" x14ac:dyDescent="0.25">
      <c r="B1763" s="49" t="e">
        <f>IF(ISBLANK('SQL Builder'!K1738)=FALSE,(DATE(LEFT('SQL Builder'!K1738,4),MID('SQL Builder'!K1738,6,2),MID('SQL Builder'!K1738,9,2))),NA())</f>
        <v>#N/A</v>
      </c>
      <c r="C1763" s="50" t="str">
        <f>IF(ISBLANK('SQL Builder'!K1738)=FALSE,'SQL Builder'!L1738,"")</f>
        <v/>
      </c>
      <c r="D1763" s="1" t="str">
        <f>IF(ISBLANK('SQL Builder'!K1738)=FALSE,'SQL Builder'!O1738,"")</f>
        <v/>
      </c>
      <c r="H1763" s="43" t="str">
        <f>IF(ISBLANK('SQL Builder'!K1737)=FALSE,H1762+1,"")</f>
        <v/>
      </c>
      <c r="I1763" s="1" t="str">
        <f>IF(ISBLANK('SQL Builder'!P1738)=FALSE,'SQL Builder'!N1738,"")</f>
        <v/>
      </c>
      <c r="J1763" s="79">
        <f t="shared" si="27"/>
        <v>0</v>
      </c>
    </row>
    <row r="1764" spans="2:10" ht="16.5" x14ac:dyDescent="0.25">
      <c r="B1764" s="49" t="e">
        <f>IF(ISBLANK('SQL Builder'!K1739)=FALSE,(DATE(LEFT('SQL Builder'!K1739,4),MID('SQL Builder'!K1739,6,2),MID('SQL Builder'!K1739,9,2))),NA())</f>
        <v>#N/A</v>
      </c>
      <c r="C1764" s="50" t="str">
        <f>IF(ISBLANK('SQL Builder'!K1739)=FALSE,'SQL Builder'!L1739,"")</f>
        <v/>
      </c>
      <c r="D1764" s="1" t="str">
        <f>IF(ISBLANK('SQL Builder'!K1739)=FALSE,'SQL Builder'!O1739,"")</f>
        <v/>
      </c>
      <c r="H1764" s="43" t="str">
        <f>IF(ISBLANK('SQL Builder'!K1738)=FALSE,H1763+1,"")</f>
        <v/>
      </c>
      <c r="I1764" s="1" t="str">
        <f>IF(ISBLANK('SQL Builder'!P1739)=FALSE,'SQL Builder'!N1739,"")</f>
        <v/>
      </c>
      <c r="J1764" s="79">
        <f t="shared" si="27"/>
        <v>0</v>
      </c>
    </row>
    <row r="1765" spans="2:10" ht="16.5" x14ac:dyDescent="0.25">
      <c r="B1765" s="49" t="e">
        <f>IF(ISBLANK('SQL Builder'!K1740)=FALSE,(DATE(LEFT('SQL Builder'!K1740,4),MID('SQL Builder'!K1740,6,2),MID('SQL Builder'!K1740,9,2))),NA())</f>
        <v>#N/A</v>
      </c>
      <c r="C1765" s="50" t="str">
        <f>IF(ISBLANK('SQL Builder'!K1740)=FALSE,'SQL Builder'!L1740,"")</f>
        <v/>
      </c>
      <c r="D1765" s="1" t="str">
        <f>IF(ISBLANK('SQL Builder'!K1740)=FALSE,'SQL Builder'!O1740,"")</f>
        <v/>
      </c>
      <c r="H1765" s="43" t="str">
        <f>IF(ISBLANK('SQL Builder'!K1739)=FALSE,H1764+1,"")</f>
        <v/>
      </c>
      <c r="I1765" s="1" t="str">
        <f>IF(ISBLANK('SQL Builder'!P1740)=FALSE,'SQL Builder'!N1740,"")</f>
        <v/>
      </c>
      <c r="J1765" s="79">
        <f t="shared" si="27"/>
        <v>0</v>
      </c>
    </row>
    <row r="1766" spans="2:10" ht="16.5" x14ac:dyDescent="0.25">
      <c r="B1766" s="49" t="e">
        <f>IF(ISBLANK('SQL Builder'!K1741)=FALSE,(DATE(LEFT('SQL Builder'!K1741,4),MID('SQL Builder'!K1741,6,2),MID('SQL Builder'!K1741,9,2))),NA())</f>
        <v>#N/A</v>
      </c>
      <c r="C1766" s="50" t="str">
        <f>IF(ISBLANK('SQL Builder'!K1741)=FALSE,'SQL Builder'!L1741,"")</f>
        <v/>
      </c>
      <c r="D1766" s="1" t="str">
        <f>IF(ISBLANK('SQL Builder'!K1741)=FALSE,'SQL Builder'!O1741,"")</f>
        <v/>
      </c>
      <c r="H1766" s="43" t="str">
        <f>IF(ISBLANK('SQL Builder'!K1740)=FALSE,H1765+1,"")</f>
        <v/>
      </c>
      <c r="I1766" s="1" t="str">
        <f>IF(ISBLANK('SQL Builder'!P1741)=FALSE,'SQL Builder'!N1741,"")</f>
        <v/>
      </c>
      <c r="J1766" s="79">
        <f t="shared" si="27"/>
        <v>0</v>
      </c>
    </row>
    <row r="1767" spans="2:10" ht="16.5" x14ac:dyDescent="0.25">
      <c r="B1767" s="49" t="e">
        <f>IF(ISBLANK('SQL Builder'!K1742)=FALSE,(DATE(LEFT('SQL Builder'!K1742,4),MID('SQL Builder'!K1742,6,2),MID('SQL Builder'!K1742,9,2))),NA())</f>
        <v>#N/A</v>
      </c>
      <c r="C1767" s="50" t="str">
        <f>IF(ISBLANK('SQL Builder'!K1742)=FALSE,'SQL Builder'!L1742,"")</f>
        <v/>
      </c>
      <c r="D1767" s="1" t="str">
        <f>IF(ISBLANK('SQL Builder'!K1742)=FALSE,'SQL Builder'!O1742,"")</f>
        <v/>
      </c>
      <c r="H1767" s="43" t="str">
        <f>IF(ISBLANK('SQL Builder'!K1741)=FALSE,H1766+1,"")</f>
        <v/>
      </c>
      <c r="I1767" s="1" t="str">
        <f>IF(ISBLANK('SQL Builder'!P1742)=FALSE,'SQL Builder'!N1742,"")</f>
        <v/>
      </c>
      <c r="J1767" s="79">
        <f t="shared" si="27"/>
        <v>0</v>
      </c>
    </row>
    <row r="1768" spans="2:10" ht="16.5" x14ac:dyDescent="0.25">
      <c r="B1768" s="49" t="e">
        <f>IF(ISBLANK('SQL Builder'!K1743)=FALSE,(DATE(LEFT('SQL Builder'!K1743,4),MID('SQL Builder'!K1743,6,2),MID('SQL Builder'!K1743,9,2))),NA())</f>
        <v>#N/A</v>
      </c>
      <c r="C1768" s="50" t="str">
        <f>IF(ISBLANK('SQL Builder'!K1743)=FALSE,'SQL Builder'!L1743,"")</f>
        <v/>
      </c>
      <c r="D1768" s="1" t="str">
        <f>IF(ISBLANK('SQL Builder'!K1743)=FALSE,'SQL Builder'!O1743,"")</f>
        <v/>
      </c>
      <c r="H1768" s="43" t="str">
        <f>IF(ISBLANK('SQL Builder'!K1742)=FALSE,H1767+1,"")</f>
        <v/>
      </c>
      <c r="I1768" s="1" t="str">
        <f>IF(ISBLANK('SQL Builder'!P1743)=FALSE,'SQL Builder'!N1743,"")</f>
        <v/>
      </c>
      <c r="J1768" s="79">
        <f t="shared" si="27"/>
        <v>0</v>
      </c>
    </row>
    <row r="1769" spans="2:10" ht="16.5" x14ac:dyDescent="0.25">
      <c r="B1769" s="49" t="e">
        <f>IF(ISBLANK('SQL Builder'!K1744)=FALSE,(DATE(LEFT('SQL Builder'!K1744,4),MID('SQL Builder'!K1744,6,2),MID('SQL Builder'!K1744,9,2))),NA())</f>
        <v>#N/A</v>
      </c>
      <c r="C1769" s="50" t="str">
        <f>IF(ISBLANK('SQL Builder'!K1744)=FALSE,'SQL Builder'!L1744,"")</f>
        <v/>
      </c>
      <c r="D1769" s="1" t="str">
        <f>IF(ISBLANK('SQL Builder'!K1744)=FALSE,'SQL Builder'!O1744,"")</f>
        <v/>
      </c>
      <c r="H1769" s="43" t="str">
        <f>IF(ISBLANK('SQL Builder'!K1743)=FALSE,H1768+1,"")</f>
        <v/>
      </c>
      <c r="I1769" s="1" t="str">
        <f>IF(ISBLANK('SQL Builder'!P1744)=FALSE,'SQL Builder'!N1744,"")</f>
        <v/>
      </c>
      <c r="J1769" s="79">
        <f t="shared" si="27"/>
        <v>0</v>
      </c>
    </row>
    <row r="1770" spans="2:10" ht="16.5" x14ac:dyDescent="0.25">
      <c r="B1770" s="49" t="e">
        <f>IF(ISBLANK('SQL Builder'!K1745)=FALSE,(DATE(LEFT('SQL Builder'!K1745,4),MID('SQL Builder'!K1745,6,2),MID('SQL Builder'!K1745,9,2))),NA())</f>
        <v>#N/A</v>
      </c>
      <c r="C1770" s="50" t="str">
        <f>IF(ISBLANK('SQL Builder'!K1745)=FALSE,'SQL Builder'!L1745,"")</f>
        <v/>
      </c>
      <c r="D1770" s="1" t="str">
        <f>IF(ISBLANK('SQL Builder'!K1745)=FALSE,'SQL Builder'!O1745,"")</f>
        <v/>
      </c>
      <c r="H1770" s="43" t="str">
        <f>IF(ISBLANK('SQL Builder'!K1744)=FALSE,H1769+1,"")</f>
        <v/>
      </c>
      <c r="I1770" s="1" t="str">
        <f>IF(ISBLANK('SQL Builder'!P1745)=FALSE,'SQL Builder'!N1745,"")</f>
        <v/>
      </c>
      <c r="J1770" s="79">
        <f t="shared" si="27"/>
        <v>0</v>
      </c>
    </row>
    <row r="1771" spans="2:10" ht="16.5" x14ac:dyDescent="0.25">
      <c r="B1771" s="49" t="e">
        <f>IF(ISBLANK('SQL Builder'!K1746)=FALSE,(DATE(LEFT('SQL Builder'!K1746,4),MID('SQL Builder'!K1746,6,2),MID('SQL Builder'!K1746,9,2))),NA())</f>
        <v>#N/A</v>
      </c>
      <c r="C1771" s="50" t="str">
        <f>IF(ISBLANK('SQL Builder'!K1746)=FALSE,'SQL Builder'!L1746,"")</f>
        <v/>
      </c>
      <c r="D1771" s="1" t="str">
        <f>IF(ISBLANK('SQL Builder'!K1746)=FALSE,'SQL Builder'!O1746,"")</f>
        <v/>
      </c>
      <c r="H1771" s="43" t="str">
        <f>IF(ISBLANK('SQL Builder'!K1745)=FALSE,H1770+1,"")</f>
        <v/>
      </c>
      <c r="I1771" s="1" t="str">
        <f>IF(ISBLANK('SQL Builder'!P1746)=FALSE,'SQL Builder'!N1746,"")</f>
        <v/>
      </c>
      <c r="J1771" s="79">
        <f t="shared" si="27"/>
        <v>0</v>
      </c>
    </row>
    <row r="1772" spans="2:10" ht="16.5" x14ac:dyDescent="0.25">
      <c r="B1772" s="49" t="e">
        <f>IF(ISBLANK('SQL Builder'!K1747)=FALSE,(DATE(LEFT('SQL Builder'!K1747,4),MID('SQL Builder'!K1747,6,2),MID('SQL Builder'!K1747,9,2))),NA())</f>
        <v>#N/A</v>
      </c>
      <c r="C1772" s="50" t="str">
        <f>IF(ISBLANK('SQL Builder'!K1747)=FALSE,'SQL Builder'!L1747,"")</f>
        <v/>
      </c>
      <c r="D1772" s="1" t="str">
        <f>IF(ISBLANK('SQL Builder'!K1747)=FALSE,'SQL Builder'!O1747,"")</f>
        <v/>
      </c>
      <c r="H1772" s="43" t="str">
        <f>IF(ISBLANK('SQL Builder'!K1746)=FALSE,H1771+1,"")</f>
        <v/>
      </c>
      <c r="I1772" s="1" t="str">
        <f>IF(ISBLANK('SQL Builder'!P1747)=FALSE,'SQL Builder'!N1747,"")</f>
        <v/>
      </c>
      <c r="J1772" s="79">
        <f t="shared" si="27"/>
        <v>0</v>
      </c>
    </row>
    <row r="1773" spans="2:10" ht="16.5" x14ac:dyDescent="0.25">
      <c r="B1773" s="49" t="e">
        <f>IF(ISBLANK('SQL Builder'!K1748)=FALSE,(DATE(LEFT('SQL Builder'!K1748,4),MID('SQL Builder'!K1748,6,2),MID('SQL Builder'!K1748,9,2))),NA())</f>
        <v>#N/A</v>
      </c>
      <c r="C1773" s="50" t="str">
        <f>IF(ISBLANK('SQL Builder'!K1748)=FALSE,'SQL Builder'!L1748,"")</f>
        <v/>
      </c>
      <c r="D1773" s="1" t="str">
        <f>IF(ISBLANK('SQL Builder'!K1748)=FALSE,'SQL Builder'!O1748,"")</f>
        <v/>
      </c>
      <c r="H1773" s="43" t="str">
        <f>IF(ISBLANK('SQL Builder'!K1747)=FALSE,H1772+1,"")</f>
        <v/>
      </c>
      <c r="I1773" s="1" t="str">
        <f>IF(ISBLANK('SQL Builder'!P1748)=FALSE,'SQL Builder'!N1748,"")</f>
        <v/>
      </c>
      <c r="J1773" s="79">
        <f t="shared" si="27"/>
        <v>0</v>
      </c>
    </row>
    <row r="1774" spans="2:10" ht="16.5" x14ac:dyDescent="0.25">
      <c r="B1774" s="49" t="e">
        <f>IF(ISBLANK('SQL Builder'!K1749)=FALSE,(DATE(LEFT('SQL Builder'!K1749,4),MID('SQL Builder'!K1749,6,2),MID('SQL Builder'!K1749,9,2))),NA())</f>
        <v>#N/A</v>
      </c>
      <c r="C1774" s="50" t="str">
        <f>IF(ISBLANK('SQL Builder'!K1749)=FALSE,'SQL Builder'!L1749,"")</f>
        <v/>
      </c>
      <c r="D1774" s="1" t="str">
        <f>IF(ISBLANK('SQL Builder'!K1749)=FALSE,'SQL Builder'!O1749,"")</f>
        <v/>
      </c>
      <c r="H1774" s="43" t="str">
        <f>IF(ISBLANK('SQL Builder'!K1748)=FALSE,H1773+1,"")</f>
        <v/>
      </c>
      <c r="I1774" s="1" t="str">
        <f>IF(ISBLANK('SQL Builder'!P1749)=FALSE,'SQL Builder'!N1749,"")</f>
        <v/>
      </c>
      <c r="J1774" s="79">
        <f t="shared" si="27"/>
        <v>0</v>
      </c>
    </row>
    <row r="1775" spans="2:10" ht="16.5" x14ac:dyDescent="0.25">
      <c r="B1775" s="49" t="e">
        <f>IF(ISBLANK('SQL Builder'!K1750)=FALSE,(DATE(LEFT('SQL Builder'!K1750,4),MID('SQL Builder'!K1750,6,2),MID('SQL Builder'!K1750,9,2))),NA())</f>
        <v>#N/A</v>
      </c>
      <c r="C1775" s="50" t="str">
        <f>IF(ISBLANK('SQL Builder'!K1750)=FALSE,'SQL Builder'!L1750,"")</f>
        <v/>
      </c>
      <c r="D1775" s="1" t="str">
        <f>IF(ISBLANK('SQL Builder'!K1750)=FALSE,'SQL Builder'!O1750,"")</f>
        <v/>
      </c>
      <c r="H1775" s="43" t="str">
        <f>IF(ISBLANK('SQL Builder'!K1749)=FALSE,H1774+1,"")</f>
        <v/>
      </c>
      <c r="I1775" s="1" t="str">
        <f>IF(ISBLANK('SQL Builder'!P1750)=FALSE,'SQL Builder'!N1750,"")</f>
        <v/>
      </c>
      <c r="J1775" s="79">
        <f t="shared" si="27"/>
        <v>0</v>
      </c>
    </row>
    <row r="1776" spans="2:10" ht="16.5" x14ac:dyDescent="0.25">
      <c r="B1776" s="49" t="e">
        <f>IF(ISBLANK('SQL Builder'!K1751)=FALSE,(DATE(LEFT('SQL Builder'!K1751,4),MID('SQL Builder'!K1751,6,2),MID('SQL Builder'!K1751,9,2))),NA())</f>
        <v>#N/A</v>
      </c>
      <c r="C1776" s="50" t="str">
        <f>IF(ISBLANK('SQL Builder'!K1751)=FALSE,'SQL Builder'!L1751,"")</f>
        <v/>
      </c>
      <c r="D1776" s="1" t="str">
        <f>IF(ISBLANK('SQL Builder'!K1751)=FALSE,'SQL Builder'!O1751,"")</f>
        <v/>
      </c>
      <c r="H1776" s="43" t="str">
        <f>IF(ISBLANK('SQL Builder'!K1750)=FALSE,H1775+1,"")</f>
        <v/>
      </c>
      <c r="I1776" s="1" t="str">
        <f>IF(ISBLANK('SQL Builder'!P1751)=FALSE,'SQL Builder'!N1751,"")</f>
        <v/>
      </c>
      <c r="J1776" s="79">
        <f t="shared" si="27"/>
        <v>0</v>
      </c>
    </row>
    <row r="1777" spans="2:10" ht="16.5" x14ac:dyDescent="0.25">
      <c r="B1777" s="49" t="e">
        <f>IF(ISBLANK('SQL Builder'!K1752)=FALSE,(DATE(LEFT('SQL Builder'!K1752,4),MID('SQL Builder'!K1752,6,2),MID('SQL Builder'!K1752,9,2))),NA())</f>
        <v>#N/A</v>
      </c>
      <c r="C1777" s="50" t="str">
        <f>IF(ISBLANK('SQL Builder'!K1752)=FALSE,'SQL Builder'!L1752,"")</f>
        <v/>
      </c>
      <c r="D1777" s="1" t="str">
        <f>IF(ISBLANK('SQL Builder'!K1752)=FALSE,'SQL Builder'!O1752,"")</f>
        <v/>
      </c>
      <c r="H1777" s="43" t="str">
        <f>IF(ISBLANK('SQL Builder'!K1751)=FALSE,H1776+1,"")</f>
        <v/>
      </c>
      <c r="I1777" s="1" t="str">
        <f>IF(ISBLANK('SQL Builder'!P1752)=FALSE,'SQL Builder'!N1752,"")</f>
        <v/>
      </c>
      <c r="J1777" s="79">
        <f t="shared" si="27"/>
        <v>0</v>
      </c>
    </row>
    <row r="1778" spans="2:10" ht="16.5" x14ac:dyDescent="0.25">
      <c r="B1778" s="49" t="e">
        <f>IF(ISBLANK('SQL Builder'!K1753)=FALSE,(DATE(LEFT('SQL Builder'!K1753,4),MID('SQL Builder'!K1753,6,2),MID('SQL Builder'!K1753,9,2))),NA())</f>
        <v>#N/A</v>
      </c>
      <c r="C1778" s="50" t="str">
        <f>IF(ISBLANK('SQL Builder'!K1753)=FALSE,'SQL Builder'!L1753,"")</f>
        <v/>
      </c>
      <c r="D1778" s="1" t="str">
        <f>IF(ISBLANK('SQL Builder'!K1753)=FALSE,'SQL Builder'!O1753,"")</f>
        <v/>
      </c>
      <c r="H1778" s="43" t="str">
        <f>IF(ISBLANK('SQL Builder'!K1752)=FALSE,H1777+1,"")</f>
        <v/>
      </c>
      <c r="I1778" s="1" t="str">
        <f>IF(ISBLANK('SQL Builder'!P1753)=FALSE,'SQL Builder'!N1753,"")</f>
        <v/>
      </c>
      <c r="J1778" s="79">
        <f t="shared" si="27"/>
        <v>0</v>
      </c>
    </row>
    <row r="1779" spans="2:10" ht="16.5" x14ac:dyDescent="0.25">
      <c r="B1779" s="49" t="e">
        <f>IF(ISBLANK('SQL Builder'!K1754)=FALSE,(DATE(LEFT('SQL Builder'!K1754,4),MID('SQL Builder'!K1754,6,2),MID('SQL Builder'!K1754,9,2))),NA())</f>
        <v>#N/A</v>
      </c>
      <c r="C1779" s="50" t="str">
        <f>IF(ISBLANK('SQL Builder'!K1754)=FALSE,'SQL Builder'!L1754,"")</f>
        <v/>
      </c>
      <c r="D1779" s="1" t="str">
        <f>IF(ISBLANK('SQL Builder'!K1754)=FALSE,'SQL Builder'!O1754,"")</f>
        <v/>
      </c>
      <c r="H1779" s="43" t="str">
        <f>IF(ISBLANK('SQL Builder'!K1753)=FALSE,H1778+1,"")</f>
        <v/>
      </c>
      <c r="I1779" s="1" t="str">
        <f>IF(ISBLANK('SQL Builder'!P1754)=FALSE,'SQL Builder'!N1754,"")</f>
        <v/>
      </c>
      <c r="J1779" s="79">
        <f t="shared" si="27"/>
        <v>0</v>
      </c>
    </row>
    <row r="1780" spans="2:10" ht="16.5" x14ac:dyDescent="0.25">
      <c r="B1780" s="49" t="e">
        <f>IF(ISBLANK('SQL Builder'!K1755)=FALSE,(DATE(LEFT('SQL Builder'!K1755,4),MID('SQL Builder'!K1755,6,2),MID('SQL Builder'!K1755,9,2))),NA())</f>
        <v>#N/A</v>
      </c>
      <c r="C1780" s="50" t="str">
        <f>IF(ISBLANK('SQL Builder'!K1755)=FALSE,'SQL Builder'!L1755,"")</f>
        <v/>
      </c>
      <c r="D1780" s="1" t="str">
        <f>IF(ISBLANK('SQL Builder'!K1755)=FALSE,'SQL Builder'!O1755,"")</f>
        <v/>
      </c>
      <c r="H1780" s="43" t="str">
        <f>IF(ISBLANK('SQL Builder'!K1754)=FALSE,H1779+1,"")</f>
        <v/>
      </c>
      <c r="I1780" s="1" t="str">
        <f>IF(ISBLANK('SQL Builder'!P1755)=FALSE,'SQL Builder'!N1755,"")</f>
        <v/>
      </c>
      <c r="J1780" s="79">
        <f t="shared" si="27"/>
        <v>0</v>
      </c>
    </row>
    <row r="1781" spans="2:10" ht="16.5" x14ac:dyDescent="0.25">
      <c r="B1781" s="49" t="e">
        <f>IF(ISBLANK('SQL Builder'!K1756)=FALSE,(DATE(LEFT('SQL Builder'!K1756,4),MID('SQL Builder'!K1756,6,2),MID('SQL Builder'!K1756,9,2))),NA())</f>
        <v>#N/A</v>
      </c>
      <c r="C1781" s="50" t="str">
        <f>IF(ISBLANK('SQL Builder'!K1756)=FALSE,'SQL Builder'!L1756,"")</f>
        <v/>
      </c>
      <c r="D1781" s="1" t="str">
        <f>IF(ISBLANK('SQL Builder'!K1756)=FALSE,'SQL Builder'!O1756,"")</f>
        <v/>
      </c>
      <c r="H1781" s="43" t="str">
        <f>IF(ISBLANK('SQL Builder'!K1755)=FALSE,H1780+1,"")</f>
        <v/>
      </c>
      <c r="I1781" s="1" t="str">
        <f>IF(ISBLANK('SQL Builder'!P1756)=FALSE,'SQL Builder'!N1756,"")</f>
        <v/>
      </c>
      <c r="J1781" s="79">
        <f t="shared" si="27"/>
        <v>0</v>
      </c>
    </row>
    <row r="1782" spans="2:10" ht="16.5" x14ac:dyDescent="0.25">
      <c r="B1782" s="49" t="e">
        <f>IF(ISBLANK('SQL Builder'!K1757)=FALSE,(DATE(LEFT('SQL Builder'!K1757,4),MID('SQL Builder'!K1757,6,2),MID('SQL Builder'!K1757,9,2))),NA())</f>
        <v>#N/A</v>
      </c>
      <c r="C1782" s="50" t="str">
        <f>IF(ISBLANK('SQL Builder'!K1757)=FALSE,'SQL Builder'!L1757,"")</f>
        <v/>
      </c>
      <c r="D1782" s="1" t="str">
        <f>IF(ISBLANK('SQL Builder'!K1757)=FALSE,'SQL Builder'!O1757,"")</f>
        <v/>
      </c>
      <c r="H1782" s="43" t="str">
        <f>IF(ISBLANK('SQL Builder'!K1756)=FALSE,H1781+1,"")</f>
        <v/>
      </c>
      <c r="I1782" s="1" t="str">
        <f>IF(ISBLANK('SQL Builder'!P1757)=FALSE,'SQL Builder'!N1757,"")</f>
        <v/>
      </c>
      <c r="J1782" s="79">
        <f t="shared" si="27"/>
        <v>0</v>
      </c>
    </row>
    <row r="1783" spans="2:10" ht="16.5" x14ac:dyDescent="0.25">
      <c r="B1783" s="49" t="e">
        <f>IF(ISBLANK('SQL Builder'!K1758)=FALSE,(DATE(LEFT('SQL Builder'!K1758,4),MID('SQL Builder'!K1758,6,2),MID('SQL Builder'!K1758,9,2))),NA())</f>
        <v>#N/A</v>
      </c>
      <c r="C1783" s="50" t="str">
        <f>IF(ISBLANK('SQL Builder'!K1758)=FALSE,'SQL Builder'!L1758,"")</f>
        <v/>
      </c>
      <c r="D1783" s="1" t="str">
        <f>IF(ISBLANK('SQL Builder'!K1758)=FALSE,'SQL Builder'!O1758,"")</f>
        <v/>
      </c>
      <c r="H1783" s="43" t="str">
        <f>IF(ISBLANK('SQL Builder'!K1757)=FALSE,H1782+1,"")</f>
        <v/>
      </c>
      <c r="I1783" s="1" t="str">
        <f>IF(ISBLANK('SQL Builder'!P1758)=FALSE,'SQL Builder'!N1758,"")</f>
        <v/>
      </c>
      <c r="J1783" s="79">
        <f t="shared" si="27"/>
        <v>0</v>
      </c>
    </row>
    <row r="1784" spans="2:10" ht="16.5" x14ac:dyDescent="0.25">
      <c r="B1784" s="49" t="e">
        <f>IF(ISBLANK('SQL Builder'!K1759)=FALSE,(DATE(LEFT('SQL Builder'!K1759,4),MID('SQL Builder'!K1759,6,2),MID('SQL Builder'!K1759,9,2))),NA())</f>
        <v>#N/A</v>
      </c>
      <c r="C1784" s="50" t="str">
        <f>IF(ISBLANK('SQL Builder'!K1759)=FALSE,'SQL Builder'!L1759,"")</f>
        <v/>
      </c>
      <c r="D1784" s="1" t="str">
        <f>IF(ISBLANK('SQL Builder'!K1759)=FALSE,'SQL Builder'!O1759,"")</f>
        <v/>
      </c>
      <c r="H1784" s="43" t="str">
        <f>IF(ISBLANK('SQL Builder'!K1758)=FALSE,H1783+1,"")</f>
        <v/>
      </c>
      <c r="I1784" s="1" t="str">
        <f>IF(ISBLANK('SQL Builder'!P1759)=FALSE,'SQL Builder'!N1759,"")</f>
        <v/>
      </c>
      <c r="J1784" s="79">
        <f t="shared" si="27"/>
        <v>0</v>
      </c>
    </row>
    <row r="1785" spans="2:10" ht="16.5" x14ac:dyDescent="0.25">
      <c r="B1785" s="49" t="e">
        <f>IF(ISBLANK('SQL Builder'!K1760)=FALSE,(DATE(LEFT('SQL Builder'!K1760,4),MID('SQL Builder'!K1760,6,2),MID('SQL Builder'!K1760,9,2))),NA())</f>
        <v>#N/A</v>
      </c>
      <c r="C1785" s="50" t="str">
        <f>IF(ISBLANK('SQL Builder'!K1760)=FALSE,'SQL Builder'!L1760,"")</f>
        <v/>
      </c>
      <c r="D1785" s="1" t="str">
        <f>IF(ISBLANK('SQL Builder'!K1760)=FALSE,'SQL Builder'!O1760,"")</f>
        <v/>
      </c>
      <c r="H1785" s="43" t="str">
        <f>IF(ISBLANK('SQL Builder'!K1759)=FALSE,H1784+1,"")</f>
        <v/>
      </c>
      <c r="I1785" s="1" t="str">
        <f>IF(ISBLANK('SQL Builder'!P1760)=FALSE,'SQL Builder'!N1760,"")</f>
        <v/>
      </c>
      <c r="J1785" s="79">
        <f t="shared" si="27"/>
        <v>0</v>
      </c>
    </row>
    <row r="1786" spans="2:10" ht="16.5" x14ac:dyDescent="0.25">
      <c r="B1786" s="49" t="e">
        <f>IF(ISBLANK('SQL Builder'!K1761)=FALSE,(DATE(LEFT('SQL Builder'!K1761,4),MID('SQL Builder'!K1761,6,2),MID('SQL Builder'!K1761,9,2))),NA())</f>
        <v>#N/A</v>
      </c>
      <c r="C1786" s="50" t="str">
        <f>IF(ISBLANK('SQL Builder'!K1761)=FALSE,'SQL Builder'!L1761,"")</f>
        <v/>
      </c>
      <c r="D1786" s="1" t="str">
        <f>IF(ISBLANK('SQL Builder'!K1761)=FALSE,'SQL Builder'!O1761,"")</f>
        <v/>
      </c>
      <c r="H1786" s="43" t="str">
        <f>IF(ISBLANK('SQL Builder'!K1760)=FALSE,H1785+1,"")</f>
        <v/>
      </c>
      <c r="I1786" s="1" t="str">
        <f>IF(ISBLANK('SQL Builder'!P1761)=FALSE,'SQL Builder'!N1761,"")</f>
        <v/>
      </c>
      <c r="J1786" s="79">
        <f t="shared" si="27"/>
        <v>0</v>
      </c>
    </row>
    <row r="1787" spans="2:10" ht="16.5" x14ac:dyDescent="0.25">
      <c r="B1787" s="49" t="e">
        <f>IF(ISBLANK('SQL Builder'!K1762)=FALSE,(DATE(LEFT('SQL Builder'!K1762,4),MID('SQL Builder'!K1762,6,2),MID('SQL Builder'!K1762,9,2))),NA())</f>
        <v>#N/A</v>
      </c>
      <c r="C1787" s="50" t="str">
        <f>IF(ISBLANK('SQL Builder'!K1762)=FALSE,'SQL Builder'!L1762,"")</f>
        <v/>
      </c>
      <c r="D1787" s="1" t="str">
        <f>IF(ISBLANK('SQL Builder'!K1762)=FALSE,'SQL Builder'!O1762,"")</f>
        <v/>
      </c>
      <c r="H1787" s="43" t="str">
        <f>IF(ISBLANK('SQL Builder'!K1761)=FALSE,H1786+1,"")</f>
        <v/>
      </c>
      <c r="I1787" s="1" t="str">
        <f>IF(ISBLANK('SQL Builder'!P1762)=FALSE,'SQL Builder'!N1762,"")</f>
        <v/>
      </c>
      <c r="J1787" s="79">
        <f t="shared" si="27"/>
        <v>0</v>
      </c>
    </row>
    <row r="1788" spans="2:10" ht="16.5" x14ac:dyDescent="0.25">
      <c r="B1788" s="49" t="e">
        <f>IF(ISBLANK('SQL Builder'!K1763)=FALSE,(DATE(LEFT('SQL Builder'!K1763,4),MID('SQL Builder'!K1763,6,2),MID('SQL Builder'!K1763,9,2))),NA())</f>
        <v>#N/A</v>
      </c>
      <c r="C1788" s="50" t="str">
        <f>IF(ISBLANK('SQL Builder'!K1763)=FALSE,'SQL Builder'!L1763,"")</f>
        <v/>
      </c>
      <c r="D1788" s="1" t="str">
        <f>IF(ISBLANK('SQL Builder'!K1763)=FALSE,'SQL Builder'!O1763,"")</f>
        <v/>
      </c>
      <c r="H1788" s="43" t="str">
        <f>IF(ISBLANK('SQL Builder'!K1762)=FALSE,H1787+1,"")</f>
        <v/>
      </c>
      <c r="I1788" s="1" t="str">
        <f>IF(ISBLANK('SQL Builder'!P1763)=FALSE,'SQL Builder'!N1763,"")</f>
        <v/>
      </c>
      <c r="J1788" s="79">
        <f t="shared" si="27"/>
        <v>0</v>
      </c>
    </row>
    <row r="1789" spans="2:10" ht="16.5" x14ac:dyDescent="0.25">
      <c r="B1789" s="49" t="e">
        <f>IF(ISBLANK('SQL Builder'!K1764)=FALSE,(DATE(LEFT('SQL Builder'!K1764,4),MID('SQL Builder'!K1764,6,2),MID('SQL Builder'!K1764,9,2))),NA())</f>
        <v>#N/A</v>
      </c>
      <c r="C1789" s="50" t="str">
        <f>IF(ISBLANK('SQL Builder'!K1764)=FALSE,'SQL Builder'!L1764,"")</f>
        <v/>
      </c>
      <c r="D1789" s="1" t="str">
        <f>IF(ISBLANK('SQL Builder'!K1764)=FALSE,'SQL Builder'!O1764,"")</f>
        <v/>
      </c>
      <c r="H1789" s="43" t="str">
        <f>IF(ISBLANK('SQL Builder'!K1763)=FALSE,H1788+1,"")</f>
        <v/>
      </c>
      <c r="I1789" s="1" t="str">
        <f>IF(ISBLANK('SQL Builder'!P1764)=FALSE,'SQL Builder'!N1764,"")</f>
        <v/>
      </c>
      <c r="J1789" s="79">
        <f t="shared" si="27"/>
        <v>0</v>
      </c>
    </row>
    <row r="1790" spans="2:10" ht="16.5" x14ac:dyDescent="0.25">
      <c r="B1790" s="49" t="e">
        <f>IF(ISBLANK('SQL Builder'!K1765)=FALSE,(DATE(LEFT('SQL Builder'!K1765,4),MID('SQL Builder'!K1765,6,2),MID('SQL Builder'!K1765,9,2))),NA())</f>
        <v>#N/A</v>
      </c>
      <c r="C1790" s="50" t="str">
        <f>IF(ISBLANK('SQL Builder'!K1765)=FALSE,'SQL Builder'!L1765,"")</f>
        <v/>
      </c>
      <c r="D1790" s="1" t="str">
        <f>IF(ISBLANK('SQL Builder'!K1765)=FALSE,'SQL Builder'!O1765,"")</f>
        <v/>
      </c>
      <c r="H1790" s="43" t="str">
        <f>IF(ISBLANK('SQL Builder'!K1764)=FALSE,H1789+1,"")</f>
        <v/>
      </c>
      <c r="I1790" s="1" t="str">
        <f>IF(ISBLANK('SQL Builder'!P1765)=FALSE,'SQL Builder'!N1765,"")</f>
        <v/>
      </c>
      <c r="J1790" s="79">
        <f t="shared" si="27"/>
        <v>0</v>
      </c>
    </row>
    <row r="1791" spans="2:10" ht="16.5" x14ac:dyDescent="0.25">
      <c r="B1791" s="49" t="e">
        <f>IF(ISBLANK('SQL Builder'!K1766)=FALSE,(DATE(LEFT('SQL Builder'!K1766,4),MID('SQL Builder'!K1766,6,2),MID('SQL Builder'!K1766,9,2))),NA())</f>
        <v>#N/A</v>
      </c>
      <c r="C1791" s="50" t="str">
        <f>IF(ISBLANK('SQL Builder'!K1766)=FALSE,'SQL Builder'!L1766,"")</f>
        <v/>
      </c>
      <c r="D1791" s="1" t="str">
        <f>IF(ISBLANK('SQL Builder'!K1766)=FALSE,'SQL Builder'!O1766,"")</f>
        <v/>
      </c>
      <c r="H1791" s="43" t="str">
        <f>IF(ISBLANK('SQL Builder'!K1765)=FALSE,H1790+1,"")</f>
        <v/>
      </c>
      <c r="I1791" s="1" t="str">
        <f>IF(ISBLANK('SQL Builder'!P1766)=FALSE,'SQL Builder'!N1766,"")</f>
        <v/>
      </c>
      <c r="J1791" s="79">
        <f t="shared" si="27"/>
        <v>0</v>
      </c>
    </row>
    <row r="1792" spans="2:10" ht="16.5" x14ac:dyDescent="0.25">
      <c r="B1792" s="49" t="e">
        <f>IF(ISBLANK('SQL Builder'!K1767)=FALSE,(DATE(LEFT('SQL Builder'!K1767,4),MID('SQL Builder'!K1767,6,2),MID('SQL Builder'!K1767,9,2))),NA())</f>
        <v>#N/A</v>
      </c>
      <c r="C1792" s="50" t="str">
        <f>IF(ISBLANK('SQL Builder'!K1767)=FALSE,'SQL Builder'!L1767,"")</f>
        <v/>
      </c>
      <c r="D1792" s="1" t="str">
        <f>IF(ISBLANK('SQL Builder'!K1767)=FALSE,'SQL Builder'!O1767,"")</f>
        <v/>
      </c>
      <c r="H1792" s="43" t="str">
        <f>IF(ISBLANK('SQL Builder'!K1766)=FALSE,H1791+1,"")</f>
        <v/>
      </c>
      <c r="I1792" s="1" t="str">
        <f>IF(ISBLANK('SQL Builder'!P1767)=FALSE,'SQL Builder'!N1767,"")</f>
        <v/>
      </c>
      <c r="J1792" s="79">
        <f t="shared" si="27"/>
        <v>0</v>
      </c>
    </row>
    <row r="1793" spans="2:10" ht="16.5" x14ac:dyDescent="0.25">
      <c r="B1793" s="49" t="e">
        <f>IF(ISBLANK('SQL Builder'!K1768)=FALSE,(DATE(LEFT('SQL Builder'!K1768,4),MID('SQL Builder'!K1768,6,2),MID('SQL Builder'!K1768,9,2))),NA())</f>
        <v>#N/A</v>
      </c>
      <c r="C1793" s="50" t="str">
        <f>IF(ISBLANK('SQL Builder'!K1768)=FALSE,'SQL Builder'!L1768,"")</f>
        <v/>
      </c>
      <c r="D1793" s="1" t="str">
        <f>IF(ISBLANK('SQL Builder'!K1768)=FALSE,'SQL Builder'!O1768,"")</f>
        <v/>
      </c>
      <c r="H1793" s="43" t="str">
        <f>IF(ISBLANK('SQL Builder'!K1767)=FALSE,H1792+1,"")</f>
        <v/>
      </c>
      <c r="I1793" s="1" t="str">
        <f>IF(ISBLANK('SQL Builder'!P1768)=FALSE,'SQL Builder'!N1768,"")</f>
        <v/>
      </c>
      <c r="J1793" s="79">
        <f t="shared" si="27"/>
        <v>0</v>
      </c>
    </row>
    <row r="1794" spans="2:10" ht="16.5" x14ac:dyDescent="0.25">
      <c r="B1794" s="49" t="e">
        <f>IF(ISBLANK('SQL Builder'!K1769)=FALSE,(DATE(LEFT('SQL Builder'!K1769,4),MID('SQL Builder'!K1769,6,2),MID('SQL Builder'!K1769,9,2))),NA())</f>
        <v>#N/A</v>
      </c>
      <c r="C1794" s="50" t="str">
        <f>IF(ISBLANK('SQL Builder'!K1769)=FALSE,'SQL Builder'!L1769,"")</f>
        <v/>
      </c>
      <c r="D1794" s="1" t="str">
        <f>IF(ISBLANK('SQL Builder'!K1769)=FALSE,'SQL Builder'!O1769,"")</f>
        <v/>
      </c>
      <c r="H1794" s="43" t="str">
        <f>IF(ISBLANK('SQL Builder'!K1768)=FALSE,H1793+1,"")</f>
        <v/>
      </c>
      <c r="I1794" s="1" t="str">
        <f>IF(ISBLANK('SQL Builder'!P1769)=FALSE,'SQL Builder'!N1769,"")</f>
        <v/>
      </c>
      <c r="J1794" s="79">
        <f t="shared" si="27"/>
        <v>0</v>
      </c>
    </row>
    <row r="1795" spans="2:10" ht="16.5" x14ac:dyDescent="0.25">
      <c r="B1795" s="49" t="e">
        <f>IF(ISBLANK('SQL Builder'!K1770)=FALSE,(DATE(LEFT('SQL Builder'!K1770,4),MID('SQL Builder'!K1770,6,2),MID('SQL Builder'!K1770,9,2))),NA())</f>
        <v>#N/A</v>
      </c>
      <c r="C1795" s="50" t="str">
        <f>IF(ISBLANK('SQL Builder'!K1770)=FALSE,'SQL Builder'!L1770,"")</f>
        <v/>
      </c>
      <c r="D1795" s="1" t="str">
        <f>IF(ISBLANK('SQL Builder'!K1770)=FALSE,'SQL Builder'!O1770,"")</f>
        <v/>
      </c>
      <c r="H1795" s="43" t="str">
        <f>IF(ISBLANK('SQL Builder'!K1769)=FALSE,H1794+1,"")</f>
        <v/>
      </c>
      <c r="I1795" s="1" t="str">
        <f>IF(ISBLANK('SQL Builder'!P1770)=FALSE,'SQL Builder'!N1770,"")</f>
        <v/>
      </c>
      <c r="J1795" s="79">
        <f t="shared" si="27"/>
        <v>0</v>
      </c>
    </row>
    <row r="1796" spans="2:10" ht="16.5" x14ac:dyDescent="0.25">
      <c r="B1796" s="49" t="e">
        <f>IF(ISBLANK('SQL Builder'!K1771)=FALSE,(DATE(LEFT('SQL Builder'!K1771,4),MID('SQL Builder'!K1771,6,2),MID('SQL Builder'!K1771,9,2))),NA())</f>
        <v>#N/A</v>
      </c>
      <c r="C1796" s="50" t="str">
        <f>IF(ISBLANK('SQL Builder'!K1771)=FALSE,'SQL Builder'!L1771,"")</f>
        <v/>
      </c>
      <c r="D1796" s="1" t="str">
        <f>IF(ISBLANK('SQL Builder'!K1771)=FALSE,'SQL Builder'!O1771,"")</f>
        <v/>
      </c>
      <c r="H1796" s="43" t="str">
        <f>IF(ISBLANK('SQL Builder'!K1770)=FALSE,H1795+1,"")</f>
        <v/>
      </c>
      <c r="I1796" s="1" t="str">
        <f>IF(ISBLANK('SQL Builder'!P1771)=FALSE,'SQL Builder'!N1771,"")</f>
        <v/>
      </c>
      <c r="J1796" s="79">
        <f t="shared" si="27"/>
        <v>0</v>
      </c>
    </row>
    <row r="1797" spans="2:10" ht="16.5" x14ac:dyDescent="0.25">
      <c r="B1797" s="49" t="e">
        <f>IF(ISBLANK('SQL Builder'!K1772)=FALSE,(DATE(LEFT('SQL Builder'!K1772,4),MID('SQL Builder'!K1772,6,2),MID('SQL Builder'!K1772,9,2))),NA())</f>
        <v>#N/A</v>
      </c>
      <c r="C1797" s="50" t="str">
        <f>IF(ISBLANK('SQL Builder'!K1772)=FALSE,'SQL Builder'!L1772,"")</f>
        <v/>
      </c>
      <c r="D1797" s="1" t="str">
        <f>IF(ISBLANK('SQL Builder'!K1772)=FALSE,'SQL Builder'!O1772,"")</f>
        <v/>
      </c>
      <c r="H1797" s="43" t="str">
        <f>IF(ISBLANK('SQL Builder'!K1771)=FALSE,H1796+1,"")</f>
        <v/>
      </c>
      <c r="I1797" s="1" t="str">
        <f>IF(ISBLANK('SQL Builder'!P1772)=FALSE,'SQL Builder'!N1772,"")</f>
        <v/>
      </c>
      <c r="J1797" s="79">
        <f t="shared" si="27"/>
        <v>0</v>
      </c>
    </row>
    <row r="1798" spans="2:10" ht="16.5" x14ac:dyDescent="0.25">
      <c r="B1798" s="49" t="e">
        <f>IF(ISBLANK('SQL Builder'!K1773)=FALSE,(DATE(LEFT('SQL Builder'!K1773,4),MID('SQL Builder'!K1773,6,2),MID('SQL Builder'!K1773,9,2))),NA())</f>
        <v>#N/A</v>
      </c>
      <c r="C1798" s="50" t="str">
        <f>IF(ISBLANK('SQL Builder'!K1773)=FALSE,'SQL Builder'!L1773,"")</f>
        <v/>
      </c>
      <c r="D1798" s="1" t="str">
        <f>IF(ISBLANK('SQL Builder'!K1773)=FALSE,'SQL Builder'!O1773,"")</f>
        <v/>
      </c>
      <c r="H1798" s="43" t="str">
        <f>IF(ISBLANK('SQL Builder'!K1772)=FALSE,H1797+1,"")</f>
        <v/>
      </c>
      <c r="I1798" s="1" t="str">
        <f>IF(ISBLANK('SQL Builder'!P1773)=FALSE,'SQL Builder'!N1773,"")</f>
        <v/>
      </c>
      <c r="J1798" s="79">
        <f t="shared" si="27"/>
        <v>0</v>
      </c>
    </row>
    <row r="1799" spans="2:10" ht="16.5" x14ac:dyDescent="0.25">
      <c r="B1799" s="49" t="e">
        <f>IF(ISBLANK('SQL Builder'!K1774)=FALSE,(DATE(LEFT('SQL Builder'!K1774,4),MID('SQL Builder'!K1774,6,2),MID('SQL Builder'!K1774,9,2))),NA())</f>
        <v>#N/A</v>
      </c>
      <c r="C1799" s="50" t="str">
        <f>IF(ISBLANK('SQL Builder'!K1774)=FALSE,'SQL Builder'!L1774,"")</f>
        <v/>
      </c>
      <c r="D1799" s="1" t="str">
        <f>IF(ISBLANK('SQL Builder'!K1774)=FALSE,'SQL Builder'!O1774,"")</f>
        <v/>
      </c>
      <c r="H1799" s="43" t="str">
        <f>IF(ISBLANK('SQL Builder'!K1773)=FALSE,H1798+1,"")</f>
        <v/>
      </c>
      <c r="I1799" s="1" t="str">
        <f>IF(ISBLANK('SQL Builder'!P1774)=FALSE,'SQL Builder'!N1774,"")</f>
        <v/>
      </c>
      <c r="J1799" s="79">
        <f t="shared" si="27"/>
        <v>0</v>
      </c>
    </row>
    <row r="1800" spans="2:10" ht="16.5" x14ac:dyDescent="0.25">
      <c r="B1800" s="49" t="e">
        <f>IF(ISBLANK('SQL Builder'!K1775)=FALSE,(DATE(LEFT('SQL Builder'!K1775,4),MID('SQL Builder'!K1775,6,2),MID('SQL Builder'!K1775,9,2))),NA())</f>
        <v>#N/A</v>
      </c>
      <c r="C1800" s="50" t="str">
        <f>IF(ISBLANK('SQL Builder'!K1775)=FALSE,'SQL Builder'!L1775,"")</f>
        <v/>
      </c>
      <c r="D1800" s="1" t="str">
        <f>IF(ISBLANK('SQL Builder'!K1775)=FALSE,'SQL Builder'!O1775,"")</f>
        <v/>
      </c>
      <c r="H1800" s="43" t="str">
        <f>IF(ISBLANK('SQL Builder'!K1774)=FALSE,H1799+1,"")</f>
        <v/>
      </c>
      <c r="I1800" s="1" t="str">
        <f>IF(ISBLANK('SQL Builder'!P1775)=FALSE,'SQL Builder'!N1775,"")</f>
        <v/>
      </c>
      <c r="J1800" s="79">
        <f t="shared" si="27"/>
        <v>0</v>
      </c>
    </row>
    <row r="1801" spans="2:10" ht="16.5" x14ac:dyDescent="0.25">
      <c r="B1801" s="49" t="e">
        <f>IF(ISBLANK('SQL Builder'!K1776)=FALSE,(DATE(LEFT('SQL Builder'!K1776,4),MID('SQL Builder'!K1776,6,2),MID('SQL Builder'!K1776,9,2))),NA())</f>
        <v>#N/A</v>
      </c>
      <c r="C1801" s="50" t="str">
        <f>IF(ISBLANK('SQL Builder'!K1776)=FALSE,'SQL Builder'!L1776,"")</f>
        <v/>
      </c>
      <c r="D1801" s="1" t="str">
        <f>IF(ISBLANK('SQL Builder'!K1776)=FALSE,'SQL Builder'!O1776,"")</f>
        <v/>
      </c>
      <c r="H1801" s="43" t="str">
        <f>IF(ISBLANK('SQL Builder'!K1775)=FALSE,H1800+1,"")</f>
        <v/>
      </c>
      <c r="I1801" s="1" t="str">
        <f>IF(ISBLANK('SQL Builder'!P1776)=FALSE,'SQL Builder'!N1776,"")</f>
        <v/>
      </c>
      <c r="J1801" s="79">
        <f t="shared" si="27"/>
        <v>0</v>
      </c>
    </row>
    <row r="1802" spans="2:10" ht="16.5" x14ac:dyDescent="0.25">
      <c r="B1802" s="49" t="e">
        <f>IF(ISBLANK('SQL Builder'!K1777)=FALSE,(DATE(LEFT('SQL Builder'!K1777,4),MID('SQL Builder'!K1777,6,2),MID('SQL Builder'!K1777,9,2))),NA())</f>
        <v>#N/A</v>
      </c>
      <c r="C1802" s="50" t="str">
        <f>IF(ISBLANK('SQL Builder'!K1777)=FALSE,'SQL Builder'!L1777,"")</f>
        <v/>
      </c>
      <c r="D1802" s="1" t="str">
        <f>IF(ISBLANK('SQL Builder'!K1777)=FALSE,'SQL Builder'!O1777,"")</f>
        <v/>
      </c>
      <c r="H1802" s="43" t="str">
        <f>IF(ISBLANK('SQL Builder'!K1776)=FALSE,H1801+1,"")</f>
        <v/>
      </c>
      <c r="I1802" s="1" t="str">
        <f>IF(ISBLANK('SQL Builder'!P1777)=FALSE,'SQL Builder'!N1777,"")</f>
        <v/>
      </c>
      <c r="J1802" s="79">
        <f t="shared" si="27"/>
        <v>0</v>
      </c>
    </row>
    <row r="1803" spans="2:10" ht="16.5" x14ac:dyDescent="0.25">
      <c r="B1803" s="49" t="e">
        <f>IF(ISBLANK('SQL Builder'!K1778)=FALSE,(DATE(LEFT('SQL Builder'!K1778,4),MID('SQL Builder'!K1778,6,2),MID('SQL Builder'!K1778,9,2))),NA())</f>
        <v>#N/A</v>
      </c>
      <c r="C1803" s="50" t="str">
        <f>IF(ISBLANK('SQL Builder'!K1778)=FALSE,'SQL Builder'!L1778,"")</f>
        <v/>
      </c>
      <c r="D1803" s="1" t="str">
        <f>IF(ISBLANK('SQL Builder'!K1778)=FALSE,'SQL Builder'!O1778,"")</f>
        <v/>
      </c>
      <c r="H1803" s="43" t="str">
        <f>IF(ISBLANK('SQL Builder'!K1777)=FALSE,H1802+1,"")</f>
        <v/>
      </c>
      <c r="I1803" s="1" t="str">
        <f>IF(ISBLANK('SQL Builder'!P1778)=FALSE,'SQL Builder'!N1778,"")</f>
        <v/>
      </c>
      <c r="J1803" s="79">
        <f t="shared" si="27"/>
        <v>0</v>
      </c>
    </row>
    <row r="1804" spans="2:10" ht="16.5" x14ac:dyDescent="0.25">
      <c r="B1804" s="49" t="e">
        <f>IF(ISBLANK('SQL Builder'!K1779)=FALSE,(DATE(LEFT('SQL Builder'!K1779,4),MID('SQL Builder'!K1779,6,2),MID('SQL Builder'!K1779,9,2))),NA())</f>
        <v>#N/A</v>
      </c>
      <c r="C1804" s="50" t="str">
        <f>IF(ISBLANK('SQL Builder'!K1779)=FALSE,'SQL Builder'!L1779,"")</f>
        <v/>
      </c>
      <c r="D1804" s="1" t="str">
        <f>IF(ISBLANK('SQL Builder'!K1779)=FALSE,'SQL Builder'!O1779,"")</f>
        <v/>
      </c>
      <c r="H1804" s="43" t="str">
        <f>IF(ISBLANK('SQL Builder'!K1778)=FALSE,H1803+1,"")</f>
        <v/>
      </c>
      <c r="I1804" s="1" t="str">
        <f>IF(ISBLANK('SQL Builder'!P1779)=FALSE,'SQL Builder'!N1779,"")</f>
        <v/>
      </c>
      <c r="J1804" s="79">
        <f t="shared" si="27"/>
        <v>0</v>
      </c>
    </row>
    <row r="1805" spans="2:10" ht="16.5" x14ac:dyDescent="0.25">
      <c r="B1805" s="49" t="e">
        <f>IF(ISBLANK('SQL Builder'!K1780)=FALSE,(DATE(LEFT('SQL Builder'!K1780,4),MID('SQL Builder'!K1780,6,2),MID('SQL Builder'!K1780,9,2))),NA())</f>
        <v>#N/A</v>
      </c>
      <c r="C1805" s="50" t="str">
        <f>IF(ISBLANK('SQL Builder'!K1780)=FALSE,'SQL Builder'!L1780,"")</f>
        <v/>
      </c>
      <c r="D1805" s="1" t="str">
        <f>IF(ISBLANK('SQL Builder'!K1780)=FALSE,'SQL Builder'!O1780,"")</f>
        <v/>
      </c>
      <c r="H1805" s="43" t="str">
        <f>IF(ISBLANK('SQL Builder'!K1779)=FALSE,H1804+1,"")</f>
        <v/>
      </c>
      <c r="I1805" s="1" t="str">
        <f>IF(ISBLANK('SQL Builder'!P1780)=FALSE,'SQL Builder'!N1780,"")</f>
        <v/>
      </c>
      <c r="J1805" s="79">
        <f t="shared" si="27"/>
        <v>0</v>
      </c>
    </row>
    <row r="1806" spans="2:10" ht="16.5" x14ac:dyDescent="0.25">
      <c r="B1806" s="49" t="e">
        <f>IF(ISBLANK('SQL Builder'!K1781)=FALSE,(DATE(LEFT('SQL Builder'!K1781,4),MID('SQL Builder'!K1781,6,2),MID('SQL Builder'!K1781,9,2))),NA())</f>
        <v>#N/A</v>
      </c>
      <c r="C1806" s="50" t="str">
        <f>IF(ISBLANK('SQL Builder'!K1781)=FALSE,'SQL Builder'!L1781,"")</f>
        <v/>
      </c>
      <c r="D1806" s="1" t="str">
        <f>IF(ISBLANK('SQL Builder'!K1781)=FALSE,'SQL Builder'!O1781,"")</f>
        <v/>
      </c>
      <c r="H1806" s="43" t="str">
        <f>IF(ISBLANK('SQL Builder'!K1780)=FALSE,H1805+1,"")</f>
        <v/>
      </c>
      <c r="I1806" s="1" t="str">
        <f>IF(ISBLANK('SQL Builder'!P1781)=FALSE,'SQL Builder'!N1781,"")</f>
        <v/>
      </c>
      <c r="J1806" s="79">
        <f t="shared" si="27"/>
        <v>0</v>
      </c>
    </row>
    <row r="1807" spans="2:10" ht="16.5" x14ac:dyDescent="0.25">
      <c r="B1807" s="49" t="e">
        <f>IF(ISBLANK('SQL Builder'!K1782)=FALSE,(DATE(LEFT('SQL Builder'!K1782,4),MID('SQL Builder'!K1782,6,2),MID('SQL Builder'!K1782,9,2))),NA())</f>
        <v>#N/A</v>
      </c>
      <c r="C1807" s="50" t="str">
        <f>IF(ISBLANK('SQL Builder'!K1782)=FALSE,'SQL Builder'!L1782,"")</f>
        <v/>
      </c>
      <c r="D1807" s="1" t="str">
        <f>IF(ISBLANK('SQL Builder'!K1782)=FALSE,'SQL Builder'!O1782,"")</f>
        <v/>
      </c>
      <c r="H1807" s="43" t="str">
        <f>IF(ISBLANK('SQL Builder'!K1781)=FALSE,H1806+1,"")</f>
        <v/>
      </c>
      <c r="I1807" s="1" t="str">
        <f>IF(ISBLANK('SQL Builder'!P1782)=FALSE,'SQL Builder'!N1782,"")</f>
        <v/>
      </c>
      <c r="J1807" s="79">
        <f t="shared" si="27"/>
        <v>0</v>
      </c>
    </row>
    <row r="1808" spans="2:10" ht="16.5" x14ac:dyDescent="0.25">
      <c r="B1808" s="49" t="e">
        <f>IF(ISBLANK('SQL Builder'!K1783)=FALSE,(DATE(LEFT('SQL Builder'!K1783,4),MID('SQL Builder'!K1783,6,2),MID('SQL Builder'!K1783,9,2))),NA())</f>
        <v>#N/A</v>
      </c>
      <c r="C1808" s="50" t="str">
        <f>IF(ISBLANK('SQL Builder'!K1783)=FALSE,'SQL Builder'!L1783,"")</f>
        <v/>
      </c>
      <c r="D1808" s="1" t="str">
        <f>IF(ISBLANK('SQL Builder'!K1783)=FALSE,'SQL Builder'!O1783,"")</f>
        <v/>
      </c>
      <c r="H1808" s="43" t="str">
        <f>IF(ISBLANK('SQL Builder'!K1782)=FALSE,H1807+1,"")</f>
        <v/>
      </c>
      <c r="I1808" s="1" t="str">
        <f>IF(ISBLANK('SQL Builder'!P1783)=FALSE,'SQL Builder'!N1783,"")</f>
        <v/>
      </c>
      <c r="J1808" s="79">
        <f t="shared" si="27"/>
        <v>0</v>
      </c>
    </row>
    <row r="1809" spans="2:10" ht="16.5" x14ac:dyDescent="0.25">
      <c r="B1809" s="49" t="e">
        <f>IF(ISBLANK('SQL Builder'!K1784)=FALSE,(DATE(LEFT('SQL Builder'!K1784,4),MID('SQL Builder'!K1784,6,2),MID('SQL Builder'!K1784,9,2))),NA())</f>
        <v>#N/A</v>
      </c>
      <c r="C1809" s="50" t="str">
        <f>IF(ISBLANK('SQL Builder'!K1784)=FALSE,'SQL Builder'!L1784,"")</f>
        <v/>
      </c>
      <c r="D1809" s="1" t="str">
        <f>IF(ISBLANK('SQL Builder'!K1784)=FALSE,'SQL Builder'!O1784,"")</f>
        <v/>
      </c>
      <c r="H1809" s="43" t="str">
        <f>IF(ISBLANK('SQL Builder'!K1783)=FALSE,H1808+1,"")</f>
        <v/>
      </c>
      <c r="I1809" s="1" t="str">
        <f>IF(ISBLANK('SQL Builder'!P1784)=FALSE,'SQL Builder'!N1784,"")</f>
        <v/>
      </c>
      <c r="J1809" s="79">
        <f t="shared" si="27"/>
        <v>0</v>
      </c>
    </row>
    <row r="1810" spans="2:10" ht="16.5" x14ac:dyDescent="0.25">
      <c r="B1810" s="49" t="e">
        <f>IF(ISBLANK('SQL Builder'!K1785)=FALSE,(DATE(LEFT('SQL Builder'!K1785,4),MID('SQL Builder'!K1785,6,2),MID('SQL Builder'!K1785,9,2))),NA())</f>
        <v>#N/A</v>
      </c>
      <c r="C1810" s="50" t="str">
        <f>IF(ISBLANK('SQL Builder'!K1785)=FALSE,'SQL Builder'!L1785,"")</f>
        <v/>
      </c>
      <c r="D1810" s="1" t="str">
        <f>IF(ISBLANK('SQL Builder'!K1785)=FALSE,'SQL Builder'!O1785,"")</f>
        <v/>
      </c>
      <c r="H1810" s="43" t="str">
        <f>IF(ISBLANK('SQL Builder'!K1784)=FALSE,H1809+1,"")</f>
        <v/>
      </c>
      <c r="I1810" s="1" t="str">
        <f>IF(ISBLANK('SQL Builder'!P1785)=FALSE,'SQL Builder'!N1785,"")</f>
        <v/>
      </c>
      <c r="J1810" s="79">
        <f t="shared" si="27"/>
        <v>0</v>
      </c>
    </row>
    <row r="1811" spans="2:10" ht="16.5" x14ac:dyDescent="0.25">
      <c r="B1811" s="49" t="e">
        <f>IF(ISBLANK('SQL Builder'!K1786)=FALSE,(DATE(LEFT('SQL Builder'!K1786,4),MID('SQL Builder'!K1786,6,2),MID('SQL Builder'!K1786,9,2))),NA())</f>
        <v>#N/A</v>
      </c>
      <c r="C1811" s="50" t="str">
        <f>IF(ISBLANK('SQL Builder'!K1786)=FALSE,'SQL Builder'!L1786,"")</f>
        <v/>
      </c>
      <c r="D1811" s="1" t="str">
        <f>IF(ISBLANK('SQL Builder'!K1786)=FALSE,'SQL Builder'!O1786,"")</f>
        <v/>
      </c>
      <c r="H1811" s="43" t="str">
        <f>IF(ISBLANK('SQL Builder'!K1785)=FALSE,H1810+1,"")</f>
        <v/>
      </c>
      <c r="I1811" s="1" t="str">
        <f>IF(ISBLANK('SQL Builder'!P1786)=FALSE,'SQL Builder'!N1786,"")</f>
        <v/>
      </c>
      <c r="J1811" s="79">
        <f t="shared" si="27"/>
        <v>0</v>
      </c>
    </row>
    <row r="1812" spans="2:10" ht="16.5" x14ac:dyDescent="0.25">
      <c r="B1812" s="49" t="e">
        <f>IF(ISBLANK('SQL Builder'!K1787)=FALSE,(DATE(LEFT('SQL Builder'!K1787,4),MID('SQL Builder'!K1787,6,2),MID('SQL Builder'!K1787,9,2))),NA())</f>
        <v>#N/A</v>
      </c>
      <c r="C1812" s="50" t="str">
        <f>IF(ISBLANK('SQL Builder'!K1787)=FALSE,'SQL Builder'!L1787,"")</f>
        <v/>
      </c>
      <c r="D1812" s="1" t="str">
        <f>IF(ISBLANK('SQL Builder'!K1787)=FALSE,'SQL Builder'!O1787,"")</f>
        <v/>
      </c>
      <c r="H1812" s="43" t="str">
        <f>IF(ISBLANK('SQL Builder'!K1786)=FALSE,H1811+1,"")</f>
        <v/>
      </c>
      <c r="I1812" s="1" t="str">
        <f>IF(ISBLANK('SQL Builder'!P1787)=FALSE,'SQL Builder'!N1787,"")</f>
        <v/>
      </c>
      <c r="J1812" s="79">
        <f t="shared" si="27"/>
        <v>0</v>
      </c>
    </row>
    <row r="1813" spans="2:10" ht="16.5" x14ac:dyDescent="0.25">
      <c r="B1813" s="49" t="e">
        <f>IF(ISBLANK('SQL Builder'!K1788)=FALSE,(DATE(LEFT('SQL Builder'!K1788,4),MID('SQL Builder'!K1788,6,2),MID('SQL Builder'!K1788,9,2))),NA())</f>
        <v>#N/A</v>
      </c>
      <c r="C1813" s="50" t="str">
        <f>IF(ISBLANK('SQL Builder'!K1788)=FALSE,'SQL Builder'!L1788,"")</f>
        <v/>
      </c>
      <c r="D1813" s="1" t="str">
        <f>IF(ISBLANK('SQL Builder'!K1788)=FALSE,'SQL Builder'!O1788,"")</f>
        <v/>
      </c>
      <c r="H1813" s="43" t="str">
        <f>IF(ISBLANK('SQL Builder'!K1787)=FALSE,H1812+1,"")</f>
        <v/>
      </c>
      <c r="I1813" s="1" t="str">
        <f>IF(ISBLANK('SQL Builder'!P1788)=FALSE,'SQL Builder'!N1788,"")</f>
        <v/>
      </c>
      <c r="J1813" s="79">
        <f t="shared" si="27"/>
        <v>0</v>
      </c>
    </row>
    <row r="1814" spans="2:10" ht="16.5" x14ac:dyDescent="0.25">
      <c r="B1814" s="49" t="e">
        <f>IF(ISBLANK('SQL Builder'!K1789)=FALSE,(DATE(LEFT('SQL Builder'!K1789,4),MID('SQL Builder'!K1789,6,2),MID('SQL Builder'!K1789,9,2))),NA())</f>
        <v>#N/A</v>
      </c>
      <c r="C1814" s="50" t="str">
        <f>IF(ISBLANK('SQL Builder'!K1789)=FALSE,'SQL Builder'!L1789,"")</f>
        <v/>
      </c>
      <c r="D1814" s="1" t="str">
        <f>IF(ISBLANK('SQL Builder'!K1789)=FALSE,'SQL Builder'!O1789,"")</f>
        <v/>
      </c>
      <c r="H1814" s="43" t="str">
        <f>IF(ISBLANK('SQL Builder'!K1788)=FALSE,H1813+1,"")</f>
        <v/>
      </c>
      <c r="I1814" s="1" t="str">
        <f>IF(ISBLANK('SQL Builder'!P1789)=FALSE,'SQL Builder'!N1789,"")</f>
        <v/>
      </c>
      <c r="J1814" s="79">
        <f t="shared" si="27"/>
        <v>0</v>
      </c>
    </row>
    <row r="1815" spans="2:10" ht="16.5" x14ac:dyDescent="0.25">
      <c r="B1815" s="49" t="e">
        <f>IF(ISBLANK('SQL Builder'!K1790)=FALSE,(DATE(LEFT('SQL Builder'!K1790,4),MID('SQL Builder'!K1790,6,2),MID('SQL Builder'!K1790,9,2))),NA())</f>
        <v>#N/A</v>
      </c>
      <c r="C1815" s="50" t="str">
        <f>IF(ISBLANK('SQL Builder'!K1790)=FALSE,'SQL Builder'!L1790,"")</f>
        <v/>
      </c>
      <c r="D1815" s="1" t="str">
        <f>IF(ISBLANK('SQL Builder'!K1790)=FALSE,'SQL Builder'!O1790,"")</f>
        <v/>
      </c>
      <c r="H1815" s="43" t="str">
        <f>IF(ISBLANK('SQL Builder'!K1789)=FALSE,H1814+1,"")</f>
        <v/>
      </c>
      <c r="I1815" s="1" t="str">
        <f>IF(ISBLANK('SQL Builder'!P1790)=FALSE,'SQL Builder'!N1790,"")</f>
        <v/>
      </c>
      <c r="J1815" s="79">
        <f t="shared" si="27"/>
        <v>0</v>
      </c>
    </row>
    <row r="1816" spans="2:10" ht="16.5" x14ac:dyDescent="0.25">
      <c r="B1816" s="49" t="e">
        <f>IF(ISBLANK('SQL Builder'!K1791)=FALSE,(DATE(LEFT('SQL Builder'!K1791,4),MID('SQL Builder'!K1791,6,2),MID('SQL Builder'!K1791,9,2))),NA())</f>
        <v>#N/A</v>
      </c>
      <c r="C1816" s="50" t="str">
        <f>IF(ISBLANK('SQL Builder'!K1791)=FALSE,'SQL Builder'!L1791,"")</f>
        <v/>
      </c>
      <c r="D1816" s="1" t="str">
        <f>IF(ISBLANK('SQL Builder'!K1791)=FALSE,'SQL Builder'!O1791,"")</f>
        <v/>
      </c>
      <c r="H1816" s="43" t="str">
        <f>IF(ISBLANK('SQL Builder'!K1790)=FALSE,H1815+1,"")</f>
        <v/>
      </c>
      <c r="I1816" s="1" t="str">
        <f>IF(ISBLANK('SQL Builder'!P1791)=FALSE,'SQL Builder'!N1791,"")</f>
        <v/>
      </c>
      <c r="J1816" s="79">
        <f t="shared" si="27"/>
        <v>0</v>
      </c>
    </row>
    <row r="1817" spans="2:10" ht="16.5" x14ac:dyDescent="0.25">
      <c r="B1817" s="49" t="e">
        <f>IF(ISBLANK('SQL Builder'!K1792)=FALSE,(DATE(LEFT('SQL Builder'!K1792,4),MID('SQL Builder'!K1792,6,2),MID('SQL Builder'!K1792,9,2))),NA())</f>
        <v>#N/A</v>
      </c>
      <c r="C1817" s="50" t="str">
        <f>IF(ISBLANK('SQL Builder'!K1792)=FALSE,'SQL Builder'!L1792,"")</f>
        <v/>
      </c>
      <c r="D1817" s="1" t="str">
        <f>IF(ISBLANK('SQL Builder'!K1792)=FALSE,'SQL Builder'!O1792,"")</f>
        <v/>
      </c>
      <c r="H1817" s="43" t="str">
        <f>IF(ISBLANK('SQL Builder'!K1791)=FALSE,H1816+1,"")</f>
        <v/>
      </c>
      <c r="I1817" s="1" t="str">
        <f>IF(ISBLANK('SQL Builder'!P1792)=FALSE,'SQL Builder'!N1792,"")</f>
        <v/>
      </c>
      <c r="J1817" s="79">
        <f t="shared" si="27"/>
        <v>0</v>
      </c>
    </row>
    <row r="1818" spans="2:10" ht="16.5" x14ac:dyDescent="0.25">
      <c r="B1818" s="49" t="e">
        <f>IF(ISBLANK('SQL Builder'!K1793)=FALSE,(DATE(LEFT('SQL Builder'!K1793,4),MID('SQL Builder'!K1793,6,2),MID('SQL Builder'!K1793,9,2))),NA())</f>
        <v>#N/A</v>
      </c>
      <c r="C1818" s="50" t="str">
        <f>IF(ISBLANK('SQL Builder'!K1793)=FALSE,'SQL Builder'!L1793,"")</f>
        <v/>
      </c>
      <c r="D1818" s="1" t="str">
        <f>IF(ISBLANK('SQL Builder'!K1793)=FALSE,'SQL Builder'!O1793,"")</f>
        <v/>
      </c>
      <c r="H1818" s="43" t="str">
        <f>IF(ISBLANK('SQL Builder'!K1792)=FALSE,H1817+1,"")</f>
        <v/>
      </c>
      <c r="I1818" s="1" t="str">
        <f>IF(ISBLANK('SQL Builder'!P1793)=FALSE,'SQL Builder'!N1793,"")</f>
        <v/>
      </c>
      <c r="J1818" s="79">
        <f t="shared" si="27"/>
        <v>0</v>
      </c>
    </row>
    <row r="1819" spans="2:10" ht="16.5" x14ac:dyDescent="0.25">
      <c r="B1819" s="49" t="e">
        <f>IF(ISBLANK('SQL Builder'!K1794)=FALSE,(DATE(LEFT('SQL Builder'!K1794,4),MID('SQL Builder'!K1794,6,2),MID('SQL Builder'!K1794,9,2))),NA())</f>
        <v>#N/A</v>
      </c>
      <c r="C1819" s="50" t="str">
        <f>IF(ISBLANK('SQL Builder'!K1794)=FALSE,'SQL Builder'!L1794,"")</f>
        <v/>
      </c>
      <c r="D1819" s="1" t="str">
        <f>IF(ISBLANK('SQL Builder'!K1794)=FALSE,'SQL Builder'!O1794,"")</f>
        <v/>
      </c>
      <c r="H1819" s="43" t="str">
        <f>IF(ISBLANK('SQL Builder'!K1793)=FALSE,H1818+1,"")</f>
        <v/>
      </c>
      <c r="I1819" s="1" t="str">
        <f>IF(ISBLANK('SQL Builder'!P1794)=FALSE,'SQL Builder'!N1794,"")</f>
        <v/>
      </c>
      <c r="J1819" s="79">
        <f t="shared" si="27"/>
        <v>0</v>
      </c>
    </row>
    <row r="1820" spans="2:10" ht="16.5" x14ac:dyDescent="0.25">
      <c r="B1820" s="49" t="e">
        <f>IF(ISBLANK('SQL Builder'!K1795)=FALSE,(DATE(LEFT('SQL Builder'!K1795,4),MID('SQL Builder'!K1795,6,2),MID('SQL Builder'!K1795,9,2))),NA())</f>
        <v>#N/A</v>
      </c>
      <c r="C1820" s="50" t="str">
        <f>IF(ISBLANK('SQL Builder'!K1795)=FALSE,'SQL Builder'!L1795,"")</f>
        <v/>
      </c>
      <c r="D1820" s="1" t="str">
        <f>IF(ISBLANK('SQL Builder'!K1795)=FALSE,'SQL Builder'!O1795,"")</f>
        <v/>
      </c>
      <c r="H1820" s="43" t="str">
        <f>IF(ISBLANK('SQL Builder'!K1794)=FALSE,H1819+1,"")</f>
        <v/>
      </c>
      <c r="I1820" s="1" t="str">
        <f>IF(ISBLANK('SQL Builder'!P1795)=FALSE,'SQL Builder'!N1795,"")</f>
        <v/>
      </c>
      <c r="J1820" s="79">
        <f t="shared" si="27"/>
        <v>0</v>
      </c>
    </row>
    <row r="1821" spans="2:10" ht="16.5" x14ac:dyDescent="0.25">
      <c r="B1821" s="49" t="e">
        <f>IF(ISBLANK('SQL Builder'!K1796)=FALSE,(DATE(LEFT('SQL Builder'!K1796,4),MID('SQL Builder'!K1796,6,2),MID('SQL Builder'!K1796,9,2))),NA())</f>
        <v>#N/A</v>
      </c>
      <c r="C1821" s="50" t="str">
        <f>IF(ISBLANK('SQL Builder'!K1796)=FALSE,'SQL Builder'!L1796,"")</f>
        <v/>
      </c>
      <c r="D1821" s="1" t="str">
        <f>IF(ISBLANK('SQL Builder'!K1796)=FALSE,'SQL Builder'!O1796,"")</f>
        <v/>
      </c>
      <c r="H1821" s="43" t="str">
        <f>IF(ISBLANK('SQL Builder'!K1795)=FALSE,H1820+1,"")</f>
        <v/>
      </c>
      <c r="I1821" s="1" t="str">
        <f>IF(ISBLANK('SQL Builder'!P1796)=FALSE,'SQL Builder'!N1796,"")</f>
        <v/>
      </c>
      <c r="J1821" s="79">
        <f t="shared" si="27"/>
        <v>0</v>
      </c>
    </row>
    <row r="1822" spans="2:10" ht="16.5" x14ac:dyDescent="0.25">
      <c r="B1822" s="49" t="e">
        <f>IF(ISBLANK('SQL Builder'!K1797)=FALSE,(DATE(LEFT('SQL Builder'!K1797,4),MID('SQL Builder'!K1797,6,2),MID('SQL Builder'!K1797,9,2))),NA())</f>
        <v>#N/A</v>
      </c>
      <c r="C1822" s="50" t="str">
        <f>IF(ISBLANK('SQL Builder'!K1797)=FALSE,'SQL Builder'!L1797,"")</f>
        <v/>
      </c>
      <c r="D1822" s="1" t="str">
        <f>IF(ISBLANK('SQL Builder'!K1797)=FALSE,'SQL Builder'!O1797,"")</f>
        <v/>
      </c>
      <c r="H1822" s="43" t="str">
        <f>IF(ISBLANK('SQL Builder'!K1796)=FALSE,H1821+1,"")</f>
        <v/>
      </c>
      <c r="I1822" s="1" t="str">
        <f>IF(ISBLANK('SQL Builder'!P1797)=FALSE,'SQL Builder'!N1797,"")</f>
        <v/>
      </c>
      <c r="J1822" s="79">
        <f t="shared" si="27"/>
        <v>0</v>
      </c>
    </row>
    <row r="1823" spans="2:10" ht="16.5" x14ac:dyDescent="0.25">
      <c r="B1823" s="49" t="e">
        <f>IF(ISBLANK('SQL Builder'!K1798)=FALSE,(DATE(LEFT('SQL Builder'!K1798,4),MID('SQL Builder'!K1798,6,2),MID('SQL Builder'!K1798,9,2))),NA())</f>
        <v>#N/A</v>
      </c>
      <c r="C1823" s="50" t="str">
        <f>IF(ISBLANK('SQL Builder'!K1798)=FALSE,'SQL Builder'!L1798,"")</f>
        <v/>
      </c>
      <c r="D1823" s="1" t="str">
        <f>IF(ISBLANK('SQL Builder'!K1798)=FALSE,'SQL Builder'!O1798,"")</f>
        <v/>
      </c>
      <c r="H1823" s="43" t="str">
        <f>IF(ISBLANK('SQL Builder'!K1797)=FALSE,H1822+1,"")</f>
        <v/>
      </c>
      <c r="I1823" s="1" t="str">
        <f>IF(ISBLANK('SQL Builder'!P1798)=FALSE,'SQL Builder'!N1798,"")</f>
        <v/>
      </c>
      <c r="J1823" s="79">
        <f t="shared" ref="J1823:J1886" si="28">IF(I1823="",0,IF(I1823=C$5,2,1))</f>
        <v>0</v>
      </c>
    </row>
    <row r="1824" spans="2:10" ht="16.5" x14ac:dyDescent="0.25">
      <c r="B1824" s="49" t="e">
        <f>IF(ISBLANK('SQL Builder'!K1799)=FALSE,(DATE(LEFT('SQL Builder'!K1799,4),MID('SQL Builder'!K1799,6,2),MID('SQL Builder'!K1799,9,2))),NA())</f>
        <v>#N/A</v>
      </c>
      <c r="C1824" s="50" t="str">
        <f>IF(ISBLANK('SQL Builder'!K1799)=FALSE,'SQL Builder'!L1799,"")</f>
        <v/>
      </c>
      <c r="D1824" s="1" t="str">
        <f>IF(ISBLANK('SQL Builder'!K1799)=FALSE,'SQL Builder'!O1799,"")</f>
        <v/>
      </c>
      <c r="H1824" s="43" t="str">
        <f>IF(ISBLANK('SQL Builder'!K1798)=FALSE,H1823+1,"")</f>
        <v/>
      </c>
      <c r="I1824" s="1" t="str">
        <f>IF(ISBLANK('SQL Builder'!P1799)=FALSE,'SQL Builder'!N1799,"")</f>
        <v/>
      </c>
      <c r="J1824" s="79">
        <f t="shared" si="28"/>
        <v>0</v>
      </c>
    </row>
    <row r="1825" spans="2:10" ht="16.5" x14ac:dyDescent="0.25">
      <c r="B1825" s="49" t="e">
        <f>IF(ISBLANK('SQL Builder'!K1800)=FALSE,(DATE(LEFT('SQL Builder'!K1800,4),MID('SQL Builder'!K1800,6,2),MID('SQL Builder'!K1800,9,2))),NA())</f>
        <v>#N/A</v>
      </c>
      <c r="C1825" s="50" t="str">
        <f>IF(ISBLANK('SQL Builder'!K1800)=FALSE,'SQL Builder'!L1800,"")</f>
        <v/>
      </c>
      <c r="D1825" s="1" t="str">
        <f>IF(ISBLANK('SQL Builder'!K1800)=FALSE,'SQL Builder'!O1800,"")</f>
        <v/>
      </c>
      <c r="H1825" s="43" t="str">
        <f>IF(ISBLANK('SQL Builder'!K1799)=FALSE,H1824+1,"")</f>
        <v/>
      </c>
      <c r="I1825" s="1" t="str">
        <f>IF(ISBLANK('SQL Builder'!P1800)=FALSE,'SQL Builder'!N1800,"")</f>
        <v/>
      </c>
      <c r="J1825" s="79">
        <f t="shared" si="28"/>
        <v>0</v>
      </c>
    </row>
    <row r="1826" spans="2:10" ht="16.5" x14ac:dyDescent="0.25">
      <c r="B1826" s="49" t="e">
        <f>IF(ISBLANK('SQL Builder'!K1801)=FALSE,(DATE(LEFT('SQL Builder'!K1801,4),MID('SQL Builder'!K1801,6,2),MID('SQL Builder'!K1801,9,2))),NA())</f>
        <v>#N/A</v>
      </c>
      <c r="C1826" s="50" t="str">
        <f>IF(ISBLANK('SQL Builder'!K1801)=FALSE,'SQL Builder'!L1801,"")</f>
        <v/>
      </c>
      <c r="D1826" s="1" t="str">
        <f>IF(ISBLANK('SQL Builder'!K1801)=FALSE,'SQL Builder'!O1801,"")</f>
        <v/>
      </c>
      <c r="H1826" s="43" t="str">
        <f>IF(ISBLANK('SQL Builder'!K1800)=FALSE,H1825+1,"")</f>
        <v/>
      </c>
      <c r="I1826" s="1" t="str">
        <f>IF(ISBLANK('SQL Builder'!P1801)=FALSE,'SQL Builder'!N1801,"")</f>
        <v/>
      </c>
      <c r="J1826" s="79">
        <f t="shared" si="28"/>
        <v>0</v>
      </c>
    </row>
    <row r="1827" spans="2:10" ht="16.5" x14ac:dyDescent="0.25">
      <c r="B1827" s="49" t="e">
        <f>IF(ISBLANK('SQL Builder'!K1802)=FALSE,(DATE(LEFT('SQL Builder'!K1802,4),MID('SQL Builder'!K1802,6,2),MID('SQL Builder'!K1802,9,2))),NA())</f>
        <v>#N/A</v>
      </c>
      <c r="C1827" s="50" t="str">
        <f>IF(ISBLANK('SQL Builder'!K1802)=FALSE,'SQL Builder'!L1802,"")</f>
        <v/>
      </c>
      <c r="D1827" s="1" t="str">
        <f>IF(ISBLANK('SQL Builder'!K1802)=FALSE,'SQL Builder'!O1802,"")</f>
        <v/>
      </c>
      <c r="H1827" s="43" t="str">
        <f>IF(ISBLANK('SQL Builder'!K1801)=FALSE,H1826+1,"")</f>
        <v/>
      </c>
      <c r="I1827" s="1" t="str">
        <f>IF(ISBLANK('SQL Builder'!P1802)=FALSE,'SQL Builder'!N1802,"")</f>
        <v/>
      </c>
      <c r="J1827" s="79">
        <f t="shared" si="28"/>
        <v>0</v>
      </c>
    </row>
    <row r="1828" spans="2:10" ht="16.5" x14ac:dyDescent="0.25">
      <c r="B1828" s="49" t="e">
        <f>IF(ISBLANK('SQL Builder'!K1803)=FALSE,(DATE(LEFT('SQL Builder'!K1803,4),MID('SQL Builder'!K1803,6,2),MID('SQL Builder'!K1803,9,2))),NA())</f>
        <v>#N/A</v>
      </c>
      <c r="C1828" s="50" t="str">
        <f>IF(ISBLANK('SQL Builder'!K1803)=FALSE,'SQL Builder'!L1803,"")</f>
        <v/>
      </c>
      <c r="D1828" s="1" t="str">
        <f>IF(ISBLANK('SQL Builder'!K1803)=FALSE,'SQL Builder'!O1803,"")</f>
        <v/>
      </c>
      <c r="H1828" s="43" t="str">
        <f>IF(ISBLANK('SQL Builder'!K1802)=FALSE,H1827+1,"")</f>
        <v/>
      </c>
      <c r="I1828" s="1" t="str">
        <f>IF(ISBLANK('SQL Builder'!P1803)=FALSE,'SQL Builder'!N1803,"")</f>
        <v/>
      </c>
      <c r="J1828" s="79">
        <f t="shared" si="28"/>
        <v>0</v>
      </c>
    </row>
    <row r="1829" spans="2:10" ht="16.5" x14ac:dyDescent="0.25">
      <c r="B1829" s="49" t="e">
        <f>IF(ISBLANK('SQL Builder'!K1804)=FALSE,(DATE(LEFT('SQL Builder'!K1804,4),MID('SQL Builder'!K1804,6,2),MID('SQL Builder'!K1804,9,2))),NA())</f>
        <v>#N/A</v>
      </c>
      <c r="C1829" s="50" t="str">
        <f>IF(ISBLANK('SQL Builder'!K1804)=FALSE,'SQL Builder'!L1804,"")</f>
        <v/>
      </c>
      <c r="D1829" s="1" t="str">
        <f>IF(ISBLANK('SQL Builder'!K1804)=FALSE,'SQL Builder'!O1804,"")</f>
        <v/>
      </c>
      <c r="H1829" s="43" t="str">
        <f>IF(ISBLANK('SQL Builder'!K1803)=FALSE,H1828+1,"")</f>
        <v/>
      </c>
      <c r="I1829" s="1" t="str">
        <f>IF(ISBLANK('SQL Builder'!P1804)=FALSE,'SQL Builder'!N1804,"")</f>
        <v/>
      </c>
      <c r="J1829" s="79">
        <f t="shared" si="28"/>
        <v>0</v>
      </c>
    </row>
    <row r="1830" spans="2:10" ht="16.5" x14ac:dyDescent="0.25">
      <c r="B1830" s="49" t="e">
        <f>IF(ISBLANK('SQL Builder'!K1805)=FALSE,(DATE(LEFT('SQL Builder'!K1805,4),MID('SQL Builder'!K1805,6,2),MID('SQL Builder'!K1805,9,2))),NA())</f>
        <v>#N/A</v>
      </c>
      <c r="C1830" s="50" t="str">
        <f>IF(ISBLANK('SQL Builder'!K1805)=FALSE,'SQL Builder'!L1805,"")</f>
        <v/>
      </c>
      <c r="D1830" s="1" t="str">
        <f>IF(ISBLANK('SQL Builder'!K1805)=FALSE,'SQL Builder'!O1805,"")</f>
        <v/>
      </c>
      <c r="H1830" s="43" t="str">
        <f>IF(ISBLANK('SQL Builder'!K1804)=FALSE,H1829+1,"")</f>
        <v/>
      </c>
      <c r="I1830" s="1" t="str">
        <f>IF(ISBLANK('SQL Builder'!P1805)=FALSE,'SQL Builder'!N1805,"")</f>
        <v/>
      </c>
      <c r="J1830" s="79">
        <f t="shared" si="28"/>
        <v>0</v>
      </c>
    </row>
    <row r="1831" spans="2:10" ht="16.5" x14ac:dyDescent="0.25">
      <c r="B1831" s="49" t="e">
        <f>IF(ISBLANK('SQL Builder'!K1806)=FALSE,(DATE(LEFT('SQL Builder'!K1806,4),MID('SQL Builder'!K1806,6,2),MID('SQL Builder'!K1806,9,2))),NA())</f>
        <v>#N/A</v>
      </c>
      <c r="C1831" s="50" t="str">
        <f>IF(ISBLANK('SQL Builder'!K1806)=FALSE,'SQL Builder'!L1806,"")</f>
        <v/>
      </c>
      <c r="D1831" s="1" t="str">
        <f>IF(ISBLANK('SQL Builder'!K1806)=FALSE,'SQL Builder'!O1806,"")</f>
        <v/>
      </c>
      <c r="H1831" s="43" t="str">
        <f>IF(ISBLANK('SQL Builder'!K1805)=FALSE,H1830+1,"")</f>
        <v/>
      </c>
      <c r="I1831" s="1" t="str">
        <f>IF(ISBLANK('SQL Builder'!P1806)=FALSE,'SQL Builder'!N1806,"")</f>
        <v/>
      </c>
      <c r="J1831" s="79">
        <f t="shared" si="28"/>
        <v>0</v>
      </c>
    </row>
    <row r="1832" spans="2:10" ht="16.5" x14ac:dyDescent="0.25">
      <c r="B1832" s="49" t="e">
        <f>IF(ISBLANK('SQL Builder'!K1807)=FALSE,(DATE(LEFT('SQL Builder'!K1807,4),MID('SQL Builder'!K1807,6,2),MID('SQL Builder'!K1807,9,2))),NA())</f>
        <v>#N/A</v>
      </c>
      <c r="C1832" s="50" t="str">
        <f>IF(ISBLANK('SQL Builder'!K1807)=FALSE,'SQL Builder'!L1807,"")</f>
        <v/>
      </c>
      <c r="D1832" s="1" t="str">
        <f>IF(ISBLANK('SQL Builder'!K1807)=FALSE,'SQL Builder'!O1807,"")</f>
        <v/>
      </c>
      <c r="H1832" s="43" t="str">
        <f>IF(ISBLANK('SQL Builder'!K1806)=FALSE,H1831+1,"")</f>
        <v/>
      </c>
      <c r="I1832" s="1" t="str">
        <f>IF(ISBLANK('SQL Builder'!P1807)=FALSE,'SQL Builder'!N1807,"")</f>
        <v/>
      </c>
      <c r="J1832" s="79">
        <f t="shared" si="28"/>
        <v>0</v>
      </c>
    </row>
    <row r="1833" spans="2:10" ht="16.5" x14ac:dyDescent="0.25">
      <c r="B1833" s="49" t="e">
        <f>IF(ISBLANK('SQL Builder'!K1808)=FALSE,(DATE(LEFT('SQL Builder'!K1808,4),MID('SQL Builder'!K1808,6,2),MID('SQL Builder'!K1808,9,2))),NA())</f>
        <v>#N/A</v>
      </c>
      <c r="C1833" s="50" t="str">
        <f>IF(ISBLANK('SQL Builder'!K1808)=FALSE,'SQL Builder'!L1808,"")</f>
        <v/>
      </c>
      <c r="D1833" s="1" t="str">
        <f>IF(ISBLANK('SQL Builder'!K1808)=FALSE,'SQL Builder'!O1808,"")</f>
        <v/>
      </c>
      <c r="H1833" s="43" t="str">
        <f>IF(ISBLANK('SQL Builder'!K1807)=FALSE,H1832+1,"")</f>
        <v/>
      </c>
      <c r="I1833" s="1" t="str">
        <f>IF(ISBLANK('SQL Builder'!P1808)=FALSE,'SQL Builder'!N1808,"")</f>
        <v/>
      </c>
      <c r="J1833" s="79">
        <f t="shared" si="28"/>
        <v>0</v>
      </c>
    </row>
    <row r="1834" spans="2:10" ht="16.5" x14ac:dyDescent="0.25">
      <c r="B1834" s="49" t="e">
        <f>IF(ISBLANK('SQL Builder'!K1809)=FALSE,(DATE(LEFT('SQL Builder'!K1809,4),MID('SQL Builder'!K1809,6,2),MID('SQL Builder'!K1809,9,2))),NA())</f>
        <v>#N/A</v>
      </c>
      <c r="C1834" s="50" t="str">
        <f>IF(ISBLANK('SQL Builder'!K1809)=FALSE,'SQL Builder'!L1809,"")</f>
        <v/>
      </c>
      <c r="D1834" s="1" t="str">
        <f>IF(ISBLANK('SQL Builder'!K1809)=FALSE,'SQL Builder'!O1809,"")</f>
        <v/>
      </c>
      <c r="H1834" s="43" t="str">
        <f>IF(ISBLANK('SQL Builder'!K1808)=FALSE,H1833+1,"")</f>
        <v/>
      </c>
      <c r="I1834" s="1" t="str">
        <f>IF(ISBLANK('SQL Builder'!P1809)=FALSE,'SQL Builder'!N1809,"")</f>
        <v/>
      </c>
      <c r="J1834" s="79">
        <f t="shared" si="28"/>
        <v>0</v>
      </c>
    </row>
    <row r="1835" spans="2:10" ht="16.5" x14ac:dyDescent="0.25">
      <c r="B1835" s="49" t="e">
        <f>IF(ISBLANK('SQL Builder'!K1810)=FALSE,(DATE(LEFT('SQL Builder'!K1810,4),MID('SQL Builder'!K1810,6,2),MID('SQL Builder'!K1810,9,2))),NA())</f>
        <v>#N/A</v>
      </c>
      <c r="C1835" s="50" t="str">
        <f>IF(ISBLANK('SQL Builder'!K1810)=FALSE,'SQL Builder'!L1810,"")</f>
        <v/>
      </c>
      <c r="D1835" s="1" t="str">
        <f>IF(ISBLANK('SQL Builder'!K1810)=FALSE,'SQL Builder'!O1810,"")</f>
        <v/>
      </c>
      <c r="H1835" s="43" t="str">
        <f>IF(ISBLANK('SQL Builder'!K1809)=FALSE,H1834+1,"")</f>
        <v/>
      </c>
      <c r="I1835" s="1" t="str">
        <f>IF(ISBLANK('SQL Builder'!P1810)=FALSE,'SQL Builder'!N1810,"")</f>
        <v/>
      </c>
      <c r="J1835" s="79">
        <f t="shared" si="28"/>
        <v>0</v>
      </c>
    </row>
    <row r="1836" spans="2:10" ht="16.5" x14ac:dyDescent="0.25">
      <c r="B1836" s="49" t="e">
        <f>IF(ISBLANK('SQL Builder'!K1811)=FALSE,(DATE(LEFT('SQL Builder'!K1811,4),MID('SQL Builder'!K1811,6,2),MID('SQL Builder'!K1811,9,2))),NA())</f>
        <v>#N/A</v>
      </c>
      <c r="C1836" s="50" t="str">
        <f>IF(ISBLANK('SQL Builder'!K1811)=FALSE,'SQL Builder'!L1811,"")</f>
        <v/>
      </c>
      <c r="D1836" s="1" t="str">
        <f>IF(ISBLANK('SQL Builder'!K1811)=FALSE,'SQL Builder'!O1811,"")</f>
        <v/>
      </c>
      <c r="H1836" s="43" t="str">
        <f>IF(ISBLANK('SQL Builder'!K1810)=FALSE,H1835+1,"")</f>
        <v/>
      </c>
      <c r="I1836" s="1" t="str">
        <f>IF(ISBLANK('SQL Builder'!P1811)=FALSE,'SQL Builder'!N1811,"")</f>
        <v/>
      </c>
      <c r="J1836" s="79">
        <f t="shared" si="28"/>
        <v>0</v>
      </c>
    </row>
    <row r="1837" spans="2:10" ht="16.5" x14ac:dyDescent="0.25">
      <c r="B1837" s="49" t="e">
        <f>IF(ISBLANK('SQL Builder'!K1812)=FALSE,(DATE(LEFT('SQL Builder'!K1812,4),MID('SQL Builder'!K1812,6,2),MID('SQL Builder'!K1812,9,2))),NA())</f>
        <v>#N/A</v>
      </c>
      <c r="C1837" s="50" t="str">
        <f>IF(ISBLANK('SQL Builder'!K1812)=FALSE,'SQL Builder'!L1812,"")</f>
        <v/>
      </c>
      <c r="D1837" s="1" t="str">
        <f>IF(ISBLANK('SQL Builder'!K1812)=FALSE,'SQL Builder'!O1812,"")</f>
        <v/>
      </c>
      <c r="H1837" s="43" t="str">
        <f>IF(ISBLANK('SQL Builder'!K1811)=FALSE,H1836+1,"")</f>
        <v/>
      </c>
      <c r="I1837" s="1" t="str">
        <f>IF(ISBLANK('SQL Builder'!P1812)=FALSE,'SQL Builder'!N1812,"")</f>
        <v/>
      </c>
      <c r="J1837" s="79">
        <f t="shared" si="28"/>
        <v>0</v>
      </c>
    </row>
    <row r="1838" spans="2:10" ht="16.5" x14ac:dyDescent="0.25">
      <c r="B1838" s="49" t="e">
        <f>IF(ISBLANK('SQL Builder'!K1813)=FALSE,(DATE(LEFT('SQL Builder'!K1813,4),MID('SQL Builder'!K1813,6,2),MID('SQL Builder'!K1813,9,2))),NA())</f>
        <v>#N/A</v>
      </c>
      <c r="C1838" s="50" t="str">
        <f>IF(ISBLANK('SQL Builder'!K1813)=FALSE,'SQL Builder'!L1813,"")</f>
        <v/>
      </c>
      <c r="D1838" s="1" t="str">
        <f>IF(ISBLANK('SQL Builder'!K1813)=FALSE,'SQL Builder'!O1813,"")</f>
        <v/>
      </c>
      <c r="H1838" s="43" t="str">
        <f>IF(ISBLANK('SQL Builder'!K1812)=FALSE,H1837+1,"")</f>
        <v/>
      </c>
      <c r="I1838" s="1" t="str">
        <f>IF(ISBLANK('SQL Builder'!P1813)=FALSE,'SQL Builder'!N1813,"")</f>
        <v/>
      </c>
      <c r="J1838" s="79">
        <f t="shared" si="28"/>
        <v>0</v>
      </c>
    </row>
    <row r="1839" spans="2:10" ht="16.5" x14ac:dyDescent="0.25">
      <c r="B1839" s="49" t="e">
        <f>IF(ISBLANK('SQL Builder'!K1814)=FALSE,(DATE(LEFT('SQL Builder'!K1814,4),MID('SQL Builder'!K1814,6,2),MID('SQL Builder'!K1814,9,2))),NA())</f>
        <v>#N/A</v>
      </c>
      <c r="C1839" s="50" t="str">
        <f>IF(ISBLANK('SQL Builder'!K1814)=FALSE,'SQL Builder'!L1814,"")</f>
        <v/>
      </c>
      <c r="D1839" s="1" t="str">
        <f>IF(ISBLANK('SQL Builder'!K1814)=FALSE,'SQL Builder'!O1814,"")</f>
        <v/>
      </c>
      <c r="H1839" s="43" t="str">
        <f>IF(ISBLANK('SQL Builder'!K1813)=FALSE,H1838+1,"")</f>
        <v/>
      </c>
      <c r="I1839" s="1" t="str">
        <f>IF(ISBLANK('SQL Builder'!P1814)=FALSE,'SQL Builder'!N1814,"")</f>
        <v/>
      </c>
      <c r="J1839" s="79">
        <f t="shared" si="28"/>
        <v>0</v>
      </c>
    </row>
    <row r="1840" spans="2:10" ht="16.5" x14ac:dyDescent="0.25">
      <c r="B1840" s="49" t="e">
        <f>IF(ISBLANK('SQL Builder'!K1815)=FALSE,(DATE(LEFT('SQL Builder'!K1815,4),MID('SQL Builder'!K1815,6,2),MID('SQL Builder'!K1815,9,2))),NA())</f>
        <v>#N/A</v>
      </c>
      <c r="C1840" s="50" t="str">
        <f>IF(ISBLANK('SQL Builder'!K1815)=FALSE,'SQL Builder'!L1815,"")</f>
        <v/>
      </c>
      <c r="D1840" s="1" t="str">
        <f>IF(ISBLANK('SQL Builder'!K1815)=FALSE,'SQL Builder'!O1815,"")</f>
        <v/>
      </c>
      <c r="H1840" s="43" t="str">
        <f>IF(ISBLANK('SQL Builder'!K1814)=FALSE,H1839+1,"")</f>
        <v/>
      </c>
      <c r="I1840" s="1" t="str">
        <f>IF(ISBLANK('SQL Builder'!P1815)=FALSE,'SQL Builder'!N1815,"")</f>
        <v/>
      </c>
      <c r="J1840" s="79">
        <f t="shared" si="28"/>
        <v>0</v>
      </c>
    </row>
    <row r="1841" spans="2:10" ht="16.5" x14ac:dyDescent="0.25">
      <c r="B1841" s="49" t="e">
        <f>IF(ISBLANK('SQL Builder'!K1816)=FALSE,(DATE(LEFT('SQL Builder'!K1816,4),MID('SQL Builder'!K1816,6,2),MID('SQL Builder'!K1816,9,2))),NA())</f>
        <v>#N/A</v>
      </c>
      <c r="C1841" s="50" t="str">
        <f>IF(ISBLANK('SQL Builder'!K1816)=FALSE,'SQL Builder'!L1816,"")</f>
        <v/>
      </c>
      <c r="D1841" s="1" t="str">
        <f>IF(ISBLANK('SQL Builder'!K1816)=FALSE,'SQL Builder'!O1816,"")</f>
        <v/>
      </c>
      <c r="H1841" s="43" t="str">
        <f>IF(ISBLANK('SQL Builder'!K1815)=FALSE,H1840+1,"")</f>
        <v/>
      </c>
      <c r="I1841" s="1" t="str">
        <f>IF(ISBLANK('SQL Builder'!P1816)=FALSE,'SQL Builder'!N1816,"")</f>
        <v/>
      </c>
      <c r="J1841" s="79">
        <f t="shared" si="28"/>
        <v>0</v>
      </c>
    </row>
    <row r="1842" spans="2:10" ht="16.5" x14ac:dyDescent="0.25">
      <c r="B1842" s="49" t="e">
        <f>IF(ISBLANK('SQL Builder'!K1817)=FALSE,(DATE(LEFT('SQL Builder'!K1817,4),MID('SQL Builder'!K1817,6,2),MID('SQL Builder'!K1817,9,2))),NA())</f>
        <v>#N/A</v>
      </c>
      <c r="C1842" s="50" t="str">
        <f>IF(ISBLANK('SQL Builder'!K1817)=FALSE,'SQL Builder'!L1817,"")</f>
        <v/>
      </c>
      <c r="D1842" s="1" t="str">
        <f>IF(ISBLANK('SQL Builder'!K1817)=FALSE,'SQL Builder'!O1817,"")</f>
        <v/>
      </c>
      <c r="H1842" s="43" t="str">
        <f>IF(ISBLANK('SQL Builder'!K1816)=FALSE,H1841+1,"")</f>
        <v/>
      </c>
      <c r="I1842" s="1" t="str">
        <f>IF(ISBLANK('SQL Builder'!P1817)=FALSE,'SQL Builder'!N1817,"")</f>
        <v/>
      </c>
      <c r="J1842" s="79">
        <f t="shared" si="28"/>
        <v>0</v>
      </c>
    </row>
    <row r="1843" spans="2:10" ht="16.5" x14ac:dyDescent="0.25">
      <c r="B1843" s="49" t="e">
        <f>IF(ISBLANK('SQL Builder'!K1818)=FALSE,(DATE(LEFT('SQL Builder'!K1818,4),MID('SQL Builder'!K1818,6,2),MID('SQL Builder'!K1818,9,2))),NA())</f>
        <v>#N/A</v>
      </c>
      <c r="C1843" s="50" t="str">
        <f>IF(ISBLANK('SQL Builder'!K1818)=FALSE,'SQL Builder'!L1818,"")</f>
        <v/>
      </c>
      <c r="D1843" s="1" t="str">
        <f>IF(ISBLANK('SQL Builder'!K1818)=FALSE,'SQL Builder'!O1818,"")</f>
        <v/>
      </c>
      <c r="H1843" s="43" t="str">
        <f>IF(ISBLANK('SQL Builder'!K1817)=FALSE,H1842+1,"")</f>
        <v/>
      </c>
      <c r="I1843" s="1" t="str">
        <f>IF(ISBLANK('SQL Builder'!P1818)=FALSE,'SQL Builder'!N1818,"")</f>
        <v/>
      </c>
      <c r="J1843" s="79">
        <f t="shared" si="28"/>
        <v>0</v>
      </c>
    </row>
    <row r="1844" spans="2:10" ht="16.5" x14ac:dyDescent="0.25">
      <c r="B1844" s="49" t="e">
        <f>IF(ISBLANK('SQL Builder'!K1819)=FALSE,(DATE(LEFT('SQL Builder'!K1819,4),MID('SQL Builder'!K1819,6,2),MID('SQL Builder'!K1819,9,2))),NA())</f>
        <v>#N/A</v>
      </c>
      <c r="C1844" s="50" t="str">
        <f>IF(ISBLANK('SQL Builder'!K1819)=FALSE,'SQL Builder'!L1819,"")</f>
        <v/>
      </c>
      <c r="D1844" s="1" t="str">
        <f>IF(ISBLANK('SQL Builder'!K1819)=FALSE,'SQL Builder'!O1819,"")</f>
        <v/>
      </c>
      <c r="H1844" s="43" t="str">
        <f>IF(ISBLANK('SQL Builder'!K1818)=FALSE,H1843+1,"")</f>
        <v/>
      </c>
      <c r="I1844" s="1" t="str">
        <f>IF(ISBLANK('SQL Builder'!P1819)=FALSE,'SQL Builder'!N1819,"")</f>
        <v/>
      </c>
      <c r="J1844" s="79">
        <f t="shared" si="28"/>
        <v>0</v>
      </c>
    </row>
    <row r="1845" spans="2:10" ht="16.5" x14ac:dyDescent="0.25">
      <c r="B1845" s="49" t="e">
        <f>IF(ISBLANK('SQL Builder'!K1820)=FALSE,(DATE(LEFT('SQL Builder'!K1820,4),MID('SQL Builder'!K1820,6,2),MID('SQL Builder'!K1820,9,2))),NA())</f>
        <v>#N/A</v>
      </c>
      <c r="C1845" s="50" t="str">
        <f>IF(ISBLANK('SQL Builder'!K1820)=FALSE,'SQL Builder'!L1820,"")</f>
        <v/>
      </c>
      <c r="D1845" s="1" t="str">
        <f>IF(ISBLANK('SQL Builder'!K1820)=FALSE,'SQL Builder'!O1820,"")</f>
        <v/>
      </c>
      <c r="H1845" s="43" t="str">
        <f>IF(ISBLANK('SQL Builder'!K1819)=FALSE,H1844+1,"")</f>
        <v/>
      </c>
      <c r="I1845" s="1" t="str">
        <f>IF(ISBLANK('SQL Builder'!P1820)=FALSE,'SQL Builder'!N1820,"")</f>
        <v/>
      </c>
      <c r="J1845" s="79">
        <f t="shared" si="28"/>
        <v>0</v>
      </c>
    </row>
    <row r="1846" spans="2:10" ht="16.5" x14ac:dyDescent="0.25">
      <c r="B1846" s="49" t="e">
        <f>IF(ISBLANK('SQL Builder'!K1821)=FALSE,(DATE(LEFT('SQL Builder'!K1821,4),MID('SQL Builder'!K1821,6,2),MID('SQL Builder'!K1821,9,2))),NA())</f>
        <v>#N/A</v>
      </c>
      <c r="C1846" s="50" t="str">
        <f>IF(ISBLANK('SQL Builder'!K1821)=FALSE,'SQL Builder'!L1821,"")</f>
        <v/>
      </c>
      <c r="D1846" s="1" t="str">
        <f>IF(ISBLANK('SQL Builder'!K1821)=FALSE,'SQL Builder'!O1821,"")</f>
        <v/>
      </c>
      <c r="H1846" s="43" t="str">
        <f>IF(ISBLANK('SQL Builder'!K1820)=FALSE,H1845+1,"")</f>
        <v/>
      </c>
      <c r="I1846" s="1" t="str">
        <f>IF(ISBLANK('SQL Builder'!P1821)=FALSE,'SQL Builder'!N1821,"")</f>
        <v/>
      </c>
      <c r="J1846" s="79">
        <f t="shared" si="28"/>
        <v>0</v>
      </c>
    </row>
    <row r="1847" spans="2:10" ht="16.5" x14ac:dyDescent="0.25">
      <c r="B1847" s="49" t="e">
        <f>IF(ISBLANK('SQL Builder'!K1822)=FALSE,(DATE(LEFT('SQL Builder'!K1822,4),MID('SQL Builder'!K1822,6,2),MID('SQL Builder'!K1822,9,2))),NA())</f>
        <v>#N/A</v>
      </c>
      <c r="C1847" s="50" t="str">
        <f>IF(ISBLANK('SQL Builder'!K1822)=FALSE,'SQL Builder'!L1822,"")</f>
        <v/>
      </c>
      <c r="D1847" s="1" t="str">
        <f>IF(ISBLANK('SQL Builder'!K1822)=FALSE,'SQL Builder'!O1822,"")</f>
        <v/>
      </c>
      <c r="H1847" s="43" t="str">
        <f>IF(ISBLANK('SQL Builder'!K1821)=FALSE,H1846+1,"")</f>
        <v/>
      </c>
      <c r="I1847" s="1" t="str">
        <f>IF(ISBLANK('SQL Builder'!P1822)=FALSE,'SQL Builder'!N1822,"")</f>
        <v/>
      </c>
      <c r="J1847" s="79">
        <f t="shared" si="28"/>
        <v>0</v>
      </c>
    </row>
    <row r="1848" spans="2:10" ht="16.5" x14ac:dyDescent="0.25">
      <c r="B1848" s="49" t="e">
        <f>IF(ISBLANK('SQL Builder'!K1823)=FALSE,(DATE(LEFT('SQL Builder'!K1823,4),MID('SQL Builder'!K1823,6,2),MID('SQL Builder'!K1823,9,2))),NA())</f>
        <v>#N/A</v>
      </c>
      <c r="C1848" s="50" t="str">
        <f>IF(ISBLANK('SQL Builder'!K1823)=FALSE,'SQL Builder'!L1823,"")</f>
        <v/>
      </c>
      <c r="D1848" s="1" t="str">
        <f>IF(ISBLANK('SQL Builder'!K1823)=FALSE,'SQL Builder'!O1823,"")</f>
        <v/>
      </c>
      <c r="H1848" s="43" t="str">
        <f>IF(ISBLANK('SQL Builder'!K1822)=FALSE,H1847+1,"")</f>
        <v/>
      </c>
      <c r="I1848" s="1" t="str">
        <f>IF(ISBLANK('SQL Builder'!P1823)=FALSE,'SQL Builder'!N1823,"")</f>
        <v/>
      </c>
      <c r="J1848" s="79">
        <f t="shared" si="28"/>
        <v>0</v>
      </c>
    </row>
    <row r="1849" spans="2:10" ht="16.5" x14ac:dyDescent="0.25">
      <c r="B1849" s="49" t="e">
        <f>IF(ISBLANK('SQL Builder'!K1824)=FALSE,(DATE(LEFT('SQL Builder'!K1824,4),MID('SQL Builder'!K1824,6,2),MID('SQL Builder'!K1824,9,2))),NA())</f>
        <v>#N/A</v>
      </c>
      <c r="C1849" s="50" t="str">
        <f>IF(ISBLANK('SQL Builder'!K1824)=FALSE,'SQL Builder'!L1824,"")</f>
        <v/>
      </c>
      <c r="D1849" s="1" t="str">
        <f>IF(ISBLANK('SQL Builder'!K1824)=FALSE,'SQL Builder'!O1824,"")</f>
        <v/>
      </c>
      <c r="H1849" s="43" t="str">
        <f>IF(ISBLANK('SQL Builder'!K1823)=FALSE,H1848+1,"")</f>
        <v/>
      </c>
      <c r="I1849" s="1" t="str">
        <f>IF(ISBLANK('SQL Builder'!P1824)=FALSE,'SQL Builder'!N1824,"")</f>
        <v/>
      </c>
      <c r="J1849" s="79">
        <f t="shared" si="28"/>
        <v>0</v>
      </c>
    </row>
    <row r="1850" spans="2:10" ht="16.5" x14ac:dyDescent="0.25">
      <c r="B1850" s="49" t="e">
        <f>IF(ISBLANK('SQL Builder'!K1825)=FALSE,(DATE(LEFT('SQL Builder'!K1825,4),MID('SQL Builder'!K1825,6,2),MID('SQL Builder'!K1825,9,2))),NA())</f>
        <v>#N/A</v>
      </c>
      <c r="C1850" s="50" t="str">
        <f>IF(ISBLANK('SQL Builder'!K1825)=FALSE,'SQL Builder'!L1825,"")</f>
        <v/>
      </c>
      <c r="D1850" s="1" t="str">
        <f>IF(ISBLANK('SQL Builder'!K1825)=FALSE,'SQL Builder'!O1825,"")</f>
        <v/>
      </c>
      <c r="H1850" s="43" t="str">
        <f>IF(ISBLANK('SQL Builder'!K1824)=FALSE,H1849+1,"")</f>
        <v/>
      </c>
      <c r="I1850" s="1" t="str">
        <f>IF(ISBLANK('SQL Builder'!P1825)=FALSE,'SQL Builder'!N1825,"")</f>
        <v/>
      </c>
      <c r="J1850" s="79">
        <f t="shared" si="28"/>
        <v>0</v>
      </c>
    </row>
    <row r="1851" spans="2:10" ht="16.5" x14ac:dyDescent="0.25">
      <c r="B1851" s="49" t="e">
        <f>IF(ISBLANK('SQL Builder'!K1826)=FALSE,(DATE(LEFT('SQL Builder'!K1826,4),MID('SQL Builder'!K1826,6,2),MID('SQL Builder'!K1826,9,2))),NA())</f>
        <v>#N/A</v>
      </c>
      <c r="C1851" s="50" t="str">
        <f>IF(ISBLANK('SQL Builder'!K1826)=FALSE,'SQL Builder'!L1826,"")</f>
        <v/>
      </c>
      <c r="D1851" s="1" t="str">
        <f>IF(ISBLANK('SQL Builder'!K1826)=FALSE,'SQL Builder'!O1826,"")</f>
        <v/>
      </c>
      <c r="H1851" s="43" t="str">
        <f>IF(ISBLANK('SQL Builder'!K1825)=FALSE,H1850+1,"")</f>
        <v/>
      </c>
      <c r="I1851" s="1" t="str">
        <f>IF(ISBLANK('SQL Builder'!P1826)=FALSE,'SQL Builder'!N1826,"")</f>
        <v/>
      </c>
      <c r="J1851" s="79">
        <f t="shared" si="28"/>
        <v>0</v>
      </c>
    </row>
    <row r="1852" spans="2:10" ht="16.5" x14ac:dyDescent="0.25">
      <c r="B1852" s="49" t="e">
        <f>IF(ISBLANK('SQL Builder'!K1827)=FALSE,(DATE(LEFT('SQL Builder'!K1827,4),MID('SQL Builder'!K1827,6,2),MID('SQL Builder'!K1827,9,2))),NA())</f>
        <v>#N/A</v>
      </c>
      <c r="C1852" s="50" t="str">
        <f>IF(ISBLANK('SQL Builder'!K1827)=FALSE,'SQL Builder'!L1827,"")</f>
        <v/>
      </c>
      <c r="D1852" s="1" t="str">
        <f>IF(ISBLANK('SQL Builder'!K1827)=FALSE,'SQL Builder'!O1827,"")</f>
        <v/>
      </c>
      <c r="H1852" s="43" t="str">
        <f>IF(ISBLANK('SQL Builder'!K1826)=FALSE,H1851+1,"")</f>
        <v/>
      </c>
      <c r="I1852" s="1" t="str">
        <f>IF(ISBLANK('SQL Builder'!P1827)=FALSE,'SQL Builder'!N1827,"")</f>
        <v/>
      </c>
      <c r="J1852" s="79">
        <f t="shared" si="28"/>
        <v>0</v>
      </c>
    </row>
    <row r="1853" spans="2:10" ht="16.5" x14ac:dyDescent="0.25">
      <c r="B1853" s="49" t="e">
        <f>IF(ISBLANK('SQL Builder'!K1828)=FALSE,(DATE(LEFT('SQL Builder'!K1828,4),MID('SQL Builder'!K1828,6,2),MID('SQL Builder'!K1828,9,2))),NA())</f>
        <v>#N/A</v>
      </c>
      <c r="C1853" s="50" t="str">
        <f>IF(ISBLANK('SQL Builder'!K1828)=FALSE,'SQL Builder'!L1828,"")</f>
        <v/>
      </c>
      <c r="D1853" s="1" t="str">
        <f>IF(ISBLANK('SQL Builder'!K1828)=FALSE,'SQL Builder'!O1828,"")</f>
        <v/>
      </c>
      <c r="H1853" s="43" t="str">
        <f>IF(ISBLANK('SQL Builder'!K1827)=FALSE,H1852+1,"")</f>
        <v/>
      </c>
      <c r="I1853" s="1" t="str">
        <f>IF(ISBLANK('SQL Builder'!P1828)=FALSE,'SQL Builder'!N1828,"")</f>
        <v/>
      </c>
      <c r="J1853" s="79">
        <f t="shared" si="28"/>
        <v>0</v>
      </c>
    </row>
    <row r="1854" spans="2:10" ht="16.5" x14ac:dyDescent="0.25">
      <c r="B1854" s="49" t="e">
        <f>IF(ISBLANK('SQL Builder'!K1829)=FALSE,(DATE(LEFT('SQL Builder'!K1829,4),MID('SQL Builder'!K1829,6,2),MID('SQL Builder'!K1829,9,2))),NA())</f>
        <v>#N/A</v>
      </c>
      <c r="C1854" s="50" t="str">
        <f>IF(ISBLANK('SQL Builder'!K1829)=FALSE,'SQL Builder'!L1829,"")</f>
        <v/>
      </c>
      <c r="D1854" s="1" t="str">
        <f>IF(ISBLANK('SQL Builder'!K1829)=FALSE,'SQL Builder'!O1829,"")</f>
        <v/>
      </c>
      <c r="H1854" s="43" t="str">
        <f>IF(ISBLANK('SQL Builder'!K1828)=FALSE,H1853+1,"")</f>
        <v/>
      </c>
      <c r="I1854" s="1" t="str">
        <f>IF(ISBLANK('SQL Builder'!P1829)=FALSE,'SQL Builder'!N1829,"")</f>
        <v/>
      </c>
      <c r="J1854" s="79">
        <f t="shared" si="28"/>
        <v>0</v>
      </c>
    </row>
    <row r="1855" spans="2:10" ht="16.5" x14ac:dyDescent="0.25">
      <c r="B1855" s="49" t="e">
        <f>IF(ISBLANK('SQL Builder'!K1830)=FALSE,(DATE(LEFT('SQL Builder'!K1830,4),MID('SQL Builder'!K1830,6,2),MID('SQL Builder'!K1830,9,2))),NA())</f>
        <v>#N/A</v>
      </c>
      <c r="C1855" s="50" t="str">
        <f>IF(ISBLANK('SQL Builder'!K1830)=FALSE,'SQL Builder'!L1830,"")</f>
        <v/>
      </c>
      <c r="D1855" s="1" t="str">
        <f>IF(ISBLANK('SQL Builder'!K1830)=FALSE,'SQL Builder'!O1830,"")</f>
        <v/>
      </c>
      <c r="H1855" s="43" t="str">
        <f>IF(ISBLANK('SQL Builder'!K1829)=FALSE,H1854+1,"")</f>
        <v/>
      </c>
      <c r="I1855" s="1" t="str">
        <f>IF(ISBLANK('SQL Builder'!P1830)=FALSE,'SQL Builder'!N1830,"")</f>
        <v/>
      </c>
      <c r="J1855" s="79">
        <f t="shared" si="28"/>
        <v>0</v>
      </c>
    </row>
    <row r="1856" spans="2:10" ht="16.5" x14ac:dyDescent="0.25">
      <c r="B1856" s="49" t="e">
        <f>IF(ISBLANK('SQL Builder'!K1831)=FALSE,(DATE(LEFT('SQL Builder'!K1831,4),MID('SQL Builder'!K1831,6,2),MID('SQL Builder'!K1831,9,2))),NA())</f>
        <v>#N/A</v>
      </c>
      <c r="C1856" s="50" t="str">
        <f>IF(ISBLANK('SQL Builder'!K1831)=FALSE,'SQL Builder'!L1831,"")</f>
        <v/>
      </c>
      <c r="D1856" s="1" t="str">
        <f>IF(ISBLANK('SQL Builder'!K1831)=FALSE,'SQL Builder'!O1831,"")</f>
        <v/>
      </c>
      <c r="H1856" s="43" t="str">
        <f>IF(ISBLANK('SQL Builder'!K1830)=FALSE,H1855+1,"")</f>
        <v/>
      </c>
      <c r="I1856" s="1" t="str">
        <f>IF(ISBLANK('SQL Builder'!P1831)=FALSE,'SQL Builder'!N1831,"")</f>
        <v/>
      </c>
      <c r="J1856" s="79">
        <f t="shared" si="28"/>
        <v>0</v>
      </c>
    </row>
    <row r="1857" spans="2:10" ht="16.5" x14ac:dyDescent="0.25">
      <c r="B1857" s="49" t="e">
        <f>IF(ISBLANK('SQL Builder'!K1832)=FALSE,(DATE(LEFT('SQL Builder'!K1832,4),MID('SQL Builder'!K1832,6,2),MID('SQL Builder'!K1832,9,2))),NA())</f>
        <v>#N/A</v>
      </c>
      <c r="C1857" s="50" t="str">
        <f>IF(ISBLANK('SQL Builder'!K1832)=FALSE,'SQL Builder'!L1832,"")</f>
        <v/>
      </c>
      <c r="D1857" s="1" t="str">
        <f>IF(ISBLANK('SQL Builder'!K1832)=FALSE,'SQL Builder'!O1832,"")</f>
        <v/>
      </c>
      <c r="H1857" s="43" t="str">
        <f>IF(ISBLANK('SQL Builder'!K1831)=FALSE,H1856+1,"")</f>
        <v/>
      </c>
      <c r="I1857" s="1" t="str">
        <f>IF(ISBLANK('SQL Builder'!P1832)=FALSE,'SQL Builder'!N1832,"")</f>
        <v/>
      </c>
      <c r="J1857" s="79">
        <f t="shared" si="28"/>
        <v>0</v>
      </c>
    </row>
    <row r="1858" spans="2:10" ht="16.5" x14ac:dyDescent="0.25">
      <c r="B1858" s="49" t="e">
        <f>IF(ISBLANK('SQL Builder'!K1833)=FALSE,(DATE(LEFT('SQL Builder'!K1833,4),MID('SQL Builder'!K1833,6,2),MID('SQL Builder'!K1833,9,2))),NA())</f>
        <v>#N/A</v>
      </c>
      <c r="C1858" s="50" t="str">
        <f>IF(ISBLANK('SQL Builder'!K1833)=FALSE,'SQL Builder'!L1833,"")</f>
        <v/>
      </c>
      <c r="D1858" s="1" t="str">
        <f>IF(ISBLANK('SQL Builder'!K1833)=FALSE,'SQL Builder'!O1833,"")</f>
        <v/>
      </c>
      <c r="H1858" s="43" t="str">
        <f>IF(ISBLANK('SQL Builder'!K1832)=FALSE,H1857+1,"")</f>
        <v/>
      </c>
      <c r="I1858" s="1" t="str">
        <f>IF(ISBLANK('SQL Builder'!P1833)=FALSE,'SQL Builder'!N1833,"")</f>
        <v/>
      </c>
      <c r="J1858" s="79">
        <f t="shared" si="28"/>
        <v>0</v>
      </c>
    </row>
    <row r="1859" spans="2:10" ht="16.5" x14ac:dyDescent="0.25">
      <c r="B1859" s="49" t="e">
        <f>IF(ISBLANK('SQL Builder'!K1834)=FALSE,(DATE(LEFT('SQL Builder'!K1834,4),MID('SQL Builder'!K1834,6,2),MID('SQL Builder'!K1834,9,2))),NA())</f>
        <v>#N/A</v>
      </c>
      <c r="C1859" s="50" t="str">
        <f>IF(ISBLANK('SQL Builder'!K1834)=FALSE,'SQL Builder'!L1834,"")</f>
        <v/>
      </c>
      <c r="D1859" s="1" t="str">
        <f>IF(ISBLANK('SQL Builder'!K1834)=FALSE,'SQL Builder'!O1834,"")</f>
        <v/>
      </c>
      <c r="H1859" s="43" t="str">
        <f>IF(ISBLANK('SQL Builder'!K1833)=FALSE,H1858+1,"")</f>
        <v/>
      </c>
      <c r="I1859" s="1" t="str">
        <f>IF(ISBLANK('SQL Builder'!P1834)=FALSE,'SQL Builder'!N1834,"")</f>
        <v/>
      </c>
      <c r="J1859" s="79">
        <f t="shared" si="28"/>
        <v>0</v>
      </c>
    </row>
    <row r="1860" spans="2:10" ht="16.5" x14ac:dyDescent="0.25">
      <c r="B1860" s="49" t="e">
        <f>IF(ISBLANK('SQL Builder'!K1835)=FALSE,(DATE(LEFT('SQL Builder'!K1835,4),MID('SQL Builder'!K1835,6,2),MID('SQL Builder'!K1835,9,2))),NA())</f>
        <v>#N/A</v>
      </c>
      <c r="C1860" s="50" t="str">
        <f>IF(ISBLANK('SQL Builder'!K1835)=FALSE,'SQL Builder'!L1835,"")</f>
        <v/>
      </c>
      <c r="D1860" s="1" t="str">
        <f>IF(ISBLANK('SQL Builder'!K1835)=FALSE,'SQL Builder'!O1835,"")</f>
        <v/>
      </c>
      <c r="H1860" s="43" t="str">
        <f>IF(ISBLANK('SQL Builder'!K1834)=FALSE,H1859+1,"")</f>
        <v/>
      </c>
      <c r="I1860" s="1" t="str">
        <f>IF(ISBLANK('SQL Builder'!P1835)=FALSE,'SQL Builder'!N1835,"")</f>
        <v/>
      </c>
      <c r="J1860" s="79">
        <f t="shared" si="28"/>
        <v>0</v>
      </c>
    </row>
    <row r="1861" spans="2:10" ht="16.5" x14ac:dyDescent="0.25">
      <c r="B1861" s="49" t="e">
        <f>IF(ISBLANK('SQL Builder'!K1836)=FALSE,(DATE(LEFT('SQL Builder'!K1836,4),MID('SQL Builder'!K1836,6,2),MID('SQL Builder'!K1836,9,2))),NA())</f>
        <v>#N/A</v>
      </c>
      <c r="C1861" s="50" t="str">
        <f>IF(ISBLANK('SQL Builder'!K1836)=FALSE,'SQL Builder'!L1836,"")</f>
        <v/>
      </c>
      <c r="D1861" s="1" t="str">
        <f>IF(ISBLANK('SQL Builder'!K1836)=FALSE,'SQL Builder'!O1836,"")</f>
        <v/>
      </c>
      <c r="H1861" s="43" t="str">
        <f>IF(ISBLANK('SQL Builder'!K1835)=FALSE,H1860+1,"")</f>
        <v/>
      </c>
      <c r="I1861" s="1" t="str">
        <f>IF(ISBLANK('SQL Builder'!P1836)=FALSE,'SQL Builder'!N1836,"")</f>
        <v/>
      </c>
      <c r="J1861" s="79">
        <f t="shared" si="28"/>
        <v>0</v>
      </c>
    </row>
    <row r="1862" spans="2:10" ht="16.5" x14ac:dyDescent="0.25">
      <c r="B1862" s="49" t="e">
        <f>IF(ISBLANK('SQL Builder'!K1837)=FALSE,(DATE(LEFT('SQL Builder'!K1837,4),MID('SQL Builder'!K1837,6,2),MID('SQL Builder'!K1837,9,2))),NA())</f>
        <v>#N/A</v>
      </c>
      <c r="C1862" s="50" t="str">
        <f>IF(ISBLANK('SQL Builder'!K1837)=FALSE,'SQL Builder'!L1837,"")</f>
        <v/>
      </c>
      <c r="D1862" s="1" t="str">
        <f>IF(ISBLANK('SQL Builder'!K1837)=FALSE,'SQL Builder'!O1837,"")</f>
        <v/>
      </c>
      <c r="H1862" s="43" t="str">
        <f>IF(ISBLANK('SQL Builder'!K1836)=FALSE,H1861+1,"")</f>
        <v/>
      </c>
      <c r="I1862" s="1" t="str">
        <f>IF(ISBLANK('SQL Builder'!P1837)=FALSE,'SQL Builder'!N1837,"")</f>
        <v/>
      </c>
      <c r="J1862" s="79">
        <f t="shared" si="28"/>
        <v>0</v>
      </c>
    </row>
    <row r="1863" spans="2:10" ht="16.5" x14ac:dyDescent="0.25">
      <c r="B1863" s="49" t="e">
        <f>IF(ISBLANK('SQL Builder'!K1838)=FALSE,(DATE(LEFT('SQL Builder'!K1838,4),MID('SQL Builder'!K1838,6,2),MID('SQL Builder'!K1838,9,2))),NA())</f>
        <v>#N/A</v>
      </c>
      <c r="C1863" s="50" t="str">
        <f>IF(ISBLANK('SQL Builder'!K1838)=FALSE,'SQL Builder'!L1838,"")</f>
        <v/>
      </c>
      <c r="D1863" s="1" t="str">
        <f>IF(ISBLANK('SQL Builder'!K1838)=FALSE,'SQL Builder'!O1838,"")</f>
        <v/>
      </c>
      <c r="H1863" s="43" t="str">
        <f>IF(ISBLANK('SQL Builder'!K1837)=FALSE,H1862+1,"")</f>
        <v/>
      </c>
      <c r="I1863" s="1" t="str">
        <f>IF(ISBLANK('SQL Builder'!P1838)=FALSE,'SQL Builder'!N1838,"")</f>
        <v/>
      </c>
      <c r="J1863" s="79">
        <f t="shared" si="28"/>
        <v>0</v>
      </c>
    </row>
    <row r="1864" spans="2:10" ht="16.5" x14ac:dyDescent="0.25">
      <c r="B1864" s="49" t="e">
        <f>IF(ISBLANK('SQL Builder'!K1839)=FALSE,(DATE(LEFT('SQL Builder'!K1839,4),MID('SQL Builder'!K1839,6,2),MID('SQL Builder'!K1839,9,2))),NA())</f>
        <v>#N/A</v>
      </c>
      <c r="C1864" s="50" t="str">
        <f>IF(ISBLANK('SQL Builder'!K1839)=FALSE,'SQL Builder'!L1839,"")</f>
        <v/>
      </c>
      <c r="D1864" s="1" t="str">
        <f>IF(ISBLANK('SQL Builder'!K1839)=FALSE,'SQL Builder'!O1839,"")</f>
        <v/>
      </c>
      <c r="H1864" s="43" t="str">
        <f>IF(ISBLANK('SQL Builder'!K1838)=FALSE,H1863+1,"")</f>
        <v/>
      </c>
      <c r="I1864" s="1" t="str">
        <f>IF(ISBLANK('SQL Builder'!P1839)=FALSE,'SQL Builder'!N1839,"")</f>
        <v/>
      </c>
      <c r="J1864" s="79">
        <f t="shared" si="28"/>
        <v>0</v>
      </c>
    </row>
    <row r="1865" spans="2:10" ht="16.5" x14ac:dyDescent="0.25">
      <c r="B1865" s="49" t="e">
        <f>IF(ISBLANK('SQL Builder'!K1840)=FALSE,(DATE(LEFT('SQL Builder'!K1840,4),MID('SQL Builder'!K1840,6,2),MID('SQL Builder'!K1840,9,2))),NA())</f>
        <v>#N/A</v>
      </c>
      <c r="C1865" s="50" t="str">
        <f>IF(ISBLANK('SQL Builder'!K1840)=FALSE,'SQL Builder'!L1840,"")</f>
        <v/>
      </c>
      <c r="D1865" s="1" t="str">
        <f>IF(ISBLANK('SQL Builder'!K1840)=FALSE,'SQL Builder'!O1840,"")</f>
        <v/>
      </c>
      <c r="H1865" s="43" t="str">
        <f>IF(ISBLANK('SQL Builder'!K1839)=FALSE,H1864+1,"")</f>
        <v/>
      </c>
      <c r="I1865" s="1" t="str">
        <f>IF(ISBLANK('SQL Builder'!P1840)=FALSE,'SQL Builder'!N1840,"")</f>
        <v/>
      </c>
      <c r="J1865" s="79">
        <f t="shared" si="28"/>
        <v>0</v>
      </c>
    </row>
    <row r="1866" spans="2:10" ht="16.5" x14ac:dyDescent="0.25">
      <c r="B1866" s="49" t="e">
        <f>IF(ISBLANK('SQL Builder'!K1841)=FALSE,(DATE(LEFT('SQL Builder'!K1841,4),MID('SQL Builder'!K1841,6,2),MID('SQL Builder'!K1841,9,2))),NA())</f>
        <v>#N/A</v>
      </c>
      <c r="C1866" s="50" t="str">
        <f>IF(ISBLANK('SQL Builder'!K1841)=FALSE,'SQL Builder'!L1841,"")</f>
        <v/>
      </c>
      <c r="D1866" s="1" t="str">
        <f>IF(ISBLANK('SQL Builder'!K1841)=FALSE,'SQL Builder'!O1841,"")</f>
        <v/>
      </c>
      <c r="H1866" s="43" t="str">
        <f>IF(ISBLANK('SQL Builder'!K1840)=FALSE,H1865+1,"")</f>
        <v/>
      </c>
      <c r="I1866" s="1" t="str">
        <f>IF(ISBLANK('SQL Builder'!P1841)=FALSE,'SQL Builder'!N1841,"")</f>
        <v/>
      </c>
      <c r="J1866" s="79">
        <f t="shared" si="28"/>
        <v>0</v>
      </c>
    </row>
    <row r="1867" spans="2:10" ht="16.5" x14ac:dyDescent="0.25">
      <c r="B1867" s="49" t="e">
        <f>IF(ISBLANK('SQL Builder'!K1842)=FALSE,(DATE(LEFT('SQL Builder'!K1842,4),MID('SQL Builder'!K1842,6,2),MID('SQL Builder'!K1842,9,2))),NA())</f>
        <v>#N/A</v>
      </c>
      <c r="C1867" s="50" t="str">
        <f>IF(ISBLANK('SQL Builder'!K1842)=FALSE,'SQL Builder'!L1842,"")</f>
        <v/>
      </c>
      <c r="D1867" s="1" t="str">
        <f>IF(ISBLANK('SQL Builder'!K1842)=FALSE,'SQL Builder'!O1842,"")</f>
        <v/>
      </c>
      <c r="H1867" s="43" t="str">
        <f>IF(ISBLANK('SQL Builder'!K1841)=FALSE,H1866+1,"")</f>
        <v/>
      </c>
      <c r="I1867" s="1" t="str">
        <f>IF(ISBLANK('SQL Builder'!P1842)=FALSE,'SQL Builder'!N1842,"")</f>
        <v/>
      </c>
      <c r="J1867" s="79">
        <f t="shared" si="28"/>
        <v>0</v>
      </c>
    </row>
    <row r="1868" spans="2:10" ht="16.5" x14ac:dyDescent="0.25">
      <c r="B1868" s="49" t="e">
        <f>IF(ISBLANK('SQL Builder'!K1843)=FALSE,(DATE(LEFT('SQL Builder'!K1843,4),MID('SQL Builder'!K1843,6,2),MID('SQL Builder'!K1843,9,2))),NA())</f>
        <v>#N/A</v>
      </c>
      <c r="C1868" s="50" t="str">
        <f>IF(ISBLANK('SQL Builder'!K1843)=FALSE,'SQL Builder'!L1843,"")</f>
        <v/>
      </c>
      <c r="D1868" s="1" t="str">
        <f>IF(ISBLANK('SQL Builder'!K1843)=FALSE,'SQL Builder'!O1843,"")</f>
        <v/>
      </c>
      <c r="H1868" s="43" t="str">
        <f>IF(ISBLANK('SQL Builder'!K1842)=FALSE,H1867+1,"")</f>
        <v/>
      </c>
      <c r="I1868" s="1" t="str">
        <f>IF(ISBLANK('SQL Builder'!P1843)=FALSE,'SQL Builder'!N1843,"")</f>
        <v/>
      </c>
      <c r="J1868" s="79">
        <f t="shared" si="28"/>
        <v>0</v>
      </c>
    </row>
    <row r="1869" spans="2:10" ht="16.5" x14ac:dyDescent="0.25">
      <c r="B1869" s="49" t="e">
        <f>IF(ISBLANK('SQL Builder'!K1844)=FALSE,(DATE(LEFT('SQL Builder'!K1844,4),MID('SQL Builder'!K1844,6,2),MID('SQL Builder'!K1844,9,2))),NA())</f>
        <v>#N/A</v>
      </c>
      <c r="C1869" s="50" t="str">
        <f>IF(ISBLANK('SQL Builder'!K1844)=FALSE,'SQL Builder'!L1844,"")</f>
        <v/>
      </c>
      <c r="D1869" s="1" t="str">
        <f>IF(ISBLANK('SQL Builder'!K1844)=FALSE,'SQL Builder'!O1844,"")</f>
        <v/>
      </c>
      <c r="H1869" s="43" t="str">
        <f>IF(ISBLANK('SQL Builder'!K1843)=FALSE,H1868+1,"")</f>
        <v/>
      </c>
      <c r="I1869" s="1" t="str">
        <f>IF(ISBLANK('SQL Builder'!P1844)=FALSE,'SQL Builder'!N1844,"")</f>
        <v/>
      </c>
      <c r="J1869" s="79">
        <f t="shared" si="28"/>
        <v>0</v>
      </c>
    </row>
    <row r="1870" spans="2:10" ht="16.5" x14ac:dyDescent="0.25">
      <c r="B1870" s="49" t="e">
        <f>IF(ISBLANK('SQL Builder'!K1845)=FALSE,(DATE(LEFT('SQL Builder'!K1845,4),MID('SQL Builder'!K1845,6,2),MID('SQL Builder'!K1845,9,2))),NA())</f>
        <v>#N/A</v>
      </c>
      <c r="C1870" s="50" t="str">
        <f>IF(ISBLANK('SQL Builder'!K1845)=FALSE,'SQL Builder'!L1845,"")</f>
        <v/>
      </c>
      <c r="D1870" s="1" t="str">
        <f>IF(ISBLANK('SQL Builder'!K1845)=FALSE,'SQL Builder'!O1845,"")</f>
        <v/>
      </c>
      <c r="H1870" s="43" t="str">
        <f>IF(ISBLANK('SQL Builder'!K1844)=FALSE,H1869+1,"")</f>
        <v/>
      </c>
      <c r="I1870" s="1" t="str">
        <f>IF(ISBLANK('SQL Builder'!P1845)=FALSE,'SQL Builder'!N1845,"")</f>
        <v/>
      </c>
      <c r="J1870" s="79">
        <f t="shared" si="28"/>
        <v>0</v>
      </c>
    </row>
    <row r="1871" spans="2:10" ht="16.5" x14ac:dyDescent="0.25">
      <c r="B1871" s="49" t="e">
        <f>IF(ISBLANK('SQL Builder'!K1846)=FALSE,(DATE(LEFT('SQL Builder'!K1846,4),MID('SQL Builder'!K1846,6,2),MID('SQL Builder'!K1846,9,2))),NA())</f>
        <v>#N/A</v>
      </c>
      <c r="C1871" s="50" t="str">
        <f>IF(ISBLANK('SQL Builder'!K1846)=FALSE,'SQL Builder'!L1846,"")</f>
        <v/>
      </c>
      <c r="D1871" s="1" t="str">
        <f>IF(ISBLANK('SQL Builder'!K1846)=FALSE,'SQL Builder'!O1846,"")</f>
        <v/>
      </c>
      <c r="H1871" s="43" t="str">
        <f>IF(ISBLANK('SQL Builder'!K1845)=FALSE,H1870+1,"")</f>
        <v/>
      </c>
      <c r="I1871" s="1" t="str">
        <f>IF(ISBLANK('SQL Builder'!P1846)=FALSE,'SQL Builder'!N1846,"")</f>
        <v/>
      </c>
      <c r="J1871" s="79">
        <f t="shared" si="28"/>
        <v>0</v>
      </c>
    </row>
    <row r="1872" spans="2:10" ht="16.5" x14ac:dyDescent="0.25">
      <c r="B1872" s="49" t="e">
        <f>IF(ISBLANK('SQL Builder'!K1847)=FALSE,(DATE(LEFT('SQL Builder'!K1847,4),MID('SQL Builder'!K1847,6,2),MID('SQL Builder'!K1847,9,2))),NA())</f>
        <v>#N/A</v>
      </c>
      <c r="C1872" s="50" t="str">
        <f>IF(ISBLANK('SQL Builder'!K1847)=FALSE,'SQL Builder'!L1847,"")</f>
        <v/>
      </c>
      <c r="D1872" s="1" t="str">
        <f>IF(ISBLANK('SQL Builder'!K1847)=FALSE,'SQL Builder'!O1847,"")</f>
        <v/>
      </c>
      <c r="H1872" s="43" t="str">
        <f>IF(ISBLANK('SQL Builder'!K1846)=FALSE,H1871+1,"")</f>
        <v/>
      </c>
      <c r="I1872" s="1" t="str">
        <f>IF(ISBLANK('SQL Builder'!P1847)=FALSE,'SQL Builder'!N1847,"")</f>
        <v/>
      </c>
      <c r="J1872" s="79">
        <f t="shared" si="28"/>
        <v>0</v>
      </c>
    </row>
    <row r="1873" spans="2:10" ht="16.5" x14ac:dyDescent="0.25">
      <c r="B1873" s="49" t="e">
        <f>IF(ISBLANK('SQL Builder'!K1848)=FALSE,(DATE(LEFT('SQL Builder'!K1848,4),MID('SQL Builder'!K1848,6,2),MID('SQL Builder'!K1848,9,2))),NA())</f>
        <v>#N/A</v>
      </c>
      <c r="C1873" s="50" t="str">
        <f>IF(ISBLANK('SQL Builder'!K1848)=FALSE,'SQL Builder'!L1848,"")</f>
        <v/>
      </c>
      <c r="D1873" s="1" t="str">
        <f>IF(ISBLANK('SQL Builder'!K1848)=FALSE,'SQL Builder'!O1848,"")</f>
        <v/>
      </c>
      <c r="H1873" s="43" t="str">
        <f>IF(ISBLANK('SQL Builder'!K1847)=FALSE,H1872+1,"")</f>
        <v/>
      </c>
      <c r="I1873" s="1" t="str">
        <f>IF(ISBLANK('SQL Builder'!P1848)=FALSE,'SQL Builder'!N1848,"")</f>
        <v/>
      </c>
      <c r="J1873" s="79">
        <f t="shared" si="28"/>
        <v>0</v>
      </c>
    </row>
    <row r="1874" spans="2:10" ht="16.5" x14ac:dyDescent="0.25">
      <c r="B1874" s="49" t="e">
        <f>IF(ISBLANK('SQL Builder'!K1849)=FALSE,(DATE(LEFT('SQL Builder'!K1849,4),MID('SQL Builder'!K1849,6,2),MID('SQL Builder'!K1849,9,2))),NA())</f>
        <v>#N/A</v>
      </c>
      <c r="C1874" s="50" t="str">
        <f>IF(ISBLANK('SQL Builder'!K1849)=FALSE,'SQL Builder'!L1849,"")</f>
        <v/>
      </c>
      <c r="D1874" s="1" t="str">
        <f>IF(ISBLANK('SQL Builder'!K1849)=FALSE,'SQL Builder'!O1849,"")</f>
        <v/>
      </c>
      <c r="H1874" s="43" t="str">
        <f>IF(ISBLANK('SQL Builder'!K1848)=FALSE,H1873+1,"")</f>
        <v/>
      </c>
      <c r="I1874" s="1" t="str">
        <f>IF(ISBLANK('SQL Builder'!P1849)=FALSE,'SQL Builder'!N1849,"")</f>
        <v/>
      </c>
      <c r="J1874" s="79">
        <f t="shared" si="28"/>
        <v>0</v>
      </c>
    </row>
    <row r="1875" spans="2:10" ht="16.5" x14ac:dyDescent="0.25">
      <c r="B1875" s="49" t="e">
        <f>IF(ISBLANK('SQL Builder'!K1850)=FALSE,(DATE(LEFT('SQL Builder'!K1850,4),MID('SQL Builder'!K1850,6,2),MID('SQL Builder'!K1850,9,2))),NA())</f>
        <v>#N/A</v>
      </c>
      <c r="C1875" s="50" t="str">
        <f>IF(ISBLANK('SQL Builder'!K1850)=FALSE,'SQL Builder'!L1850,"")</f>
        <v/>
      </c>
      <c r="D1875" s="1" t="str">
        <f>IF(ISBLANK('SQL Builder'!K1850)=FALSE,'SQL Builder'!O1850,"")</f>
        <v/>
      </c>
      <c r="H1875" s="43" t="str">
        <f>IF(ISBLANK('SQL Builder'!K1849)=FALSE,H1874+1,"")</f>
        <v/>
      </c>
      <c r="I1875" s="1" t="str">
        <f>IF(ISBLANK('SQL Builder'!P1850)=FALSE,'SQL Builder'!N1850,"")</f>
        <v/>
      </c>
      <c r="J1875" s="79">
        <f t="shared" si="28"/>
        <v>0</v>
      </c>
    </row>
    <row r="1876" spans="2:10" ht="16.5" x14ac:dyDescent="0.25">
      <c r="B1876" s="49" t="e">
        <f>IF(ISBLANK('SQL Builder'!K1851)=FALSE,(DATE(LEFT('SQL Builder'!K1851,4),MID('SQL Builder'!K1851,6,2),MID('SQL Builder'!K1851,9,2))),NA())</f>
        <v>#N/A</v>
      </c>
      <c r="C1876" s="50" t="str">
        <f>IF(ISBLANK('SQL Builder'!K1851)=FALSE,'SQL Builder'!L1851,"")</f>
        <v/>
      </c>
      <c r="D1876" s="1" t="str">
        <f>IF(ISBLANK('SQL Builder'!K1851)=FALSE,'SQL Builder'!O1851,"")</f>
        <v/>
      </c>
      <c r="H1876" s="43" t="str">
        <f>IF(ISBLANK('SQL Builder'!K1850)=FALSE,H1875+1,"")</f>
        <v/>
      </c>
      <c r="I1876" s="1" t="str">
        <f>IF(ISBLANK('SQL Builder'!P1851)=FALSE,'SQL Builder'!N1851,"")</f>
        <v/>
      </c>
      <c r="J1876" s="79">
        <f t="shared" si="28"/>
        <v>0</v>
      </c>
    </row>
    <row r="1877" spans="2:10" ht="16.5" x14ac:dyDescent="0.25">
      <c r="B1877" s="49" t="e">
        <f>IF(ISBLANK('SQL Builder'!K1852)=FALSE,(DATE(LEFT('SQL Builder'!K1852,4),MID('SQL Builder'!K1852,6,2),MID('SQL Builder'!K1852,9,2))),NA())</f>
        <v>#N/A</v>
      </c>
      <c r="C1877" s="50" t="str">
        <f>IF(ISBLANK('SQL Builder'!K1852)=FALSE,'SQL Builder'!L1852,"")</f>
        <v/>
      </c>
      <c r="D1877" s="1" t="str">
        <f>IF(ISBLANK('SQL Builder'!K1852)=FALSE,'SQL Builder'!O1852,"")</f>
        <v/>
      </c>
      <c r="H1877" s="43" t="str">
        <f>IF(ISBLANK('SQL Builder'!K1851)=FALSE,H1876+1,"")</f>
        <v/>
      </c>
      <c r="I1877" s="1" t="str">
        <f>IF(ISBLANK('SQL Builder'!P1852)=FALSE,'SQL Builder'!N1852,"")</f>
        <v/>
      </c>
      <c r="J1877" s="79">
        <f t="shared" si="28"/>
        <v>0</v>
      </c>
    </row>
    <row r="1878" spans="2:10" ht="16.5" x14ac:dyDescent="0.25">
      <c r="B1878" s="49" t="e">
        <f>IF(ISBLANK('SQL Builder'!K1853)=FALSE,(DATE(LEFT('SQL Builder'!K1853,4),MID('SQL Builder'!K1853,6,2),MID('SQL Builder'!K1853,9,2))),NA())</f>
        <v>#N/A</v>
      </c>
      <c r="C1878" s="50" t="str">
        <f>IF(ISBLANK('SQL Builder'!K1853)=FALSE,'SQL Builder'!L1853,"")</f>
        <v/>
      </c>
      <c r="D1878" s="1" t="str">
        <f>IF(ISBLANK('SQL Builder'!K1853)=FALSE,'SQL Builder'!O1853,"")</f>
        <v/>
      </c>
      <c r="H1878" s="43" t="str">
        <f>IF(ISBLANK('SQL Builder'!K1852)=FALSE,H1877+1,"")</f>
        <v/>
      </c>
      <c r="I1878" s="1" t="str">
        <f>IF(ISBLANK('SQL Builder'!P1853)=FALSE,'SQL Builder'!N1853,"")</f>
        <v/>
      </c>
      <c r="J1878" s="79">
        <f t="shared" si="28"/>
        <v>0</v>
      </c>
    </row>
    <row r="1879" spans="2:10" ht="16.5" x14ac:dyDescent="0.25">
      <c r="B1879" s="49" t="e">
        <f>IF(ISBLANK('SQL Builder'!K1854)=FALSE,(DATE(LEFT('SQL Builder'!K1854,4),MID('SQL Builder'!K1854,6,2),MID('SQL Builder'!K1854,9,2))),NA())</f>
        <v>#N/A</v>
      </c>
      <c r="C1879" s="50" t="str">
        <f>IF(ISBLANK('SQL Builder'!K1854)=FALSE,'SQL Builder'!L1854,"")</f>
        <v/>
      </c>
      <c r="D1879" s="1" t="str">
        <f>IF(ISBLANK('SQL Builder'!K1854)=FALSE,'SQL Builder'!O1854,"")</f>
        <v/>
      </c>
      <c r="H1879" s="43" t="str">
        <f>IF(ISBLANK('SQL Builder'!K1853)=FALSE,H1878+1,"")</f>
        <v/>
      </c>
      <c r="I1879" s="1" t="str">
        <f>IF(ISBLANK('SQL Builder'!P1854)=FALSE,'SQL Builder'!N1854,"")</f>
        <v/>
      </c>
      <c r="J1879" s="79">
        <f t="shared" si="28"/>
        <v>0</v>
      </c>
    </row>
    <row r="1880" spans="2:10" ht="16.5" x14ac:dyDescent="0.25">
      <c r="B1880" s="49" t="e">
        <f>IF(ISBLANK('SQL Builder'!K1855)=FALSE,(DATE(LEFT('SQL Builder'!K1855,4),MID('SQL Builder'!K1855,6,2),MID('SQL Builder'!K1855,9,2))),NA())</f>
        <v>#N/A</v>
      </c>
      <c r="C1880" s="50" t="str">
        <f>IF(ISBLANK('SQL Builder'!K1855)=FALSE,'SQL Builder'!L1855,"")</f>
        <v/>
      </c>
      <c r="D1880" s="1" t="str">
        <f>IF(ISBLANK('SQL Builder'!K1855)=FALSE,'SQL Builder'!O1855,"")</f>
        <v/>
      </c>
      <c r="H1880" s="43" t="str">
        <f>IF(ISBLANK('SQL Builder'!K1854)=FALSE,H1879+1,"")</f>
        <v/>
      </c>
      <c r="I1880" s="1" t="str">
        <f>IF(ISBLANK('SQL Builder'!P1855)=FALSE,'SQL Builder'!N1855,"")</f>
        <v/>
      </c>
      <c r="J1880" s="79">
        <f t="shared" si="28"/>
        <v>0</v>
      </c>
    </row>
    <row r="1881" spans="2:10" ht="16.5" x14ac:dyDescent="0.25">
      <c r="B1881" s="49" t="e">
        <f>IF(ISBLANK('SQL Builder'!K1856)=FALSE,(DATE(LEFT('SQL Builder'!K1856,4),MID('SQL Builder'!K1856,6,2),MID('SQL Builder'!K1856,9,2))),NA())</f>
        <v>#N/A</v>
      </c>
      <c r="C1881" s="50" t="str">
        <f>IF(ISBLANK('SQL Builder'!K1856)=FALSE,'SQL Builder'!L1856,"")</f>
        <v/>
      </c>
      <c r="D1881" s="1" t="str">
        <f>IF(ISBLANK('SQL Builder'!K1856)=FALSE,'SQL Builder'!O1856,"")</f>
        <v/>
      </c>
      <c r="H1881" s="43" t="str">
        <f>IF(ISBLANK('SQL Builder'!K1855)=FALSE,H1880+1,"")</f>
        <v/>
      </c>
      <c r="I1881" s="1" t="str">
        <f>IF(ISBLANK('SQL Builder'!P1856)=FALSE,'SQL Builder'!N1856,"")</f>
        <v/>
      </c>
      <c r="J1881" s="79">
        <f t="shared" si="28"/>
        <v>0</v>
      </c>
    </row>
    <row r="1882" spans="2:10" ht="16.5" x14ac:dyDescent="0.25">
      <c r="B1882" s="49" t="e">
        <f>IF(ISBLANK('SQL Builder'!K1857)=FALSE,(DATE(LEFT('SQL Builder'!K1857,4),MID('SQL Builder'!K1857,6,2),MID('SQL Builder'!K1857,9,2))),NA())</f>
        <v>#N/A</v>
      </c>
      <c r="C1882" s="50" t="str">
        <f>IF(ISBLANK('SQL Builder'!K1857)=FALSE,'SQL Builder'!L1857,"")</f>
        <v/>
      </c>
      <c r="D1882" s="1" t="str">
        <f>IF(ISBLANK('SQL Builder'!K1857)=FALSE,'SQL Builder'!O1857,"")</f>
        <v/>
      </c>
      <c r="H1882" s="43" t="str">
        <f>IF(ISBLANK('SQL Builder'!K1856)=FALSE,H1881+1,"")</f>
        <v/>
      </c>
      <c r="I1882" s="1" t="str">
        <f>IF(ISBLANK('SQL Builder'!P1857)=FALSE,'SQL Builder'!N1857,"")</f>
        <v/>
      </c>
      <c r="J1882" s="79">
        <f t="shared" si="28"/>
        <v>0</v>
      </c>
    </row>
    <row r="1883" spans="2:10" ht="16.5" x14ac:dyDescent="0.25">
      <c r="B1883" s="49" t="e">
        <f>IF(ISBLANK('SQL Builder'!K1858)=FALSE,(DATE(LEFT('SQL Builder'!K1858,4),MID('SQL Builder'!K1858,6,2),MID('SQL Builder'!K1858,9,2))),NA())</f>
        <v>#N/A</v>
      </c>
      <c r="C1883" s="50" t="str">
        <f>IF(ISBLANK('SQL Builder'!K1858)=FALSE,'SQL Builder'!L1858,"")</f>
        <v/>
      </c>
      <c r="D1883" s="1" t="str">
        <f>IF(ISBLANK('SQL Builder'!K1858)=FALSE,'SQL Builder'!O1858,"")</f>
        <v/>
      </c>
      <c r="H1883" s="43" t="str">
        <f>IF(ISBLANK('SQL Builder'!K1857)=FALSE,H1882+1,"")</f>
        <v/>
      </c>
      <c r="I1883" s="1" t="str">
        <f>IF(ISBLANK('SQL Builder'!P1858)=FALSE,'SQL Builder'!N1858,"")</f>
        <v/>
      </c>
      <c r="J1883" s="79">
        <f t="shared" si="28"/>
        <v>0</v>
      </c>
    </row>
    <row r="1884" spans="2:10" ht="16.5" x14ac:dyDescent="0.25">
      <c r="B1884" s="49" t="e">
        <f>IF(ISBLANK('SQL Builder'!K1859)=FALSE,(DATE(LEFT('SQL Builder'!K1859,4),MID('SQL Builder'!K1859,6,2),MID('SQL Builder'!K1859,9,2))),NA())</f>
        <v>#N/A</v>
      </c>
      <c r="C1884" s="50" t="str">
        <f>IF(ISBLANK('SQL Builder'!K1859)=FALSE,'SQL Builder'!L1859,"")</f>
        <v/>
      </c>
      <c r="D1884" s="1" t="str">
        <f>IF(ISBLANK('SQL Builder'!K1859)=FALSE,'SQL Builder'!O1859,"")</f>
        <v/>
      </c>
      <c r="H1884" s="43" t="str">
        <f>IF(ISBLANK('SQL Builder'!K1858)=FALSE,H1883+1,"")</f>
        <v/>
      </c>
      <c r="I1884" s="1" t="str">
        <f>IF(ISBLANK('SQL Builder'!P1859)=FALSE,'SQL Builder'!N1859,"")</f>
        <v/>
      </c>
      <c r="J1884" s="79">
        <f t="shared" si="28"/>
        <v>0</v>
      </c>
    </row>
    <row r="1885" spans="2:10" ht="16.5" x14ac:dyDescent="0.25">
      <c r="B1885" s="49" t="e">
        <f>IF(ISBLANK('SQL Builder'!K1860)=FALSE,(DATE(LEFT('SQL Builder'!K1860,4),MID('SQL Builder'!K1860,6,2),MID('SQL Builder'!K1860,9,2))),NA())</f>
        <v>#N/A</v>
      </c>
      <c r="C1885" s="50" t="str">
        <f>IF(ISBLANK('SQL Builder'!K1860)=FALSE,'SQL Builder'!L1860,"")</f>
        <v/>
      </c>
      <c r="D1885" s="1" t="str">
        <f>IF(ISBLANK('SQL Builder'!K1860)=FALSE,'SQL Builder'!O1860,"")</f>
        <v/>
      </c>
      <c r="H1885" s="43" t="str">
        <f>IF(ISBLANK('SQL Builder'!K1859)=FALSE,H1884+1,"")</f>
        <v/>
      </c>
      <c r="I1885" s="1" t="str">
        <f>IF(ISBLANK('SQL Builder'!P1860)=FALSE,'SQL Builder'!N1860,"")</f>
        <v/>
      </c>
      <c r="J1885" s="79">
        <f t="shared" si="28"/>
        <v>0</v>
      </c>
    </row>
    <row r="1886" spans="2:10" ht="16.5" x14ac:dyDescent="0.25">
      <c r="B1886" s="49" t="e">
        <f>IF(ISBLANK('SQL Builder'!K1861)=FALSE,(DATE(LEFT('SQL Builder'!K1861,4),MID('SQL Builder'!K1861,6,2),MID('SQL Builder'!K1861,9,2))),NA())</f>
        <v>#N/A</v>
      </c>
      <c r="C1886" s="50" t="str">
        <f>IF(ISBLANK('SQL Builder'!K1861)=FALSE,'SQL Builder'!L1861,"")</f>
        <v/>
      </c>
      <c r="D1886" s="1" t="str">
        <f>IF(ISBLANK('SQL Builder'!K1861)=FALSE,'SQL Builder'!O1861,"")</f>
        <v/>
      </c>
      <c r="H1886" s="43" t="str">
        <f>IF(ISBLANK('SQL Builder'!K1860)=FALSE,H1885+1,"")</f>
        <v/>
      </c>
      <c r="I1886" s="1" t="str">
        <f>IF(ISBLANK('SQL Builder'!P1861)=FALSE,'SQL Builder'!N1861,"")</f>
        <v/>
      </c>
      <c r="J1886" s="79">
        <f t="shared" si="28"/>
        <v>0</v>
      </c>
    </row>
    <row r="1887" spans="2:10" ht="16.5" x14ac:dyDescent="0.25">
      <c r="B1887" s="49" t="e">
        <f>IF(ISBLANK('SQL Builder'!K1862)=FALSE,(DATE(LEFT('SQL Builder'!K1862,4),MID('SQL Builder'!K1862,6,2),MID('SQL Builder'!K1862,9,2))),NA())</f>
        <v>#N/A</v>
      </c>
      <c r="C1887" s="50" t="str">
        <f>IF(ISBLANK('SQL Builder'!K1862)=FALSE,'SQL Builder'!L1862,"")</f>
        <v/>
      </c>
      <c r="D1887" s="1" t="str">
        <f>IF(ISBLANK('SQL Builder'!K1862)=FALSE,'SQL Builder'!O1862,"")</f>
        <v/>
      </c>
      <c r="H1887" s="43" t="str">
        <f>IF(ISBLANK('SQL Builder'!K1861)=FALSE,H1886+1,"")</f>
        <v/>
      </c>
      <c r="I1887" s="1" t="str">
        <f>IF(ISBLANK('SQL Builder'!P1862)=FALSE,'SQL Builder'!N1862,"")</f>
        <v/>
      </c>
      <c r="J1887" s="79">
        <f t="shared" ref="J1887:J1950" si="29">IF(I1887="",0,IF(I1887=C$5,2,1))</f>
        <v>0</v>
      </c>
    </row>
    <row r="1888" spans="2:10" ht="16.5" x14ac:dyDescent="0.25">
      <c r="B1888" s="49" t="e">
        <f>IF(ISBLANK('SQL Builder'!K1863)=FALSE,(DATE(LEFT('SQL Builder'!K1863,4),MID('SQL Builder'!K1863,6,2),MID('SQL Builder'!K1863,9,2))),NA())</f>
        <v>#N/A</v>
      </c>
      <c r="C1888" s="50" t="str">
        <f>IF(ISBLANK('SQL Builder'!K1863)=FALSE,'SQL Builder'!L1863,"")</f>
        <v/>
      </c>
      <c r="D1888" s="1" t="str">
        <f>IF(ISBLANK('SQL Builder'!K1863)=FALSE,'SQL Builder'!O1863,"")</f>
        <v/>
      </c>
      <c r="H1888" s="43" t="str">
        <f>IF(ISBLANK('SQL Builder'!K1862)=FALSE,H1887+1,"")</f>
        <v/>
      </c>
      <c r="I1888" s="1" t="str">
        <f>IF(ISBLANK('SQL Builder'!P1863)=FALSE,'SQL Builder'!N1863,"")</f>
        <v/>
      </c>
      <c r="J1888" s="79">
        <f t="shared" si="29"/>
        <v>0</v>
      </c>
    </row>
    <row r="1889" spans="2:10" ht="16.5" x14ac:dyDescent="0.25">
      <c r="B1889" s="49" t="e">
        <f>IF(ISBLANK('SQL Builder'!K1864)=FALSE,(DATE(LEFT('SQL Builder'!K1864,4),MID('SQL Builder'!K1864,6,2),MID('SQL Builder'!K1864,9,2))),NA())</f>
        <v>#N/A</v>
      </c>
      <c r="C1889" s="50" t="str">
        <f>IF(ISBLANK('SQL Builder'!K1864)=FALSE,'SQL Builder'!L1864,"")</f>
        <v/>
      </c>
      <c r="D1889" s="1" t="str">
        <f>IF(ISBLANK('SQL Builder'!K1864)=FALSE,'SQL Builder'!O1864,"")</f>
        <v/>
      </c>
      <c r="H1889" s="43" t="str">
        <f>IF(ISBLANK('SQL Builder'!K1863)=FALSE,H1888+1,"")</f>
        <v/>
      </c>
      <c r="I1889" s="1" t="str">
        <f>IF(ISBLANK('SQL Builder'!P1864)=FALSE,'SQL Builder'!N1864,"")</f>
        <v/>
      </c>
      <c r="J1889" s="79">
        <f t="shared" si="29"/>
        <v>0</v>
      </c>
    </row>
    <row r="1890" spans="2:10" ht="16.5" x14ac:dyDescent="0.25">
      <c r="B1890" s="49" t="e">
        <f>IF(ISBLANK('SQL Builder'!K1865)=FALSE,(DATE(LEFT('SQL Builder'!K1865,4),MID('SQL Builder'!K1865,6,2),MID('SQL Builder'!K1865,9,2))),NA())</f>
        <v>#N/A</v>
      </c>
      <c r="C1890" s="50" t="str">
        <f>IF(ISBLANK('SQL Builder'!K1865)=FALSE,'SQL Builder'!L1865,"")</f>
        <v/>
      </c>
      <c r="D1890" s="1" t="str">
        <f>IF(ISBLANK('SQL Builder'!K1865)=FALSE,'SQL Builder'!O1865,"")</f>
        <v/>
      </c>
      <c r="H1890" s="43" t="str">
        <f>IF(ISBLANK('SQL Builder'!K1864)=FALSE,H1889+1,"")</f>
        <v/>
      </c>
      <c r="I1890" s="1" t="str">
        <f>IF(ISBLANK('SQL Builder'!P1865)=FALSE,'SQL Builder'!N1865,"")</f>
        <v/>
      </c>
      <c r="J1890" s="79">
        <f t="shared" si="29"/>
        <v>0</v>
      </c>
    </row>
    <row r="1891" spans="2:10" ht="16.5" x14ac:dyDescent="0.25">
      <c r="B1891" s="49" t="e">
        <f>IF(ISBLANK('SQL Builder'!K1866)=FALSE,(DATE(LEFT('SQL Builder'!K1866,4),MID('SQL Builder'!K1866,6,2),MID('SQL Builder'!K1866,9,2))),NA())</f>
        <v>#N/A</v>
      </c>
      <c r="C1891" s="50" t="str">
        <f>IF(ISBLANK('SQL Builder'!K1866)=FALSE,'SQL Builder'!L1866,"")</f>
        <v/>
      </c>
      <c r="D1891" s="1" t="str">
        <f>IF(ISBLANK('SQL Builder'!K1866)=FALSE,'SQL Builder'!O1866,"")</f>
        <v/>
      </c>
      <c r="H1891" s="43" t="str">
        <f>IF(ISBLANK('SQL Builder'!K1865)=FALSE,H1890+1,"")</f>
        <v/>
      </c>
      <c r="I1891" s="1" t="str">
        <f>IF(ISBLANK('SQL Builder'!P1866)=FALSE,'SQL Builder'!N1866,"")</f>
        <v/>
      </c>
      <c r="J1891" s="79">
        <f t="shared" si="29"/>
        <v>0</v>
      </c>
    </row>
    <row r="1892" spans="2:10" ht="16.5" x14ac:dyDescent="0.25">
      <c r="B1892" s="49" t="e">
        <f>IF(ISBLANK('SQL Builder'!K1867)=FALSE,(DATE(LEFT('SQL Builder'!K1867,4),MID('SQL Builder'!K1867,6,2),MID('SQL Builder'!K1867,9,2))),NA())</f>
        <v>#N/A</v>
      </c>
      <c r="C1892" s="50" t="str">
        <f>IF(ISBLANK('SQL Builder'!K1867)=FALSE,'SQL Builder'!L1867,"")</f>
        <v/>
      </c>
      <c r="D1892" s="1" t="str">
        <f>IF(ISBLANK('SQL Builder'!K1867)=FALSE,'SQL Builder'!O1867,"")</f>
        <v/>
      </c>
      <c r="H1892" s="43" t="str">
        <f>IF(ISBLANK('SQL Builder'!K1866)=FALSE,H1891+1,"")</f>
        <v/>
      </c>
      <c r="I1892" s="1" t="str">
        <f>IF(ISBLANK('SQL Builder'!P1867)=FALSE,'SQL Builder'!N1867,"")</f>
        <v/>
      </c>
      <c r="J1892" s="79">
        <f t="shared" si="29"/>
        <v>0</v>
      </c>
    </row>
    <row r="1893" spans="2:10" ht="16.5" x14ac:dyDescent="0.25">
      <c r="B1893" s="49" t="e">
        <f>IF(ISBLANK('SQL Builder'!K1868)=FALSE,(DATE(LEFT('SQL Builder'!K1868,4),MID('SQL Builder'!K1868,6,2),MID('SQL Builder'!K1868,9,2))),NA())</f>
        <v>#N/A</v>
      </c>
      <c r="C1893" s="50" t="str">
        <f>IF(ISBLANK('SQL Builder'!K1868)=FALSE,'SQL Builder'!L1868,"")</f>
        <v/>
      </c>
      <c r="D1893" s="1" t="str">
        <f>IF(ISBLANK('SQL Builder'!K1868)=FALSE,'SQL Builder'!O1868,"")</f>
        <v/>
      </c>
      <c r="H1893" s="43" t="str">
        <f>IF(ISBLANK('SQL Builder'!K1867)=FALSE,H1892+1,"")</f>
        <v/>
      </c>
      <c r="I1893" s="1" t="str">
        <f>IF(ISBLANK('SQL Builder'!P1868)=FALSE,'SQL Builder'!N1868,"")</f>
        <v/>
      </c>
      <c r="J1893" s="79">
        <f t="shared" si="29"/>
        <v>0</v>
      </c>
    </row>
    <row r="1894" spans="2:10" ht="16.5" x14ac:dyDescent="0.25">
      <c r="B1894" s="49" t="e">
        <f>IF(ISBLANK('SQL Builder'!K1869)=FALSE,(DATE(LEFT('SQL Builder'!K1869,4),MID('SQL Builder'!K1869,6,2),MID('SQL Builder'!K1869,9,2))),NA())</f>
        <v>#N/A</v>
      </c>
      <c r="C1894" s="50" t="str">
        <f>IF(ISBLANK('SQL Builder'!K1869)=FALSE,'SQL Builder'!L1869,"")</f>
        <v/>
      </c>
      <c r="D1894" s="1" t="str">
        <f>IF(ISBLANK('SQL Builder'!K1869)=FALSE,'SQL Builder'!O1869,"")</f>
        <v/>
      </c>
      <c r="H1894" s="43" t="str">
        <f>IF(ISBLANK('SQL Builder'!K1868)=FALSE,H1893+1,"")</f>
        <v/>
      </c>
      <c r="I1894" s="1" t="str">
        <f>IF(ISBLANK('SQL Builder'!P1869)=FALSE,'SQL Builder'!N1869,"")</f>
        <v/>
      </c>
      <c r="J1894" s="79">
        <f t="shared" si="29"/>
        <v>0</v>
      </c>
    </row>
    <row r="1895" spans="2:10" ht="16.5" x14ac:dyDescent="0.25">
      <c r="B1895" s="49" t="e">
        <f>IF(ISBLANK('SQL Builder'!K1870)=FALSE,(DATE(LEFT('SQL Builder'!K1870,4),MID('SQL Builder'!K1870,6,2),MID('SQL Builder'!K1870,9,2))),NA())</f>
        <v>#N/A</v>
      </c>
      <c r="C1895" s="50" t="str">
        <f>IF(ISBLANK('SQL Builder'!K1870)=FALSE,'SQL Builder'!L1870,"")</f>
        <v/>
      </c>
      <c r="D1895" s="1" t="str">
        <f>IF(ISBLANK('SQL Builder'!K1870)=FALSE,'SQL Builder'!O1870,"")</f>
        <v/>
      </c>
      <c r="H1895" s="43" t="str">
        <f>IF(ISBLANK('SQL Builder'!K1869)=FALSE,H1894+1,"")</f>
        <v/>
      </c>
      <c r="I1895" s="1" t="str">
        <f>IF(ISBLANK('SQL Builder'!P1870)=FALSE,'SQL Builder'!N1870,"")</f>
        <v/>
      </c>
      <c r="J1895" s="79">
        <f t="shared" si="29"/>
        <v>0</v>
      </c>
    </row>
    <row r="1896" spans="2:10" ht="16.5" x14ac:dyDescent="0.25">
      <c r="B1896" s="49" t="e">
        <f>IF(ISBLANK('SQL Builder'!K1871)=FALSE,(DATE(LEFT('SQL Builder'!K1871,4),MID('SQL Builder'!K1871,6,2),MID('SQL Builder'!K1871,9,2))),NA())</f>
        <v>#N/A</v>
      </c>
      <c r="C1896" s="50" t="str">
        <f>IF(ISBLANK('SQL Builder'!K1871)=FALSE,'SQL Builder'!L1871,"")</f>
        <v/>
      </c>
      <c r="D1896" s="1" t="str">
        <f>IF(ISBLANK('SQL Builder'!K1871)=FALSE,'SQL Builder'!O1871,"")</f>
        <v/>
      </c>
      <c r="H1896" s="43" t="str">
        <f>IF(ISBLANK('SQL Builder'!K1870)=FALSE,H1895+1,"")</f>
        <v/>
      </c>
      <c r="I1896" s="1" t="str">
        <f>IF(ISBLANK('SQL Builder'!P1871)=FALSE,'SQL Builder'!N1871,"")</f>
        <v/>
      </c>
      <c r="J1896" s="79">
        <f t="shared" si="29"/>
        <v>0</v>
      </c>
    </row>
    <row r="1897" spans="2:10" ht="16.5" x14ac:dyDescent="0.25">
      <c r="B1897" s="49" t="e">
        <f>IF(ISBLANK('SQL Builder'!K1872)=FALSE,(DATE(LEFT('SQL Builder'!K1872,4),MID('SQL Builder'!K1872,6,2),MID('SQL Builder'!K1872,9,2))),NA())</f>
        <v>#N/A</v>
      </c>
      <c r="C1897" s="50" t="str">
        <f>IF(ISBLANK('SQL Builder'!K1872)=FALSE,'SQL Builder'!L1872,"")</f>
        <v/>
      </c>
      <c r="D1897" s="1" t="str">
        <f>IF(ISBLANK('SQL Builder'!K1872)=FALSE,'SQL Builder'!O1872,"")</f>
        <v/>
      </c>
      <c r="H1897" s="43" t="str">
        <f>IF(ISBLANK('SQL Builder'!K1871)=FALSE,H1896+1,"")</f>
        <v/>
      </c>
      <c r="I1897" s="1" t="str">
        <f>IF(ISBLANK('SQL Builder'!P1872)=FALSE,'SQL Builder'!N1872,"")</f>
        <v/>
      </c>
      <c r="J1897" s="79">
        <f t="shared" si="29"/>
        <v>0</v>
      </c>
    </row>
    <row r="1898" spans="2:10" ht="16.5" x14ac:dyDescent="0.25">
      <c r="B1898" s="49" t="e">
        <f>IF(ISBLANK('SQL Builder'!K1873)=FALSE,(DATE(LEFT('SQL Builder'!K1873,4),MID('SQL Builder'!K1873,6,2),MID('SQL Builder'!K1873,9,2))),NA())</f>
        <v>#N/A</v>
      </c>
      <c r="C1898" s="50" t="str">
        <f>IF(ISBLANK('SQL Builder'!K1873)=FALSE,'SQL Builder'!L1873,"")</f>
        <v/>
      </c>
      <c r="D1898" s="1" t="str">
        <f>IF(ISBLANK('SQL Builder'!K1873)=FALSE,'SQL Builder'!O1873,"")</f>
        <v/>
      </c>
      <c r="H1898" s="43" t="str">
        <f>IF(ISBLANK('SQL Builder'!K1872)=FALSE,H1897+1,"")</f>
        <v/>
      </c>
      <c r="I1898" s="1" t="str">
        <f>IF(ISBLANK('SQL Builder'!P1873)=FALSE,'SQL Builder'!N1873,"")</f>
        <v/>
      </c>
      <c r="J1898" s="79">
        <f t="shared" si="29"/>
        <v>0</v>
      </c>
    </row>
    <row r="1899" spans="2:10" ht="16.5" x14ac:dyDescent="0.25">
      <c r="B1899" s="49" t="e">
        <f>IF(ISBLANK('SQL Builder'!K1874)=FALSE,(DATE(LEFT('SQL Builder'!K1874,4),MID('SQL Builder'!K1874,6,2),MID('SQL Builder'!K1874,9,2))),NA())</f>
        <v>#N/A</v>
      </c>
      <c r="C1899" s="50" t="str">
        <f>IF(ISBLANK('SQL Builder'!K1874)=FALSE,'SQL Builder'!L1874,"")</f>
        <v/>
      </c>
      <c r="D1899" s="1" t="str">
        <f>IF(ISBLANK('SQL Builder'!K1874)=FALSE,'SQL Builder'!O1874,"")</f>
        <v/>
      </c>
      <c r="H1899" s="43" t="str">
        <f>IF(ISBLANK('SQL Builder'!K1873)=FALSE,H1898+1,"")</f>
        <v/>
      </c>
      <c r="I1899" s="1" t="str">
        <f>IF(ISBLANK('SQL Builder'!P1874)=FALSE,'SQL Builder'!N1874,"")</f>
        <v/>
      </c>
      <c r="J1899" s="79">
        <f t="shared" si="29"/>
        <v>0</v>
      </c>
    </row>
    <row r="1900" spans="2:10" ht="16.5" x14ac:dyDescent="0.25">
      <c r="B1900" s="49" t="e">
        <f>IF(ISBLANK('SQL Builder'!K1875)=FALSE,(DATE(LEFT('SQL Builder'!K1875,4),MID('SQL Builder'!K1875,6,2),MID('SQL Builder'!K1875,9,2))),NA())</f>
        <v>#N/A</v>
      </c>
      <c r="C1900" s="50" t="str">
        <f>IF(ISBLANK('SQL Builder'!K1875)=FALSE,'SQL Builder'!L1875,"")</f>
        <v/>
      </c>
      <c r="D1900" s="1" t="str">
        <f>IF(ISBLANK('SQL Builder'!K1875)=FALSE,'SQL Builder'!O1875,"")</f>
        <v/>
      </c>
      <c r="H1900" s="43" t="str">
        <f>IF(ISBLANK('SQL Builder'!K1874)=FALSE,H1899+1,"")</f>
        <v/>
      </c>
      <c r="I1900" s="1" t="str">
        <f>IF(ISBLANK('SQL Builder'!P1875)=FALSE,'SQL Builder'!N1875,"")</f>
        <v/>
      </c>
      <c r="J1900" s="79">
        <f t="shared" si="29"/>
        <v>0</v>
      </c>
    </row>
    <row r="1901" spans="2:10" ht="16.5" x14ac:dyDescent="0.25">
      <c r="B1901" s="49" t="e">
        <f>IF(ISBLANK('SQL Builder'!K1876)=FALSE,(DATE(LEFT('SQL Builder'!K1876,4),MID('SQL Builder'!K1876,6,2),MID('SQL Builder'!K1876,9,2))),NA())</f>
        <v>#N/A</v>
      </c>
      <c r="C1901" s="50" t="str">
        <f>IF(ISBLANK('SQL Builder'!K1876)=FALSE,'SQL Builder'!L1876,"")</f>
        <v/>
      </c>
      <c r="D1901" s="1" t="str">
        <f>IF(ISBLANK('SQL Builder'!K1876)=FALSE,'SQL Builder'!O1876,"")</f>
        <v/>
      </c>
      <c r="H1901" s="43" t="str">
        <f>IF(ISBLANK('SQL Builder'!K1875)=FALSE,H1900+1,"")</f>
        <v/>
      </c>
      <c r="I1901" s="1" t="str">
        <f>IF(ISBLANK('SQL Builder'!P1876)=FALSE,'SQL Builder'!N1876,"")</f>
        <v/>
      </c>
      <c r="J1901" s="79">
        <f t="shared" si="29"/>
        <v>0</v>
      </c>
    </row>
    <row r="1902" spans="2:10" ht="16.5" x14ac:dyDescent="0.25">
      <c r="B1902" s="49" t="e">
        <f>IF(ISBLANK('SQL Builder'!K1877)=FALSE,(DATE(LEFT('SQL Builder'!K1877,4),MID('SQL Builder'!K1877,6,2),MID('SQL Builder'!K1877,9,2))),NA())</f>
        <v>#N/A</v>
      </c>
      <c r="C1902" s="50" t="str">
        <f>IF(ISBLANK('SQL Builder'!K1877)=FALSE,'SQL Builder'!L1877,"")</f>
        <v/>
      </c>
      <c r="D1902" s="1" t="str">
        <f>IF(ISBLANK('SQL Builder'!K1877)=FALSE,'SQL Builder'!O1877,"")</f>
        <v/>
      </c>
      <c r="H1902" s="43" t="str">
        <f>IF(ISBLANK('SQL Builder'!K1876)=FALSE,H1901+1,"")</f>
        <v/>
      </c>
      <c r="I1902" s="1" t="str">
        <f>IF(ISBLANK('SQL Builder'!P1877)=FALSE,'SQL Builder'!N1877,"")</f>
        <v/>
      </c>
      <c r="J1902" s="79">
        <f t="shared" si="29"/>
        <v>0</v>
      </c>
    </row>
    <row r="1903" spans="2:10" ht="16.5" x14ac:dyDescent="0.25">
      <c r="B1903" s="49" t="e">
        <f>IF(ISBLANK('SQL Builder'!K1878)=FALSE,(DATE(LEFT('SQL Builder'!K1878,4),MID('SQL Builder'!K1878,6,2),MID('SQL Builder'!K1878,9,2))),NA())</f>
        <v>#N/A</v>
      </c>
      <c r="C1903" s="50" t="str">
        <f>IF(ISBLANK('SQL Builder'!K1878)=FALSE,'SQL Builder'!L1878,"")</f>
        <v/>
      </c>
      <c r="D1903" s="1" t="str">
        <f>IF(ISBLANK('SQL Builder'!K1878)=FALSE,'SQL Builder'!O1878,"")</f>
        <v/>
      </c>
      <c r="H1903" s="43" t="str">
        <f>IF(ISBLANK('SQL Builder'!K1877)=FALSE,H1902+1,"")</f>
        <v/>
      </c>
      <c r="I1903" s="1" t="str">
        <f>IF(ISBLANK('SQL Builder'!P1878)=FALSE,'SQL Builder'!N1878,"")</f>
        <v/>
      </c>
      <c r="J1903" s="79">
        <f t="shared" si="29"/>
        <v>0</v>
      </c>
    </row>
    <row r="1904" spans="2:10" ht="16.5" x14ac:dyDescent="0.25">
      <c r="B1904" s="49" t="e">
        <f>IF(ISBLANK('SQL Builder'!K1879)=FALSE,(DATE(LEFT('SQL Builder'!K1879,4),MID('SQL Builder'!K1879,6,2),MID('SQL Builder'!K1879,9,2))),NA())</f>
        <v>#N/A</v>
      </c>
      <c r="C1904" s="50" t="str">
        <f>IF(ISBLANK('SQL Builder'!K1879)=FALSE,'SQL Builder'!L1879,"")</f>
        <v/>
      </c>
      <c r="D1904" s="1" t="str">
        <f>IF(ISBLANK('SQL Builder'!K1879)=FALSE,'SQL Builder'!O1879,"")</f>
        <v/>
      </c>
      <c r="H1904" s="43" t="str">
        <f>IF(ISBLANK('SQL Builder'!K1878)=FALSE,H1903+1,"")</f>
        <v/>
      </c>
      <c r="I1904" s="1" t="str">
        <f>IF(ISBLANK('SQL Builder'!P1879)=FALSE,'SQL Builder'!N1879,"")</f>
        <v/>
      </c>
      <c r="J1904" s="79">
        <f t="shared" si="29"/>
        <v>0</v>
      </c>
    </row>
    <row r="1905" spans="2:10" ht="16.5" x14ac:dyDescent="0.25">
      <c r="B1905" s="49" t="e">
        <f>IF(ISBLANK('SQL Builder'!K1880)=FALSE,(DATE(LEFT('SQL Builder'!K1880,4),MID('SQL Builder'!K1880,6,2),MID('SQL Builder'!K1880,9,2))),NA())</f>
        <v>#N/A</v>
      </c>
      <c r="C1905" s="50" t="str">
        <f>IF(ISBLANK('SQL Builder'!K1880)=FALSE,'SQL Builder'!L1880,"")</f>
        <v/>
      </c>
      <c r="D1905" s="1" t="str">
        <f>IF(ISBLANK('SQL Builder'!K1880)=FALSE,'SQL Builder'!O1880,"")</f>
        <v/>
      </c>
      <c r="H1905" s="43" t="str">
        <f>IF(ISBLANK('SQL Builder'!K1879)=FALSE,H1904+1,"")</f>
        <v/>
      </c>
      <c r="I1905" s="1" t="str">
        <f>IF(ISBLANK('SQL Builder'!P1880)=FALSE,'SQL Builder'!N1880,"")</f>
        <v/>
      </c>
      <c r="J1905" s="79">
        <f t="shared" si="29"/>
        <v>0</v>
      </c>
    </row>
    <row r="1906" spans="2:10" ht="16.5" x14ac:dyDescent="0.25">
      <c r="B1906" s="49" t="e">
        <f>IF(ISBLANK('SQL Builder'!K1881)=FALSE,(DATE(LEFT('SQL Builder'!K1881,4),MID('SQL Builder'!K1881,6,2),MID('SQL Builder'!K1881,9,2))),NA())</f>
        <v>#N/A</v>
      </c>
      <c r="C1906" s="50" t="str">
        <f>IF(ISBLANK('SQL Builder'!K1881)=FALSE,'SQL Builder'!L1881,"")</f>
        <v/>
      </c>
      <c r="D1906" s="1" t="str">
        <f>IF(ISBLANK('SQL Builder'!K1881)=FALSE,'SQL Builder'!O1881,"")</f>
        <v/>
      </c>
      <c r="H1906" s="43" t="str">
        <f>IF(ISBLANK('SQL Builder'!K1880)=FALSE,H1905+1,"")</f>
        <v/>
      </c>
      <c r="I1906" s="1" t="str">
        <f>IF(ISBLANK('SQL Builder'!P1881)=FALSE,'SQL Builder'!N1881,"")</f>
        <v/>
      </c>
      <c r="J1906" s="79">
        <f t="shared" si="29"/>
        <v>0</v>
      </c>
    </row>
    <row r="1907" spans="2:10" ht="16.5" x14ac:dyDescent="0.25">
      <c r="B1907" s="49" t="e">
        <f>IF(ISBLANK('SQL Builder'!K1882)=FALSE,(DATE(LEFT('SQL Builder'!K1882,4),MID('SQL Builder'!K1882,6,2),MID('SQL Builder'!K1882,9,2))),NA())</f>
        <v>#N/A</v>
      </c>
      <c r="C1907" s="50" t="str">
        <f>IF(ISBLANK('SQL Builder'!K1882)=FALSE,'SQL Builder'!L1882,"")</f>
        <v/>
      </c>
      <c r="D1907" s="1" t="str">
        <f>IF(ISBLANK('SQL Builder'!K1882)=FALSE,'SQL Builder'!O1882,"")</f>
        <v/>
      </c>
      <c r="H1907" s="43" t="str">
        <f>IF(ISBLANK('SQL Builder'!K1881)=FALSE,H1906+1,"")</f>
        <v/>
      </c>
      <c r="I1907" s="1" t="str">
        <f>IF(ISBLANK('SQL Builder'!P1882)=FALSE,'SQL Builder'!N1882,"")</f>
        <v/>
      </c>
      <c r="J1907" s="79">
        <f t="shared" si="29"/>
        <v>0</v>
      </c>
    </row>
    <row r="1908" spans="2:10" ht="16.5" x14ac:dyDescent="0.25">
      <c r="B1908" s="49" t="e">
        <f>IF(ISBLANK('SQL Builder'!K1883)=FALSE,(DATE(LEFT('SQL Builder'!K1883,4),MID('SQL Builder'!K1883,6,2),MID('SQL Builder'!K1883,9,2))),NA())</f>
        <v>#N/A</v>
      </c>
      <c r="C1908" s="50" t="str">
        <f>IF(ISBLANK('SQL Builder'!K1883)=FALSE,'SQL Builder'!L1883,"")</f>
        <v/>
      </c>
      <c r="D1908" s="1" t="str">
        <f>IF(ISBLANK('SQL Builder'!K1883)=FALSE,'SQL Builder'!O1883,"")</f>
        <v/>
      </c>
      <c r="H1908" s="43" t="str">
        <f>IF(ISBLANK('SQL Builder'!K1882)=FALSE,H1907+1,"")</f>
        <v/>
      </c>
      <c r="I1908" s="1" t="str">
        <f>IF(ISBLANK('SQL Builder'!P1883)=FALSE,'SQL Builder'!N1883,"")</f>
        <v/>
      </c>
      <c r="J1908" s="79">
        <f t="shared" si="29"/>
        <v>0</v>
      </c>
    </row>
    <row r="1909" spans="2:10" ht="16.5" x14ac:dyDescent="0.25">
      <c r="B1909" s="49" t="e">
        <f>IF(ISBLANK('SQL Builder'!K1884)=FALSE,(DATE(LEFT('SQL Builder'!K1884,4),MID('SQL Builder'!K1884,6,2),MID('SQL Builder'!K1884,9,2))),NA())</f>
        <v>#N/A</v>
      </c>
      <c r="C1909" s="50" t="str">
        <f>IF(ISBLANK('SQL Builder'!K1884)=FALSE,'SQL Builder'!L1884,"")</f>
        <v/>
      </c>
      <c r="D1909" s="1" t="str">
        <f>IF(ISBLANK('SQL Builder'!K1884)=FALSE,'SQL Builder'!O1884,"")</f>
        <v/>
      </c>
      <c r="H1909" s="43" t="str">
        <f>IF(ISBLANK('SQL Builder'!K1883)=FALSE,H1908+1,"")</f>
        <v/>
      </c>
      <c r="I1909" s="1" t="str">
        <f>IF(ISBLANK('SQL Builder'!P1884)=FALSE,'SQL Builder'!N1884,"")</f>
        <v/>
      </c>
      <c r="J1909" s="79">
        <f t="shared" si="29"/>
        <v>0</v>
      </c>
    </row>
    <row r="1910" spans="2:10" ht="16.5" x14ac:dyDescent="0.25">
      <c r="B1910" s="49" t="e">
        <f>IF(ISBLANK('SQL Builder'!K1885)=FALSE,(DATE(LEFT('SQL Builder'!K1885,4),MID('SQL Builder'!K1885,6,2),MID('SQL Builder'!K1885,9,2))),NA())</f>
        <v>#N/A</v>
      </c>
      <c r="C1910" s="50" t="str">
        <f>IF(ISBLANK('SQL Builder'!K1885)=FALSE,'SQL Builder'!L1885,"")</f>
        <v/>
      </c>
      <c r="D1910" s="1" t="str">
        <f>IF(ISBLANK('SQL Builder'!K1885)=FALSE,'SQL Builder'!O1885,"")</f>
        <v/>
      </c>
      <c r="H1910" s="43" t="str">
        <f>IF(ISBLANK('SQL Builder'!K1884)=FALSE,H1909+1,"")</f>
        <v/>
      </c>
      <c r="I1910" s="1" t="str">
        <f>IF(ISBLANK('SQL Builder'!P1885)=FALSE,'SQL Builder'!N1885,"")</f>
        <v/>
      </c>
      <c r="J1910" s="79">
        <f t="shared" si="29"/>
        <v>0</v>
      </c>
    </row>
    <row r="1911" spans="2:10" ht="16.5" x14ac:dyDescent="0.25">
      <c r="B1911" s="49" t="e">
        <f>IF(ISBLANK('SQL Builder'!K1886)=FALSE,(DATE(LEFT('SQL Builder'!K1886,4),MID('SQL Builder'!K1886,6,2),MID('SQL Builder'!K1886,9,2))),NA())</f>
        <v>#N/A</v>
      </c>
      <c r="C1911" s="50" t="str">
        <f>IF(ISBLANK('SQL Builder'!K1886)=FALSE,'SQL Builder'!L1886,"")</f>
        <v/>
      </c>
      <c r="D1911" s="1" t="str">
        <f>IF(ISBLANK('SQL Builder'!K1886)=FALSE,'SQL Builder'!O1886,"")</f>
        <v/>
      </c>
      <c r="H1911" s="43" t="str">
        <f>IF(ISBLANK('SQL Builder'!K1885)=FALSE,H1910+1,"")</f>
        <v/>
      </c>
      <c r="I1911" s="1" t="str">
        <f>IF(ISBLANK('SQL Builder'!P1886)=FALSE,'SQL Builder'!N1886,"")</f>
        <v/>
      </c>
      <c r="J1911" s="79">
        <f t="shared" si="29"/>
        <v>0</v>
      </c>
    </row>
    <row r="1912" spans="2:10" ht="16.5" x14ac:dyDescent="0.25">
      <c r="B1912" s="49" t="e">
        <f>IF(ISBLANK('SQL Builder'!K1887)=FALSE,(DATE(LEFT('SQL Builder'!K1887,4),MID('SQL Builder'!K1887,6,2),MID('SQL Builder'!K1887,9,2))),NA())</f>
        <v>#N/A</v>
      </c>
      <c r="C1912" s="50" t="str">
        <f>IF(ISBLANK('SQL Builder'!K1887)=FALSE,'SQL Builder'!L1887,"")</f>
        <v/>
      </c>
      <c r="D1912" s="1" t="str">
        <f>IF(ISBLANK('SQL Builder'!K1887)=FALSE,'SQL Builder'!O1887,"")</f>
        <v/>
      </c>
      <c r="H1912" s="43" t="str">
        <f>IF(ISBLANK('SQL Builder'!K1886)=FALSE,H1911+1,"")</f>
        <v/>
      </c>
      <c r="I1912" s="1" t="str">
        <f>IF(ISBLANK('SQL Builder'!P1887)=FALSE,'SQL Builder'!N1887,"")</f>
        <v/>
      </c>
      <c r="J1912" s="79">
        <f t="shared" si="29"/>
        <v>0</v>
      </c>
    </row>
    <row r="1913" spans="2:10" ht="16.5" x14ac:dyDescent="0.25">
      <c r="B1913" s="49" t="e">
        <f>IF(ISBLANK('SQL Builder'!K1888)=FALSE,(DATE(LEFT('SQL Builder'!K1888,4),MID('SQL Builder'!K1888,6,2),MID('SQL Builder'!K1888,9,2))),NA())</f>
        <v>#N/A</v>
      </c>
      <c r="C1913" s="50" t="str">
        <f>IF(ISBLANK('SQL Builder'!K1888)=FALSE,'SQL Builder'!L1888,"")</f>
        <v/>
      </c>
      <c r="D1913" s="1" t="str">
        <f>IF(ISBLANK('SQL Builder'!K1888)=FALSE,'SQL Builder'!O1888,"")</f>
        <v/>
      </c>
      <c r="H1913" s="43" t="str">
        <f>IF(ISBLANK('SQL Builder'!K1887)=FALSE,H1912+1,"")</f>
        <v/>
      </c>
      <c r="I1913" s="1" t="str">
        <f>IF(ISBLANK('SQL Builder'!P1888)=FALSE,'SQL Builder'!N1888,"")</f>
        <v/>
      </c>
      <c r="J1913" s="79">
        <f t="shared" si="29"/>
        <v>0</v>
      </c>
    </row>
    <row r="1914" spans="2:10" ht="16.5" x14ac:dyDescent="0.25">
      <c r="B1914" s="49" t="e">
        <f>IF(ISBLANK('SQL Builder'!K1889)=FALSE,(DATE(LEFT('SQL Builder'!K1889,4),MID('SQL Builder'!K1889,6,2),MID('SQL Builder'!K1889,9,2))),NA())</f>
        <v>#N/A</v>
      </c>
      <c r="C1914" s="50" t="str">
        <f>IF(ISBLANK('SQL Builder'!K1889)=FALSE,'SQL Builder'!L1889,"")</f>
        <v/>
      </c>
      <c r="D1914" s="1" t="str">
        <f>IF(ISBLANK('SQL Builder'!K1889)=FALSE,'SQL Builder'!O1889,"")</f>
        <v/>
      </c>
      <c r="H1914" s="43" t="str">
        <f>IF(ISBLANK('SQL Builder'!K1888)=FALSE,H1913+1,"")</f>
        <v/>
      </c>
      <c r="I1914" s="1" t="str">
        <f>IF(ISBLANK('SQL Builder'!P1889)=FALSE,'SQL Builder'!N1889,"")</f>
        <v/>
      </c>
      <c r="J1914" s="79">
        <f t="shared" si="29"/>
        <v>0</v>
      </c>
    </row>
    <row r="1915" spans="2:10" ht="16.5" x14ac:dyDescent="0.25">
      <c r="B1915" s="49" t="e">
        <f>IF(ISBLANK('SQL Builder'!K1890)=FALSE,(DATE(LEFT('SQL Builder'!K1890,4),MID('SQL Builder'!K1890,6,2),MID('SQL Builder'!K1890,9,2))),NA())</f>
        <v>#N/A</v>
      </c>
      <c r="C1915" s="50" t="str">
        <f>IF(ISBLANK('SQL Builder'!K1890)=FALSE,'SQL Builder'!L1890,"")</f>
        <v/>
      </c>
      <c r="D1915" s="1" t="str">
        <f>IF(ISBLANK('SQL Builder'!K1890)=FALSE,'SQL Builder'!O1890,"")</f>
        <v/>
      </c>
      <c r="H1915" s="43" t="str">
        <f>IF(ISBLANK('SQL Builder'!K1889)=FALSE,H1914+1,"")</f>
        <v/>
      </c>
      <c r="I1915" s="1" t="str">
        <f>IF(ISBLANK('SQL Builder'!P1890)=FALSE,'SQL Builder'!N1890,"")</f>
        <v/>
      </c>
      <c r="J1915" s="79">
        <f t="shared" si="29"/>
        <v>0</v>
      </c>
    </row>
    <row r="1916" spans="2:10" ht="16.5" x14ac:dyDescent="0.25">
      <c r="B1916" s="49" t="e">
        <f>IF(ISBLANK('SQL Builder'!K1891)=FALSE,(DATE(LEFT('SQL Builder'!K1891,4),MID('SQL Builder'!K1891,6,2),MID('SQL Builder'!K1891,9,2))),NA())</f>
        <v>#N/A</v>
      </c>
      <c r="C1916" s="50" t="str">
        <f>IF(ISBLANK('SQL Builder'!K1891)=FALSE,'SQL Builder'!L1891,"")</f>
        <v/>
      </c>
      <c r="D1916" s="1" t="str">
        <f>IF(ISBLANK('SQL Builder'!K1891)=FALSE,'SQL Builder'!O1891,"")</f>
        <v/>
      </c>
      <c r="H1916" s="43" t="str">
        <f>IF(ISBLANK('SQL Builder'!K1890)=FALSE,H1915+1,"")</f>
        <v/>
      </c>
      <c r="I1916" s="1" t="str">
        <f>IF(ISBLANK('SQL Builder'!P1891)=FALSE,'SQL Builder'!N1891,"")</f>
        <v/>
      </c>
      <c r="J1916" s="79">
        <f t="shared" si="29"/>
        <v>0</v>
      </c>
    </row>
    <row r="1917" spans="2:10" ht="16.5" x14ac:dyDescent="0.25">
      <c r="B1917" s="49" t="e">
        <f>IF(ISBLANK('SQL Builder'!K1892)=FALSE,(DATE(LEFT('SQL Builder'!K1892,4),MID('SQL Builder'!K1892,6,2),MID('SQL Builder'!K1892,9,2))),NA())</f>
        <v>#N/A</v>
      </c>
      <c r="C1917" s="50" t="str">
        <f>IF(ISBLANK('SQL Builder'!K1892)=FALSE,'SQL Builder'!L1892,"")</f>
        <v/>
      </c>
      <c r="D1917" s="1" t="str">
        <f>IF(ISBLANK('SQL Builder'!K1892)=FALSE,'SQL Builder'!O1892,"")</f>
        <v/>
      </c>
      <c r="H1917" s="43" t="str">
        <f>IF(ISBLANK('SQL Builder'!K1891)=FALSE,H1916+1,"")</f>
        <v/>
      </c>
      <c r="I1917" s="1" t="str">
        <f>IF(ISBLANK('SQL Builder'!P1892)=FALSE,'SQL Builder'!N1892,"")</f>
        <v/>
      </c>
      <c r="J1917" s="79">
        <f t="shared" si="29"/>
        <v>0</v>
      </c>
    </row>
    <row r="1918" spans="2:10" ht="16.5" x14ac:dyDescent="0.25">
      <c r="B1918" s="49" t="e">
        <f>IF(ISBLANK('SQL Builder'!K1893)=FALSE,(DATE(LEFT('SQL Builder'!K1893,4),MID('SQL Builder'!K1893,6,2),MID('SQL Builder'!K1893,9,2))),NA())</f>
        <v>#N/A</v>
      </c>
      <c r="C1918" s="50" t="str">
        <f>IF(ISBLANK('SQL Builder'!K1893)=FALSE,'SQL Builder'!L1893,"")</f>
        <v/>
      </c>
      <c r="D1918" s="1" t="str">
        <f>IF(ISBLANK('SQL Builder'!K1893)=FALSE,'SQL Builder'!O1893,"")</f>
        <v/>
      </c>
      <c r="H1918" s="43" t="str">
        <f>IF(ISBLANK('SQL Builder'!K1892)=FALSE,H1917+1,"")</f>
        <v/>
      </c>
      <c r="I1918" s="1" t="str">
        <f>IF(ISBLANK('SQL Builder'!P1893)=FALSE,'SQL Builder'!N1893,"")</f>
        <v/>
      </c>
      <c r="J1918" s="79">
        <f t="shared" si="29"/>
        <v>0</v>
      </c>
    </row>
    <row r="1919" spans="2:10" ht="16.5" x14ac:dyDescent="0.25">
      <c r="B1919" s="49" t="e">
        <f>IF(ISBLANK('SQL Builder'!K1894)=FALSE,(DATE(LEFT('SQL Builder'!K1894,4),MID('SQL Builder'!K1894,6,2),MID('SQL Builder'!K1894,9,2))),NA())</f>
        <v>#N/A</v>
      </c>
      <c r="C1919" s="50" t="str">
        <f>IF(ISBLANK('SQL Builder'!K1894)=FALSE,'SQL Builder'!L1894,"")</f>
        <v/>
      </c>
      <c r="D1919" s="1" t="str">
        <f>IF(ISBLANK('SQL Builder'!K1894)=FALSE,'SQL Builder'!O1894,"")</f>
        <v/>
      </c>
      <c r="H1919" s="43" t="str">
        <f>IF(ISBLANK('SQL Builder'!K1893)=FALSE,H1918+1,"")</f>
        <v/>
      </c>
      <c r="I1919" s="1" t="str">
        <f>IF(ISBLANK('SQL Builder'!P1894)=FALSE,'SQL Builder'!N1894,"")</f>
        <v/>
      </c>
      <c r="J1919" s="79">
        <f t="shared" si="29"/>
        <v>0</v>
      </c>
    </row>
    <row r="1920" spans="2:10" ht="16.5" x14ac:dyDescent="0.25">
      <c r="B1920" s="49" t="e">
        <f>IF(ISBLANK('SQL Builder'!K1895)=FALSE,(DATE(LEFT('SQL Builder'!K1895,4),MID('SQL Builder'!K1895,6,2),MID('SQL Builder'!K1895,9,2))),NA())</f>
        <v>#N/A</v>
      </c>
      <c r="C1920" s="50" t="str">
        <f>IF(ISBLANK('SQL Builder'!K1895)=FALSE,'SQL Builder'!L1895,"")</f>
        <v/>
      </c>
      <c r="D1920" s="1" t="str">
        <f>IF(ISBLANK('SQL Builder'!K1895)=FALSE,'SQL Builder'!O1895,"")</f>
        <v/>
      </c>
      <c r="H1920" s="43" t="str">
        <f>IF(ISBLANK('SQL Builder'!K1894)=FALSE,H1919+1,"")</f>
        <v/>
      </c>
      <c r="I1920" s="1" t="str">
        <f>IF(ISBLANK('SQL Builder'!P1895)=FALSE,'SQL Builder'!N1895,"")</f>
        <v/>
      </c>
      <c r="J1920" s="79">
        <f t="shared" si="29"/>
        <v>0</v>
      </c>
    </row>
    <row r="1921" spans="2:10" ht="16.5" x14ac:dyDescent="0.25">
      <c r="B1921" s="49" t="e">
        <f>IF(ISBLANK('SQL Builder'!K1896)=FALSE,(DATE(LEFT('SQL Builder'!K1896,4),MID('SQL Builder'!K1896,6,2),MID('SQL Builder'!K1896,9,2))),NA())</f>
        <v>#N/A</v>
      </c>
      <c r="C1921" s="50" t="str">
        <f>IF(ISBLANK('SQL Builder'!K1896)=FALSE,'SQL Builder'!L1896,"")</f>
        <v/>
      </c>
      <c r="D1921" s="1" t="str">
        <f>IF(ISBLANK('SQL Builder'!K1896)=FALSE,'SQL Builder'!O1896,"")</f>
        <v/>
      </c>
      <c r="H1921" s="43" t="str">
        <f>IF(ISBLANK('SQL Builder'!K1895)=FALSE,H1920+1,"")</f>
        <v/>
      </c>
      <c r="I1921" s="1" t="str">
        <f>IF(ISBLANK('SQL Builder'!P1896)=FALSE,'SQL Builder'!N1896,"")</f>
        <v/>
      </c>
      <c r="J1921" s="79">
        <f t="shared" si="29"/>
        <v>0</v>
      </c>
    </row>
    <row r="1922" spans="2:10" ht="16.5" x14ac:dyDescent="0.25">
      <c r="B1922" s="49" t="e">
        <f>IF(ISBLANK('SQL Builder'!K1897)=FALSE,(DATE(LEFT('SQL Builder'!K1897,4),MID('SQL Builder'!K1897,6,2),MID('SQL Builder'!K1897,9,2))),NA())</f>
        <v>#N/A</v>
      </c>
      <c r="C1922" s="50" t="str">
        <f>IF(ISBLANK('SQL Builder'!K1897)=FALSE,'SQL Builder'!L1897,"")</f>
        <v/>
      </c>
      <c r="D1922" s="1" t="str">
        <f>IF(ISBLANK('SQL Builder'!K1897)=FALSE,'SQL Builder'!O1897,"")</f>
        <v/>
      </c>
      <c r="H1922" s="43" t="str">
        <f>IF(ISBLANK('SQL Builder'!K1896)=FALSE,H1921+1,"")</f>
        <v/>
      </c>
      <c r="I1922" s="1" t="str">
        <f>IF(ISBLANK('SQL Builder'!P1897)=FALSE,'SQL Builder'!N1897,"")</f>
        <v/>
      </c>
      <c r="J1922" s="79">
        <f t="shared" si="29"/>
        <v>0</v>
      </c>
    </row>
    <row r="1923" spans="2:10" ht="16.5" x14ac:dyDescent="0.25">
      <c r="B1923" s="49" t="e">
        <f>IF(ISBLANK('SQL Builder'!K1898)=FALSE,(DATE(LEFT('SQL Builder'!K1898,4),MID('SQL Builder'!K1898,6,2),MID('SQL Builder'!K1898,9,2))),NA())</f>
        <v>#N/A</v>
      </c>
      <c r="C1923" s="50" t="str">
        <f>IF(ISBLANK('SQL Builder'!K1898)=FALSE,'SQL Builder'!L1898,"")</f>
        <v/>
      </c>
      <c r="D1923" s="1" t="str">
        <f>IF(ISBLANK('SQL Builder'!K1898)=FALSE,'SQL Builder'!O1898,"")</f>
        <v/>
      </c>
      <c r="H1923" s="43" t="str">
        <f>IF(ISBLANK('SQL Builder'!K1897)=FALSE,H1922+1,"")</f>
        <v/>
      </c>
      <c r="I1923" s="1" t="str">
        <f>IF(ISBLANK('SQL Builder'!P1898)=FALSE,'SQL Builder'!N1898,"")</f>
        <v/>
      </c>
      <c r="J1923" s="79">
        <f t="shared" si="29"/>
        <v>0</v>
      </c>
    </row>
    <row r="1924" spans="2:10" ht="16.5" x14ac:dyDescent="0.25">
      <c r="B1924" s="49" t="e">
        <f>IF(ISBLANK('SQL Builder'!K1899)=FALSE,(DATE(LEFT('SQL Builder'!K1899,4),MID('SQL Builder'!K1899,6,2),MID('SQL Builder'!K1899,9,2))),NA())</f>
        <v>#N/A</v>
      </c>
      <c r="C1924" s="50" t="str">
        <f>IF(ISBLANK('SQL Builder'!K1899)=FALSE,'SQL Builder'!L1899,"")</f>
        <v/>
      </c>
      <c r="D1924" s="1" t="str">
        <f>IF(ISBLANK('SQL Builder'!K1899)=FALSE,'SQL Builder'!O1899,"")</f>
        <v/>
      </c>
      <c r="H1924" s="43" t="str">
        <f>IF(ISBLANK('SQL Builder'!K1898)=FALSE,H1923+1,"")</f>
        <v/>
      </c>
      <c r="I1924" s="1" t="str">
        <f>IF(ISBLANK('SQL Builder'!P1899)=FALSE,'SQL Builder'!N1899,"")</f>
        <v/>
      </c>
      <c r="J1924" s="79">
        <f t="shared" si="29"/>
        <v>0</v>
      </c>
    </row>
    <row r="1925" spans="2:10" ht="16.5" x14ac:dyDescent="0.25">
      <c r="B1925" s="49" t="e">
        <f>IF(ISBLANK('SQL Builder'!K1900)=FALSE,(DATE(LEFT('SQL Builder'!K1900,4),MID('SQL Builder'!K1900,6,2),MID('SQL Builder'!K1900,9,2))),NA())</f>
        <v>#N/A</v>
      </c>
      <c r="C1925" s="50" t="str">
        <f>IF(ISBLANK('SQL Builder'!K1900)=FALSE,'SQL Builder'!L1900,"")</f>
        <v/>
      </c>
      <c r="D1925" s="1" t="str">
        <f>IF(ISBLANK('SQL Builder'!K1900)=FALSE,'SQL Builder'!O1900,"")</f>
        <v/>
      </c>
      <c r="H1925" s="43" t="str">
        <f>IF(ISBLANK('SQL Builder'!K1899)=FALSE,H1924+1,"")</f>
        <v/>
      </c>
      <c r="I1925" s="1" t="str">
        <f>IF(ISBLANK('SQL Builder'!P1900)=FALSE,'SQL Builder'!N1900,"")</f>
        <v/>
      </c>
      <c r="J1925" s="79">
        <f t="shared" si="29"/>
        <v>0</v>
      </c>
    </row>
    <row r="1926" spans="2:10" ht="16.5" x14ac:dyDescent="0.25">
      <c r="B1926" s="49" t="e">
        <f>IF(ISBLANK('SQL Builder'!K1901)=FALSE,(DATE(LEFT('SQL Builder'!K1901,4),MID('SQL Builder'!K1901,6,2),MID('SQL Builder'!K1901,9,2))),NA())</f>
        <v>#N/A</v>
      </c>
      <c r="C1926" s="50" t="str">
        <f>IF(ISBLANK('SQL Builder'!K1901)=FALSE,'SQL Builder'!L1901,"")</f>
        <v/>
      </c>
      <c r="D1926" s="1" t="str">
        <f>IF(ISBLANK('SQL Builder'!K1901)=FALSE,'SQL Builder'!O1901,"")</f>
        <v/>
      </c>
      <c r="H1926" s="43" t="str">
        <f>IF(ISBLANK('SQL Builder'!K1900)=FALSE,H1925+1,"")</f>
        <v/>
      </c>
      <c r="I1926" s="1" t="str">
        <f>IF(ISBLANK('SQL Builder'!P1901)=FALSE,'SQL Builder'!N1901,"")</f>
        <v/>
      </c>
      <c r="J1926" s="79">
        <f t="shared" si="29"/>
        <v>0</v>
      </c>
    </row>
    <row r="1927" spans="2:10" ht="16.5" x14ac:dyDescent="0.25">
      <c r="B1927" s="49" t="e">
        <f>IF(ISBLANK('SQL Builder'!K1902)=FALSE,(DATE(LEFT('SQL Builder'!K1902,4),MID('SQL Builder'!K1902,6,2),MID('SQL Builder'!K1902,9,2))),NA())</f>
        <v>#N/A</v>
      </c>
      <c r="C1927" s="50" t="str">
        <f>IF(ISBLANK('SQL Builder'!K1902)=FALSE,'SQL Builder'!L1902,"")</f>
        <v/>
      </c>
      <c r="D1927" s="1" t="str">
        <f>IF(ISBLANK('SQL Builder'!K1902)=FALSE,'SQL Builder'!O1902,"")</f>
        <v/>
      </c>
      <c r="H1927" s="43" t="str">
        <f>IF(ISBLANK('SQL Builder'!K1901)=FALSE,H1926+1,"")</f>
        <v/>
      </c>
      <c r="I1927" s="1" t="str">
        <f>IF(ISBLANK('SQL Builder'!P1902)=FALSE,'SQL Builder'!N1902,"")</f>
        <v/>
      </c>
      <c r="J1927" s="79">
        <f t="shared" si="29"/>
        <v>0</v>
      </c>
    </row>
    <row r="1928" spans="2:10" ht="16.5" x14ac:dyDescent="0.25">
      <c r="B1928" s="49" t="e">
        <f>IF(ISBLANK('SQL Builder'!K1903)=FALSE,(DATE(LEFT('SQL Builder'!K1903,4),MID('SQL Builder'!K1903,6,2),MID('SQL Builder'!K1903,9,2))),NA())</f>
        <v>#N/A</v>
      </c>
      <c r="C1928" s="50" t="str">
        <f>IF(ISBLANK('SQL Builder'!K1903)=FALSE,'SQL Builder'!L1903,"")</f>
        <v/>
      </c>
      <c r="D1928" s="1" t="str">
        <f>IF(ISBLANK('SQL Builder'!K1903)=FALSE,'SQL Builder'!O1903,"")</f>
        <v/>
      </c>
      <c r="H1928" s="43" t="str">
        <f>IF(ISBLANK('SQL Builder'!K1902)=FALSE,H1927+1,"")</f>
        <v/>
      </c>
      <c r="I1928" s="1" t="str">
        <f>IF(ISBLANK('SQL Builder'!P1903)=FALSE,'SQL Builder'!N1903,"")</f>
        <v/>
      </c>
      <c r="J1928" s="79">
        <f t="shared" si="29"/>
        <v>0</v>
      </c>
    </row>
    <row r="1929" spans="2:10" ht="16.5" x14ac:dyDescent="0.25">
      <c r="B1929" s="49" t="e">
        <f>IF(ISBLANK('SQL Builder'!K1904)=FALSE,(DATE(LEFT('SQL Builder'!K1904,4),MID('SQL Builder'!K1904,6,2),MID('SQL Builder'!K1904,9,2))),NA())</f>
        <v>#N/A</v>
      </c>
      <c r="C1929" s="50" t="str">
        <f>IF(ISBLANK('SQL Builder'!K1904)=FALSE,'SQL Builder'!L1904,"")</f>
        <v/>
      </c>
      <c r="D1929" s="1" t="str">
        <f>IF(ISBLANK('SQL Builder'!K1904)=FALSE,'SQL Builder'!O1904,"")</f>
        <v/>
      </c>
      <c r="H1929" s="43" t="str">
        <f>IF(ISBLANK('SQL Builder'!K1903)=FALSE,H1928+1,"")</f>
        <v/>
      </c>
      <c r="I1929" s="1" t="str">
        <f>IF(ISBLANK('SQL Builder'!P1904)=FALSE,'SQL Builder'!N1904,"")</f>
        <v/>
      </c>
      <c r="J1929" s="79">
        <f t="shared" si="29"/>
        <v>0</v>
      </c>
    </row>
    <row r="1930" spans="2:10" ht="16.5" x14ac:dyDescent="0.25">
      <c r="B1930" s="49" t="e">
        <f>IF(ISBLANK('SQL Builder'!K1905)=FALSE,(DATE(LEFT('SQL Builder'!K1905,4),MID('SQL Builder'!K1905,6,2),MID('SQL Builder'!K1905,9,2))),NA())</f>
        <v>#N/A</v>
      </c>
      <c r="C1930" s="50" t="str">
        <f>IF(ISBLANK('SQL Builder'!K1905)=FALSE,'SQL Builder'!L1905,"")</f>
        <v/>
      </c>
      <c r="D1930" s="1" t="str">
        <f>IF(ISBLANK('SQL Builder'!K1905)=FALSE,'SQL Builder'!O1905,"")</f>
        <v/>
      </c>
      <c r="H1930" s="43" t="str">
        <f>IF(ISBLANK('SQL Builder'!K1904)=FALSE,H1929+1,"")</f>
        <v/>
      </c>
      <c r="I1930" s="1" t="str">
        <f>IF(ISBLANK('SQL Builder'!P1905)=FALSE,'SQL Builder'!N1905,"")</f>
        <v/>
      </c>
      <c r="J1930" s="79">
        <f t="shared" si="29"/>
        <v>0</v>
      </c>
    </row>
    <row r="1931" spans="2:10" ht="16.5" x14ac:dyDescent="0.25">
      <c r="B1931" s="49" t="e">
        <f>IF(ISBLANK('SQL Builder'!K1906)=FALSE,(DATE(LEFT('SQL Builder'!K1906,4),MID('SQL Builder'!K1906,6,2),MID('SQL Builder'!K1906,9,2))),NA())</f>
        <v>#N/A</v>
      </c>
      <c r="C1931" s="50" t="str">
        <f>IF(ISBLANK('SQL Builder'!K1906)=FALSE,'SQL Builder'!L1906,"")</f>
        <v/>
      </c>
      <c r="D1931" s="1" t="str">
        <f>IF(ISBLANK('SQL Builder'!K1906)=FALSE,'SQL Builder'!O1906,"")</f>
        <v/>
      </c>
      <c r="H1931" s="43" t="str">
        <f>IF(ISBLANK('SQL Builder'!K1905)=FALSE,H1930+1,"")</f>
        <v/>
      </c>
      <c r="I1931" s="1" t="str">
        <f>IF(ISBLANK('SQL Builder'!P1906)=FALSE,'SQL Builder'!N1906,"")</f>
        <v/>
      </c>
      <c r="J1931" s="79">
        <f t="shared" si="29"/>
        <v>0</v>
      </c>
    </row>
    <row r="1932" spans="2:10" ht="16.5" x14ac:dyDescent="0.25">
      <c r="B1932" s="49" t="e">
        <f>IF(ISBLANK('SQL Builder'!K1907)=FALSE,(DATE(LEFT('SQL Builder'!K1907,4),MID('SQL Builder'!K1907,6,2),MID('SQL Builder'!K1907,9,2))),NA())</f>
        <v>#N/A</v>
      </c>
      <c r="C1932" s="50" t="str">
        <f>IF(ISBLANK('SQL Builder'!K1907)=FALSE,'SQL Builder'!L1907,"")</f>
        <v/>
      </c>
      <c r="D1932" s="1" t="str">
        <f>IF(ISBLANK('SQL Builder'!K1907)=FALSE,'SQL Builder'!O1907,"")</f>
        <v/>
      </c>
      <c r="H1932" s="43" t="str">
        <f>IF(ISBLANK('SQL Builder'!K1906)=FALSE,H1931+1,"")</f>
        <v/>
      </c>
      <c r="I1932" s="1" t="str">
        <f>IF(ISBLANK('SQL Builder'!P1907)=FALSE,'SQL Builder'!N1907,"")</f>
        <v/>
      </c>
      <c r="J1932" s="79">
        <f t="shared" si="29"/>
        <v>0</v>
      </c>
    </row>
    <row r="1933" spans="2:10" ht="16.5" x14ac:dyDescent="0.25">
      <c r="B1933" s="49" t="e">
        <f>IF(ISBLANK('SQL Builder'!K1908)=FALSE,(DATE(LEFT('SQL Builder'!K1908,4),MID('SQL Builder'!K1908,6,2),MID('SQL Builder'!K1908,9,2))),NA())</f>
        <v>#N/A</v>
      </c>
      <c r="C1933" s="50" t="str">
        <f>IF(ISBLANK('SQL Builder'!K1908)=FALSE,'SQL Builder'!L1908,"")</f>
        <v/>
      </c>
      <c r="D1933" s="1" t="str">
        <f>IF(ISBLANK('SQL Builder'!K1908)=FALSE,'SQL Builder'!O1908,"")</f>
        <v/>
      </c>
      <c r="H1933" s="43" t="str">
        <f>IF(ISBLANK('SQL Builder'!K1907)=FALSE,H1932+1,"")</f>
        <v/>
      </c>
      <c r="I1933" s="1" t="str">
        <f>IF(ISBLANK('SQL Builder'!P1908)=FALSE,'SQL Builder'!N1908,"")</f>
        <v/>
      </c>
      <c r="J1933" s="79">
        <f t="shared" si="29"/>
        <v>0</v>
      </c>
    </row>
    <row r="1934" spans="2:10" ht="16.5" x14ac:dyDescent="0.25">
      <c r="B1934" s="49" t="e">
        <f>IF(ISBLANK('SQL Builder'!K1909)=FALSE,(DATE(LEFT('SQL Builder'!K1909,4),MID('SQL Builder'!K1909,6,2),MID('SQL Builder'!K1909,9,2))),NA())</f>
        <v>#N/A</v>
      </c>
      <c r="C1934" s="50" t="str">
        <f>IF(ISBLANK('SQL Builder'!K1909)=FALSE,'SQL Builder'!L1909,"")</f>
        <v/>
      </c>
      <c r="D1934" s="1" t="str">
        <f>IF(ISBLANK('SQL Builder'!K1909)=FALSE,'SQL Builder'!O1909,"")</f>
        <v/>
      </c>
      <c r="H1934" s="43" t="str">
        <f>IF(ISBLANK('SQL Builder'!K1908)=FALSE,H1933+1,"")</f>
        <v/>
      </c>
      <c r="I1934" s="1" t="str">
        <f>IF(ISBLANK('SQL Builder'!P1909)=FALSE,'SQL Builder'!N1909,"")</f>
        <v/>
      </c>
      <c r="J1934" s="79">
        <f t="shared" si="29"/>
        <v>0</v>
      </c>
    </row>
    <row r="1935" spans="2:10" ht="16.5" x14ac:dyDescent="0.25">
      <c r="B1935" s="49" t="e">
        <f>IF(ISBLANK('SQL Builder'!K1910)=FALSE,(DATE(LEFT('SQL Builder'!K1910,4),MID('SQL Builder'!K1910,6,2),MID('SQL Builder'!K1910,9,2))),NA())</f>
        <v>#N/A</v>
      </c>
      <c r="C1935" s="50" t="str">
        <f>IF(ISBLANK('SQL Builder'!K1910)=FALSE,'SQL Builder'!L1910,"")</f>
        <v/>
      </c>
      <c r="D1935" s="1" t="str">
        <f>IF(ISBLANK('SQL Builder'!K1910)=FALSE,'SQL Builder'!O1910,"")</f>
        <v/>
      </c>
      <c r="H1935" s="43" t="str">
        <f>IF(ISBLANK('SQL Builder'!K1909)=FALSE,H1934+1,"")</f>
        <v/>
      </c>
      <c r="I1935" s="1" t="str">
        <f>IF(ISBLANK('SQL Builder'!P1910)=FALSE,'SQL Builder'!N1910,"")</f>
        <v/>
      </c>
      <c r="J1935" s="79">
        <f t="shared" si="29"/>
        <v>0</v>
      </c>
    </row>
    <row r="1936" spans="2:10" ht="16.5" x14ac:dyDescent="0.25">
      <c r="B1936" s="49" t="e">
        <f>IF(ISBLANK('SQL Builder'!K1911)=FALSE,(DATE(LEFT('SQL Builder'!K1911,4),MID('SQL Builder'!K1911,6,2),MID('SQL Builder'!K1911,9,2))),NA())</f>
        <v>#N/A</v>
      </c>
      <c r="C1936" s="50" t="str">
        <f>IF(ISBLANK('SQL Builder'!K1911)=FALSE,'SQL Builder'!L1911,"")</f>
        <v/>
      </c>
      <c r="D1936" s="1" t="str">
        <f>IF(ISBLANK('SQL Builder'!K1911)=FALSE,'SQL Builder'!O1911,"")</f>
        <v/>
      </c>
      <c r="H1936" s="43" t="str">
        <f>IF(ISBLANK('SQL Builder'!K1910)=FALSE,H1935+1,"")</f>
        <v/>
      </c>
      <c r="I1936" s="1" t="str">
        <f>IF(ISBLANK('SQL Builder'!P1911)=FALSE,'SQL Builder'!N1911,"")</f>
        <v/>
      </c>
      <c r="J1936" s="79">
        <f t="shared" si="29"/>
        <v>0</v>
      </c>
    </row>
    <row r="1937" spans="2:10" ht="16.5" x14ac:dyDescent="0.25">
      <c r="B1937" s="49" t="e">
        <f>IF(ISBLANK('SQL Builder'!K1912)=FALSE,(DATE(LEFT('SQL Builder'!K1912,4),MID('SQL Builder'!K1912,6,2),MID('SQL Builder'!K1912,9,2))),NA())</f>
        <v>#N/A</v>
      </c>
      <c r="C1937" s="50" t="str">
        <f>IF(ISBLANK('SQL Builder'!K1912)=FALSE,'SQL Builder'!L1912,"")</f>
        <v/>
      </c>
      <c r="D1937" s="1" t="str">
        <f>IF(ISBLANK('SQL Builder'!K1912)=FALSE,'SQL Builder'!O1912,"")</f>
        <v/>
      </c>
      <c r="H1937" s="43" t="str">
        <f>IF(ISBLANK('SQL Builder'!K1911)=FALSE,H1936+1,"")</f>
        <v/>
      </c>
      <c r="I1937" s="1" t="str">
        <f>IF(ISBLANK('SQL Builder'!P1912)=FALSE,'SQL Builder'!N1912,"")</f>
        <v/>
      </c>
      <c r="J1937" s="79">
        <f t="shared" si="29"/>
        <v>0</v>
      </c>
    </row>
    <row r="1938" spans="2:10" ht="16.5" x14ac:dyDescent="0.25">
      <c r="B1938" s="49" t="e">
        <f>IF(ISBLANK('SQL Builder'!K1913)=FALSE,(DATE(LEFT('SQL Builder'!K1913,4),MID('SQL Builder'!K1913,6,2),MID('SQL Builder'!K1913,9,2))),NA())</f>
        <v>#N/A</v>
      </c>
      <c r="C1938" s="50" t="str">
        <f>IF(ISBLANK('SQL Builder'!K1913)=FALSE,'SQL Builder'!L1913,"")</f>
        <v/>
      </c>
      <c r="D1938" s="1" t="str">
        <f>IF(ISBLANK('SQL Builder'!K1913)=FALSE,'SQL Builder'!O1913,"")</f>
        <v/>
      </c>
      <c r="H1938" s="43" t="str">
        <f>IF(ISBLANK('SQL Builder'!K1912)=FALSE,H1937+1,"")</f>
        <v/>
      </c>
      <c r="I1938" s="1" t="str">
        <f>IF(ISBLANK('SQL Builder'!P1913)=FALSE,'SQL Builder'!N1913,"")</f>
        <v/>
      </c>
      <c r="J1938" s="79">
        <f t="shared" si="29"/>
        <v>0</v>
      </c>
    </row>
    <row r="1939" spans="2:10" ht="16.5" x14ac:dyDescent="0.25">
      <c r="B1939" s="49" t="e">
        <f>IF(ISBLANK('SQL Builder'!K1914)=FALSE,(DATE(LEFT('SQL Builder'!K1914,4),MID('SQL Builder'!K1914,6,2),MID('SQL Builder'!K1914,9,2))),NA())</f>
        <v>#N/A</v>
      </c>
      <c r="C1939" s="50" t="str">
        <f>IF(ISBLANK('SQL Builder'!K1914)=FALSE,'SQL Builder'!L1914,"")</f>
        <v/>
      </c>
      <c r="D1939" s="1" t="str">
        <f>IF(ISBLANK('SQL Builder'!K1914)=FALSE,'SQL Builder'!O1914,"")</f>
        <v/>
      </c>
      <c r="H1939" s="43" t="str">
        <f>IF(ISBLANK('SQL Builder'!K1913)=FALSE,H1938+1,"")</f>
        <v/>
      </c>
      <c r="I1939" s="1" t="str">
        <f>IF(ISBLANK('SQL Builder'!P1914)=FALSE,'SQL Builder'!N1914,"")</f>
        <v/>
      </c>
      <c r="J1939" s="79">
        <f t="shared" si="29"/>
        <v>0</v>
      </c>
    </row>
    <row r="1940" spans="2:10" ht="16.5" x14ac:dyDescent="0.25">
      <c r="B1940" s="49" t="e">
        <f>IF(ISBLANK('SQL Builder'!K1915)=FALSE,(DATE(LEFT('SQL Builder'!K1915,4),MID('SQL Builder'!K1915,6,2),MID('SQL Builder'!K1915,9,2))),NA())</f>
        <v>#N/A</v>
      </c>
      <c r="C1940" s="50" t="str">
        <f>IF(ISBLANK('SQL Builder'!K1915)=FALSE,'SQL Builder'!L1915,"")</f>
        <v/>
      </c>
      <c r="D1940" s="1" t="str">
        <f>IF(ISBLANK('SQL Builder'!K1915)=FALSE,'SQL Builder'!O1915,"")</f>
        <v/>
      </c>
      <c r="H1940" s="43" t="str">
        <f>IF(ISBLANK('SQL Builder'!K1914)=FALSE,H1939+1,"")</f>
        <v/>
      </c>
      <c r="I1940" s="1" t="str">
        <f>IF(ISBLANK('SQL Builder'!P1915)=FALSE,'SQL Builder'!N1915,"")</f>
        <v/>
      </c>
      <c r="J1940" s="79">
        <f t="shared" si="29"/>
        <v>0</v>
      </c>
    </row>
    <row r="1941" spans="2:10" ht="16.5" x14ac:dyDescent="0.25">
      <c r="B1941" s="49" t="e">
        <f>IF(ISBLANK('SQL Builder'!K1916)=FALSE,(DATE(LEFT('SQL Builder'!K1916,4),MID('SQL Builder'!K1916,6,2),MID('SQL Builder'!K1916,9,2))),NA())</f>
        <v>#N/A</v>
      </c>
      <c r="C1941" s="50" t="str">
        <f>IF(ISBLANK('SQL Builder'!K1916)=FALSE,'SQL Builder'!L1916,"")</f>
        <v/>
      </c>
      <c r="D1941" s="1" t="str">
        <f>IF(ISBLANK('SQL Builder'!K1916)=FALSE,'SQL Builder'!O1916,"")</f>
        <v/>
      </c>
      <c r="H1941" s="43" t="str">
        <f>IF(ISBLANK('SQL Builder'!K1915)=FALSE,H1940+1,"")</f>
        <v/>
      </c>
      <c r="I1941" s="1" t="str">
        <f>IF(ISBLANK('SQL Builder'!P1916)=FALSE,'SQL Builder'!N1916,"")</f>
        <v/>
      </c>
      <c r="J1941" s="79">
        <f t="shared" si="29"/>
        <v>0</v>
      </c>
    </row>
    <row r="1942" spans="2:10" ht="16.5" x14ac:dyDescent="0.25">
      <c r="B1942" s="49" t="e">
        <f>IF(ISBLANK('SQL Builder'!K1917)=FALSE,(DATE(LEFT('SQL Builder'!K1917,4),MID('SQL Builder'!K1917,6,2),MID('SQL Builder'!K1917,9,2))),NA())</f>
        <v>#N/A</v>
      </c>
      <c r="C1942" s="50" t="str">
        <f>IF(ISBLANK('SQL Builder'!K1917)=FALSE,'SQL Builder'!L1917,"")</f>
        <v/>
      </c>
      <c r="D1942" s="1" t="str">
        <f>IF(ISBLANK('SQL Builder'!K1917)=FALSE,'SQL Builder'!O1917,"")</f>
        <v/>
      </c>
      <c r="H1942" s="43" t="str">
        <f>IF(ISBLANK('SQL Builder'!K1916)=FALSE,H1941+1,"")</f>
        <v/>
      </c>
      <c r="I1942" s="1" t="str">
        <f>IF(ISBLANK('SQL Builder'!P1917)=FALSE,'SQL Builder'!N1917,"")</f>
        <v/>
      </c>
      <c r="J1942" s="79">
        <f t="shared" si="29"/>
        <v>0</v>
      </c>
    </row>
    <row r="1943" spans="2:10" ht="16.5" x14ac:dyDescent="0.25">
      <c r="B1943" s="49" t="e">
        <f>IF(ISBLANK('SQL Builder'!K1918)=FALSE,(DATE(LEFT('SQL Builder'!K1918,4),MID('SQL Builder'!K1918,6,2),MID('SQL Builder'!K1918,9,2))),NA())</f>
        <v>#N/A</v>
      </c>
      <c r="C1943" s="50" t="str">
        <f>IF(ISBLANK('SQL Builder'!K1918)=FALSE,'SQL Builder'!L1918,"")</f>
        <v/>
      </c>
      <c r="D1943" s="1" t="str">
        <f>IF(ISBLANK('SQL Builder'!K1918)=FALSE,'SQL Builder'!O1918,"")</f>
        <v/>
      </c>
      <c r="H1943" s="43" t="str">
        <f>IF(ISBLANK('SQL Builder'!K1917)=FALSE,H1942+1,"")</f>
        <v/>
      </c>
      <c r="I1943" s="1" t="str">
        <f>IF(ISBLANK('SQL Builder'!P1918)=FALSE,'SQL Builder'!N1918,"")</f>
        <v/>
      </c>
      <c r="J1943" s="79">
        <f t="shared" si="29"/>
        <v>0</v>
      </c>
    </row>
    <row r="1944" spans="2:10" ht="16.5" x14ac:dyDescent="0.25">
      <c r="B1944" s="49" t="e">
        <f>IF(ISBLANK('SQL Builder'!K1919)=FALSE,(DATE(LEFT('SQL Builder'!K1919,4),MID('SQL Builder'!K1919,6,2),MID('SQL Builder'!K1919,9,2))),NA())</f>
        <v>#N/A</v>
      </c>
      <c r="C1944" s="50" t="str">
        <f>IF(ISBLANK('SQL Builder'!K1919)=FALSE,'SQL Builder'!L1919,"")</f>
        <v/>
      </c>
      <c r="D1944" s="1" t="str">
        <f>IF(ISBLANK('SQL Builder'!K1919)=FALSE,'SQL Builder'!O1919,"")</f>
        <v/>
      </c>
      <c r="H1944" s="43" t="str">
        <f>IF(ISBLANK('SQL Builder'!K1918)=FALSE,H1943+1,"")</f>
        <v/>
      </c>
      <c r="I1944" s="1" t="str">
        <f>IF(ISBLANK('SQL Builder'!P1919)=FALSE,'SQL Builder'!N1919,"")</f>
        <v/>
      </c>
      <c r="J1944" s="79">
        <f t="shared" si="29"/>
        <v>0</v>
      </c>
    </row>
    <row r="1945" spans="2:10" ht="16.5" x14ac:dyDescent="0.25">
      <c r="B1945" s="49" t="e">
        <f>IF(ISBLANK('SQL Builder'!K1920)=FALSE,(DATE(LEFT('SQL Builder'!K1920,4),MID('SQL Builder'!K1920,6,2),MID('SQL Builder'!K1920,9,2))),NA())</f>
        <v>#N/A</v>
      </c>
      <c r="C1945" s="50" t="str">
        <f>IF(ISBLANK('SQL Builder'!K1920)=FALSE,'SQL Builder'!L1920,"")</f>
        <v/>
      </c>
      <c r="D1945" s="1" t="str">
        <f>IF(ISBLANK('SQL Builder'!K1920)=FALSE,'SQL Builder'!O1920,"")</f>
        <v/>
      </c>
      <c r="H1945" s="43" t="str">
        <f>IF(ISBLANK('SQL Builder'!K1919)=FALSE,H1944+1,"")</f>
        <v/>
      </c>
      <c r="I1945" s="1" t="str">
        <f>IF(ISBLANK('SQL Builder'!P1920)=FALSE,'SQL Builder'!N1920,"")</f>
        <v/>
      </c>
      <c r="J1945" s="79">
        <f t="shared" si="29"/>
        <v>0</v>
      </c>
    </row>
    <row r="1946" spans="2:10" ht="16.5" x14ac:dyDescent="0.25">
      <c r="B1946" s="49" t="e">
        <f>IF(ISBLANK('SQL Builder'!K1921)=FALSE,(DATE(LEFT('SQL Builder'!K1921,4),MID('SQL Builder'!K1921,6,2),MID('SQL Builder'!K1921,9,2))),NA())</f>
        <v>#N/A</v>
      </c>
      <c r="C1946" s="50" t="str">
        <f>IF(ISBLANK('SQL Builder'!K1921)=FALSE,'SQL Builder'!L1921,"")</f>
        <v/>
      </c>
      <c r="D1946" s="1" t="str">
        <f>IF(ISBLANK('SQL Builder'!K1921)=FALSE,'SQL Builder'!O1921,"")</f>
        <v/>
      </c>
      <c r="H1946" s="43" t="str">
        <f>IF(ISBLANK('SQL Builder'!K1920)=FALSE,H1945+1,"")</f>
        <v/>
      </c>
      <c r="I1946" s="1" t="str">
        <f>IF(ISBLANK('SQL Builder'!P1921)=FALSE,'SQL Builder'!N1921,"")</f>
        <v/>
      </c>
      <c r="J1946" s="79">
        <f t="shared" si="29"/>
        <v>0</v>
      </c>
    </row>
    <row r="1947" spans="2:10" ht="16.5" x14ac:dyDescent="0.25">
      <c r="B1947" s="49" t="e">
        <f>IF(ISBLANK('SQL Builder'!K1922)=FALSE,(DATE(LEFT('SQL Builder'!K1922,4),MID('SQL Builder'!K1922,6,2),MID('SQL Builder'!K1922,9,2))),NA())</f>
        <v>#N/A</v>
      </c>
      <c r="C1947" s="50" t="str">
        <f>IF(ISBLANK('SQL Builder'!K1922)=FALSE,'SQL Builder'!L1922,"")</f>
        <v/>
      </c>
      <c r="D1947" s="1" t="str">
        <f>IF(ISBLANK('SQL Builder'!K1922)=FALSE,'SQL Builder'!O1922,"")</f>
        <v/>
      </c>
      <c r="H1947" s="43" t="str">
        <f>IF(ISBLANK('SQL Builder'!K1921)=FALSE,H1946+1,"")</f>
        <v/>
      </c>
      <c r="I1947" s="1" t="str">
        <f>IF(ISBLANK('SQL Builder'!P1922)=FALSE,'SQL Builder'!N1922,"")</f>
        <v/>
      </c>
      <c r="J1947" s="79">
        <f t="shared" si="29"/>
        <v>0</v>
      </c>
    </row>
    <row r="1948" spans="2:10" ht="16.5" x14ac:dyDescent="0.25">
      <c r="B1948" s="49" t="e">
        <f>IF(ISBLANK('SQL Builder'!K1923)=FALSE,(DATE(LEFT('SQL Builder'!K1923,4),MID('SQL Builder'!K1923,6,2),MID('SQL Builder'!K1923,9,2))),NA())</f>
        <v>#N/A</v>
      </c>
      <c r="C1948" s="50" t="str">
        <f>IF(ISBLANK('SQL Builder'!K1923)=FALSE,'SQL Builder'!L1923,"")</f>
        <v/>
      </c>
      <c r="D1948" s="1" t="str">
        <f>IF(ISBLANK('SQL Builder'!K1923)=FALSE,'SQL Builder'!O1923,"")</f>
        <v/>
      </c>
      <c r="H1948" s="43" t="str">
        <f>IF(ISBLANK('SQL Builder'!K1922)=FALSE,H1947+1,"")</f>
        <v/>
      </c>
      <c r="I1948" s="1" t="str">
        <f>IF(ISBLANK('SQL Builder'!P1923)=FALSE,'SQL Builder'!N1923,"")</f>
        <v/>
      </c>
      <c r="J1948" s="79">
        <f t="shared" si="29"/>
        <v>0</v>
      </c>
    </row>
    <row r="1949" spans="2:10" ht="16.5" x14ac:dyDescent="0.25">
      <c r="B1949" s="49" t="e">
        <f>IF(ISBLANK('SQL Builder'!K1924)=FALSE,(DATE(LEFT('SQL Builder'!K1924,4),MID('SQL Builder'!K1924,6,2),MID('SQL Builder'!K1924,9,2))),NA())</f>
        <v>#N/A</v>
      </c>
      <c r="C1949" s="50" t="str">
        <f>IF(ISBLANK('SQL Builder'!K1924)=FALSE,'SQL Builder'!L1924,"")</f>
        <v/>
      </c>
      <c r="D1949" s="1" t="str">
        <f>IF(ISBLANK('SQL Builder'!K1924)=FALSE,'SQL Builder'!O1924,"")</f>
        <v/>
      </c>
      <c r="H1949" s="43" t="str">
        <f>IF(ISBLANK('SQL Builder'!K1923)=FALSE,H1948+1,"")</f>
        <v/>
      </c>
      <c r="I1949" s="1" t="str">
        <f>IF(ISBLANK('SQL Builder'!P1924)=FALSE,'SQL Builder'!N1924,"")</f>
        <v/>
      </c>
      <c r="J1949" s="79">
        <f t="shared" si="29"/>
        <v>0</v>
      </c>
    </row>
    <row r="1950" spans="2:10" ht="16.5" x14ac:dyDescent="0.25">
      <c r="B1950" s="49" t="e">
        <f>IF(ISBLANK('SQL Builder'!K1925)=FALSE,(DATE(LEFT('SQL Builder'!K1925,4),MID('SQL Builder'!K1925,6,2),MID('SQL Builder'!K1925,9,2))),NA())</f>
        <v>#N/A</v>
      </c>
      <c r="C1950" s="50" t="str">
        <f>IF(ISBLANK('SQL Builder'!K1925)=FALSE,'SQL Builder'!L1925,"")</f>
        <v/>
      </c>
      <c r="D1950" s="1" t="str">
        <f>IF(ISBLANK('SQL Builder'!K1925)=FALSE,'SQL Builder'!O1925,"")</f>
        <v/>
      </c>
      <c r="H1950" s="43" t="str">
        <f>IF(ISBLANK('SQL Builder'!K1924)=FALSE,H1949+1,"")</f>
        <v/>
      </c>
      <c r="I1950" s="1" t="str">
        <f>IF(ISBLANK('SQL Builder'!P1925)=FALSE,'SQL Builder'!N1925,"")</f>
        <v/>
      </c>
      <c r="J1950" s="79">
        <f t="shared" si="29"/>
        <v>0</v>
      </c>
    </row>
    <row r="1951" spans="2:10" ht="16.5" x14ac:dyDescent="0.25">
      <c r="B1951" s="49" t="e">
        <f>IF(ISBLANK('SQL Builder'!K1926)=FALSE,(DATE(LEFT('SQL Builder'!K1926,4),MID('SQL Builder'!K1926,6,2),MID('SQL Builder'!K1926,9,2))),NA())</f>
        <v>#N/A</v>
      </c>
      <c r="C1951" s="50" t="str">
        <f>IF(ISBLANK('SQL Builder'!K1926)=FALSE,'SQL Builder'!L1926,"")</f>
        <v/>
      </c>
      <c r="D1951" s="1" t="str">
        <f>IF(ISBLANK('SQL Builder'!K1926)=FALSE,'SQL Builder'!O1926,"")</f>
        <v/>
      </c>
      <c r="H1951" s="43" t="str">
        <f>IF(ISBLANK('SQL Builder'!K1925)=FALSE,H1950+1,"")</f>
        <v/>
      </c>
      <c r="I1951" s="1" t="str">
        <f>IF(ISBLANK('SQL Builder'!P1926)=FALSE,'SQL Builder'!N1926,"")</f>
        <v/>
      </c>
      <c r="J1951" s="79">
        <f t="shared" ref="J1951:J2014" si="30">IF(I1951="",0,IF(I1951=C$5,2,1))</f>
        <v>0</v>
      </c>
    </row>
    <row r="1952" spans="2:10" ht="16.5" x14ac:dyDescent="0.25">
      <c r="B1952" s="49" t="e">
        <f>IF(ISBLANK('SQL Builder'!K1927)=FALSE,(DATE(LEFT('SQL Builder'!K1927,4),MID('SQL Builder'!K1927,6,2),MID('SQL Builder'!K1927,9,2))),NA())</f>
        <v>#N/A</v>
      </c>
      <c r="C1952" s="50" t="str">
        <f>IF(ISBLANK('SQL Builder'!K1927)=FALSE,'SQL Builder'!L1927,"")</f>
        <v/>
      </c>
      <c r="D1952" s="1" t="str">
        <f>IF(ISBLANK('SQL Builder'!K1927)=FALSE,'SQL Builder'!O1927,"")</f>
        <v/>
      </c>
      <c r="H1952" s="43" t="str">
        <f>IF(ISBLANK('SQL Builder'!K1926)=FALSE,H1951+1,"")</f>
        <v/>
      </c>
      <c r="I1952" s="1" t="str">
        <f>IF(ISBLANK('SQL Builder'!P1927)=FALSE,'SQL Builder'!N1927,"")</f>
        <v/>
      </c>
      <c r="J1952" s="79">
        <f t="shared" si="30"/>
        <v>0</v>
      </c>
    </row>
    <row r="1953" spans="2:10" ht="16.5" x14ac:dyDescent="0.25">
      <c r="B1953" s="49" t="e">
        <f>IF(ISBLANK('SQL Builder'!K1928)=FALSE,(DATE(LEFT('SQL Builder'!K1928,4),MID('SQL Builder'!K1928,6,2),MID('SQL Builder'!K1928,9,2))),NA())</f>
        <v>#N/A</v>
      </c>
      <c r="C1953" s="50" t="str">
        <f>IF(ISBLANK('SQL Builder'!K1928)=FALSE,'SQL Builder'!L1928,"")</f>
        <v/>
      </c>
      <c r="D1953" s="1" t="str">
        <f>IF(ISBLANK('SQL Builder'!K1928)=FALSE,'SQL Builder'!O1928,"")</f>
        <v/>
      </c>
      <c r="H1953" s="43" t="str">
        <f>IF(ISBLANK('SQL Builder'!K1927)=FALSE,H1952+1,"")</f>
        <v/>
      </c>
      <c r="I1953" s="1" t="str">
        <f>IF(ISBLANK('SQL Builder'!P1928)=FALSE,'SQL Builder'!N1928,"")</f>
        <v/>
      </c>
      <c r="J1953" s="79">
        <f t="shared" si="30"/>
        <v>0</v>
      </c>
    </row>
    <row r="1954" spans="2:10" ht="16.5" x14ac:dyDescent="0.25">
      <c r="B1954" s="49" t="e">
        <f>IF(ISBLANK('SQL Builder'!K1929)=FALSE,(DATE(LEFT('SQL Builder'!K1929,4),MID('SQL Builder'!K1929,6,2),MID('SQL Builder'!K1929,9,2))),NA())</f>
        <v>#N/A</v>
      </c>
      <c r="C1954" s="50" t="str">
        <f>IF(ISBLANK('SQL Builder'!K1929)=FALSE,'SQL Builder'!L1929,"")</f>
        <v/>
      </c>
      <c r="D1954" s="1" t="str">
        <f>IF(ISBLANK('SQL Builder'!K1929)=FALSE,'SQL Builder'!O1929,"")</f>
        <v/>
      </c>
      <c r="H1954" s="43" t="str">
        <f>IF(ISBLANK('SQL Builder'!K1928)=FALSE,H1953+1,"")</f>
        <v/>
      </c>
      <c r="I1954" s="1" t="str">
        <f>IF(ISBLANK('SQL Builder'!P1929)=FALSE,'SQL Builder'!N1929,"")</f>
        <v/>
      </c>
      <c r="J1954" s="79">
        <f t="shared" si="30"/>
        <v>0</v>
      </c>
    </row>
    <row r="1955" spans="2:10" ht="16.5" x14ac:dyDescent="0.25">
      <c r="B1955" s="49" t="e">
        <f>IF(ISBLANK('SQL Builder'!K1930)=FALSE,(DATE(LEFT('SQL Builder'!K1930,4),MID('SQL Builder'!K1930,6,2),MID('SQL Builder'!K1930,9,2))),NA())</f>
        <v>#N/A</v>
      </c>
      <c r="C1955" s="50" t="str">
        <f>IF(ISBLANK('SQL Builder'!K1930)=FALSE,'SQL Builder'!L1930,"")</f>
        <v/>
      </c>
      <c r="D1955" s="1" t="str">
        <f>IF(ISBLANK('SQL Builder'!K1930)=FALSE,'SQL Builder'!O1930,"")</f>
        <v/>
      </c>
      <c r="H1955" s="43" t="str">
        <f>IF(ISBLANK('SQL Builder'!K1929)=FALSE,H1954+1,"")</f>
        <v/>
      </c>
      <c r="I1955" s="1" t="str">
        <f>IF(ISBLANK('SQL Builder'!P1930)=FALSE,'SQL Builder'!N1930,"")</f>
        <v/>
      </c>
      <c r="J1955" s="79">
        <f t="shared" si="30"/>
        <v>0</v>
      </c>
    </row>
    <row r="1956" spans="2:10" ht="16.5" x14ac:dyDescent="0.25">
      <c r="B1956" s="49" t="e">
        <f>IF(ISBLANK('SQL Builder'!K1931)=FALSE,(DATE(LEFT('SQL Builder'!K1931,4),MID('SQL Builder'!K1931,6,2),MID('SQL Builder'!K1931,9,2))),NA())</f>
        <v>#N/A</v>
      </c>
      <c r="C1956" s="50" t="str">
        <f>IF(ISBLANK('SQL Builder'!K1931)=FALSE,'SQL Builder'!L1931,"")</f>
        <v/>
      </c>
      <c r="D1956" s="1" t="str">
        <f>IF(ISBLANK('SQL Builder'!K1931)=FALSE,'SQL Builder'!O1931,"")</f>
        <v/>
      </c>
      <c r="H1956" s="43" t="str">
        <f>IF(ISBLANK('SQL Builder'!K1930)=FALSE,H1955+1,"")</f>
        <v/>
      </c>
      <c r="I1956" s="1" t="str">
        <f>IF(ISBLANK('SQL Builder'!P1931)=FALSE,'SQL Builder'!N1931,"")</f>
        <v/>
      </c>
      <c r="J1956" s="79">
        <f t="shared" si="30"/>
        <v>0</v>
      </c>
    </row>
    <row r="1957" spans="2:10" ht="16.5" x14ac:dyDescent="0.25">
      <c r="B1957" s="49" t="e">
        <f>IF(ISBLANK('SQL Builder'!K1932)=FALSE,(DATE(LEFT('SQL Builder'!K1932,4),MID('SQL Builder'!K1932,6,2),MID('SQL Builder'!K1932,9,2))),NA())</f>
        <v>#N/A</v>
      </c>
      <c r="C1957" s="50" t="str">
        <f>IF(ISBLANK('SQL Builder'!K1932)=FALSE,'SQL Builder'!L1932,"")</f>
        <v/>
      </c>
      <c r="D1957" s="1" t="str">
        <f>IF(ISBLANK('SQL Builder'!K1932)=FALSE,'SQL Builder'!O1932,"")</f>
        <v/>
      </c>
      <c r="H1957" s="43" t="str">
        <f>IF(ISBLANK('SQL Builder'!K1931)=FALSE,H1956+1,"")</f>
        <v/>
      </c>
      <c r="I1957" s="1" t="str">
        <f>IF(ISBLANK('SQL Builder'!P1932)=FALSE,'SQL Builder'!N1932,"")</f>
        <v/>
      </c>
      <c r="J1957" s="79">
        <f t="shared" si="30"/>
        <v>0</v>
      </c>
    </row>
    <row r="1958" spans="2:10" ht="16.5" x14ac:dyDescent="0.25">
      <c r="B1958" s="49" t="e">
        <f>IF(ISBLANK('SQL Builder'!K1933)=FALSE,(DATE(LEFT('SQL Builder'!K1933,4),MID('SQL Builder'!K1933,6,2),MID('SQL Builder'!K1933,9,2))),NA())</f>
        <v>#N/A</v>
      </c>
      <c r="C1958" s="50" t="str">
        <f>IF(ISBLANK('SQL Builder'!K1933)=FALSE,'SQL Builder'!L1933,"")</f>
        <v/>
      </c>
      <c r="D1958" s="1" t="str">
        <f>IF(ISBLANK('SQL Builder'!K1933)=FALSE,'SQL Builder'!O1933,"")</f>
        <v/>
      </c>
      <c r="H1958" s="43" t="str">
        <f>IF(ISBLANK('SQL Builder'!K1932)=FALSE,H1957+1,"")</f>
        <v/>
      </c>
      <c r="I1958" s="1" t="str">
        <f>IF(ISBLANK('SQL Builder'!P1933)=FALSE,'SQL Builder'!N1933,"")</f>
        <v/>
      </c>
      <c r="J1958" s="79">
        <f t="shared" si="30"/>
        <v>0</v>
      </c>
    </row>
    <row r="1959" spans="2:10" ht="16.5" x14ac:dyDescent="0.25">
      <c r="B1959" s="49" t="e">
        <f>IF(ISBLANK('SQL Builder'!K1934)=FALSE,(DATE(LEFT('SQL Builder'!K1934,4),MID('SQL Builder'!K1934,6,2),MID('SQL Builder'!K1934,9,2))),NA())</f>
        <v>#N/A</v>
      </c>
      <c r="C1959" s="50" t="str">
        <f>IF(ISBLANK('SQL Builder'!K1934)=FALSE,'SQL Builder'!L1934,"")</f>
        <v/>
      </c>
      <c r="D1959" s="1" t="str">
        <f>IF(ISBLANK('SQL Builder'!K1934)=FALSE,'SQL Builder'!O1934,"")</f>
        <v/>
      </c>
      <c r="H1959" s="43" t="str">
        <f>IF(ISBLANK('SQL Builder'!K1933)=FALSE,H1958+1,"")</f>
        <v/>
      </c>
      <c r="I1959" s="1" t="str">
        <f>IF(ISBLANK('SQL Builder'!P1934)=FALSE,'SQL Builder'!N1934,"")</f>
        <v/>
      </c>
      <c r="J1959" s="79">
        <f t="shared" si="30"/>
        <v>0</v>
      </c>
    </row>
    <row r="1960" spans="2:10" ht="16.5" x14ac:dyDescent="0.25">
      <c r="B1960" s="49" t="e">
        <f>IF(ISBLANK('SQL Builder'!K1935)=FALSE,(DATE(LEFT('SQL Builder'!K1935,4),MID('SQL Builder'!K1935,6,2),MID('SQL Builder'!K1935,9,2))),NA())</f>
        <v>#N/A</v>
      </c>
      <c r="C1960" s="50" t="str">
        <f>IF(ISBLANK('SQL Builder'!K1935)=FALSE,'SQL Builder'!L1935,"")</f>
        <v/>
      </c>
      <c r="D1960" s="1" t="str">
        <f>IF(ISBLANK('SQL Builder'!K1935)=FALSE,'SQL Builder'!O1935,"")</f>
        <v/>
      </c>
      <c r="H1960" s="43" t="str">
        <f>IF(ISBLANK('SQL Builder'!K1934)=FALSE,H1959+1,"")</f>
        <v/>
      </c>
      <c r="I1960" s="1" t="str">
        <f>IF(ISBLANK('SQL Builder'!P1935)=FALSE,'SQL Builder'!N1935,"")</f>
        <v/>
      </c>
      <c r="J1960" s="79">
        <f t="shared" si="30"/>
        <v>0</v>
      </c>
    </row>
    <row r="1961" spans="2:10" ht="16.5" x14ac:dyDescent="0.25">
      <c r="B1961" s="49" t="e">
        <f>IF(ISBLANK('SQL Builder'!K1936)=FALSE,(DATE(LEFT('SQL Builder'!K1936,4),MID('SQL Builder'!K1936,6,2),MID('SQL Builder'!K1936,9,2))),NA())</f>
        <v>#N/A</v>
      </c>
      <c r="C1961" s="50" t="str">
        <f>IF(ISBLANK('SQL Builder'!K1936)=FALSE,'SQL Builder'!L1936,"")</f>
        <v/>
      </c>
      <c r="D1961" s="1" t="str">
        <f>IF(ISBLANK('SQL Builder'!K1936)=FALSE,'SQL Builder'!O1936,"")</f>
        <v/>
      </c>
      <c r="H1961" s="43" t="str">
        <f>IF(ISBLANK('SQL Builder'!K1935)=FALSE,H1960+1,"")</f>
        <v/>
      </c>
      <c r="I1961" s="1" t="str">
        <f>IF(ISBLANK('SQL Builder'!P1936)=FALSE,'SQL Builder'!N1936,"")</f>
        <v/>
      </c>
      <c r="J1961" s="79">
        <f t="shared" si="30"/>
        <v>0</v>
      </c>
    </row>
    <row r="1962" spans="2:10" ht="16.5" x14ac:dyDescent="0.25">
      <c r="B1962" s="49" t="e">
        <f>IF(ISBLANK('SQL Builder'!K1937)=FALSE,(DATE(LEFT('SQL Builder'!K1937,4),MID('SQL Builder'!K1937,6,2),MID('SQL Builder'!K1937,9,2))),NA())</f>
        <v>#N/A</v>
      </c>
      <c r="C1962" s="50" t="str">
        <f>IF(ISBLANK('SQL Builder'!K1937)=FALSE,'SQL Builder'!L1937,"")</f>
        <v/>
      </c>
      <c r="D1962" s="1" t="str">
        <f>IF(ISBLANK('SQL Builder'!K1937)=FALSE,'SQL Builder'!O1937,"")</f>
        <v/>
      </c>
      <c r="H1962" s="43" t="str">
        <f>IF(ISBLANK('SQL Builder'!K1936)=FALSE,H1961+1,"")</f>
        <v/>
      </c>
      <c r="I1962" s="1" t="str">
        <f>IF(ISBLANK('SQL Builder'!P1937)=FALSE,'SQL Builder'!N1937,"")</f>
        <v/>
      </c>
      <c r="J1962" s="79">
        <f t="shared" si="30"/>
        <v>0</v>
      </c>
    </row>
    <row r="1963" spans="2:10" ht="16.5" x14ac:dyDescent="0.25">
      <c r="B1963" s="49" t="e">
        <f>IF(ISBLANK('SQL Builder'!K1938)=FALSE,(DATE(LEFT('SQL Builder'!K1938,4),MID('SQL Builder'!K1938,6,2),MID('SQL Builder'!K1938,9,2))),NA())</f>
        <v>#N/A</v>
      </c>
      <c r="C1963" s="50" t="str">
        <f>IF(ISBLANK('SQL Builder'!K1938)=FALSE,'SQL Builder'!L1938,"")</f>
        <v/>
      </c>
      <c r="D1963" s="1" t="str">
        <f>IF(ISBLANK('SQL Builder'!K1938)=FALSE,'SQL Builder'!O1938,"")</f>
        <v/>
      </c>
      <c r="H1963" s="43" t="str">
        <f>IF(ISBLANK('SQL Builder'!K1937)=FALSE,H1962+1,"")</f>
        <v/>
      </c>
      <c r="I1963" s="1" t="str">
        <f>IF(ISBLANK('SQL Builder'!P1938)=FALSE,'SQL Builder'!N1938,"")</f>
        <v/>
      </c>
      <c r="J1963" s="79">
        <f t="shared" si="30"/>
        <v>0</v>
      </c>
    </row>
    <row r="1964" spans="2:10" ht="16.5" x14ac:dyDescent="0.25">
      <c r="B1964" s="49" t="e">
        <f>IF(ISBLANK('SQL Builder'!K1939)=FALSE,(DATE(LEFT('SQL Builder'!K1939,4),MID('SQL Builder'!K1939,6,2),MID('SQL Builder'!K1939,9,2))),NA())</f>
        <v>#N/A</v>
      </c>
      <c r="C1964" s="50" t="str">
        <f>IF(ISBLANK('SQL Builder'!K1939)=FALSE,'SQL Builder'!L1939,"")</f>
        <v/>
      </c>
      <c r="D1964" s="1" t="str">
        <f>IF(ISBLANK('SQL Builder'!K1939)=FALSE,'SQL Builder'!O1939,"")</f>
        <v/>
      </c>
      <c r="H1964" s="43" t="str">
        <f>IF(ISBLANK('SQL Builder'!K1938)=FALSE,H1963+1,"")</f>
        <v/>
      </c>
      <c r="I1964" s="1" t="str">
        <f>IF(ISBLANK('SQL Builder'!P1939)=FALSE,'SQL Builder'!N1939,"")</f>
        <v/>
      </c>
      <c r="J1964" s="79">
        <f t="shared" si="30"/>
        <v>0</v>
      </c>
    </row>
    <row r="1965" spans="2:10" ht="16.5" x14ac:dyDescent="0.25">
      <c r="B1965" s="49" t="e">
        <f>IF(ISBLANK('SQL Builder'!K1940)=FALSE,(DATE(LEFT('SQL Builder'!K1940,4),MID('SQL Builder'!K1940,6,2),MID('SQL Builder'!K1940,9,2))),NA())</f>
        <v>#N/A</v>
      </c>
      <c r="C1965" s="50" t="str">
        <f>IF(ISBLANK('SQL Builder'!K1940)=FALSE,'SQL Builder'!L1940,"")</f>
        <v/>
      </c>
      <c r="D1965" s="1" t="str">
        <f>IF(ISBLANK('SQL Builder'!K1940)=FALSE,'SQL Builder'!O1940,"")</f>
        <v/>
      </c>
      <c r="H1965" s="43" t="str">
        <f>IF(ISBLANK('SQL Builder'!K1939)=FALSE,H1964+1,"")</f>
        <v/>
      </c>
      <c r="I1965" s="1" t="str">
        <f>IF(ISBLANK('SQL Builder'!P1940)=FALSE,'SQL Builder'!N1940,"")</f>
        <v/>
      </c>
      <c r="J1965" s="79">
        <f t="shared" si="30"/>
        <v>0</v>
      </c>
    </row>
    <row r="1966" spans="2:10" ht="16.5" x14ac:dyDescent="0.25">
      <c r="B1966" s="49" t="e">
        <f>IF(ISBLANK('SQL Builder'!K1941)=FALSE,(DATE(LEFT('SQL Builder'!K1941,4),MID('SQL Builder'!K1941,6,2),MID('SQL Builder'!K1941,9,2))),NA())</f>
        <v>#N/A</v>
      </c>
      <c r="C1966" s="50" t="str">
        <f>IF(ISBLANK('SQL Builder'!K1941)=FALSE,'SQL Builder'!L1941,"")</f>
        <v/>
      </c>
      <c r="D1966" s="1" t="str">
        <f>IF(ISBLANK('SQL Builder'!K1941)=FALSE,'SQL Builder'!O1941,"")</f>
        <v/>
      </c>
      <c r="H1966" s="43" t="str">
        <f>IF(ISBLANK('SQL Builder'!K1940)=FALSE,H1965+1,"")</f>
        <v/>
      </c>
      <c r="I1966" s="1" t="str">
        <f>IF(ISBLANK('SQL Builder'!P1941)=FALSE,'SQL Builder'!N1941,"")</f>
        <v/>
      </c>
      <c r="J1966" s="79">
        <f t="shared" si="30"/>
        <v>0</v>
      </c>
    </row>
    <row r="1967" spans="2:10" ht="16.5" x14ac:dyDescent="0.25">
      <c r="B1967" s="49" t="e">
        <f>IF(ISBLANK('SQL Builder'!K1942)=FALSE,(DATE(LEFT('SQL Builder'!K1942,4),MID('SQL Builder'!K1942,6,2),MID('SQL Builder'!K1942,9,2))),NA())</f>
        <v>#N/A</v>
      </c>
      <c r="C1967" s="50" t="str">
        <f>IF(ISBLANK('SQL Builder'!K1942)=FALSE,'SQL Builder'!L1942,"")</f>
        <v/>
      </c>
      <c r="D1967" s="1" t="str">
        <f>IF(ISBLANK('SQL Builder'!K1942)=FALSE,'SQL Builder'!O1942,"")</f>
        <v/>
      </c>
      <c r="H1967" s="43" t="str">
        <f>IF(ISBLANK('SQL Builder'!K1941)=FALSE,H1966+1,"")</f>
        <v/>
      </c>
      <c r="I1967" s="1" t="str">
        <f>IF(ISBLANK('SQL Builder'!P1942)=FALSE,'SQL Builder'!N1942,"")</f>
        <v/>
      </c>
      <c r="J1967" s="79">
        <f t="shared" si="30"/>
        <v>0</v>
      </c>
    </row>
    <row r="1968" spans="2:10" ht="16.5" x14ac:dyDescent="0.25">
      <c r="B1968" s="49" t="e">
        <f>IF(ISBLANK('SQL Builder'!K1943)=FALSE,(DATE(LEFT('SQL Builder'!K1943,4),MID('SQL Builder'!K1943,6,2),MID('SQL Builder'!K1943,9,2))),NA())</f>
        <v>#N/A</v>
      </c>
      <c r="C1968" s="50" t="str">
        <f>IF(ISBLANK('SQL Builder'!K1943)=FALSE,'SQL Builder'!L1943,"")</f>
        <v/>
      </c>
      <c r="D1968" s="1" t="str">
        <f>IF(ISBLANK('SQL Builder'!K1943)=FALSE,'SQL Builder'!O1943,"")</f>
        <v/>
      </c>
      <c r="H1968" s="43" t="str">
        <f>IF(ISBLANK('SQL Builder'!K1942)=FALSE,H1967+1,"")</f>
        <v/>
      </c>
      <c r="I1968" s="1" t="str">
        <f>IF(ISBLANK('SQL Builder'!P1943)=FALSE,'SQL Builder'!N1943,"")</f>
        <v/>
      </c>
      <c r="J1968" s="79">
        <f t="shared" si="30"/>
        <v>0</v>
      </c>
    </row>
    <row r="1969" spans="2:10" ht="16.5" x14ac:dyDescent="0.25">
      <c r="B1969" s="49" t="e">
        <f>IF(ISBLANK('SQL Builder'!K1944)=FALSE,(DATE(LEFT('SQL Builder'!K1944,4),MID('SQL Builder'!K1944,6,2),MID('SQL Builder'!K1944,9,2))),NA())</f>
        <v>#N/A</v>
      </c>
      <c r="C1969" s="50" t="str">
        <f>IF(ISBLANK('SQL Builder'!K1944)=FALSE,'SQL Builder'!L1944,"")</f>
        <v/>
      </c>
      <c r="D1969" s="1" t="str">
        <f>IF(ISBLANK('SQL Builder'!K1944)=FALSE,'SQL Builder'!O1944,"")</f>
        <v/>
      </c>
      <c r="H1969" s="43" t="str">
        <f>IF(ISBLANK('SQL Builder'!K1943)=FALSE,H1968+1,"")</f>
        <v/>
      </c>
      <c r="I1969" s="1" t="str">
        <f>IF(ISBLANK('SQL Builder'!P1944)=FALSE,'SQL Builder'!N1944,"")</f>
        <v/>
      </c>
      <c r="J1969" s="79">
        <f t="shared" si="30"/>
        <v>0</v>
      </c>
    </row>
    <row r="1970" spans="2:10" ht="16.5" x14ac:dyDescent="0.25">
      <c r="B1970" s="49" t="e">
        <f>IF(ISBLANK('SQL Builder'!K1945)=FALSE,(DATE(LEFT('SQL Builder'!K1945,4),MID('SQL Builder'!K1945,6,2),MID('SQL Builder'!K1945,9,2))),NA())</f>
        <v>#N/A</v>
      </c>
      <c r="C1970" s="50" t="str">
        <f>IF(ISBLANK('SQL Builder'!K1945)=FALSE,'SQL Builder'!L1945,"")</f>
        <v/>
      </c>
      <c r="D1970" s="1" t="str">
        <f>IF(ISBLANK('SQL Builder'!K1945)=FALSE,'SQL Builder'!O1945,"")</f>
        <v/>
      </c>
      <c r="H1970" s="43" t="str">
        <f>IF(ISBLANK('SQL Builder'!K1944)=FALSE,H1969+1,"")</f>
        <v/>
      </c>
      <c r="I1970" s="1" t="str">
        <f>IF(ISBLANK('SQL Builder'!P1945)=FALSE,'SQL Builder'!N1945,"")</f>
        <v/>
      </c>
      <c r="J1970" s="79">
        <f t="shared" si="30"/>
        <v>0</v>
      </c>
    </row>
    <row r="1971" spans="2:10" ht="16.5" x14ac:dyDescent="0.25">
      <c r="B1971" s="49" t="e">
        <f>IF(ISBLANK('SQL Builder'!K1946)=FALSE,(DATE(LEFT('SQL Builder'!K1946,4),MID('SQL Builder'!K1946,6,2),MID('SQL Builder'!K1946,9,2))),NA())</f>
        <v>#N/A</v>
      </c>
      <c r="C1971" s="50" t="str">
        <f>IF(ISBLANK('SQL Builder'!K1946)=FALSE,'SQL Builder'!L1946,"")</f>
        <v/>
      </c>
      <c r="D1971" s="1" t="str">
        <f>IF(ISBLANK('SQL Builder'!K1946)=FALSE,'SQL Builder'!O1946,"")</f>
        <v/>
      </c>
      <c r="H1971" s="43" t="str">
        <f>IF(ISBLANK('SQL Builder'!K1945)=FALSE,H1970+1,"")</f>
        <v/>
      </c>
      <c r="I1971" s="1" t="str">
        <f>IF(ISBLANK('SQL Builder'!P1946)=FALSE,'SQL Builder'!N1946,"")</f>
        <v/>
      </c>
      <c r="J1971" s="79">
        <f t="shared" si="30"/>
        <v>0</v>
      </c>
    </row>
    <row r="1972" spans="2:10" ht="16.5" x14ac:dyDescent="0.25">
      <c r="B1972" s="49" t="e">
        <f>IF(ISBLANK('SQL Builder'!K1947)=FALSE,(DATE(LEFT('SQL Builder'!K1947,4),MID('SQL Builder'!K1947,6,2),MID('SQL Builder'!K1947,9,2))),NA())</f>
        <v>#N/A</v>
      </c>
      <c r="C1972" s="50" t="str">
        <f>IF(ISBLANK('SQL Builder'!K1947)=FALSE,'SQL Builder'!L1947,"")</f>
        <v/>
      </c>
      <c r="D1972" s="1" t="str">
        <f>IF(ISBLANK('SQL Builder'!K1947)=FALSE,'SQL Builder'!O1947,"")</f>
        <v/>
      </c>
      <c r="H1972" s="43" t="str">
        <f>IF(ISBLANK('SQL Builder'!K1946)=FALSE,H1971+1,"")</f>
        <v/>
      </c>
      <c r="I1972" s="1" t="str">
        <f>IF(ISBLANK('SQL Builder'!P1947)=FALSE,'SQL Builder'!N1947,"")</f>
        <v/>
      </c>
      <c r="J1972" s="79">
        <f t="shared" si="30"/>
        <v>0</v>
      </c>
    </row>
    <row r="1973" spans="2:10" ht="16.5" x14ac:dyDescent="0.25">
      <c r="B1973" s="49" t="e">
        <f>IF(ISBLANK('SQL Builder'!K1948)=FALSE,(DATE(LEFT('SQL Builder'!K1948,4),MID('SQL Builder'!K1948,6,2),MID('SQL Builder'!K1948,9,2))),NA())</f>
        <v>#N/A</v>
      </c>
      <c r="C1973" s="50" t="str">
        <f>IF(ISBLANK('SQL Builder'!K1948)=FALSE,'SQL Builder'!L1948,"")</f>
        <v/>
      </c>
      <c r="D1973" s="1" t="str">
        <f>IF(ISBLANK('SQL Builder'!K1948)=FALSE,'SQL Builder'!O1948,"")</f>
        <v/>
      </c>
      <c r="H1973" s="43" t="str">
        <f>IF(ISBLANK('SQL Builder'!K1947)=FALSE,H1972+1,"")</f>
        <v/>
      </c>
      <c r="I1973" s="1" t="str">
        <f>IF(ISBLANK('SQL Builder'!P1948)=FALSE,'SQL Builder'!N1948,"")</f>
        <v/>
      </c>
      <c r="J1973" s="79">
        <f t="shared" si="30"/>
        <v>0</v>
      </c>
    </row>
    <row r="1974" spans="2:10" ht="16.5" x14ac:dyDescent="0.25">
      <c r="B1974" s="49" t="e">
        <f>IF(ISBLANK('SQL Builder'!K1949)=FALSE,(DATE(LEFT('SQL Builder'!K1949,4),MID('SQL Builder'!K1949,6,2),MID('SQL Builder'!K1949,9,2))),NA())</f>
        <v>#N/A</v>
      </c>
      <c r="C1974" s="50" t="str">
        <f>IF(ISBLANK('SQL Builder'!K1949)=FALSE,'SQL Builder'!L1949,"")</f>
        <v/>
      </c>
      <c r="D1974" s="1" t="str">
        <f>IF(ISBLANK('SQL Builder'!K1949)=FALSE,'SQL Builder'!O1949,"")</f>
        <v/>
      </c>
      <c r="H1974" s="43" t="str">
        <f>IF(ISBLANK('SQL Builder'!K1948)=FALSE,H1973+1,"")</f>
        <v/>
      </c>
      <c r="I1974" s="1" t="str">
        <f>IF(ISBLANK('SQL Builder'!P1949)=FALSE,'SQL Builder'!N1949,"")</f>
        <v/>
      </c>
      <c r="J1974" s="79">
        <f t="shared" si="30"/>
        <v>0</v>
      </c>
    </row>
    <row r="1975" spans="2:10" ht="16.5" x14ac:dyDescent="0.25">
      <c r="B1975" s="49" t="e">
        <f>IF(ISBLANK('SQL Builder'!K1950)=FALSE,(DATE(LEFT('SQL Builder'!K1950,4),MID('SQL Builder'!K1950,6,2),MID('SQL Builder'!K1950,9,2))),NA())</f>
        <v>#N/A</v>
      </c>
      <c r="C1975" s="50" t="str">
        <f>IF(ISBLANK('SQL Builder'!K1950)=FALSE,'SQL Builder'!L1950,"")</f>
        <v/>
      </c>
      <c r="D1975" s="1" t="str">
        <f>IF(ISBLANK('SQL Builder'!K1950)=FALSE,'SQL Builder'!O1950,"")</f>
        <v/>
      </c>
      <c r="H1975" s="43" t="str">
        <f>IF(ISBLANK('SQL Builder'!K1949)=FALSE,H1974+1,"")</f>
        <v/>
      </c>
      <c r="I1975" s="1" t="str">
        <f>IF(ISBLANK('SQL Builder'!P1950)=FALSE,'SQL Builder'!N1950,"")</f>
        <v/>
      </c>
      <c r="J1975" s="79">
        <f t="shared" si="30"/>
        <v>0</v>
      </c>
    </row>
    <row r="1976" spans="2:10" ht="16.5" x14ac:dyDescent="0.25">
      <c r="B1976" s="49" t="e">
        <f>IF(ISBLANK('SQL Builder'!K1951)=FALSE,(DATE(LEFT('SQL Builder'!K1951,4),MID('SQL Builder'!K1951,6,2),MID('SQL Builder'!K1951,9,2))),NA())</f>
        <v>#N/A</v>
      </c>
      <c r="C1976" s="50" t="str">
        <f>IF(ISBLANK('SQL Builder'!K1951)=FALSE,'SQL Builder'!L1951,"")</f>
        <v/>
      </c>
      <c r="D1976" s="1" t="str">
        <f>IF(ISBLANK('SQL Builder'!K1951)=FALSE,'SQL Builder'!O1951,"")</f>
        <v/>
      </c>
      <c r="H1976" s="43" t="str">
        <f>IF(ISBLANK('SQL Builder'!K1950)=FALSE,H1975+1,"")</f>
        <v/>
      </c>
      <c r="I1976" s="1" t="str">
        <f>IF(ISBLANK('SQL Builder'!P1951)=FALSE,'SQL Builder'!N1951,"")</f>
        <v/>
      </c>
      <c r="J1976" s="79">
        <f t="shared" si="30"/>
        <v>0</v>
      </c>
    </row>
    <row r="1977" spans="2:10" ht="16.5" x14ac:dyDescent="0.25">
      <c r="B1977" s="49" t="e">
        <f>IF(ISBLANK('SQL Builder'!K1952)=FALSE,(DATE(LEFT('SQL Builder'!K1952,4),MID('SQL Builder'!K1952,6,2),MID('SQL Builder'!K1952,9,2))),NA())</f>
        <v>#N/A</v>
      </c>
      <c r="C1977" s="50" t="str">
        <f>IF(ISBLANK('SQL Builder'!K1952)=FALSE,'SQL Builder'!L1952,"")</f>
        <v/>
      </c>
      <c r="D1977" s="1" t="str">
        <f>IF(ISBLANK('SQL Builder'!K1952)=FALSE,'SQL Builder'!O1952,"")</f>
        <v/>
      </c>
      <c r="H1977" s="43" t="str">
        <f>IF(ISBLANK('SQL Builder'!K1951)=FALSE,H1976+1,"")</f>
        <v/>
      </c>
      <c r="I1977" s="1" t="str">
        <f>IF(ISBLANK('SQL Builder'!P1952)=FALSE,'SQL Builder'!N1952,"")</f>
        <v/>
      </c>
      <c r="J1977" s="79">
        <f t="shared" si="30"/>
        <v>0</v>
      </c>
    </row>
    <row r="1978" spans="2:10" ht="16.5" x14ac:dyDescent="0.25">
      <c r="B1978" s="49" t="e">
        <f>IF(ISBLANK('SQL Builder'!K1953)=FALSE,(DATE(LEFT('SQL Builder'!K1953,4),MID('SQL Builder'!K1953,6,2),MID('SQL Builder'!K1953,9,2))),NA())</f>
        <v>#N/A</v>
      </c>
      <c r="C1978" s="50" t="str">
        <f>IF(ISBLANK('SQL Builder'!K1953)=FALSE,'SQL Builder'!L1953,"")</f>
        <v/>
      </c>
      <c r="D1978" s="1" t="str">
        <f>IF(ISBLANK('SQL Builder'!K1953)=FALSE,'SQL Builder'!O1953,"")</f>
        <v/>
      </c>
      <c r="H1978" s="43" t="str">
        <f>IF(ISBLANK('SQL Builder'!K1952)=FALSE,H1977+1,"")</f>
        <v/>
      </c>
      <c r="I1978" s="1" t="str">
        <f>IF(ISBLANK('SQL Builder'!P1953)=FALSE,'SQL Builder'!N1953,"")</f>
        <v/>
      </c>
      <c r="J1978" s="79">
        <f t="shared" si="30"/>
        <v>0</v>
      </c>
    </row>
    <row r="1979" spans="2:10" ht="16.5" x14ac:dyDescent="0.25">
      <c r="B1979" s="49" t="e">
        <f>IF(ISBLANK('SQL Builder'!K1954)=FALSE,(DATE(LEFT('SQL Builder'!K1954,4),MID('SQL Builder'!K1954,6,2),MID('SQL Builder'!K1954,9,2))),NA())</f>
        <v>#N/A</v>
      </c>
      <c r="C1979" s="50" t="str">
        <f>IF(ISBLANK('SQL Builder'!K1954)=FALSE,'SQL Builder'!L1954,"")</f>
        <v/>
      </c>
      <c r="D1979" s="1" t="str">
        <f>IF(ISBLANK('SQL Builder'!K1954)=FALSE,'SQL Builder'!O1954,"")</f>
        <v/>
      </c>
      <c r="H1979" s="43" t="str">
        <f>IF(ISBLANK('SQL Builder'!K1953)=FALSE,H1978+1,"")</f>
        <v/>
      </c>
      <c r="I1979" s="1" t="str">
        <f>IF(ISBLANK('SQL Builder'!P1954)=FALSE,'SQL Builder'!N1954,"")</f>
        <v/>
      </c>
      <c r="J1979" s="79">
        <f t="shared" si="30"/>
        <v>0</v>
      </c>
    </row>
    <row r="1980" spans="2:10" ht="16.5" x14ac:dyDescent="0.25">
      <c r="B1980" s="49" t="e">
        <f>IF(ISBLANK('SQL Builder'!K1955)=FALSE,(DATE(LEFT('SQL Builder'!K1955,4),MID('SQL Builder'!K1955,6,2),MID('SQL Builder'!K1955,9,2))),NA())</f>
        <v>#N/A</v>
      </c>
      <c r="C1980" s="50" t="str">
        <f>IF(ISBLANK('SQL Builder'!K1955)=FALSE,'SQL Builder'!L1955,"")</f>
        <v/>
      </c>
      <c r="D1980" s="1" t="str">
        <f>IF(ISBLANK('SQL Builder'!K1955)=FALSE,'SQL Builder'!O1955,"")</f>
        <v/>
      </c>
      <c r="H1980" s="43" t="str">
        <f>IF(ISBLANK('SQL Builder'!K1954)=FALSE,H1979+1,"")</f>
        <v/>
      </c>
      <c r="I1980" s="1" t="str">
        <f>IF(ISBLANK('SQL Builder'!P1955)=FALSE,'SQL Builder'!N1955,"")</f>
        <v/>
      </c>
      <c r="J1980" s="79">
        <f t="shared" si="30"/>
        <v>0</v>
      </c>
    </row>
    <row r="1981" spans="2:10" ht="16.5" x14ac:dyDescent="0.25">
      <c r="B1981" s="49" t="e">
        <f>IF(ISBLANK('SQL Builder'!K1956)=FALSE,(DATE(LEFT('SQL Builder'!K1956,4),MID('SQL Builder'!K1956,6,2),MID('SQL Builder'!K1956,9,2))),NA())</f>
        <v>#N/A</v>
      </c>
      <c r="C1981" s="50" t="str">
        <f>IF(ISBLANK('SQL Builder'!K1956)=FALSE,'SQL Builder'!L1956,"")</f>
        <v/>
      </c>
      <c r="D1981" s="1" t="str">
        <f>IF(ISBLANK('SQL Builder'!K1956)=FALSE,'SQL Builder'!O1956,"")</f>
        <v/>
      </c>
      <c r="H1981" s="43" t="str">
        <f>IF(ISBLANK('SQL Builder'!K1955)=FALSE,H1980+1,"")</f>
        <v/>
      </c>
      <c r="I1981" s="1" t="str">
        <f>IF(ISBLANK('SQL Builder'!P1956)=FALSE,'SQL Builder'!N1956,"")</f>
        <v/>
      </c>
      <c r="J1981" s="79">
        <f t="shared" si="30"/>
        <v>0</v>
      </c>
    </row>
    <row r="1982" spans="2:10" ht="16.5" x14ac:dyDescent="0.25">
      <c r="B1982" s="49" t="e">
        <f>IF(ISBLANK('SQL Builder'!K1957)=FALSE,(DATE(LEFT('SQL Builder'!K1957,4),MID('SQL Builder'!K1957,6,2),MID('SQL Builder'!K1957,9,2))),NA())</f>
        <v>#N/A</v>
      </c>
      <c r="C1982" s="50" t="str">
        <f>IF(ISBLANK('SQL Builder'!K1957)=FALSE,'SQL Builder'!L1957,"")</f>
        <v/>
      </c>
      <c r="D1982" s="1" t="str">
        <f>IF(ISBLANK('SQL Builder'!K1957)=FALSE,'SQL Builder'!O1957,"")</f>
        <v/>
      </c>
      <c r="H1982" s="43" t="str">
        <f>IF(ISBLANK('SQL Builder'!K1956)=FALSE,H1981+1,"")</f>
        <v/>
      </c>
      <c r="I1982" s="1" t="str">
        <f>IF(ISBLANK('SQL Builder'!P1957)=FALSE,'SQL Builder'!N1957,"")</f>
        <v/>
      </c>
      <c r="J1982" s="79">
        <f t="shared" si="30"/>
        <v>0</v>
      </c>
    </row>
    <row r="1983" spans="2:10" ht="16.5" x14ac:dyDescent="0.25">
      <c r="B1983" s="49" t="e">
        <f>IF(ISBLANK('SQL Builder'!K1958)=FALSE,(DATE(LEFT('SQL Builder'!K1958,4),MID('SQL Builder'!K1958,6,2),MID('SQL Builder'!K1958,9,2))),NA())</f>
        <v>#N/A</v>
      </c>
      <c r="C1983" s="50" t="str">
        <f>IF(ISBLANK('SQL Builder'!K1958)=FALSE,'SQL Builder'!L1958,"")</f>
        <v/>
      </c>
      <c r="D1983" s="1" t="str">
        <f>IF(ISBLANK('SQL Builder'!K1958)=FALSE,'SQL Builder'!O1958,"")</f>
        <v/>
      </c>
      <c r="H1983" s="43" t="str">
        <f>IF(ISBLANK('SQL Builder'!K1957)=FALSE,H1982+1,"")</f>
        <v/>
      </c>
      <c r="I1983" s="1" t="str">
        <f>IF(ISBLANK('SQL Builder'!P1958)=FALSE,'SQL Builder'!N1958,"")</f>
        <v/>
      </c>
      <c r="J1983" s="79">
        <f t="shared" si="30"/>
        <v>0</v>
      </c>
    </row>
    <row r="1984" spans="2:10" ht="16.5" x14ac:dyDescent="0.25">
      <c r="B1984" s="49" t="e">
        <f>IF(ISBLANK('SQL Builder'!K1959)=FALSE,(DATE(LEFT('SQL Builder'!K1959,4),MID('SQL Builder'!K1959,6,2),MID('SQL Builder'!K1959,9,2))),NA())</f>
        <v>#N/A</v>
      </c>
      <c r="C1984" s="50" t="str">
        <f>IF(ISBLANK('SQL Builder'!K1959)=FALSE,'SQL Builder'!L1959,"")</f>
        <v/>
      </c>
      <c r="D1984" s="1" t="str">
        <f>IF(ISBLANK('SQL Builder'!K1959)=FALSE,'SQL Builder'!O1959,"")</f>
        <v/>
      </c>
      <c r="H1984" s="43" t="str">
        <f>IF(ISBLANK('SQL Builder'!K1958)=FALSE,H1983+1,"")</f>
        <v/>
      </c>
      <c r="I1984" s="1" t="str">
        <f>IF(ISBLANK('SQL Builder'!P1959)=FALSE,'SQL Builder'!N1959,"")</f>
        <v/>
      </c>
      <c r="J1984" s="79">
        <f t="shared" si="30"/>
        <v>0</v>
      </c>
    </row>
    <row r="1985" spans="2:10" ht="16.5" x14ac:dyDescent="0.25">
      <c r="B1985" s="49" t="e">
        <f>IF(ISBLANK('SQL Builder'!K1960)=FALSE,(DATE(LEFT('SQL Builder'!K1960,4),MID('SQL Builder'!K1960,6,2),MID('SQL Builder'!K1960,9,2))),NA())</f>
        <v>#N/A</v>
      </c>
      <c r="C1985" s="50" t="str">
        <f>IF(ISBLANK('SQL Builder'!K1960)=FALSE,'SQL Builder'!L1960,"")</f>
        <v/>
      </c>
      <c r="D1985" s="1" t="str">
        <f>IF(ISBLANK('SQL Builder'!K1960)=FALSE,'SQL Builder'!O1960,"")</f>
        <v/>
      </c>
      <c r="H1985" s="43" t="str">
        <f>IF(ISBLANK('SQL Builder'!K1959)=FALSE,H1984+1,"")</f>
        <v/>
      </c>
      <c r="I1985" s="1" t="str">
        <f>IF(ISBLANK('SQL Builder'!P1960)=FALSE,'SQL Builder'!N1960,"")</f>
        <v/>
      </c>
      <c r="J1985" s="79">
        <f t="shared" si="30"/>
        <v>0</v>
      </c>
    </row>
    <row r="1986" spans="2:10" ht="16.5" x14ac:dyDescent="0.25">
      <c r="B1986" s="49" t="e">
        <f>IF(ISBLANK('SQL Builder'!K1961)=FALSE,(DATE(LEFT('SQL Builder'!K1961,4),MID('SQL Builder'!K1961,6,2),MID('SQL Builder'!K1961,9,2))),NA())</f>
        <v>#N/A</v>
      </c>
      <c r="C1986" s="50" t="str">
        <f>IF(ISBLANK('SQL Builder'!K1961)=FALSE,'SQL Builder'!L1961,"")</f>
        <v/>
      </c>
      <c r="D1986" s="1" t="str">
        <f>IF(ISBLANK('SQL Builder'!K1961)=FALSE,'SQL Builder'!O1961,"")</f>
        <v/>
      </c>
      <c r="H1986" s="43" t="str">
        <f>IF(ISBLANK('SQL Builder'!K1960)=FALSE,H1985+1,"")</f>
        <v/>
      </c>
      <c r="I1986" s="1" t="str">
        <f>IF(ISBLANK('SQL Builder'!P1961)=FALSE,'SQL Builder'!N1961,"")</f>
        <v/>
      </c>
      <c r="J1986" s="79">
        <f t="shared" si="30"/>
        <v>0</v>
      </c>
    </row>
    <row r="1987" spans="2:10" ht="16.5" x14ac:dyDescent="0.25">
      <c r="B1987" s="49" t="e">
        <f>IF(ISBLANK('SQL Builder'!K1962)=FALSE,(DATE(LEFT('SQL Builder'!K1962,4),MID('SQL Builder'!K1962,6,2),MID('SQL Builder'!K1962,9,2))),NA())</f>
        <v>#N/A</v>
      </c>
      <c r="C1987" s="50" t="str">
        <f>IF(ISBLANK('SQL Builder'!K1962)=FALSE,'SQL Builder'!L1962,"")</f>
        <v/>
      </c>
      <c r="D1987" s="1" t="str">
        <f>IF(ISBLANK('SQL Builder'!K1962)=FALSE,'SQL Builder'!O1962,"")</f>
        <v/>
      </c>
      <c r="H1987" s="43" t="str">
        <f>IF(ISBLANK('SQL Builder'!K1961)=FALSE,H1986+1,"")</f>
        <v/>
      </c>
      <c r="I1987" s="1" t="str">
        <f>IF(ISBLANK('SQL Builder'!P1962)=FALSE,'SQL Builder'!N1962,"")</f>
        <v/>
      </c>
      <c r="J1987" s="79">
        <f t="shared" si="30"/>
        <v>0</v>
      </c>
    </row>
    <row r="1988" spans="2:10" ht="16.5" x14ac:dyDescent="0.25">
      <c r="B1988" s="49" t="e">
        <f>IF(ISBLANK('SQL Builder'!K1963)=FALSE,(DATE(LEFT('SQL Builder'!K1963,4),MID('SQL Builder'!K1963,6,2),MID('SQL Builder'!K1963,9,2))),NA())</f>
        <v>#N/A</v>
      </c>
      <c r="C1988" s="50" t="str">
        <f>IF(ISBLANK('SQL Builder'!K1963)=FALSE,'SQL Builder'!L1963,"")</f>
        <v/>
      </c>
      <c r="D1988" s="1" t="str">
        <f>IF(ISBLANK('SQL Builder'!K1963)=FALSE,'SQL Builder'!O1963,"")</f>
        <v/>
      </c>
      <c r="H1988" s="43" t="str">
        <f>IF(ISBLANK('SQL Builder'!K1962)=FALSE,H1987+1,"")</f>
        <v/>
      </c>
      <c r="I1988" s="1" t="str">
        <f>IF(ISBLANK('SQL Builder'!P1963)=FALSE,'SQL Builder'!N1963,"")</f>
        <v/>
      </c>
      <c r="J1988" s="79">
        <f t="shared" si="30"/>
        <v>0</v>
      </c>
    </row>
    <row r="1989" spans="2:10" ht="16.5" x14ac:dyDescent="0.25">
      <c r="B1989" s="49" t="e">
        <f>IF(ISBLANK('SQL Builder'!K1964)=FALSE,(DATE(LEFT('SQL Builder'!K1964,4),MID('SQL Builder'!K1964,6,2),MID('SQL Builder'!K1964,9,2))),NA())</f>
        <v>#N/A</v>
      </c>
      <c r="C1989" s="50" t="str">
        <f>IF(ISBLANK('SQL Builder'!K1964)=FALSE,'SQL Builder'!L1964,"")</f>
        <v/>
      </c>
      <c r="D1989" s="1" t="str">
        <f>IF(ISBLANK('SQL Builder'!K1964)=FALSE,'SQL Builder'!O1964,"")</f>
        <v/>
      </c>
      <c r="H1989" s="43" t="str">
        <f>IF(ISBLANK('SQL Builder'!K1963)=FALSE,H1988+1,"")</f>
        <v/>
      </c>
      <c r="I1989" s="1" t="str">
        <f>IF(ISBLANK('SQL Builder'!P1964)=FALSE,'SQL Builder'!N1964,"")</f>
        <v/>
      </c>
      <c r="J1989" s="79">
        <f t="shared" si="30"/>
        <v>0</v>
      </c>
    </row>
    <row r="1990" spans="2:10" ht="16.5" x14ac:dyDescent="0.25">
      <c r="B1990" s="49" t="e">
        <f>IF(ISBLANK('SQL Builder'!K1965)=FALSE,(DATE(LEFT('SQL Builder'!K1965,4),MID('SQL Builder'!K1965,6,2),MID('SQL Builder'!K1965,9,2))),NA())</f>
        <v>#N/A</v>
      </c>
      <c r="C1990" s="50" t="str">
        <f>IF(ISBLANK('SQL Builder'!K1965)=FALSE,'SQL Builder'!L1965,"")</f>
        <v/>
      </c>
      <c r="D1990" s="1" t="str">
        <f>IF(ISBLANK('SQL Builder'!K1965)=FALSE,'SQL Builder'!O1965,"")</f>
        <v/>
      </c>
      <c r="H1990" s="43" t="str">
        <f>IF(ISBLANK('SQL Builder'!K1964)=FALSE,H1989+1,"")</f>
        <v/>
      </c>
      <c r="I1990" s="1" t="str">
        <f>IF(ISBLANK('SQL Builder'!P1965)=FALSE,'SQL Builder'!N1965,"")</f>
        <v/>
      </c>
      <c r="J1990" s="79">
        <f t="shared" si="30"/>
        <v>0</v>
      </c>
    </row>
    <row r="1991" spans="2:10" ht="16.5" x14ac:dyDescent="0.25">
      <c r="B1991" s="49" t="e">
        <f>IF(ISBLANK('SQL Builder'!K1966)=FALSE,(DATE(LEFT('SQL Builder'!K1966,4),MID('SQL Builder'!K1966,6,2),MID('SQL Builder'!K1966,9,2))),NA())</f>
        <v>#N/A</v>
      </c>
      <c r="C1991" s="50" t="str">
        <f>IF(ISBLANK('SQL Builder'!K1966)=FALSE,'SQL Builder'!L1966,"")</f>
        <v/>
      </c>
      <c r="D1991" s="1" t="str">
        <f>IF(ISBLANK('SQL Builder'!K1966)=FALSE,'SQL Builder'!O1966,"")</f>
        <v/>
      </c>
      <c r="H1991" s="43" t="str">
        <f>IF(ISBLANK('SQL Builder'!K1965)=FALSE,H1990+1,"")</f>
        <v/>
      </c>
      <c r="I1991" s="1" t="str">
        <f>IF(ISBLANK('SQL Builder'!P1966)=FALSE,'SQL Builder'!N1966,"")</f>
        <v/>
      </c>
      <c r="J1991" s="79">
        <f t="shared" si="30"/>
        <v>0</v>
      </c>
    </row>
    <row r="1992" spans="2:10" ht="16.5" x14ac:dyDescent="0.25">
      <c r="B1992" s="49" t="e">
        <f>IF(ISBLANK('SQL Builder'!K1967)=FALSE,(DATE(LEFT('SQL Builder'!K1967,4),MID('SQL Builder'!K1967,6,2),MID('SQL Builder'!K1967,9,2))),NA())</f>
        <v>#N/A</v>
      </c>
      <c r="C1992" s="50" t="str">
        <f>IF(ISBLANK('SQL Builder'!K1967)=FALSE,'SQL Builder'!L1967,"")</f>
        <v/>
      </c>
      <c r="D1992" s="1" t="str">
        <f>IF(ISBLANK('SQL Builder'!K1967)=FALSE,'SQL Builder'!O1967,"")</f>
        <v/>
      </c>
      <c r="H1992" s="43" t="str">
        <f>IF(ISBLANK('SQL Builder'!K1966)=FALSE,H1991+1,"")</f>
        <v/>
      </c>
      <c r="I1992" s="1" t="str">
        <f>IF(ISBLANK('SQL Builder'!P1967)=FALSE,'SQL Builder'!N1967,"")</f>
        <v/>
      </c>
      <c r="J1992" s="79">
        <f t="shared" si="30"/>
        <v>0</v>
      </c>
    </row>
    <row r="1993" spans="2:10" ht="16.5" x14ac:dyDescent="0.25">
      <c r="B1993" s="49" t="e">
        <f>IF(ISBLANK('SQL Builder'!K1968)=FALSE,(DATE(LEFT('SQL Builder'!K1968,4),MID('SQL Builder'!K1968,6,2),MID('SQL Builder'!K1968,9,2))),NA())</f>
        <v>#N/A</v>
      </c>
      <c r="C1993" s="50" t="str">
        <f>IF(ISBLANK('SQL Builder'!K1968)=FALSE,'SQL Builder'!L1968,"")</f>
        <v/>
      </c>
      <c r="D1993" s="1" t="str">
        <f>IF(ISBLANK('SQL Builder'!K1968)=FALSE,'SQL Builder'!O1968,"")</f>
        <v/>
      </c>
      <c r="H1993" s="43" t="str">
        <f>IF(ISBLANK('SQL Builder'!K1967)=FALSE,H1992+1,"")</f>
        <v/>
      </c>
      <c r="I1993" s="1" t="str">
        <f>IF(ISBLANK('SQL Builder'!P1968)=FALSE,'SQL Builder'!N1968,"")</f>
        <v/>
      </c>
      <c r="J1993" s="79">
        <f t="shared" si="30"/>
        <v>0</v>
      </c>
    </row>
    <row r="1994" spans="2:10" ht="16.5" x14ac:dyDescent="0.25">
      <c r="B1994" s="49" t="e">
        <f>IF(ISBLANK('SQL Builder'!K1969)=FALSE,(DATE(LEFT('SQL Builder'!K1969,4),MID('SQL Builder'!K1969,6,2),MID('SQL Builder'!K1969,9,2))),NA())</f>
        <v>#N/A</v>
      </c>
      <c r="C1994" s="50" t="str">
        <f>IF(ISBLANK('SQL Builder'!K1969)=FALSE,'SQL Builder'!L1969,"")</f>
        <v/>
      </c>
      <c r="D1994" s="1" t="str">
        <f>IF(ISBLANK('SQL Builder'!K1969)=FALSE,'SQL Builder'!O1969,"")</f>
        <v/>
      </c>
      <c r="H1994" s="43" t="str">
        <f>IF(ISBLANK('SQL Builder'!K1968)=FALSE,H1993+1,"")</f>
        <v/>
      </c>
      <c r="I1994" s="1" t="str">
        <f>IF(ISBLANK('SQL Builder'!P1969)=FALSE,'SQL Builder'!N1969,"")</f>
        <v/>
      </c>
      <c r="J1994" s="79">
        <f t="shared" si="30"/>
        <v>0</v>
      </c>
    </row>
    <row r="1995" spans="2:10" ht="16.5" x14ac:dyDescent="0.25">
      <c r="B1995" s="49" t="e">
        <f>IF(ISBLANK('SQL Builder'!K1970)=FALSE,(DATE(LEFT('SQL Builder'!K1970,4),MID('SQL Builder'!K1970,6,2),MID('SQL Builder'!K1970,9,2))),NA())</f>
        <v>#N/A</v>
      </c>
      <c r="C1995" s="50" t="str">
        <f>IF(ISBLANK('SQL Builder'!K1970)=FALSE,'SQL Builder'!L1970,"")</f>
        <v/>
      </c>
      <c r="D1995" s="1" t="str">
        <f>IF(ISBLANK('SQL Builder'!K1970)=FALSE,'SQL Builder'!O1970,"")</f>
        <v/>
      </c>
      <c r="H1995" s="43" t="str">
        <f>IF(ISBLANK('SQL Builder'!K1969)=FALSE,H1994+1,"")</f>
        <v/>
      </c>
      <c r="I1995" s="1" t="str">
        <f>IF(ISBLANK('SQL Builder'!P1970)=FALSE,'SQL Builder'!N1970,"")</f>
        <v/>
      </c>
      <c r="J1995" s="79">
        <f t="shared" si="30"/>
        <v>0</v>
      </c>
    </row>
    <row r="1996" spans="2:10" ht="16.5" x14ac:dyDescent="0.25">
      <c r="B1996" s="49" t="e">
        <f>IF(ISBLANK('SQL Builder'!K1971)=FALSE,(DATE(LEFT('SQL Builder'!K1971,4),MID('SQL Builder'!K1971,6,2),MID('SQL Builder'!K1971,9,2))),NA())</f>
        <v>#N/A</v>
      </c>
      <c r="C1996" s="50" t="str">
        <f>IF(ISBLANK('SQL Builder'!K1971)=FALSE,'SQL Builder'!L1971,"")</f>
        <v/>
      </c>
      <c r="D1996" s="1" t="str">
        <f>IF(ISBLANK('SQL Builder'!K1971)=FALSE,'SQL Builder'!O1971,"")</f>
        <v/>
      </c>
      <c r="H1996" s="43" t="str">
        <f>IF(ISBLANK('SQL Builder'!K1970)=FALSE,H1995+1,"")</f>
        <v/>
      </c>
      <c r="I1996" s="1" t="str">
        <f>IF(ISBLANK('SQL Builder'!P1971)=FALSE,'SQL Builder'!N1971,"")</f>
        <v/>
      </c>
      <c r="J1996" s="79">
        <f t="shared" si="30"/>
        <v>0</v>
      </c>
    </row>
    <row r="1997" spans="2:10" ht="16.5" x14ac:dyDescent="0.25">
      <c r="B1997" s="49" t="e">
        <f>IF(ISBLANK('SQL Builder'!K1972)=FALSE,(DATE(LEFT('SQL Builder'!K1972,4),MID('SQL Builder'!K1972,6,2),MID('SQL Builder'!K1972,9,2))),NA())</f>
        <v>#N/A</v>
      </c>
      <c r="C1997" s="50" t="str">
        <f>IF(ISBLANK('SQL Builder'!K1972)=FALSE,'SQL Builder'!L1972,"")</f>
        <v/>
      </c>
      <c r="D1997" s="1" t="str">
        <f>IF(ISBLANK('SQL Builder'!K1972)=FALSE,'SQL Builder'!O1972,"")</f>
        <v/>
      </c>
      <c r="H1997" s="43" t="str">
        <f>IF(ISBLANK('SQL Builder'!K1971)=FALSE,H1996+1,"")</f>
        <v/>
      </c>
      <c r="I1997" s="1" t="str">
        <f>IF(ISBLANK('SQL Builder'!P1972)=FALSE,'SQL Builder'!N1972,"")</f>
        <v/>
      </c>
      <c r="J1997" s="79">
        <f t="shared" si="30"/>
        <v>0</v>
      </c>
    </row>
    <row r="1998" spans="2:10" ht="16.5" x14ac:dyDescent="0.25">
      <c r="B1998" s="49" t="e">
        <f>IF(ISBLANK('SQL Builder'!K1973)=FALSE,(DATE(LEFT('SQL Builder'!K1973,4),MID('SQL Builder'!K1973,6,2),MID('SQL Builder'!K1973,9,2))),NA())</f>
        <v>#N/A</v>
      </c>
      <c r="C1998" s="50" t="str">
        <f>IF(ISBLANK('SQL Builder'!K1973)=FALSE,'SQL Builder'!L1973,"")</f>
        <v/>
      </c>
      <c r="D1998" s="1" t="str">
        <f>IF(ISBLANK('SQL Builder'!K1973)=FALSE,'SQL Builder'!O1973,"")</f>
        <v/>
      </c>
      <c r="H1998" s="43" t="str">
        <f>IF(ISBLANK('SQL Builder'!K1972)=FALSE,H1997+1,"")</f>
        <v/>
      </c>
      <c r="I1998" s="1" t="str">
        <f>IF(ISBLANK('SQL Builder'!P1973)=FALSE,'SQL Builder'!N1973,"")</f>
        <v/>
      </c>
      <c r="J1998" s="79">
        <f t="shared" si="30"/>
        <v>0</v>
      </c>
    </row>
    <row r="1999" spans="2:10" ht="16.5" x14ac:dyDescent="0.25">
      <c r="B1999" s="49" t="e">
        <f>IF(ISBLANK('SQL Builder'!K1974)=FALSE,(DATE(LEFT('SQL Builder'!K1974,4),MID('SQL Builder'!K1974,6,2),MID('SQL Builder'!K1974,9,2))),NA())</f>
        <v>#N/A</v>
      </c>
      <c r="C1999" s="50" t="str">
        <f>IF(ISBLANK('SQL Builder'!K1974)=FALSE,'SQL Builder'!L1974,"")</f>
        <v/>
      </c>
      <c r="D1999" s="1" t="str">
        <f>IF(ISBLANK('SQL Builder'!K1974)=FALSE,'SQL Builder'!O1974,"")</f>
        <v/>
      </c>
      <c r="H1999" s="43" t="str">
        <f>IF(ISBLANK('SQL Builder'!K1973)=FALSE,H1998+1,"")</f>
        <v/>
      </c>
      <c r="I1999" s="1" t="str">
        <f>IF(ISBLANK('SQL Builder'!P1974)=FALSE,'SQL Builder'!N1974,"")</f>
        <v/>
      </c>
      <c r="J1999" s="79">
        <f t="shared" si="30"/>
        <v>0</v>
      </c>
    </row>
    <row r="2000" spans="2:10" ht="16.5" x14ac:dyDescent="0.25">
      <c r="B2000" s="49" t="e">
        <f>IF(ISBLANK('SQL Builder'!K1975)=FALSE,(DATE(LEFT('SQL Builder'!K1975,4),MID('SQL Builder'!K1975,6,2),MID('SQL Builder'!K1975,9,2))),NA())</f>
        <v>#N/A</v>
      </c>
      <c r="C2000" s="50" t="str">
        <f>IF(ISBLANK('SQL Builder'!K1975)=FALSE,'SQL Builder'!L1975,"")</f>
        <v/>
      </c>
      <c r="D2000" s="1" t="str">
        <f>IF(ISBLANK('SQL Builder'!K1975)=FALSE,'SQL Builder'!O1975,"")</f>
        <v/>
      </c>
      <c r="H2000" s="43" t="str">
        <f>IF(ISBLANK('SQL Builder'!K1974)=FALSE,H1999+1,"")</f>
        <v/>
      </c>
      <c r="I2000" s="1" t="str">
        <f>IF(ISBLANK('SQL Builder'!P1975)=FALSE,'SQL Builder'!N1975,"")</f>
        <v/>
      </c>
      <c r="J2000" s="79">
        <f t="shared" si="30"/>
        <v>0</v>
      </c>
    </row>
    <row r="2001" spans="2:10" ht="16.5" x14ac:dyDescent="0.25">
      <c r="B2001" s="49"/>
      <c r="C2001" s="50" t="str">
        <f>IF(ISBLANK('SQL Builder'!K1976)=FALSE,'SQL Builder'!L1976,"")</f>
        <v/>
      </c>
      <c r="D2001" s="1" t="str">
        <f>IF(ISBLANK('SQL Builder'!K1976)=FALSE,'SQL Builder'!O1976,"")</f>
        <v/>
      </c>
      <c r="H2001" s="43" t="str">
        <f>IF(ISBLANK('SQL Builder'!K1975)=FALSE,H2000+1,"")</f>
        <v/>
      </c>
      <c r="I2001" s="1" t="str">
        <f>IF(ISBLANK('SQL Builder'!P1976)=FALSE,'SQL Builder'!N1976,"")</f>
        <v/>
      </c>
      <c r="J2001" s="79">
        <f t="shared" si="30"/>
        <v>0</v>
      </c>
    </row>
    <row r="2002" spans="2:10" ht="16.5" x14ac:dyDescent="0.25">
      <c r="B2002" s="49"/>
      <c r="C2002" s="50" t="str">
        <f>IF(ISBLANK('SQL Builder'!K1977)=FALSE,'SQL Builder'!L1977,"")</f>
        <v/>
      </c>
      <c r="D2002" s="1" t="str">
        <f>IF(ISBLANK('SQL Builder'!K1977)=FALSE,'SQL Builder'!O1977,"")</f>
        <v/>
      </c>
      <c r="H2002" s="43" t="str">
        <f>IF(ISBLANK('SQL Builder'!K1976)=FALSE,H2001+1,"")</f>
        <v/>
      </c>
      <c r="I2002" s="1" t="str">
        <f>IF(ISBLANK('SQL Builder'!P1977)=FALSE,'SQL Builder'!N1977,"")</f>
        <v/>
      </c>
      <c r="J2002" s="79">
        <f t="shared" si="30"/>
        <v>0</v>
      </c>
    </row>
    <row r="2003" spans="2:10" ht="16.5" x14ac:dyDescent="0.25">
      <c r="B2003" s="49"/>
      <c r="C2003" s="50" t="str">
        <f>IF(ISBLANK('SQL Builder'!K1978)=FALSE,'SQL Builder'!L1978,"")</f>
        <v/>
      </c>
      <c r="D2003" s="1" t="str">
        <f>IF(ISBLANK('SQL Builder'!K1978)=FALSE,'SQL Builder'!O1978,"")</f>
        <v/>
      </c>
      <c r="H2003" s="43" t="str">
        <f>IF(ISBLANK('SQL Builder'!K1977)=FALSE,H2002+1,"")</f>
        <v/>
      </c>
      <c r="I2003" s="1" t="str">
        <f>IF(ISBLANK('SQL Builder'!P1978)=FALSE,'SQL Builder'!N1978,"")</f>
        <v/>
      </c>
      <c r="J2003" s="79">
        <f t="shared" si="30"/>
        <v>0</v>
      </c>
    </row>
    <row r="2004" spans="2:10" ht="16.5" x14ac:dyDescent="0.25">
      <c r="B2004" s="49"/>
      <c r="C2004" s="50" t="str">
        <f>IF(ISBLANK('SQL Builder'!K1979)=FALSE,'SQL Builder'!L1979,"")</f>
        <v/>
      </c>
      <c r="D2004" s="1" t="str">
        <f>IF(ISBLANK('SQL Builder'!K1979)=FALSE,'SQL Builder'!O1979,"")</f>
        <v/>
      </c>
      <c r="H2004" s="43" t="str">
        <f>IF(ISBLANK('SQL Builder'!K1978)=FALSE,H2003+1,"")</f>
        <v/>
      </c>
      <c r="I2004" s="1" t="str">
        <f>IF(ISBLANK('SQL Builder'!P1979)=FALSE,'SQL Builder'!N1979,"")</f>
        <v/>
      </c>
      <c r="J2004" s="79">
        <f t="shared" si="30"/>
        <v>0</v>
      </c>
    </row>
    <row r="2005" spans="2:10" ht="16.5" x14ac:dyDescent="0.25">
      <c r="B2005" s="49"/>
      <c r="C2005" s="50" t="str">
        <f>IF(ISBLANK('SQL Builder'!K1980)=FALSE,'SQL Builder'!L1980,"")</f>
        <v/>
      </c>
      <c r="D2005" s="1" t="str">
        <f>IF(ISBLANK('SQL Builder'!K1980)=FALSE,'SQL Builder'!O1980,"")</f>
        <v/>
      </c>
      <c r="H2005" s="43" t="str">
        <f>IF(ISBLANK('SQL Builder'!K1979)=FALSE,H2004+1,"")</f>
        <v/>
      </c>
      <c r="I2005" s="1" t="str">
        <f>IF(ISBLANK('SQL Builder'!P1980)=FALSE,'SQL Builder'!N1980,"")</f>
        <v/>
      </c>
      <c r="J2005" s="79">
        <f t="shared" si="30"/>
        <v>0</v>
      </c>
    </row>
    <row r="2006" spans="2:10" ht="16.5" x14ac:dyDescent="0.25">
      <c r="B2006" s="49"/>
      <c r="C2006" s="50" t="str">
        <f>IF(ISBLANK('SQL Builder'!K1981)=FALSE,'SQL Builder'!L1981,"")</f>
        <v/>
      </c>
      <c r="D2006" s="1" t="str">
        <f>IF(ISBLANK('SQL Builder'!K1981)=FALSE,'SQL Builder'!O1981,"")</f>
        <v/>
      </c>
      <c r="H2006" s="43" t="str">
        <f>IF(ISBLANK('SQL Builder'!K1980)=FALSE,H2005+1,"")</f>
        <v/>
      </c>
      <c r="I2006" s="1" t="str">
        <f>IF(ISBLANK('SQL Builder'!P1981)=FALSE,'SQL Builder'!N1981,"")</f>
        <v/>
      </c>
      <c r="J2006" s="79">
        <f t="shared" si="30"/>
        <v>0</v>
      </c>
    </row>
    <row r="2007" spans="2:10" ht="16.5" x14ac:dyDescent="0.25">
      <c r="B2007" s="49"/>
      <c r="C2007" s="50" t="str">
        <f>IF(ISBLANK('SQL Builder'!K1982)=FALSE,'SQL Builder'!L1982,"")</f>
        <v/>
      </c>
      <c r="D2007" s="1" t="str">
        <f>IF(ISBLANK('SQL Builder'!K1982)=FALSE,'SQL Builder'!O1982,"")</f>
        <v/>
      </c>
      <c r="H2007" s="43" t="str">
        <f>IF(ISBLANK('SQL Builder'!K1981)=FALSE,H2006+1,"")</f>
        <v/>
      </c>
      <c r="I2007" s="1" t="str">
        <f>IF(ISBLANK('SQL Builder'!P1982)=FALSE,'SQL Builder'!N1982,"")</f>
        <v/>
      </c>
      <c r="J2007" s="79">
        <f t="shared" si="30"/>
        <v>0</v>
      </c>
    </row>
    <row r="2008" spans="2:10" ht="16.5" x14ac:dyDescent="0.25">
      <c r="B2008" s="49"/>
      <c r="C2008" s="50" t="str">
        <f>IF(ISBLANK('SQL Builder'!K1983)=FALSE,'SQL Builder'!L1983,"")</f>
        <v/>
      </c>
      <c r="D2008" s="1" t="str">
        <f>IF(ISBLANK('SQL Builder'!K1983)=FALSE,'SQL Builder'!O1983,"")</f>
        <v/>
      </c>
      <c r="H2008" s="43" t="str">
        <f>IF(ISBLANK('SQL Builder'!K1982)=FALSE,H2007+1,"")</f>
        <v/>
      </c>
      <c r="I2008" s="1" t="str">
        <f>IF(ISBLANK('SQL Builder'!P1983)=FALSE,'SQL Builder'!N1983,"")</f>
        <v/>
      </c>
      <c r="J2008" s="79">
        <f t="shared" si="30"/>
        <v>0</v>
      </c>
    </row>
    <row r="2009" spans="2:10" ht="16.5" x14ac:dyDescent="0.25">
      <c r="B2009" s="49"/>
      <c r="C2009" s="50" t="str">
        <f>IF(ISBLANK('SQL Builder'!K1984)=FALSE,'SQL Builder'!L1984,"")</f>
        <v/>
      </c>
      <c r="D2009" s="1" t="str">
        <f>IF(ISBLANK('SQL Builder'!K1984)=FALSE,'SQL Builder'!O1984,"")</f>
        <v/>
      </c>
      <c r="H2009" s="43" t="str">
        <f>IF(ISBLANK('SQL Builder'!K1983)=FALSE,H2008+1,"")</f>
        <v/>
      </c>
      <c r="I2009" s="1" t="str">
        <f>IF(ISBLANK('SQL Builder'!P1984)=FALSE,'SQL Builder'!N1984,"")</f>
        <v/>
      </c>
      <c r="J2009" s="79">
        <f t="shared" si="30"/>
        <v>0</v>
      </c>
    </row>
    <row r="2010" spans="2:10" ht="16.5" x14ac:dyDescent="0.25">
      <c r="B2010" s="49"/>
      <c r="C2010" s="50" t="str">
        <f>IF(ISBLANK('SQL Builder'!K1985)=FALSE,'SQL Builder'!L1985,"")</f>
        <v/>
      </c>
      <c r="D2010" s="1" t="str">
        <f>IF(ISBLANK('SQL Builder'!K1985)=FALSE,'SQL Builder'!O1985,"")</f>
        <v/>
      </c>
      <c r="H2010" s="43" t="str">
        <f>IF(ISBLANK('SQL Builder'!K1984)=FALSE,H2009+1,"")</f>
        <v/>
      </c>
      <c r="I2010" s="1" t="str">
        <f>IF(ISBLANK('SQL Builder'!P1985)=FALSE,'SQL Builder'!N1985,"")</f>
        <v/>
      </c>
      <c r="J2010" s="79">
        <f t="shared" si="30"/>
        <v>0</v>
      </c>
    </row>
    <row r="2011" spans="2:10" ht="16.5" x14ac:dyDescent="0.25">
      <c r="B2011" s="49"/>
      <c r="C2011" s="50" t="str">
        <f>IF(ISBLANK('SQL Builder'!K1986)=FALSE,'SQL Builder'!L1986,"")</f>
        <v/>
      </c>
      <c r="D2011" s="1" t="str">
        <f>IF(ISBLANK('SQL Builder'!K1986)=FALSE,'SQL Builder'!O1986,"")</f>
        <v/>
      </c>
      <c r="H2011" s="43" t="str">
        <f>IF(ISBLANK('SQL Builder'!K1985)=FALSE,H2010+1,"")</f>
        <v/>
      </c>
      <c r="I2011" s="1" t="str">
        <f>IF(ISBLANK('SQL Builder'!P1986)=FALSE,'SQL Builder'!N1986,"")</f>
        <v/>
      </c>
      <c r="J2011" s="79">
        <f t="shared" si="30"/>
        <v>0</v>
      </c>
    </row>
    <row r="2012" spans="2:10" ht="16.5" x14ac:dyDescent="0.25">
      <c r="B2012" s="49"/>
      <c r="C2012" s="50" t="str">
        <f>IF(ISBLANK('SQL Builder'!K1987)=FALSE,'SQL Builder'!L1987,"")</f>
        <v/>
      </c>
      <c r="D2012" s="1" t="str">
        <f>IF(ISBLANK('SQL Builder'!K1987)=FALSE,'SQL Builder'!O1987,"")</f>
        <v/>
      </c>
      <c r="H2012" s="43" t="str">
        <f>IF(ISBLANK('SQL Builder'!K1986)=FALSE,H2011+1,"")</f>
        <v/>
      </c>
      <c r="I2012" s="1" t="str">
        <f>IF(ISBLANK('SQL Builder'!P1987)=FALSE,'SQL Builder'!N1987,"")</f>
        <v/>
      </c>
      <c r="J2012" s="79">
        <f t="shared" si="30"/>
        <v>0</v>
      </c>
    </row>
    <row r="2013" spans="2:10" ht="16.5" x14ac:dyDescent="0.25">
      <c r="B2013" s="49"/>
      <c r="C2013" s="50" t="str">
        <f>IF(ISBLANK('SQL Builder'!K1988)=FALSE,'SQL Builder'!L1988,"")</f>
        <v/>
      </c>
      <c r="D2013" s="1" t="str">
        <f>IF(ISBLANK('SQL Builder'!K1988)=FALSE,'SQL Builder'!O1988,"")</f>
        <v/>
      </c>
      <c r="H2013" s="43" t="str">
        <f>IF(ISBLANK('SQL Builder'!K1987)=FALSE,H2012+1,"")</f>
        <v/>
      </c>
      <c r="I2013" s="1" t="str">
        <f>IF(ISBLANK('SQL Builder'!P1988)=FALSE,'SQL Builder'!N1988,"")</f>
        <v/>
      </c>
      <c r="J2013" s="79">
        <f t="shared" si="30"/>
        <v>0</v>
      </c>
    </row>
    <row r="2014" spans="2:10" ht="16.5" x14ac:dyDescent="0.25">
      <c r="B2014" s="49"/>
      <c r="C2014" s="50" t="str">
        <f>IF(ISBLANK('SQL Builder'!K1989)=FALSE,'SQL Builder'!L1989,"")</f>
        <v/>
      </c>
      <c r="D2014" s="1" t="str">
        <f>IF(ISBLANK('SQL Builder'!K1989)=FALSE,'SQL Builder'!O1989,"")</f>
        <v/>
      </c>
      <c r="H2014" s="43" t="str">
        <f>IF(ISBLANK('SQL Builder'!K1988)=FALSE,H2013+1,"")</f>
        <v/>
      </c>
      <c r="I2014" s="1" t="str">
        <f>IF(ISBLANK('SQL Builder'!P1989)=FALSE,'SQL Builder'!N1989,"")</f>
        <v/>
      </c>
      <c r="J2014" s="79">
        <f t="shared" si="30"/>
        <v>0</v>
      </c>
    </row>
    <row r="2015" spans="2:10" ht="16.5" x14ac:dyDescent="0.25">
      <c r="B2015" s="49"/>
      <c r="C2015" s="50" t="str">
        <f>IF(ISBLANK('SQL Builder'!K1990)=FALSE,'SQL Builder'!L1990,"")</f>
        <v/>
      </c>
      <c r="D2015" s="1" t="str">
        <f>IF(ISBLANK('SQL Builder'!K1990)=FALSE,'SQL Builder'!O1990,"")</f>
        <v/>
      </c>
      <c r="H2015" s="43" t="str">
        <f>IF(ISBLANK('SQL Builder'!K1989)=FALSE,H2014+1,"")</f>
        <v/>
      </c>
      <c r="I2015" s="1" t="str">
        <f>IF(ISBLANK('SQL Builder'!P1990)=FALSE,'SQL Builder'!N1990,"")</f>
        <v/>
      </c>
      <c r="J2015" s="79">
        <f t="shared" ref="J2015" si="31">IF(I2015="",0,IF(I2015=C$5,2,1))</f>
        <v>0</v>
      </c>
    </row>
  </sheetData>
  <mergeCells count="6">
    <mergeCell ref="C9:G9"/>
    <mergeCell ref="C5:G5"/>
    <mergeCell ref="C6:G6"/>
    <mergeCell ref="C7:G7"/>
    <mergeCell ref="B3:G3"/>
    <mergeCell ref="C8:G8"/>
  </mergeCells>
  <conditionalFormatting sqref="B30:B2000">
    <cfRule type="expression" dxfId="10" priority="3">
      <formula>ISNUMBER(B30)=TRUE</formula>
    </cfRule>
    <cfRule type="expression" dxfId="9" priority="4">
      <formula>ISNUMBER(B30)=FALSE</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iconSet" priority="1" id="{561F5F0A-9403-4BF1-B88A-D35B0FCB9995}">
            <x14:iconSet iconSet="3Symbols" showValue="0" custom="1">
              <x14:cfvo type="percent">
                <xm:f>0</xm:f>
              </x14:cfvo>
              <x14:cfvo type="num">
                <xm:f>1</xm:f>
              </x14:cfvo>
              <x14:cfvo type="num">
                <xm:f>2</xm:f>
              </x14:cfvo>
              <x14:cfIcon iconSet="NoIcons" iconId="0"/>
              <x14:cfIcon iconSet="3Symbols2" iconId="2"/>
              <x14:cfIcon iconSet="3Symbols" iconId="1"/>
            </x14:iconSet>
          </x14:cfRule>
          <xm:sqref>J30:J2015</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2:O22"/>
  <sheetViews>
    <sheetView workbookViewId="0">
      <selection activeCell="I14" sqref="I14:O22"/>
    </sheetView>
  </sheetViews>
  <sheetFormatPr defaultRowHeight="15" x14ac:dyDescent="0.25"/>
  <sheetData>
    <row r="2" spans="2:15" x14ac:dyDescent="0.25">
      <c r="B2" t="s">
        <v>178</v>
      </c>
      <c r="C2" t="s">
        <v>180</v>
      </c>
      <c r="E2" t="s">
        <v>152</v>
      </c>
      <c r="F2" t="s">
        <v>180</v>
      </c>
      <c r="I2" t="s">
        <v>187</v>
      </c>
    </row>
    <row r="3" spans="2:15" x14ac:dyDescent="0.25">
      <c r="B3" t="s">
        <v>223</v>
      </c>
      <c r="C3" t="s">
        <v>225</v>
      </c>
      <c r="E3" t="str">
        <f>Mapping!D3</f>
        <v>Monthly QC</v>
      </c>
      <c r="I3" s="207" t="s">
        <v>294</v>
      </c>
      <c r="J3" s="207"/>
      <c r="K3" s="207"/>
      <c r="L3" s="207"/>
      <c r="M3" s="207"/>
      <c r="N3" s="207"/>
      <c r="O3" s="207"/>
    </row>
    <row r="4" spans="2:15" x14ac:dyDescent="0.25">
      <c r="B4" t="s">
        <v>177</v>
      </c>
      <c r="C4" t="s">
        <v>221</v>
      </c>
      <c r="E4" t="str">
        <f>Mapping!D4</f>
        <v>Annual QC</v>
      </c>
      <c r="I4" s="207"/>
      <c r="J4" s="207"/>
      <c r="K4" s="207"/>
      <c r="L4" s="207"/>
      <c r="M4" s="207"/>
      <c r="N4" s="207"/>
      <c r="O4" s="207"/>
    </row>
    <row r="5" spans="2:15" x14ac:dyDescent="0.25">
      <c r="B5" t="s">
        <v>183</v>
      </c>
      <c r="C5" t="s">
        <v>222</v>
      </c>
      <c r="E5" t="str">
        <f>Mapping!D5</f>
        <v>Mechanicals</v>
      </c>
      <c r="I5" s="207"/>
      <c r="J5" s="207"/>
      <c r="K5" s="207"/>
      <c r="L5" s="207"/>
      <c r="M5" s="207"/>
      <c r="N5" s="207"/>
      <c r="O5" s="207"/>
    </row>
    <row r="6" spans="2:15" x14ac:dyDescent="0.25">
      <c r="B6" t="s">
        <v>91</v>
      </c>
      <c r="C6" t="s">
        <v>228</v>
      </c>
      <c r="E6" t="str">
        <f>Mapping!D6</f>
        <v>Optics Vs Radiation</v>
      </c>
      <c r="I6" s="207"/>
      <c r="J6" s="207"/>
      <c r="K6" s="207"/>
      <c r="L6" s="207"/>
      <c r="M6" s="207"/>
      <c r="N6" s="207"/>
      <c r="O6" s="207"/>
    </row>
    <row r="7" spans="2:15" x14ac:dyDescent="0.25">
      <c r="B7" t="s">
        <v>227</v>
      </c>
      <c r="C7" t="s">
        <v>229</v>
      </c>
      <c r="E7" t="str">
        <f>Mapping!D8</f>
        <v>Delta4 QC</v>
      </c>
      <c r="I7" s="207"/>
      <c r="J7" s="207"/>
      <c r="K7" s="207"/>
      <c r="L7" s="207"/>
      <c r="M7" s="207"/>
      <c r="N7" s="207"/>
      <c r="O7" s="207"/>
    </row>
    <row r="8" spans="2:15" x14ac:dyDescent="0.25">
      <c r="B8" t="s">
        <v>305</v>
      </c>
      <c r="C8" t="s">
        <v>306</v>
      </c>
      <c r="E8" t="str">
        <f>Mapping!D9</f>
        <v>CT QC</v>
      </c>
      <c r="I8" s="207"/>
      <c r="J8" s="207"/>
      <c r="K8" s="207"/>
      <c r="L8" s="207"/>
      <c r="M8" s="207"/>
      <c r="N8" s="207"/>
      <c r="O8" s="207"/>
    </row>
    <row r="9" spans="2:15" x14ac:dyDescent="0.25">
      <c r="E9" t="str">
        <f>Mapping!D12</f>
        <v>Quarterly QC</v>
      </c>
      <c r="I9" s="207"/>
      <c r="J9" s="207"/>
      <c r="K9" s="207"/>
      <c r="L9" s="207"/>
      <c r="M9" s="207"/>
      <c r="N9" s="207"/>
      <c r="O9" s="207"/>
    </row>
    <row r="10" spans="2:15" x14ac:dyDescent="0.25">
      <c r="E10" t="s">
        <v>223</v>
      </c>
      <c r="I10" s="207"/>
      <c r="J10" s="207"/>
      <c r="K10" s="207"/>
      <c r="L10" s="207"/>
      <c r="M10" s="207"/>
      <c r="N10" s="207"/>
      <c r="O10" s="207"/>
    </row>
    <row r="11" spans="2:15" x14ac:dyDescent="0.25">
      <c r="I11" s="207"/>
      <c r="J11" s="207"/>
      <c r="K11" s="207"/>
      <c r="L11" s="207"/>
      <c r="M11" s="207"/>
      <c r="N11" s="207"/>
      <c r="O11" s="207"/>
    </row>
    <row r="13" spans="2:15" x14ac:dyDescent="0.25">
      <c r="I13" t="s">
        <v>188</v>
      </c>
    </row>
    <row r="14" spans="2:15" x14ac:dyDescent="0.25">
      <c r="I14" s="208" t="s">
        <v>220</v>
      </c>
      <c r="J14" s="207"/>
      <c r="K14" s="207"/>
      <c r="L14" s="207"/>
      <c r="M14" s="207"/>
      <c r="N14" s="207"/>
      <c r="O14" s="207"/>
    </row>
    <row r="15" spans="2:15" x14ac:dyDescent="0.25">
      <c r="B15" t="s">
        <v>190</v>
      </c>
      <c r="I15" s="207"/>
      <c r="J15" s="207"/>
      <c r="K15" s="207"/>
      <c r="L15" s="207"/>
      <c r="M15" s="207"/>
      <c r="N15" s="207"/>
      <c r="O15" s="207"/>
    </row>
    <row r="16" spans="2:15" x14ac:dyDescent="0.25">
      <c r="B16" t="s">
        <v>194</v>
      </c>
      <c r="I16" s="207"/>
      <c r="J16" s="207"/>
      <c r="K16" s="207"/>
      <c r="L16" s="207"/>
      <c r="M16" s="207"/>
      <c r="N16" s="207"/>
      <c r="O16" s="207"/>
    </row>
    <row r="17" spans="2:15" x14ac:dyDescent="0.25">
      <c r="B17" t="s">
        <v>195</v>
      </c>
      <c r="I17" s="207"/>
      <c r="J17" s="207"/>
      <c r="K17" s="207"/>
      <c r="L17" s="207"/>
      <c r="M17" s="207"/>
      <c r="N17" s="207"/>
      <c r="O17" s="207"/>
    </row>
    <row r="18" spans="2:15" x14ac:dyDescent="0.25">
      <c r="B18" t="s">
        <v>191</v>
      </c>
      <c r="I18" s="207"/>
      <c r="J18" s="207"/>
      <c r="K18" s="207"/>
      <c r="L18" s="207"/>
      <c r="M18" s="207"/>
      <c r="N18" s="207"/>
      <c r="O18" s="207"/>
    </row>
    <row r="19" spans="2:15" x14ac:dyDescent="0.25">
      <c r="B19" t="s">
        <v>196</v>
      </c>
      <c r="I19" s="207"/>
      <c r="J19" s="207"/>
      <c r="K19" s="207"/>
      <c r="L19" s="207"/>
      <c r="M19" s="207"/>
      <c r="N19" s="207"/>
      <c r="O19" s="207"/>
    </row>
    <row r="20" spans="2:15" x14ac:dyDescent="0.25">
      <c r="B20" t="s">
        <v>208</v>
      </c>
      <c r="I20" s="207"/>
      <c r="J20" s="207"/>
      <c r="K20" s="207"/>
      <c r="L20" s="207"/>
      <c r="M20" s="207"/>
      <c r="N20" s="207"/>
      <c r="O20" s="207"/>
    </row>
    <row r="21" spans="2:15" x14ac:dyDescent="0.25">
      <c r="B21" t="s">
        <v>211</v>
      </c>
      <c r="I21" s="207"/>
      <c r="J21" s="207"/>
      <c r="K21" s="207"/>
      <c r="L21" s="207"/>
      <c r="M21" s="207"/>
      <c r="N21" s="207"/>
      <c r="O21" s="207"/>
    </row>
    <row r="22" spans="2:15" x14ac:dyDescent="0.25">
      <c r="B22" t="s">
        <v>223</v>
      </c>
      <c r="I22" s="207"/>
      <c r="J22" s="207"/>
      <c r="K22" s="207"/>
      <c r="L22" s="207"/>
      <c r="M22" s="207"/>
      <c r="N22" s="207"/>
      <c r="O22" s="207"/>
    </row>
  </sheetData>
  <mergeCells count="2">
    <mergeCell ref="I3:O11"/>
    <mergeCell ref="I14:O2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F6"/>
  <sheetViews>
    <sheetView workbookViewId="0">
      <selection activeCell="D2" sqref="D2:F2"/>
    </sheetView>
  </sheetViews>
  <sheetFormatPr defaultRowHeight="15" x14ac:dyDescent="0.25"/>
  <cols>
    <col min="1" max="16384" width="9.140625" style="1"/>
  </cols>
  <sheetData>
    <row r="2" spans="2:6" x14ac:dyDescent="0.25">
      <c r="B2" s="209" t="s">
        <v>0</v>
      </c>
      <c r="C2" s="210"/>
      <c r="D2" s="211"/>
      <c r="E2" s="212"/>
      <c r="F2" s="213"/>
    </row>
    <row r="4" spans="2:6" x14ac:dyDescent="0.25">
      <c r="B4" s="209" t="s">
        <v>1</v>
      </c>
      <c r="C4" s="210"/>
      <c r="D4" s="211"/>
      <c r="E4" s="212"/>
      <c r="F4" s="213"/>
    </row>
    <row r="6" spans="2:6" x14ac:dyDescent="0.25">
      <c r="B6" s="209" t="s">
        <v>2</v>
      </c>
      <c r="C6" s="210"/>
      <c r="D6" s="211"/>
      <c r="E6" s="212"/>
      <c r="F6" s="213"/>
    </row>
  </sheetData>
  <mergeCells count="6">
    <mergeCell ref="B2:C2"/>
    <mergeCell ref="D2:F2"/>
    <mergeCell ref="B4:C4"/>
    <mergeCell ref="D4:F4"/>
    <mergeCell ref="B6:C6"/>
    <mergeCell ref="D6:F6"/>
  </mergeCell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6:AY10"/>
  <sheetViews>
    <sheetView workbookViewId="0">
      <pane xSplit="3795" activePane="topRight"/>
      <selection activeCell="AT6" sqref="AT6:AY6"/>
      <selection pane="topRight" activeCell="B23" sqref="B23"/>
    </sheetView>
  </sheetViews>
  <sheetFormatPr defaultRowHeight="15" x14ac:dyDescent="0.25"/>
  <cols>
    <col min="1" max="1" width="9.140625" style="1"/>
    <col min="2" max="2" width="23.28515625" style="1" customWidth="1"/>
    <col min="3" max="5" width="9.140625" style="1"/>
    <col min="6" max="6" width="16.42578125" style="1" customWidth="1"/>
    <col min="7" max="36" width="9.140625" style="1"/>
    <col min="37" max="37" width="2.5703125" style="1" customWidth="1"/>
    <col min="38" max="38" width="9.140625" style="1" hidden="1" customWidth="1"/>
    <col min="39" max="40" width="0" style="1" hidden="1" customWidth="1"/>
    <col min="41" max="16384" width="9.140625" style="1"/>
  </cols>
  <sheetData>
    <row r="6" spans="2:51" x14ac:dyDescent="0.25">
      <c r="F6" s="2" t="s">
        <v>3</v>
      </c>
      <c r="G6" s="216" t="s">
        <v>37</v>
      </c>
      <c r="H6" s="230"/>
      <c r="I6" s="230"/>
      <c r="J6" s="230"/>
      <c r="K6" s="230"/>
      <c r="L6" s="230"/>
      <c r="M6" s="231"/>
      <c r="N6" s="216" t="s">
        <v>38</v>
      </c>
      <c r="O6" s="230"/>
      <c r="P6" s="230"/>
      <c r="Q6" s="230"/>
      <c r="R6" s="230"/>
      <c r="S6" s="230"/>
      <c r="T6" s="7"/>
      <c r="U6" s="7"/>
      <c r="V6" s="7"/>
      <c r="W6" s="7"/>
      <c r="X6" s="7"/>
      <c r="Y6" s="232" t="s">
        <v>4</v>
      </c>
      <c r="Z6" s="233"/>
      <c r="AA6" s="216" t="s">
        <v>5</v>
      </c>
      <c r="AB6" s="230"/>
      <c r="AC6" s="230"/>
      <c r="AD6" s="216" t="s">
        <v>12</v>
      </c>
      <c r="AE6" s="230"/>
      <c r="AF6" s="230"/>
      <c r="AG6" s="216" t="s">
        <v>13</v>
      </c>
      <c r="AH6" s="230"/>
      <c r="AI6" s="230"/>
      <c r="AJ6" s="216" t="s">
        <v>14</v>
      </c>
      <c r="AK6" s="230"/>
      <c r="AL6" s="230"/>
      <c r="AM6" s="216" t="s">
        <v>39</v>
      </c>
      <c r="AN6" s="217"/>
      <c r="AO6" s="217"/>
      <c r="AP6" s="217"/>
      <c r="AQ6" s="217"/>
      <c r="AR6" s="217"/>
      <c r="AS6" s="218"/>
      <c r="AT6" s="216" t="s">
        <v>40</v>
      </c>
      <c r="AU6" s="217"/>
      <c r="AV6" s="217"/>
      <c r="AW6" s="217"/>
      <c r="AX6" s="217"/>
      <c r="AY6" s="217"/>
    </row>
    <row r="7" spans="2:51" ht="90.75" customHeight="1" x14ac:dyDescent="0.25">
      <c r="F7" s="228"/>
      <c r="G7" s="214" t="s">
        <v>22</v>
      </c>
      <c r="H7" s="214" t="s">
        <v>23</v>
      </c>
      <c r="I7" s="214" t="s">
        <v>24</v>
      </c>
      <c r="J7" s="214" t="s">
        <v>25</v>
      </c>
      <c r="K7" s="214" t="s">
        <v>26</v>
      </c>
      <c r="L7" s="214" t="s">
        <v>27</v>
      </c>
      <c r="M7" s="220" t="s">
        <v>28</v>
      </c>
      <c r="N7" s="220" t="s">
        <v>29</v>
      </c>
      <c r="O7" s="220" t="s">
        <v>30</v>
      </c>
      <c r="P7" s="220" t="s">
        <v>34</v>
      </c>
      <c r="Q7" s="220" t="s">
        <v>32</v>
      </c>
      <c r="R7" s="220" t="s">
        <v>33</v>
      </c>
      <c r="S7" s="214" t="s">
        <v>31</v>
      </c>
      <c r="T7" s="214" t="s">
        <v>35</v>
      </c>
      <c r="U7" s="214" t="s">
        <v>36</v>
      </c>
      <c r="V7" s="11"/>
      <c r="W7" s="11"/>
      <c r="X7" s="7"/>
      <c r="Y7" s="10"/>
      <c r="Z7" s="3"/>
      <c r="AA7" s="2"/>
      <c r="AB7" s="6"/>
      <c r="AC7" s="6"/>
      <c r="AD7" s="10"/>
      <c r="AE7" s="7"/>
      <c r="AF7" s="7"/>
      <c r="AG7" s="10"/>
      <c r="AH7" s="7"/>
      <c r="AI7" s="7"/>
      <c r="AJ7" s="10"/>
      <c r="AK7" s="7"/>
      <c r="AL7" s="7"/>
      <c r="AM7" s="214" t="s">
        <v>22</v>
      </c>
      <c r="AN7" s="214" t="s">
        <v>23</v>
      </c>
      <c r="AO7" s="214" t="s">
        <v>24</v>
      </c>
      <c r="AP7" s="214" t="s">
        <v>25</v>
      </c>
      <c r="AQ7" s="214" t="s">
        <v>26</v>
      </c>
      <c r="AR7" s="214" t="s">
        <v>27</v>
      </c>
      <c r="AS7" s="220" t="s">
        <v>28</v>
      </c>
      <c r="AT7" s="220" t="s">
        <v>29</v>
      </c>
      <c r="AU7" s="220" t="s">
        <v>30</v>
      </c>
      <c r="AV7" s="220" t="s">
        <v>34</v>
      </c>
      <c r="AW7" s="220" t="s">
        <v>32</v>
      </c>
      <c r="AX7" s="220" t="s">
        <v>33</v>
      </c>
      <c r="AY7" s="214" t="s">
        <v>31</v>
      </c>
    </row>
    <row r="8" spans="2:51" ht="15" customHeight="1" x14ac:dyDescent="0.25">
      <c r="B8" s="2" t="s">
        <v>6</v>
      </c>
      <c r="C8" s="2" t="s">
        <v>7</v>
      </c>
      <c r="D8" s="2" t="s">
        <v>8</v>
      </c>
      <c r="E8" s="2" t="s">
        <v>19</v>
      </c>
      <c r="F8" s="229"/>
      <c r="G8" s="215"/>
      <c r="H8" s="215"/>
      <c r="I8" s="215"/>
      <c r="J8" s="215"/>
      <c r="K8" s="215"/>
      <c r="L8" s="215"/>
      <c r="M8" s="222"/>
      <c r="N8" s="222"/>
      <c r="O8" s="222"/>
      <c r="P8" s="222"/>
      <c r="Q8" s="222"/>
      <c r="R8" s="222"/>
      <c r="S8" s="215"/>
      <c r="T8" s="215"/>
      <c r="U8" s="215"/>
      <c r="V8" s="12"/>
      <c r="W8" s="12"/>
      <c r="X8" s="2" t="s">
        <v>7</v>
      </c>
      <c r="AA8" s="4" t="s">
        <v>9</v>
      </c>
      <c r="AB8" s="4" t="s">
        <v>10</v>
      </c>
      <c r="AC8" s="5" t="s">
        <v>11</v>
      </c>
      <c r="AM8" s="219"/>
      <c r="AN8" s="219"/>
      <c r="AO8" s="219"/>
      <c r="AP8" s="219"/>
      <c r="AQ8" s="219"/>
      <c r="AR8" s="219"/>
      <c r="AS8" s="221"/>
      <c r="AT8" s="221"/>
      <c r="AU8" s="221"/>
      <c r="AV8" s="221"/>
      <c r="AW8" s="221"/>
      <c r="AX8" s="221"/>
      <c r="AY8" s="219"/>
    </row>
    <row r="9" spans="2:51" x14ac:dyDescent="0.25">
      <c r="B9" s="223" t="s">
        <v>15</v>
      </c>
      <c r="C9" s="225" t="s">
        <v>16</v>
      </c>
      <c r="D9" s="226">
        <v>8</v>
      </c>
      <c r="E9" s="226" t="s">
        <v>20</v>
      </c>
      <c r="F9" s="8" t="s">
        <v>17</v>
      </c>
      <c r="G9" s="8" t="s">
        <v>21</v>
      </c>
      <c r="H9" s="8" t="s">
        <v>21</v>
      </c>
    </row>
    <row r="10" spans="2:51" x14ac:dyDescent="0.25">
      <c r="B10" s="224"/>
      <c r="C10" s="224"/>
      <c r="D10" s="227"/>
      <c r="E10" s="227"/>
      <c r="F10" s="9">
        <v>40179</v>
      </c>
      <c r="G10" s="9">
        <v>40179</v>
      </c>
      <c r="H10" s="9">
        <v>40179</v>
      </c>
    </row>
  </sheetData>
  <mergeCells count="42">
    <mergeCell ref="AA6:AC6"/>
    <mergeCell ref="AD6:AF6"/>
    <mergeCell ref="AG6:AI6"/>
    <mergeCell ref="AJ6:AL6"/>
    <mergeCell ref="G7:G8"/>
    <mergeCell ref="H7:H8"/>
    <mergeCell ref="I7:I8"/>
    <mergeCell ref="J7:J8"/>
    <mergeCell ref="G6:M6"/>
    <mergeCell ref="N6:S6"/>
    <mergeCell ref="Y6:Z6"/>
    <mergeCell ref="U7:U8"/>
    <mergeCell ref="K7:K8"/>
    <mergeCell ref="L7:L8"/>
    <mergeCell ref="M7:M8"/>
    <mergeCell ref="N7:N8"/>
    <mergeCell ref="B9:B10"/>
    <mergeCell ref="C9:C10"/>
    <mergeCell ref="D9:D10"/>
    <mergeCell ref="E9:E10"/>
    <mergeCell ref="F7:F8"/>
    <mergeCell ref="O7:O8"/>
    <mergeCell ref="P7:P8"/>
    <mergeCell ref="Q7:Q8"/>
    <mergeCell ref="R7:R8"/>
    <mergeCell ref="S7:S8"/>
    <mergeCell ref="T7:T8"/>
    <mergeCell ref="AM6:AS6"/>
    <mergeCell ref="AT6:AY6"/>
    <mergeCell ref="AM7:AM8"/>
    <mergeCell ref="AN7:AN8"/>
    <mergeCell ref="AO7:AO8"/>
    <mergeCell ref="AP7:AP8"/>
    <mergeCell ref="AQ7:AQ8"/>
    <mergeCell ref="AR7:AR8"/>
    <mergeCell ref="AS7:AS8"/>
    <mergeCell ref="AT7:AT8"/>
    <mergeCell ref="AU7:AU8"/>
    <mergeCell ref="AV7:AV8"/>
    <mergeCell ref="AW7:AW8"/>
    <mergeCell ref="AX7:AX8"/>
    <mergeCell ref="AY7:AY8"/>
  </mergeCells>
  <conditionalFormatting sqref="F9:F10">
    <cfRule type="expression" dxfId="8" priority="7">
      <formula>$F$9="X"</formula>
    </cfRule>
    <cfRule type="expression" dxfId="7" priority="8">
      <formula>$F$9="A"</formula>
    </cfRule>
    <cfRule type="expression" dxfId="6" priority="9">
      <formula>$F$9="T"</formula>
    </cfRule>
  </conditionalFormatting>
  <conditionalFormatting sqref="G9:G10">
    <cfRule type="expression" dxfId="5" priority="4">
      <formula>G$9="X"</formula>
    </cfRule>
    <cfRule type="expression" dxfId="4" priority="5">
      <formula>G$9="A"</formula>
    </cfRule>
    <cfRule type="expression" dxfId="3" priority="6">
      <formula>G$9="T"</formula>
    </cfRule>
  </conditionalFormatting>
  <conditionalFormatting sqref="H9:H10">
    <cfRule type="expression" dxfId="2" priority="1">
      <formula>H$9="X"</formula>
    </cfRule>
    <cfRule type="expression" dxfId="1" priority="2">
      <formula>H$9="A"</formula>
    </cfRule>
    <cfRule type="expression" dxfId="0" priority="3">
      <formula>H$9="T"</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3:K23"/>
  <sheetViews>
    <sheetView workbookViewId="0">
      <selection activeCell="B17" sqref="B17"/>
    </sheetView>
  </sheetViews>
  <sheetFormatPr defaultRowHeight="15" x14ac:dyDescent="0.25"/>
  <cols>
    <col min="1" max="16384" width="9.140625" style="1"/>
  </cols>
  <sheetData>
    <row r="3" spans="2:11" x14ac:dyDescent="0.25">
      <c r="B3" s="234" t="s">
        <v>6</v>
      </c>
      <c r="C3" s="235"/>
      <c r="D3" s="235"/>
      <c r="E3" s="235"/>
      <c r="F3" s="235"/>
      <c r="G3" s="234" t="s">
        <v>156</v>
      </c>
      <c r="H3" s="235"/>
      <c r="I3" s="235"/>
      <c r="J3" s="235"/>
      <c r="K3" s="235"/>
    </row>
    <row r="4" spans="2:11" x14ac:dyDescent="0.25">
      <c r="B4" s="31" t="str">
        <f>Summary!AP2</f>
        <v>Blank</v>
      </c>
      <c r="C4" s="32"/>
      <c r="D4" s="32"/>
      <c r="E4" s="32"/>
      <c r="F4" s="32"/>
      <c r="G4" s="1" t="e">
        <f>IF(Summary!AP238=_xlfn.UNICHAR(10003),1,Summary!AP238)</f>
        <v>#DIV/0!</v>
      </c>
    </row>
    <row r="5" spans="2:11" x14ac:dyDescent="0.25">
      <c r="B5" s="31" t="str">
        <f>Summary!G2</f>
        <v>James Burnley</v>
      </c>
      <c r="C5" s="32"/>
      <c r="D5" s="32"/>
      <c r="E5" s="32"/>
      <c r="F5" s="32"/>
      <c r="G5" s="30">
        <f>IF(Summary!G238=_xlfn.UNICHAR(10003),1,Summary!G238)</f>
        <v>1</v>
      </c>
    </row>
    <row r="6" spans="2:11" x14ac:dyDescent="0.25">
      <c r="B6" s="31" t="str">
        <f>Summary!H2</f>
        <v>Karen Venables</v>
      </c>
      <c r="C6" s="32"/>
      <c r="D6" s="32"/>
      <c r="E6" s="32"/>
      <c r="F6" s="32"/>
      <c r="G6" s="30">
        <f>IF(Summary!H238=_xlfn.UNICHAR(10003),1,Summary!H238)</f>
        <v>1</v>
      </c>
    </row>
    <row r="7" spans="2:11" x14ac:dyDescent="0.25">
      <c r="B7" s="31" t="str">
        <f>Summary!L2</f>
        <v>Thomas O'Brien</v>
      </c>
      <c r="C7" s="32"/>
      <c r="D7" s="32"/>
      <c r="E7" s="32"/>
      <c r="F7" s="32"/>
      <c r="G7" s="30">
        <f>IF(Summary!L238=_xlfn.UNICHAR(10003),1,Summary!L238)</f>
        <v>0.9438202247191011</v>
      </c>
    </row>
    <row r="8" spans="2:11" x14ac:dyDescent="0.25">
      <c r="B8" s="31" t="str">
        <f>Summary!K2</f>
        <v>Andrea Fischer</v>
      </c>
      <c r="C8" s="32"/>
      <c r="D8" s="32"/>
      <c r="E8" s="32"/>
      <c r="F8" s="32"/>
      <c r="G8" s="30">
        <f>IF(Summary!K238=_xlfn.UNICHAR(10003),1,Summary!K238)</f>
        <v>0.9887640449438202</v>
      </c>
    </row>
    <row r="9" spans="2:11" x14ac:dyDescent="0.25">
      <c r="B9" s="31" t="str">
        <f>Summary!I2</f>
        <v>Rachel Wills</v>
      </c>
      <c r="C9" s="32"/>
      <c r="D9" s="32"/>
      <c r="E9" s="32"/>
      <c r="F9" s="32"/>
      <c r="G9" s="30">
        <f>IF(Summary!I238=_xlfn.UNICHAR(10003),1,Summary!I238)</f>
        <v>0.67777777777777781</v>
      </c>
    </row>
    <row r="10" spans="2:11" x14ac:dyDescent="0.25">
      <c r="B10" s="31" t="str">
        <f>Summary!AF2</f>
        <v>George Kirby</v>
      </c>
      <c r="C10" s="32"/>
      <c r="D10" s="32"/>
      <c r="E10" s="32"/>
      <c r="F10" s="32"/>
      <c r="G10" s="30">
        <f>IF(Summary!AF238=_xlfn.UNICHAR(10003),1,Summary!AF238)</f>
        <v>0.86046511627906974</v>
      </c>
    </row>
    <row r="11" spans="2:11" x14ac:dyDescent="0.25">
      <c r="B11" s="31" t="str">
        <f>Summary!P2</f>
        <v>Rikki Lad</v>
      </c>
      <c r="C11" s="32"/>
      <c r="D11" s="32"/>
      <c r="E11" s="32"/>
      <c r="F11" s="32"/>
      <c r="G11" s="30">
        <f>IF(Summary!P238=_xlfn.UNICHAR(10003),1,Summary!P238)</f>
        <v>0.55555555555555558</v>
      </c>
    </row>
    <row r="12" spans="2:11" x14ac:dyDescent="0.25">
      <c r="B12" s="31" t="str">
        <f>Summary!J2</f>
        <v>Tom Hague</v>
      </c>
      <c r="C12" s="32"/>
      <c r="D12" s="32"/>
      <c r="E12" s="32"/>
      <c r="F12" s="32"/>
      <c r="G12" s="30">
        <f>IF(Summary!J238=_xlfn.UNICHAR(10003),1,Summary!J238)</f>
        <v>0.48314606741573035</v>
      </c>
    </row>
    <row r="13" spans="2:11" x14ac:dyDescent="0.25">
      <c r="B13" s="31" t="str">
        <f>Summary!X2</f>
        <v>Hannah Price</v>
      </c>
      <c r="C13" s="32"/>
      <c r="D13" s="32"/>
      <c r="E13" s="32"/>
      <c r="F13" s="32"/>
      <c r="G13" s="30">
        <f>IF(Summary!X238=_xlfn.UNICHAR(10003),1,Summary!X238)</f>
        <v>0.74712643678160917</v>
      </c>
    </row>
    <row r="14" spans="2:11" x14ac:dyDescent="0.25">
      <c r="B14" s="31" t="e">
        <f>Summary!#REF!</f>
        <v>#REF!</v>
      </c>
      <c r="C14" s="32"/>
      <c r="D14" s="32"/>
      <c r="E14" s="32"/>
      <c r="F14" s="32"/>
      <c r="G14" s="30" t="e">
        <f>IF(Summary!#REF!=_xlfn.UNICHAR(10003),1,Summary!#REF!)</f>
        <v>#REF!</v>
      </c>
    </row>
    <row r="15" spans="2:11" x14ac:dyDescent="0.25">
      <c r="B15" s="31" t="str">
        <f>Summary!X2</f>
        <v>Hannah Price</v>
      </c>
      <c r="C15" s="32"/>
      <c r="D15" s="32"/>
      <c r="E15" s="32"/>
      <c r="F15" s="32"/>
      <c r="G15" s="1" t="e">
        <f>IF(Summary!#REF!=_xlfn.UNICHAR(10003),1,Summary!#REF!)</f>
        <v>#REF!</v>
      </c>
    </row>
    <row r="16" spans="2:11" x14ac:dyDescent="0.25">
      <c r="B16" s="31" t="e">
        <f>Summary!#REF!</f>
        <v>#REF!</v>
      </c>
      <c r="C16" s="32"/>
      <c r="D16" s="32"/>
      <c r="E16" s="32"/>
      <c r="F16" s="32"/>
      <c r="G16" s="1" t="e">
        <f>IF(Summary!#REF!=_xlfn.UNICHAR(10003),1,Summary!#REF!)</f>
        <v>#REF!</v>
      </c>
    </row>
    <row r="17" spans="2:7" x14ac:dyDescent="0.25">
      <c r="B17" s="31" t="str">
        <f>Summary!AG2</f>
        <v>Anitta Thomas</v>
      </c>
      <c r="C17" s="32"/>
      <c r="D17" s="32"/>
      <c r="E17" s="32"/>
      <c r="F17" s="32"/>
      <c r="G17" s="1">
        <f>IF(Summary!AG238=_xlfn.UNICHAR(10003),1,Summary!AG238)</f>
        <v>0.73809523809523814</v>
      </c>
    </row>
    <row r="18" spans="2:7" x14ac:dyDescent="0.25">
      <c r="B18" s="31" t="e">
        <f>Summary!#REF!</f>
        <v>#REF!</v>
      </c>
      <c r="C18" s="32"/>
      <c r="D18" s="32"/>
      <c r="E18" s="32"/>
      <c r="F18" s="32"/>
      <c r="G18" s="1" t="e">
        <f>IF(Summary!#REF!=_xlfn.UNICHAR(10003),1,Summary!#REF!)</f>
        <v>#REF!</v>
      </c>
    </row>
    <row r="19" spans="2:7" x14ac:dyDescent="0.25">
      <c r="B19" s="31" t="e">
        <f>Summary!#REF!</f>
        <v>#REF!</v>
      </c>
      <c r="C19" s="32"/>
      <c r="D19" s="32"/>
      <c r="E19" s="32"/>
      <c r="F19" s="32"/>
      <c r="G19" s="1" t="e">
        <f>IF(Summary!#REF!=_xlfn.UNICHAR(10003),1,Summary!#REF!)</f>
        <v>#REF!</v>
      </c>
    </row>
    <row r="20" spans="2:7" x14ac:dyDescent="0.25">
      <c r="B20" s="31" t="str">
        <f>Summary!W2</f>
        <v>Preetinder Singh</v>
      </c>
      <c r="C20" s="32"/>
      <c r="D20" s="32"/>
      <c r="E20" s="32"/>
      <c r="F20" s="32"/>
      <c r="G20" s="1">
        <f>IF(Summary!W238=_xlfn.UNICHAR(10003),1,Summary!W238)</f>
        <v>0.52873563218390807</v>
      </c>
    </row>
    <row r="21" spans="2:7" x14ac:dyDescent="0.25">
      <c r="B21" s="31" t="str">
        <f>Summary!AQ2</f>
        <v>Practioner/Assistant Physicist</v>
      </c>
      <c r="C21" s="32"/>
      <c r="D21" s="32"/>
      <c r="E21" s="32"/>
      <c r="F21" s="32"/>
      <c r="G21" s="1">
        <f>IF(Summary!AQ238=_xlfn.UNICHAR(10003),1,Summary!AQ238)</f>
        <v>0</v>
      </c>
    </row>
    <row r="22" spans="2:7" x14ac:dyDescent="0.25">
      <c r="B22" s="31" t="str">
        <f>Summary!AR2</f>
        <v>Route 2 Trainee</v>
      </c>
      <c r="C22" s="32"/>
      <c r="D22" s="32"/>
      <c r="E22" s="32"/>
      <c r="F22" s="32"/>
      <c r="G22" s="1">
        <f>IF(Summary!AR238=_xlfn.UNICHAR(10003),1,Summary!AR238)</f>
        <v>0</v>
      </c>
    </row>
    <row r="23" spans="2:7" x14ac:dyDescent="0.25">
      <c r="B23" s="31" t="str">
        <f>Summary!AS2</f>
        <v>STP Trainee</v>
      </c>
      <c r="C23" s="32"/>
      <c r="D23" s="32"/>
      <c r="E23" s="32"/>
      <c r="F23" s="32"/>
      <c r="G23" s="1">
        <f>IF(Summary!AS238=_xlfn.UNICHAR(10003),1,Summary!AS238)</f>
        <v>0</v>
      </c>
    </row>
  </sheetData>
  <sortState ref="B4:G23">
    <sortCondition descending="1" ref="G4:G23"/>
  </sortState>
  <mergeCells count="2">
    <mergeCell ref="G3:K3"/>
    <mergeCell ref="B3:F3"/>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Summary</vt:lpstr>
      <vt:lpstr>Mapping</vt:lpstr>
      <vt:lpstr>SQL Builder</vt:lpstr>
      <vt:lpstr>PDF Record</vt:lpstr>
      <vt:lpstr>Pad</vt:lpstr>
      <vt:lpstr>Add Staff</vt:lpstr>
      <vt:lpstr>Sheet1</vt:lpstr>
      <vt:lpstr>Sheet2</vt:lpstr>
    </vt:vector>
  </TitlesOfParts>
  <Company>East &amp; North Herts NHS Trust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James Burnley</dc:creator>
  <cp:lastModifiedBy>James Burnley</cp:lastModifiedBy>
  <cp:lastPrinted>2026-04-30T15:50:15Z</cp:lastPrinted>
  <dcterms:created xsi:type="dcterms:W3CDTF">2024-06-14T11:17:11Z</dcterms:created>
  <dcterms:modified xsi:type="dcterms:W3CDTF">2026-06-03T07:42:00Z</dcterms:modified>
</cp:coreProperties>
</file>